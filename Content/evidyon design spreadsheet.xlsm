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chartsheets/sheet2.xml" ContentType="application/vnd.openxmlformats-officedocument.spreadsheetml.chartsheet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B7FE6334-C1A2-E50D-BD3D-5F4D41BBC2E3}"/>
  <workbookPr codeName="ThisWorkbook" defaultThemeVersion="124226"/>
  <bookViews>
    <workbookView xWindow="-15" yWindow="0" windowWidth="15405" windowHeight="7590" firstSheet="5" activeTab="13"/>
  </bookViews>
  <sheets>
    <sheet name="Parameters" sheetId="6" r:id="rId1"/>
    <sheet name="Avatars" sheetId="2" r:id="rId2"/>
    <sheet name="Ranges" sheetId="7" r:id="rId3"/>
    <sheet name="Chart3" sheetId="9" r:id="rId4"/>
    <sheet name="Chart4" sheetId="10" r:id="rId5"/>
    <sheet name="Experience" sheetId="12" r:id="rId6"/>
    <sheet name="Damage" sheetId="13" r:id="rId7"/>
    <sheet name="Armor" sheetId="28" r:id="rId8"/>
    <sheet name="Regeneration" sheetId="23" r:id="rId9"/>
    <sheet name="Spell Names" sheetId="11" r:id="rId10"/>
    <sheet name="Spells" sheetId="3" r:id="rId11"/>
    <sheet name="Class Spells Viewer" sheetId="14" r:id="rId12"/>
    <sheet name="PVP Damage Adjustment" sheetId="16" r:id="rId13"/>
    <sheet name="Items" sheetId="26" r:id="rId14"/>
    <sheet name="(enumerations)" sheetId="27" r:id="rId15"/>
    <sheet name="Stat Boosts" sheetId="4" r:id="rId16"/>
    <sheet name="(references)" sheetId="5" r:id="rId17"/>
    <sheet name="Melee Delay Multipliers" sheetId="18" r:id="rId18"/>
    <sheet name="Magic Delay Multipliers" sheetId="19" r:id="rId19"/>
    <sheet name="Melee Damage Multipliers" sheetId="20" r:id="rId20"/>
    <sheet name="Magic Damage Multipliers" sheetId="21" r:id="rId21"/>
    <sheet name="Magic Duration Multipliers" sheetId="22" r:id="rId22"/>
    <sheet name="Movement Speed" sheetId="24" r:id="rId23"/>
    <sheet name="Monsters" sheetId="25" r:id="rId24"/>
  </sheets>
  <definedNames>
    <definedName name="ItemEquipmentType">'(enumerations)'!$A$1:$A$21</definedName>
    <definedName name="ItemIntendedUse">'(enumerations)'!$B$1:$B$11</definedName>
    <definedName name="WeaponSize">'(enumerations)'!$C$1:$C$3</definedName>
    <definedName name="WeaponSpeed">'(enumerations)'!$D$1:$D$3</definedName>
  </definedNames>
  <calcPr calcId="124519"/>
</workbook>
</file>

<file path=xl/calcChain.xml><?xml version="1.0" encoding="utf-8"?>
<calcChain xmlns="http://schemas.openxmlformats.org/spreadsheetml/2006/main">
  <c r="E3" i="18"/>
  <c r="F3"/>
  <c r="G3"/>
  <c r="H3"/>
  <c r="I3"/>
  <c r="J3"/>
  <c r="K3"/>
  <c r="L3"/>
  <c r="M3"/>
  <c r="N3"/>
  <c r="O3"/>
  <c r="P3"/>
  <c r="Q3"/>
  <c r="E4"/>
  <c r="F4"/>
  <c r="G4"/>
  <c r="H4"/>
  <c r="I4"/>
  <c r="J4"/>
  <c r="K4"/>
  <c r="L4"/>
  <c r="M4"/>
  <c r="N4"/>
  <c r="O4"/>
  <c r="P4"/>
  <c r="Q4"/>
  <c r="E5"/>
  <c r="F5"/>
  <c r="G5"/>
  <c r="H5"/>
  <c r="I5"/>
  <c r="J5"/>
  <c r="K5"/>
  <c r="L5"/>
  <c r="M5"/>
  <c r="N5"/>
  <c r="O5"/>
  <c r="P5"/>
  <c r="Q5"/>
  <c r="E6"/>
  <c r="F6"/>
  <c r="G6"/>
  <c r="H6"/>
  <c r="I6"/>
  <c r="J6"/>
  <c r="K6"/>
  <c r="L6"/>
  <c r="M6"/>
  <c r="N6"/>
  <c r="O6"/>
  <c r="P6"/>
  <c r="Q6"/>
  <c r="E7"/>
  <c r="F7"/>
  <c r="G7"/>
  <c r="H7"/>
  <c r="I7"/>
  <c r="J7"/>
  <c r="K7"/>
  <c r="L7"/>
  <c r="M7"/>
  <c r="N7"/>
  <c r="O7"/>
  <c r="P7"/>
  <c r="Q7"/>
  <c r="E8"/>
  <c r="F8"/>
  <c r="G8"/>
  <c r="H8"/>
  <c r="I8"/>
  <c r="J8"/>
  <c r="K8"/>
  <c r="L8"/>
  <c r="M8"/>
  <c r="N8"/>
  <c r="O8"/>
  <c r="P8"/>
  <c r="Q8"/>
  <c r="E9"/>
  <c r="F9"/>
  <c r="G9"/>
  <c r="H9"/>
  <c r="I9"/>
  <c r="J9"/>
  <c r="K9"/>
  <c r="L9"/>
  <c r="M9"/>
  <c r="N9"/>
  <c r="O9"/>
  <c r="P9"/>
  <c r="Q9"/>
  <c r="E10"/>
  <c r="F10"/>
  <c r="G10"/>
  <c r="H10"/>
  <c r="I10"/>
  <c r="J10"/>
  <c r="K10"/>
  <c r="L10"/>
  <c r="M10"/>
  <c r="N10"/>
  <c r="O10"/>
  <c r="P10"/>
  <c r="Q10"/>
  <c r="E11"/>
  <c r="F11"/>
  <c r="G11"/>
  <c r="H11"/>
  <c r="I11"/>
  <c r="J11"/>
  <c r="K11"/>
  <c r="L11"/>
  <c r="M11"/>
  <c r="N11"/>
  <c r="O11"/>
  <c r="P11"/>
  <c r="Q11"/>
  <c r="E12"/>
  <c r="F12"/>
  <c r="G12"/>
  <c r="H12"/>
  <c r="I12"/>
  <c r="J12"/>
  <c r="K12"/>
  <c r="L12"/>
  <c r="M12"/>
  <c r="N12"/>
  <c r="O12"/>
  <c r="P12"/>
  <c r="Q12"/>
  <c r="E13"/>
  <c r="F13"/>
  <c r="G13"/>
  <c r="H13"/>
  <c r="I13"/>
  <c r="J13"/>
  <c r="K13"/>
  <c r="L13"/>
  <c r="M13"/>
  <c r="N13"/>
  <c r="O13"/>
  <c r="P13"/>
  <c r="Q13"/>
  <c r="E14"/>
  <c r="F14"/>
  <c r="G14"/>
  <c r="H14"/>
  <c r="I14"/>
  <c r="J14"/>
  <c r="K14"/>
  <c r="L14"/>
  <c r="M14"/>
  <c r="N14"/>
  <c r="O14"/>
  <c r="P14"/>
  <c r="Q14"/>
  <c r="E15"/>
  <c r="F15"/>
  <c r="G15"/>
  <c r="H15"/>
  <c r="I15"/>
  <c r="J15"/>
  <c r="K15"/>
  <c r="L15"/>
  <c r="M15"/>
  <c r="N15"/>
  <c r="O15"/>
  <c r="P15"/>
  <c r="Q15"/>
  <c r="E16"/>
  <c r="F16"/>
  <c r="G16"/>
  <c r="H16"/>
  <c r="I16"/>
  <c r="J16"/>
  <c r="K16"/>
  <c r="L16"/>
  <c r="M16"/>
  <c r="N16"/>
  <c r="O16"/>
  <c r="P16"/>
  <c r="Q16"/>
  <c r="E17"/>
  <c r="F17"/>
  <c r="G17"/>
  <c r="H17"/>
  <c r="I17"/>
  <c r="J17"/>
  <c r="K17"/>
  <c r="L17"/>
  <c r="M17"/>
  <c r="N17"/>
  <c r="O17"/>
  <c r="P17"/>
  <c r="Q17"/>
  <c r="E18"/>
  <c r="F18"/>
  <c r="G18"/>
  <c r="H18"/>
  <c r="I18"/>
  <c r="J18"/>
  <c r="K18"/>
  <c r="L18"/>
  <c r="M18"/>
  <c r="N18"/>
  <c r="O18"/>
  <c r="P18"/>
  <c r="Q18"/>
  <c r="E19"/>
  <c r="F19"/>
  <c r="G19"/>
  <c r="H19"/>
  <c r="I19"/>
  <c r="J19"/>
  <c r="K19"/>
  <c r="L19"/>
  <c r="M19"/>
  <c r="N19"/>
  <c r="O19"/>
  <c r="P19"/>
  <c r="Q19"/>
  <c r="E20"/>
  <c r="F20"/>
  <c r="G20"/>
  <c r="H20"/>
  <c r="I20"/>
  <c r="J20"/>
  <c r="K20"/>
  <c r="L20"/>
  <c r="M20"/>
  <c r="N20"/>
  <c r="O20"/>
  <c r="P20"/>
  <c r="Q20"/>
  <c r="E21"/>
  <c r="F21"/>
  <c r="G21"/>
  <c r="H21"/>
  <c r="I21"/>
  <c r="J21"/>
  <c r="K21"/>
  <c r="L21"/>
  <c r="M21"/>
  <c r="N21"/>
  <c r="O21"/>
  <c r="P21"/>
  <c r="Q21"/>
  <c r="E22"/>
  <c r="F22"/>
  <c r="G22"/>
  <c r="H22"/>
  <c r="I22"/>
  <c r="J22"/>
  <c r="K22"/>
  <c r="L22"/>
  <c r="M22"/>
  <c r="N22"/>
  <c r="O22"/>
  <c r="P22"/>
  <c r="Q22"/>
  <c r="E23"/>
  <c r="F23"/>
  <c r="G23"/>
  <c r="H23"/>
  <c r="I23"/>
  <c r="J23"/>
  <c r="K23"/>
  <c r="L23"/>
  <c r="M23"/>
  <c r="N23"/>
  <c r="O23"/>
  <c r="P23"/>
  <c r="Q23"/>
  <c r="E24"/>
  <c r="F24"/>
  <c r="G24"/>
  <c r="H24"/>
  <c r="I24"/>
  <c r="J24"/>
  <c r="K24"/>
  <c r="L24"/>
  <c r="M24"/>
  <c r="N24"/>
  <c r="O24"/>
  <c r="P24"/>
  <c r="Q24"/>
  <c r="E25"/>
  <c r="F25"/>
  <c r="G25"/>
  <c r="H25"/>
  <c r="I25"/>
  <c r="J25"/>
  <c r="K25"/>
  <c r="L25"/>
  <c r="M25"/>
  <c r="N25"/>
  <c r="O25"/>
  <c r="P25"/>
  <c r="Q25"/>
  <c r="E26"/>
  <c r="F26"/>
  <c r="G26"/>
  <c r="H26"/>
  <c r="I26"/>
  <c r="J26"/>
  <c r="K26"/>
  <c r="L26"/>
  <c r="M26"/>
  <c r="N26"/>
  <c r="O26"/>
  <c r="P26"/>
  <c r="Q26"/>
  <c r="E27"/>
  <c r="F27"/>
  <c r="G27"/>
  <c r="H27"/>
  <c r="I27"/>
  <c r="J27"/>
  <c r="K27"/>
  <c r="L27"/>
  <c r="M27"/>
  <c r="N27"/>
  <c r="O27"/>
  <c r="P27"/>
  <c r="Q27"/>
  <c r="E28"/>
  <c r="F28"/>
  <c r="G28"/>
  <c r="H28"/>
  <c r="I28"/>
  <c r="J28"/>
  <c r="K28"/>
  <c r="L28"/>
  <c r="M28"/>
  <c r="N28"/>
  <c r="O28"/>
  <c r="P28"/>
  <c r="Q28"/>
  <c r="E29"/>
  <c r="F29"/>
  <c r="G29"/>
  <c r="H29"/>
  <c r="I29"/>
  <c r="J29"/>
  <c r="K29"/>
  <c r="L29"/>
  <c r="M29"/>
  <c r="N29"/>
  <c r="O29"/>
  <c r="P29"/>
  <c r="Q29"/>
  <c r="E30"/>
  <c r="F30"/>
  <c r="G30"/>
  <c r="H30"/>
  <c r="I30"/>
  <c r="J30"/>
  <c r="K30"/>
  <c r="L30"/>
  <c r="M30"/>
  <c r="N30"/>
  <c r="O30"/>
  <c r="P30"/>
  <c r="Q30"/>
  <c r="E31"/>
  <c r="F31"/>
  <c r="G31"/>
  <c r="H31"/>
  <c r="I31"/>
  <c r="J31"/>
  <c r="K31"/>
  <c r="L31"/>
  <c r="M31"/>
  <c r="N31"/>
  <c r="O31"/>
  <c r="P31"/>
  <c r="Q31"/>
  <c r="E32"/>
  <c r="F32"/>
  <c r="G32"/>
  <c r="H32"/>
  <c r="I32"/>
  <c r="J32"/>
  <c r="K32"/>
  <c r="L32"/>
  <c r="M32"/>
  <c r="N32"/>
  <c r="O32"/>
  <c r="P32"/>
  <c r="Q32"/>
  <c r="E33"/>
  <c r="F33"/>
  <c r="G33"/>
  <c r="H33"/>
  <c r="I33"/>
  <c r="J33"/>
  <c r="K33"/>
  <c r="L33"/>
  <c r="M33"/>
  <c r="N33"/>
  <c r="O33"/>
  <c r="P33"/>
  <c r="Q33"/>
  <c r="E34"/>
  <c r="F34"/>
  <c r="G34"/>
  <c r="H34"/>
  <c r="I34"/>
  <c r="J34"/>
  <c r="K34"/>
  <c r="L34"/>
  <c r="M34"/>
  <c r="N34"/>
  <c r="O34"/>
  <c r="P34"/>
  <c r="Q34"/>
  <c r="E35"/>
  <c r="F35"/>
  <c r="G35"/>
  <c r="H35"/>
  <c r="I35"/>
  <c r="J35"/>
  <c r="K35"/>
  <c r="L35"/>
  <c r="M35"/>
  <c r="N35"/>
  <c r="O35"/>
  <c r="P35"/>
  <c r="Q35"/>
  <c r="E36"/>
  <c r="F36"/>
  <c r="G36"/>
  <c r="H36"/>
  <c r="I36"/>
  <c r="J36"/>
  <c r="K36"/>
  <c r="L36"/>
  <c r="M36"/>
  <c r="N36"/>
  <c r="O36"/>
  <c r="P36"/>
  <c r="Q36"/>
  <c r="E37"/>
  <c r="F37"/>
  <c r="G37"/>
  <c r="H37"/>
  <c r="I37"/>
  <c r="J37"/>
  <c r="K37"/>
  <c r="L37"/>
  <c r="M37"/>
  <c r="N37"/>
  <c r="O37"/>
  <c r="P37"/>
  <c r="Q37"/>
  <c r="E38"/>
  <c r="F38"/>
  <c r="G38"/>
  <c r="H38"/>
  <c r="I38"/>
  <c r="J38"/>
  <c r="K38"/>
  <c r="L38"/>
  <c r="M38"/>
  <c r="N38"/>
  <c r="O38"/>
  <c r="P38"/>
  <c r="Q38"/>
  <c r="E39"/>
  <c r="F39"/>
  <c r="G39"/>
  <c r="H39"/>
  <c r="I39"/>
  <c r="J39"/>
  <c r="K39"/>
  <c r="L39"/>
  <c r="M39"/>
  <c r="N39"/>
  <c r="O39"/>
  <c r="P39"/>
  <c r="Q39"/>
  <c r="E40"/>
  <c r="F40"/>
  <c r="G40"/>
  <c r="H40"/>
  <c r="I40"/>
  <c r="J40"/>
  <c r="K40"/>
  <c r="L40"/>
  <c r="M40"/>
  <c r="N40"/>
  <c r="O40"/>
  <c r="P40"/>
  <c r="Q40"/>
  <c r="E41"/>
  <c r="F41"/>
  <c r="G41"/>
  <c r="H41"/>
  <c r="I41"/>
  <c r="J41"/>
  <c r="K41"/>
  <c r="L41"/>
  <c r="M41"/>
  <c r="N41"/>
  <c r="O41"/>
  <c r="P41"/>
  <c r="Q41"/>
  <c r="E42"/>
  <c r="F42"/>
  <c r="G42"/>
  <c r="H42"/>
  <c r="I42"/>
  <c r="J42"/>
  <c r="K42"/>
  <c r="L42"/>
  <c r="M42"/>
  <c r="N42"/>
  <c r="O42"/>
  <c r="P42"/>
  <c r="Q42"/>
  <c r="E43"/>
  <c r="F43"/>
  <c r="G43"/>
  <c r="H43"/>
  <c r="I43"/>
  <c r="J43"/>
  <c r="K43"/>
  <c r="L43"/>
  <c r="M43"/>
  <c r="N43"/>
  <c r="O43"/>
  <c r="P43"/>
  <c r="Q43"/>
  <c r="E44"/>
  <c r="F44"/>
  <c r="G44"/>
  <c r="H44"/>
  <c r="I44"/>
  <c r="J44"/>
  <c r="K44"/>
  <c r="L44"/>
  <c r="M44"/>
  <c r="N44"/>
  <c r="O44"/>
  <c r="P44"/>
  <c r="Q44"/>
  <c r="E45"/>
  <c r="F45"/>
  <c r="G45"/>
  <c r="H45"/>
  <c r="I45"/>
  <c r="J45"/>
  <c r="K45"/>
  <c r="L45"/>
  <c r="M45"/>
  <c r="N45"/>
  <c r="O45"/>
  <c r="P45"/>
  <c r="Q45"/>
  <c r="E46"/>
  <c r="F46"/>
  <c r="G46"/>
  <c r="H46"/>
  <c r="I46"/>
  <c r="J46"/>
  <c r="K46"/>
  <c r="L46"/>
  <c r="M46"/>
  <c r="N46"/>
  <c r="O46"/>
  <c r="P46"/>
  <c r="Q46"/>
  <c r="E47"/>
  <c r="F47"/>
  <c r="G47"/>
  <c r="H47"/>
  <c r="I47"/>
  <c r="J47"/>
  <c r="K47"/>
  <c r="L47"/>
  <c r="M47"/>
  <c r="N47"/>
  <c r="O47"/>
  <c r="P47"/>
  <c r="Q47"/>
  <c r="E48"/>
  <c r="F48"/>
  <c r="G48"/>
  <c r="H48"/>
  <c r="I48"/>
  <c r="J48"/>
  <c r="K48"/>
  <c r="L48"/>
  <c r="M48"/>
  <c r="N48"/>
  <c r="O48"/>
  <c r="P48"/>
  <c r="Q48"/>
  <c r="E49"/>
  <c r="F49"/>
  <c r="G49"/>
  <c r="H49"/>
  <c r="I49"/>
  <c r="J49"/>
  <c r="K49"/>
  <c r="L49"/>
  <c r="M49"/>
  <c r="N49"/>
  <c r="O49"/>
  <c r="P49"/>
  <c r="Q49"/>
  <c r="E50"/>
  <c r="F50"/>
  <c r="G50"/>
  <c r="H50"/>
  <c r="I50"/>
  <c r="J50"/>
  <c r="K50"/>
  <c r="L50"/>
  <c r="M50"/>
  <c r="N50"/>
  <c r="O50"/>
  <c r="P50"/>
  <c r="Q50"/>
  <c r="E51"/>
  <c r="F51"/>
  <c r="G51"/>
  <c r="H51"/>
  <c r="I51"/>
  <c r="J51"/>
  <c r="K51"/>
  <c r="L51"/>
  <c r="M51"/>
  <c r="N51"/>
  <c r="O51"/>
  <c r="P51"/>
  <c r="Q51"/>
  <c r="E52"/>
  <c r="F52"/>
  <c r="G52"/>
  <c r="H52"/>
  <c r="I52"/>
  <c r="J52"/>
  <c r="K52"/>
  <c r="L52"/>
  <c r="M52"/>
  <c r="N52"/>
  <c r="O52"/>
  <c r="P52"/>
  <c r="Q52"/>
  <c r="E53"/>
  <c r="F53"/>
  <c r="G53"/>
  <c r="H53"/>
  <c r="I53"/>
  <c r="J53"/>
  <c r="K53"/>
  <c r="L53"/>
  <c r="M53"/>
  <c r="N53"/>
  <c r="O53"/>
  <c r="P53"/>
  <c r="Q53"/>
  <c r="E54"/>
  <c r="F54"/>
  <c r="G54"/>
  <c r="H54"/>
  <c r="I54"/>
  <c r="J54"/>
  <c r="K54"/>
  <c r="L54"/>
  <c r="M54"/>
  <c r="N54"/>
  <c r="O54"/>
  <c r="P54"/>
  <c r="Q54"/>
  <c r="E55"/>
  <c r="F55"/>
  <c r="G55"/>
  <c r="H55"/>
  <c r="I55"/>
  <c r="J55"/>
  <c r="K55"/>
  <c r="L55"/>
  <c r="M55"/>
  <c r="N55"/>
  <c r="O55"/>
  <c r="P55"/>
  <c r="Q55"/>
  <c r="E56"/>
  <c r="F56"/>
  <c r="G56"/>
  <c r="H56"/>
  <c r="I56"/>
  <c r="J56"/>
  <c r="K56"/>
  <c r="L56"/>
  <c r="M56"/>
  <c r="N56"/>
  <c r="O56"/>
  <c r="P56"/>
  <c r="Q56"/>
  <c r="E57"/>
  <c r="F57"/>
  <c r="G57"/>
  <c r="H57"/>
  <c r="I57"/>
  <c r="J57"/>
  <c r="K57"/>
  <c r="L57"/>
  <c r="M57"/>
  <c r="N57"/>
  <c r="O57"/>
  <c r="P57"/>
  <c r="Q57"/>
  <c r="E58"/>
  <c r="F58"/>
  <c r="G58"/>
  <c r="H58"/>
  <c r="I58"/>
  <c r="J58"/>
  <c r="K58"/>
  <c r="L58"/>
  <c r="M58"/>
  <c r="N58"/>
  <c r="O58"/>
  <c r="P58"/>
  <c r="Q58"/>
  <c r="E59"/>
  <c r="F59"/>
  <c r="G59"/>
  <c r="H59"/>
  <c r="I59"/>
  <c r="J59"/>
  <c r="K59"/>
  <c r="L59"/>
  <c r="M59"/>
  <c r="N59"/>
  <c r="O59"/>
  <c r="P59"/>
  <c r="Q59"/>
  <c r="E60"/>
  <c r="F60"/>
  <c r="G60"/>
  <c r="H60"/>
  <c r="I60"/>
  <c r="J60"/>
  <c r="K60"/>
  <c r="L60"/>
  <c r="M60"/>
  <c r="N60"/>
  <c r="O60"/>
  <c r="P60"/>
  <c r="Q60"/>
  <c r="E61"/>
  <c r="F61"/>
  <c r="G61"/>
  <c r="H61"/>
  <c r="I61"/>
  <c r="J61"/>
  <c r="K61"/>
  <c r="L61"/>
  <c r="M61"/>
  <c r="N61"/>
  <c r="O61"/>
  <c r="P61"/>
  <c r="Q61"/>
  <c r="E62"/>
  <c r="F62"/>
  <c r="G62"/>
  <c r="H62"/>
  <c r="I62"/>
  <c r="J62"/>
  <c r="K62"/>
  <c r="L62"/>
  <c r="M62"/>
  <c r="N62"/>
  <c r="O62"/>
  <c r="P62"/>
  <c r="Q62"/>
  <c r="E63"/>
  <c r="F63"/>
  <c r="G63"/>
  <c r="H63"/>
  <c r="I63"/>
  <c r="J63"/>
  <c r="K63"/>
  <c r="L63"/>
  <c r="M63"/>
  <c r="N63"/>
  <c r="O63"/>
  <c r="P63"/>
  <c r="Q63"/>
  <c r="E64"/>
  <c r="F64"/>
  <c r="G64"/>
  <c r="H64"/>
  <c r="I64"/>
  <c r="J64"/>
  <c r="K64"/>
  <c r="L64"/>
  <c r="M64"/>
  <c r="N64"/>
  <c r="O64"/>
  <c r="P64"/>
  <c r="Q64"/>
  <c r="E65"/>
  <c r="F65"/>
  <c r="G65"/>
  <c r="H65"/>
  <c r="I65"/>
  <c r="J65"/>
  <c r="K65"/>
  <c r="L65"/>
  <c r="M65"/>
  <c r="N65"/>
  <c r="O65"/>
  <c r="P65"/>
  <c r="Q65"/>
  <c r="E66"/>
  <c r="F66"/>
  <c r="G66"/>
  <c r="H66"/>
  <c r="I66"/>
  <c r="J66"/>
  <c r="K66"/>
  <c r="L66"/>
  <c r="M66"/>
  <c r="N66"/>
  <c r="O66"/>
  <c r="P66"/>
  <c r="Q66"/>
  <c r="E67"/>
  <c r="F67"/>
  <c r="G67"/>
  <c r="H67"/>
  <c r="I67"/>
  <c r="J67"/>
  <c r="K67"/>
  <c r="L67"/>
  <c r="M67"/>
  <c r="N67"/>
  <c r="O67"/>
  <c r="P67"/>
  <c r="Q67"/>
  <c r="E68"/>
  <c r="F68"/>
  <c r="G68"/>
  <c r="H68"/>
  <c r="I68"/>
  <c r="J68"/>
  <c r="K68"/>
  <c r="L68"/>
  <c r="M68"/>
  <c r="N68"/>
  <c r="O68"/>
  <c r="P68"/>
  <c r="Q68"/>
  <c r="E69"/>
  <c r="F69"/>
  <c r="G69"/>
  <c r="H69"/>
  <c r="I69"/>
  <c r="J69"/>
  <c r="K69"/>
  <c r="L69"/>
  <c r="M69"/>
  <c r="N69"/>
  <c r="O69"/>
  <c r="P69"/>
  <c r="Q69"/>
  <c r="E70"/>
  <c r="F70"/>
  <c r="G70"/>
  <c r="H70"/>
  <c r="I70"/>
  <c r="J70"/>
  <c r="K70"/>
  <c r="L70"/>
  <c r="M70"/>
  <c r="N70"/>
  <c r="O70"/>
  <c r="P70"/>
  <c r="Q70"/>
  <c r="E71"/>
  <c r="F71"/>
  <c r="G71"/>
  <c r="H71"/>
  <c r="I71"/>
  <c r="J71"/>
  <c r="K71"/>
  <c r="L71"/>
  <c r="M71"/>
  <c r="N71"/>
  <c r="O71"/>
  <c r="P71"/>
  <c r="Q71"/>
  <c r="E72"/>
  <c r="F72"/>
  <c r="G72"/>
  <c r="H72"/>
  <c r="I72"/>
  <c r="J72"/>
  <c r="K72"/>
  <c r="L72"/>
  <c r="M72"/>
  <c r="N72"/>
  <c r="O72"/>
  <c r="P72"/>
  <c r="Q72"/>
  <c r="E73"/>
  <c r="F73"/>
  <c r="G73"/>
  <c r="H73"/>
  <c r="I73"/>
  <c r="J73"/>
  <c r="K73"/>
  <c r="L73"/>
  <c r="M73"/>
  <c r="N73"/>
  <c r="O73"/>
  <c r="P73"/>
  <c r="Q73"/>
  <c r="E74"/>
  <c r="F74"/>
  <c r="G74"/>
  <c r="H74"/>
  <c r="I74"/>
  <c r="J74"/>
  <c r="K74"/>
  <c r="L74"/>
  <c r="M74"/>
  <c r="N74"/>
  <c r="O74"/>
  <c r="P74"/>
  <c r="Q74"/>
  <c r="E75"/>
  <c r="F75"/>
  <c r="G75"/>
  <c r="H75"/>
  <c r="I75"/>
  <c r="J75"/>
  <c r="K75"/>
  <c r="L75"/>
  <c r="M75"/>
  <c r="N75"/>
  <c r="O75"/>
  <c r="P75"/>
  <c r="Q75"/>
  <c r="E76"/>
  <c r="F76"/>
  <c r="G76"/>
  <c r="H76"/>
  <c r="I76"/>
  <c r="J76"/>
  <c r="K76"/>
  <c r="L76"/>
  <c r="M76"/>
  <c r="N76"/>
  <c r="O76"/>
  <c r="P76"/>
  <c r="Q76"/>
  <c r="E77"/>
  <c r="F77"/>
  <c r="G77"/>
  <c r="H77"/>
  <c r="I77"/>
  <c r="J77"/>
  <c r="K77"/>
  <c r="L77"/>
  <c r="M77"/>
  <c r="N77"/>
  <c r="O77"/>
  <c r="P77"/>
  <c r="Q77"/>
  <c r="E78"/>
  <c r="F78"/>
  <c r="G78"/>
  <c r="H78"/>
  <c r="I78"/>
  <c r="J78"/>
  <c r="K78"/>
  <c r="L78"/>
  <c r="M78"/>
  <c r="N78"/>
  <c r="O78"/>
  <c r="P78"/>
  <c r="Q78"/>
  <c r="E79"/>
  <c r="F79"/>
  <c r="G79"/>
  <c r="H79"/>
  <c r="I79"/>
  <c r="J79"/>
  <c r="K79"/>
  <c r="L79"/>
  <c r="M79"/>
  <c r="N79"/>
  <c r="O79"/>
  <c r="P79"/>
  <c r="Q79"/>
  <c r="E80"/>
  <c r="F80"/>
  <c r="G80"/>
  <c r="H80"/>
  <c r="I80"/>
  <c r="J80"/>
  <c r="K80"/>
  <c r="L80"/>
  <c r="M80"/>
  <c r="N80"/>
  <c r="O80"/>
  <c r="P80"/>
  <c r="Q80"/>
  <c r="E81"/>
  <c r="F81"/>
  <c r="G81"/>
  <c r="H81"/>
  <c r="I81"/>
  <c r="J81"/>
  <c r="K81"/>
  <c r="L81"/>
  <c r="M81"/>
  <c r="N81"/>
  <c r="O81"/>
  <c r="P81"/>
  <c r="Q81"/>
  <c r="E82"/>
  <c r="F82"/>
  <c r="G82"/>
  <c r="H82"/>
  <c r="I82"/>
  <c r="J82"/>
  <c r="K82"/>
  <c r="L82"/>
  <c r="M82"/>
  <c r="N82"/>
  <c r="O82"/>
  <c r="P82"/>
  <c r="Q82"/>
  <c r="E83"/>
  <c r="F83"/>
  <c r="G83"/>
  <c r="H83"/>
  <c r="I83"/>
  <c r="J83"/>
  <c r="K83"/>
  <c r="L83"/>
  <c r="M83"/>
  <c r="N83"/>
  <c r="O83"/>
  <c r="P83"/>
  <c r="Q83"/>
  <c r="E84"/>
  <c r="F84"/>
  <c r="G84"/>
  <c r="H84"/>
  <c r="I84"/>
  <c r="J84"/>
  <c r="K84"/>
  <c r="L84"/>
  <c r="M84"/>
  <c r="N84"/>
  <c r="O84"/>
  <c r="P84"/>
  <c r="Q84"/>
  <c r="E85"/>
  <c r="F85"/>
  <c r="G85"/>
  <c r="H85"/>
  <c r="I85"/>
  <c r="J85"/>
  <c r="K85"/>
  <c r="L85"/>
  <c r="M85"/>
  <c r="N85"/>
  <c r="O85"/>
  <c r="P85"/>
  <c r="Q85"/>
  <c r="E86"/>
  <c r="F86"/>
  <c r="G86"/>
  <c r="H86"/>
  <c r="I86"/>
  <c r="J86"/>
  <c r="K86"/>
  <c r="L86"/>
  <c r="M86"/>
  <c r="N86"/>
  <c r="O86"/>
  <c r="P86"/>
  <c r="Q86"/>
  <c r="E87"/>
  <c r="F87"/>
  <c r="G87"/>
  <c r="H87"/>
  <c r="I87"/>
  <c r="J87"/>
  <c r="K87"/>
  <c r="L87"/>
  <c r="M87"/>
  <c r="N87"/>
  <c r="O87"/>
  <c r="P87"/>
  <c r="Q87"/>
  <c r="E88"/>
  <c r="F88"/>
  <c r="G88"/>
  <c r="H88"/>
  <c r="I88"/>
  <c r="J88"/>
  <c r="K88"/>
  <c r="L88"/>
  <c r="M88"/>
  <c r="N88"/>
  <c r="O88"/>
  <c r="P88"/>
  <c r="Q88"/>
  <c r="E89"/>
  <c r="F89"/>
  <c r="G89"/>
  <c r="H89"/>
  <c r="I89"/>
  <c r="J89"/>
  <c r="K89"/>
  <c r="L89"/>
  <c r="M89"/>
  <c r="N89"/>
  <c r="O89"/>
  <c r="P89"/>
  <c r="Q89"/>
  <c r="E90"/>
  <c r="F90"/>
  <c r="G90"/>
  <c r="H90"/>
  <c r="I90"/>
  <c r="J90"/>
  <c r="K90"/>
  <c r="L90"/>
  <c r="M90"/>
  <c r="N90"/>
  <c r="O90"/>
  <c r="P90"/>
  <c r="Q90"/>
  <c r="E91"/>
  <c r="F91"/>
  <c r="G91"/>
  <c r="H91"/>
  <c r="I91"/>
  <c r="J91"/>
  <c r="K91"/>
  <c r="L91"/>
  <c r="M91"/>
  <c r="N91"/>
  <c r="O91"/>
  <c r="P91"/>
  <c r="Q91"/>
  <c r="E92"/>
  <c r="F92"/>
  <c r="G92"/>
  <c r="H92"/>
  <c r="I92"/>
  <c r="J92"/>
  <c r="K92"/>
  <c r="L92"/>
  <c r="M92"/>
  <c r="N92"/>
  <c r="O92"/>
  <c r="P92"/>
  <c r="Q92"/>
  <c r="E93"/>
  <c r="F93"/>
  <c r="G93"/>
  <c r="H93"/>
  <c r="I93"/>
  <c r="J93"/>
  <c r="K93"/>
  <c r="L93"/>
  <c r="M93"/>
  <c r="N93"/>
  <c r="O93"/>
  <c r="P93"/>
  <c r="Q93"/>
  <c r="E94"/>
  <c r="F94"/>
  <c r="G94"/>
  <c r="H94"/>
  <c r="I94"/>
  <c r="J94"/>
  <c r="K94"/>
  <c r="L94"/>
  <c r="M94"/>
  <c r="N94"/>
  <c r="O94"/>
  <c r="P94"/>
  <c r="Q94"/>
  <c r="E95"/>
  <c r="F95"/>
  <c r="G95"/>
  <c r="H95"/>
  <c r="I95"/>
  <c r="J95"/>
  <c r="K95"/>
  <c r="L95"/>
  <c r="M95"/>
  <c r="N95"/>
  <c r="O95"/>
  <c r="P95"/>
  <c r="Q95"/>
  <c r="E96"/>
  <c r="F96"/>
  <c r="G96"/>
  <c r="H96"/>
  <c r="I96"/>
  <c r="J96"/>
  <c r="K96"/>
  <c r="L96"/>
  <c r="M96"/>
  <c r="N96"/>
  <c r="O96"/>
  <c r="P96"/>
  <c r="Q96"/>
  <c r="E97"/>
  <c r="F97"/>
  <c r="G97"/>
  <c r="H97"/>
  <c r="I97"/>
  <c r="J97"/>
  <c r="K97"/>
  <c r="L97"/>
  <c r="M97"/>
  <c r="N97"/>
  <c r="O97"/>
  <c r="P97"/>
  <c r="Q97"/>
  <c r="E98"/>
  <c r="F98"/>
  <c r="G98"/>
  <c r="H98"/>
  <c r="I98"/>
  <c r="J98"/>
  <c r="K98"/>
  <c r="L98"/>
  <c r="M98"/>
  <c r="N98"/>
  <c r="O98"/>
  <c r="P98"/>
  <c r="Q98"/>
  <c r="E99"/>
  <c r="F99"/>
  <c r="G99"/>
  <c r="H99"/>
  <c r="I99"/>
  <c r="J99"/>
  <c r="K99"/>
  <c r="L99"/>
  <c r="M99"/>
  <c r="N99"/>
  <c r="O99"/>
  <c r="P99"/>
  <c r="Q99"/>
  <c r="E100"/>
  <c r="F100"/>
  <c r="G100"/>
  <c r="H100"/>
  <c r="I100"/>
  <c r="J100"/>
  <c r="K100"/>
  <c r="L100"/>
  <c r="M100"/>
  <c r="N100"/>
  <c r="O100"/>
  <c r="P100"/>
  <c r="Q100"/>
  <c r="E101"/>
  <c r="F101"/>
  <c r="G101"/>
  <c r="H101"/>
  <c r="I101"/>
  <c r="J101"/>
  <c r="K101"/>
  <c r="L101"/>
  <c r="M101"/>
  <c r="N101"/>
  <c r="O101"/>
  <c r="P101"/>
  <c r="Q101"/>
  <c r="E102"/>
  <c r="F102"/>
  <c r="G102"/>
  <c r="H102"/>
  <c r="I102"/>
  <c r="J102"/>
  <c r="K102"/>
  <c r="L102"/>
  <c r="M102"/>
  <c r="N102"/>
  <c r="O102"/>
  <c r="P102"/>
  <c r="Q102"/>
  <c r="E103"/>
  <c r="F103"/>
  <c r="G103"/>
  <c r="H103"/>
  <c r="I103"/>
  <c r="J103"/>
  <c r="K103"/>
  <c r="L103"/>
  <c r="M103"/>
  <c r="N103"/>
  <c r="O103"/>
  <c r="P103"/>
  <c r="Q103"/>
  <c r="E104"/>
  <c r="F104"/>
  <c r="G104"/>
  <c r="H104"/>
  <c r="I104"/>
  <c r="J104"/>
  <c r="K104"/>
  <c r="L104"/>
  <c r="M104"/>
  <c r="N104"/>
  <c r="O104"/>
  <c r="P104"/>
  <c r="Q104"/>
  <c r="E105"/>
  <c r="F105"/>
  <c r="G105"/>
  <c r="H105"/>
  <c r="I105"/>
  <c r="J105"/>
  <c r="K105"/>
  <c r="L105"/>
  <c r="M105"/>
  <c r="N105"/>
  <c r="O105"/>
  <c r="P105"/>
  <c r="Q105"/>
  <c r="E106"/>
  <c r="F106"/>
  <c r="G106"/>
  <c r="H106"/>
  <c r="I106"/>
  <c r="J106"/>
  <c r="K106"/>
  <c r="L106"/>
  <c r="M106"/>
  <c r="N106"/>
  <c r="O106"/>
  <c r="P106"/>
  <c r="Q106"/>
  <c r="E107"/>
  <c r="F107"/>
  <c r="G107"/>
  <c r="H107"/>
  <c r="I107"/>
  <c r="J107"/>
  <c r="K107"/>
  <c r="L107"/>
  <c r="M107"/>
  <c r="N107"/>
  <c r="O107"/>
  <c r="P107"/>
  <c r="Q107"/>
  <c r="E108"/>
  <c r="F108"/>
  <c r="G108"/>
  <c r="H108"/>
  <c r="I108"/>
  <c r="J108"/>
  <c r="K108"/>
  <c r="L108"/>
  <c r="M108"/>
  <c r="N108"/>
  <c r="O108"/>
  <c r="P108"/>
  <c r="Q108"/>
  <c r="E109"/>
  <c r="F109"/>
  <c r="G109"/>
  <c r="H109"/>
  <c r="I109"/>
  <c r="J109"/>
  <c r="K109"/>
  <c r="L109"/>
  <c r="M109"/>
  <c r="N109"/>
  <c r="O109"/>
  <c r="P109"/>
  <c r="Q109"/>
  <c r="E110"/>
  <c r="F110"/>
  <c r="G110"/>
  <c r="H110"/>
  <c r="I110"/>
  <c r="J110"/>
  <c r="K110"/>
  <c r="L110"/>
  <c r="M110"/>
  <c r="N110"/>
  <c r="O110"/>
  <c r="P110"/>
  <c r="Q110"/>
  <c r="E111"/>
  <c r="F111"/>
  <c r="G111"/>
  <c r="H111"/>
  <c r="I111"/>
  <c r="J111"/>
  <c r="K111"/>
  <c r="L111"/>
  <c r="M111"/>
  <c r="N111"/>
  <c r="O111"/>
  <c r="P111"/>
  <c r="Q111"/>
  <c r="E112"/>
  <c r="F112"/>
  <c r="G112"/>
  <c r="H112"/>
  <c r="I112"/>
  <c r="J112"/>
  <c r="K112"/>
  <c r="L112"/>
  <c r="M112"/>
  <c r="N112"/>
  <c r="O112"/>
  <c r="P112"/>
  <c r="Q112"/>
  <c r="E113"/>
  <c r="F113"/>
  <c r="G113"/>
  <c r="H113"/>
  <c r="I113"/>
  <c r="J113"/>
  <c r="K113"/>
  <c r="L113"/>
  <c r="M113"/>
  <c r="N113"/>
  <c r="O113"/>
  <c r="P113"/>
  <c r="Q113"/>
  <c r="E114"/>
  <c r="F114"/>
  <c r="G114"/>
  <c r="H114"/>
  <c r="I114"/>
  <c r="J114"/>
  <c r="K114"/>
  <c r="L114"/>
  <c r="M114"/>
  <c r="N114"/>
  <c r="O114"/>
  <c r="P114"/>
  <c r="Q114"/>
  <c r="E115"/>
  <c r="F115"/>
  <c r="G115"/>
  <c r="H115"/>
  <c r="I115"/>
  <c r="J115"/>
  <c r="K115"/>
  <c r="L115"/>
  <c r="M115"/>
  <c r="N115"/>
  <c r="O115"/>
  <c r="P115"/>
  <c r="Q115"/>
  <c r="E116"/>
  <c r="F116"/>
  <c r="G116"/>
  <c r="H116"/>
  <c r="I116"/>
  <c r="J116"/>
  <c r="K116"/>
  <c r="L116"/>
  <c r="M116"/>
  <c r="N116"/>
  <c r="O116"/>
  <c r="P116"/>
  <c r="Q116"/>
  <c r="E117"/>
  <c r="F117"/>
  <c r="G117"/>
  <c r="H117"/>
  <c r="I117"/>
  <c r="J117"/>
  <c r="K117"/>
  <c r="L117"/>
  <c r="M117"/>
  <c r="N117"/>
  <c r="O117"/>
  <c r="P117"/>
  <c r="Q117"/>
  <c r="E118"/>
  <c r="F118"/>
  <c r="G118"/>
  <c r="H118"/>
  <c r="I118"/>
  <c r="J118"/>
  <c r="K118"/>
  <c r="L118"/>
  <c r="M118"/>
  <c r="N118"/>
  <c r="O118"/>
  <c r="P118"/>
  <c r="Q118"/>
  <c r="E119"/>
  <c r="F119"/>
  <c r="G119"/>
  <c r="H119"/>
  <c r="I119"/>
  <c r="J119"/>
  <c r="K119"/>
  <c r="L119"/>
  <c r="M119"/>
  <c r="N119"/>
  <c r="O119"/>
  <c r="P119"/>
  <c r="Q119"/>
  <c r="E120"/>
  <c r="F120"/>
  <c r="G120"/>
  <c r="H120"/>
  <c r="I120"/>
  <c r="J120"/>
  <c r="K120"/>
  <c r="L120"/>
  <c r="M120"/>
  <c r="N120"/>
  <c r="O120"/>
  <c r="P120"/>
  <c r="Q120"/>
  <c r="E121"/>
  <c r="F121"/>
  <c r="G121"/>
  <c r="H121"/>
  <c r="I121"/>
  <c r="J121"/>
  <c r="K121"/>
  <c r="L121"/>
  <c r="M121"/>
  <c r="N121"/>
  <c r="O121"/>
  <c r="P121"/>
  <c r="Q121"/>
  <c r="E122"/>
  <c r="F122"/>
  <c r="G122"/>
  <c r="H122"/>
  <c r="I122"/>
  <c r="J122"/>
  <c r="K122"/>
  <c r="L122"/>
  <c r="M122"/>
  <c r="N122"/>
  <c r="O122"/>
  <c r="P122"/>
  <c r="Q122"/>
  <c r="E123"/>
  <c r="F123"/>
  <c r="G123"/>
  <c r="H123"/>
  <c r="I123"/>
  <c r="J123"/>
  <c r="K123"/>
  <c r="L123"/>
  <c r="M123"/>
  <c r="N123"/>
  <c r="O123"/>
  <c r="P123"/>
  <c r="Q123"/>
  <c r="E124"/>
  <c r="F124"/>
  <c r="G124"/>
  <c r="H124"/>
  <c r="I124"/>
  <c r="J124"/>
  <c r="K124"/>
  <c r="L124"/>
  <c r="M124"/>
  <c r="N124"/>
  <c r="O124"/>
  <c r="P124"/>
  <c r="Q124"/>
  <c r="E125"/>
  <c r="F125"/>
  <c r="G125"/>
  <c r="H125"/>
  <c r="I125"/>
  <c r="J125"/>
  <c r="K125"/>
  <c r="L125"/>
  <c r="M125"/>
  <c r="N125"/>
  <c r="O125"/>
  <c r="P125"/>
  <c r="Q125"/>
  <c r="E126"/>
  <c r="F126"/>
  <c r="G126"/>
  <c r="H126"/>
  <c r="I126"/>
  <c r="J126"/>
  <c r="K126"/>
  <c r="L126"/>
  <c r="M126"/>
  <c r="N126"/>
  <c r="O126"/>
  <c r="P126"/>
  <c r="Q126"/>
  <c r="E127"/>
  <c r="F127"/>
  <c r="G127"/>
  <c r="H127"/>
  <c r="I127"/>
  <c r="J127"/>
  <c r="K127"/>
  <c r="L127"/>
  <c r="M127"/>
  <c r="N127"/>
  <c r="O127"/>
  <c r="P127"/>
  <c r="Q127"/>
  <c r="E128"/>
  <c r="F128"/>
  <c r="G128"/>
  <c r="H128"/>
  <c r="I128"/>
  <c r="J128"/>
  <c r="K128"/>
  <c r="L128"/>
  <c r="M128"/>
  <c r="N128"/>
  <c r="O128"/>
  <c r="P128"/>
  <c r="Q128"/>
  <c r="E129"/>
  <c r="F129"/>
  <c r="G129"/>
  <c r="H129"/>
  <c r="I129"/>
  <c r="J129"/>
  <c r="K129"/>
  <c r="L129"/>
  <c r="M129"/>
  <c r="N129"/>
  <c r="O129"/>
  <c r="P129"/>
  <c r="Q129"/>
  <c r="E130"/>
  <c r="F130"/>
  <c r="G130"/>
  <c r="H130"/>
  <c r="I130"/>
  <c r="J130"/>
  <c r="K130"/>
  <c r="L130"/>
  <c r="M130"/>
  <c r="N130"/>
  <c r="O130"/>
  <c r="P130"/>
  <c r="Q130"/>
  <c r="E131"/>
  <c r="F131"/>
  <c r="G131"/>
  <c r="H131"/>
  <c r="I131"/>
  <c r="J131"/>
  <c r="K131"/>
  <c r="L131"/>
  <c r="M131"/>
  <c r="N131"/>
  <c r="O131"/>
  <c r="P131"/>
  <c r="Q131"/>
  <c r="E132"/>
  <c r="F132"/>
  <c r="G132"/>
  <c r="H132"/>
  <c r="I132"/>
  <c r="J132"/>
  <c r="K132"/>
  <c r="L132"/>
  <c r="M132"/>
  <c r="N132"/>
  <c r="O132"/>
  <c r="P132"/>
  <c r="Q132"/>
  <c r="E133"/>
  <c r="F133"/>
  <c r="G133"/>
  <c r="H133"/>
  <c r="I133"/>
  <c r="J133"/>
  <c r="K133"/>
  <c r="L133"/>
  <c r="M133"/>
  <c r="N133"/>
  <c r="O133"/>
  <c r="P133"/>
  <c r="Q133"/>
  <c r="E134"/>
  <c r="F134"/>
  <c r="G134"/>
  <c r="H134"/>
  <c r="I134"/>
  <c r="J134"/>
  <c r="K134"/>
  <c r="L134"/>
  <c r="M134"/>
  <c r="N134"/>
  <c r="O134"/>
  <c r="P134"/>
  <c r="Q134"/>
  <c r="E135"/>
  <c r="F135"/>
  <c r="G135"/>
  <c r="H135"/>
  <c r="I135"/>
  <c r="J135"/>
  <c r="K135"/>
  <c r="L135"/>
  <c r="M135"/>
  <c r="N135"/>
  <c r="O135"/>
  <c r="P135"/>
  <c r="Q135"/>
  <c r="E136"/>
  <c r="F136"/>
  <c r="G136"/>
  <c r="H136"/>
  <c r="I136"/>
  <c r="J136"/>
  <c r="K136"/>
  <c r="L136"/>
  <c r="M136"/>
  <c r="N136"/>
  <c r="O136"/>
  <c r="P136"/>
  <c r="Q136"/>
  <c r="E137"/>
  <c r="F137"/>
  <c r="G137"/>
  <c r="H137"/>
  <c r="I137"/>
  <c r="J137"/>
  <c r="K137"/>
  <c r="L137"/>
  <c r="M137"/>
  <c r="N137"/>
  <c r="O137"/>
  <c r="P137"/>
  <c r="Q137"/>
  <c r="E138"/>
  <c r="F138"/>
  <c r="G138"/>
  <c r="H138"/>
  <c r="I138"/>
  <c r="J138"/>
  <c r="K138"/>
  <c r="L138"/>
  <c r="M138"/>
  <c r="N138"/>
  <c r="O138"/>
  <c r="P138"/>
  <c r="Q138"/>
  <c r="E139"/>
  <c r="F139"/>
  <c r="G139"/>
  <c r="H139"/>
  <c r="I139"/>
  <c r="J139"/>
  <c r="K139"/>
  <c r="L139"/>
  <c r="M139"/>
  <c r="N139"/>
  <c r="O139"/>
  <c r="P139"/>
  <c r="Q139"/>
  <c r="E140"/>
  <c r="F140"/>
  <c r="G140"/>
  <c r="H140"/>
  <c r="I140"/>
  <c r="J140"/>
  <c r="K140"/>
  <c r="L140"/>
  <c r="M140"/>
  <c r="N140"/>
  <c r="O140"/>
  <c r="P140"/>
  <c r="Q140"/>
  <c r="E141"/>
  <c r="F141"/>
  <c r="G141"/>
  <c r="H141"/>
  <c r="I141"/>
  <c r="J141"/>
  <c r="K141"/>
  <c r="L141"/>
  <c r="M141"/>
  <c r="N141"/>
  <c r="O141"/>
  <c r="P141"/>
  <c r="Q141"/>
  <c r="E142"/>
  <c r="F142"/>
  <c r="G142"/>
  <c r="H142"/>
  <c r="I142"/>
  <c r="J142"/>
  <c r="K142"/>
  <c r="L142"/>
  <c r="M142"/>
  <c r="N142"/>
  <c r="O142"/>
  <c r="P142"/>
  <c r="Q142"/>
  <c r="E143"/>
  <c r="F143"/>
  <c r="G143"/>
  <c r="H143"/>
  <c r="I143"/>
  <c r="J143"/>
  <c r="K143"/>
  <c r="L143"/>
  <c r="M143"/>
  <c r="N143"/>
  <c r="O143"/>
  <c r="P143"/>
  <c r="Q143"/>
  <c r="E144"/>
  <c r="F144"/>
  <c r="G144"/>
  <c r="H144"/>
  <c r="I144"/>
  <c r="J144"/>
  <c r="K144"/>
  <c r="L144"/>
  <c r="M144"/>
  <c r="N144"/>
  <c r="O144"/>
  <c r="P144"/>
  <c r="Q144"/>
  <c r="E145"/>
  <c r="F145"/>
  <c r="G145"/>
  <c r="H145"/>
  <c r="I145"/>
  <c r="J145"/>
  <c r="K145"/>
  <c r="L145"/>
  <c r="M145"/>
  <c r="N145"/>
  <c r="O145"/>
  <c r="P145"/>
  <c r="Q145"/>
  <c r="E146"/>
  <c r="F146"/>
  <c r="G146"/>
  <c r="H146"/>
  <c r="I146"/>
  <c r="J146"/>
  <c r="K146"/>
  <c r="L146"/>
  <c r="M146"/>
  <c r="N146"/>
  <c r="O146"/>
  <c r="P146"/>
  <c r="Q146"/>
  <c r="E147"/>
  <c r="F147"/>
  <c r="G147"/>
  <c r="H147"/>
  <c r="I147"/>
  <c r="J147"/>
  <c r="K147"/>
  <c r="L147"/>
  <c r="M147"/>
  <c r="N147"/>
  <c r="O147"/>
  <c r="P147"/>
  <c r="Q147"/>
  <c r="E148"/>
  <c r="F148"/>
  <c r="G148"/>
  <c r="H148"/>
  <c r="I148"/>
  <c r="J148"/>
  <c r="K148"/>
  <c r="L148"/>
  <c r="M148"/>
  <c r="N148"/>
  <c r="O148"/>
  <c r="P148"/>
  <c r="Q148"/>
  <c r="E149"/>
  <c r="F149"/>
  <c r="G149"/>
  <c r="H149"/>
  <c r="I149"/>
  <c r="J149"/>
  <c r="K149"/>
  <c r="L149"/>
  <c r="M149"/>
  <c r="N149"/>
  <c r="O149"/>
  <c r="P149"/>
  <c r="Q149"/>
  <c r="E150"/>
  <c r="F150"/>
  <c r="G150"/>
  <c r="H150"/>
  <c r="I150"/>
  <c r="J150"/>
  <c r="K150"/>
  <c r="L150"/>
  <c r="M150"/>
  <c r="N150"/>
  <c r="O150"/>
  <c r="P150"/>
  <c r="Q150"/>
  <c r="E151"/>
  <c r="F151"/>
  <c r="G151"/>
  <c r="H151"/>
  <c r="I151"/>
  <c r="J151"/>
  <c r="K151"/>
  <c r="L151"/>
  <c r="M151"/>
  <c r="N151"/>
  <c r="O151"/>
  <c r="P151"/>
  <c r="Q151"/>
  <c r="F2"/>
  <c r="G2"/>
  <c r="H2"/>
  <c r="I2"/>
  <c r="J2"/>
  <c r="K2"/>
  <c r="L2"/>
  <c r="M2"/>
  <c r="N2"/>
  <c r="O2"/>
  <c r="P2"/>
  <c r="Q2"/>
  <c r="E2"/>
  <c r="R3"/>
  <c r="R4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2"/>
  <c r="B3"/>
  <c r="C3" s="1"/>
  <c r="B4"/>
  <c r="B5"/>
  <c r="C5" s="1"/>
  <c r="B6"/>
  <c r="B7"/>
  <c r="C7" s="1"/>
  <c r="B8"/>
  <c r="B9"/>
  <c r="C9" s="1"/>
  <c r="B10"/>
  <c r="B11"/>
  <c r="C11" s="1"/>
  <c r="B12"/>
  <c r="B13"/>
  <c r="C13" s="1"/>
  <c r="B14"/>
  <c r="B15"/>
  <c r="C15" s="1"/>
  <c r="B16"/>
  <c r="B17"/>
  <c r="C17" s="1"/>
  <c r="B18"/>
  <c r="B19"/>
  <c r="C19" s="1"/>
  <c r="B20"/>
  <c r="B21"/>
  <c r="C21" s="1"/>
  <c r="B22"/>
  <c r="B23"/>
  <c r="C23" s="1"/>
  <c r="B24"/>
  <c r="B25"/>
  <c r="C25" s="1"/>
  <c r="B26"/>
  <c r="B27"/>
  <c r="C27" s="1"/>
  <c r="B28"/>
  <c r="B29"/>
  <c r="C29" s="1"/>
  <c r="B30"/>
  <c r="B31"/>
  <c r="C31" s="1"/>
  <c r="B32"/>
  <c r="B33"/>
  <c r="C33" s="1"/>
  <c r="B34"/>
  <c r="B35"/>
  <c r="C35" s="1"/>
  <c r="B36"/>
  <c r="B37"/>
  <c r="C37" s="1"/>
  <c r="B38"/>
  <c r="B39"/>
  <c r="C39" s="1"/>
  <c r="B40"/>
  <c r="B41"/>
  <c r="C41" s="1"/>
  <c r="B42"/>
  <c r="B43"/>
  <c r="C43" s="1"/>
  <c r="B44"/>
  <c r="B45"/>
  <c r="C45" s="1"/>
  <c r="B46"/>
  <c r="B47"/>
  <c r="C47" s="1"/>
  <c r="B48"/>
  <c r="B49"/>
  <c r="C49" s="1"/>
  <c r="B50"/>
  <c r="B51"/>
  <c r="C51" s="1"/>
  <c r="B52"/>
  <c r="B53"/>
  <c r="C53" s="1"/>
  <c r="B54"/>
  <c r="B55"/>
  <c r="C55" s="1"/>
  <c r="B56"/>
  <c r="B57"/>
  <c r="C57" s="1"/>
  <c r="B58"/>
  <c r="B59"/>
  <c r="C59" s="1"/>
  <c r="B60"/>
  <c r="B61"/>
  <c r="C61" s="1"/>
  <c r="B62"/>
  <c r="B63"/>
  <c r="C63" s="1"/>
  <c r="B64"/>
  <c r="B65"/>
  <c r="C65" s="1"/>
  <c r="B66"/>
  <c r="B67"/>
  <c r="C67" s="1"/>
  <c r="B68"/>
  <c r="B69"/>
  <c r="C69" s="1"/>
  <c r="B70"/>
  <c r="B71"/>
  <c r="C71" s="1"/>
  <c r="B72"/>
  <c r="B73"/>
  <c r="C73" s="1"/>
  <c r="B74"/>
  <c r="B75"/>
  <c r="C75" s="1"/>
  <c r="B76"/>
  <c r="B77"/>
  <c r="C77" s="1"/>
  <c r="B78"/>
  <c r="B79"/>
  <c r="C79" s="1"/>
  <c r="B80"/>
  <c r="B81"/>
  <c r="C81" s="1"/>
  <c r="B82"/>
  <c r="B83"/>
  <c r="C83" s="1"/>
  <c r="B84"/>
  <c r="B85"/>
  <c r="C85" s="1"/>
  <c r="B86"/>
  <c r="B87"/>
  <c r="C87" s="1"/>
  <c r="B88"/>
  <c r="B89"/>
  <c r="C89" s="1"/>
  <c r="B90"/>
  <c r="B91"/>
  <c r="C91" s="1"/>
  <c r="B92"/>
  <c r="B93"/>
  <c r="C93" s="1"/>
  <c r="B94"/>
  <c r="B95"/>
  <c r="C95" s="1"/>
  <c r="B96"/>
  <c r="B97"/>
  <c r="C97" s="1"/>
  <c r="B98"/>
  <c r="B99"/>
  <c r="C99" s="1"/>
  <c r="B100"/>
  <c r="B101"/>
  <c r="C101" s="1"/>
  <c r="B102"/>
  <c r="B103"/>
  <c r="C103" s="1"/>
  <c r="B104"/>
  <c r="B105"/>
  <c r="C105" s="1"/>
  <c r="B106"/>
  <c r="B107"/>
  <c r="C107" s="1"/>
  <c r="B108"/>
  <c r="B109"/>
  <c r="C109" s="1"/>
  <c r="B110"/>
  <c r="B111"/>
  <c r="C111" s="1"/>
  <c r="B112"/>
  <c r="B113"/>
  <c r="C113" s="1"/>
  <c r="B114"/>
  <c r="B115"/>
  <c r="C115" s="1"/>
  <c r="B116"/>
  <c r="B117"/>
  <c r="C117" s="1"/>
  <c r="B118"/>
  <c r="B119"/>
  <c r="C119" s="1"/>
  <c r="B120"/>
  <c r="B121"/>
  <c r="C121" s="1"/>
  <c r="B122"/>
  <c r="B123"/>
  <c r="C123" s="1"/>
  <c r="B124"/>
  <c r="B125"/>
  <c r="C125" s="1"/>
  <c r="B126"/>
  <c r="B127"/>
  <c r="C127" s="1"/>
  <c r="B128"/>
  <c r="B129"/>
  <c r="C129" s="1"/>
  <c r="B130"/>
  <c r="B131"/>
  <c r="C131" s="1"/>
  <c r="B132"/>
  <c r="B133"/>
  <c r="C133" s="1"/>
  <c r="B134"/>
  <c r="B135"/>
  <c r="C135" s="1"/>
  <c r="B136"/>
  <c r="B137"/>
  <c r="C137" s="1"/>
  <c r="B138"/>
  <c r="B139"/>
  <c r="C139" s="1"/>
  <c r="B140"/>
  <c r="B141"/>
  <c r="C141" s="1"/>
  <c r="B142"/>
  <c r="B143"/>
  <c r="C143" s="1"/>
  <c r="B144"/>
  <c r="B145"/>
  <c r="C145" s="1"/>
  <c r="B146"/>
  <c r="B147"/>
  <c r="C147" s="1"/>
  <c r="B148"/>
  <c r="B149"/>
  <c r="C149" s="1"/>
  <c r="B150"/>
  <c r="B151"/>
  <c r="C151" s="1"/>
  <c r="B2"/>
  <c r="C2"/>
  <c r="C4"/>
  <c r="C6"/>
  <c r="C8"/>
  <c r="C10"/>
  <c r="C12"/>
  <c r="C14"/>
  <c r="C16"/>
  <c r="C18"/>
  <c r="C20"/>
  <c r="C22"/>
  <c r="C24"/>
  <c r="C26"/>
  <c r="C28"/>
  <c r="C30"/>
  <c r="C32"/>
  <c r="C34"/>
  <c r="C36"/>
  <c r="C38"/>
  <c r="C40"/>
  <c r="C42"/>
  <c r="C44"/>
  <c r="C46"/>
  <c r="C48"/>
  <c r="C50"/>
  <c r="C52"/>
  <c r="C54"/>
  <c r="C56"/>
  <c r="C58"/>
  <c r="C60"/>
  <c r="C62"/>
  <c r="C64"/>
  <c r="C66"/>
  <c r="C68"/>
  <c r="C70"/>
  <c r="C72"/>
  <c r="C74"/>
  <c r="C76"/>
  <c r="C78"/>
  <c r="C80"/>
  <c r="C82"/>
  <c r="C84"/>
  <c r="C86"/>
  <c r="C88"/>
  <c r="C90"/>
  <c r="C92"/>
  <c r="C94"/>
  <c r="C96"/>
  <c r="C98"/>
  <c r="C100"/>
  <c r="C102"/>
  <c r="C104"/>
  <c r="C106"/>
  <c r="C108"/>
  <c r="C110"/>
  <c r="C112"/>
  <c r="C114"/>
  <c r="C116"/>
  <c r="C118"/>
  <c r="C120"/>
  <c r="C122"/>
  <c r="C124"/>
  <c r="C126"/>
  <c r="C128"/>
  <c r="C130"/>
  <c r="C132"/>
  <c r="C134"/>
  <c r="C136"/>
  <c r="C138"/>
  <c r="C140"/>
  <c r="C142"/>
  <c r="C144"/>
  <c r="C146"/>
  <c r="C148"/>
  <c r="C150"/>
  <c r="AL37" i="26"/>
  <c r="AL38"/>
  <c r="AL39"/>
  <c r="AL40"/>
  <c r="AL41"/>
  <c r="AL42"/>
  <c r="AL43"/>
  <c r="AL44"/>
  <c r="AL45"/>
  <c r="AL46"/>
  <c r="AL47"/>
  <c r="AL48"/>
  <c r="AL49"/>
  <c r="AL50"/>
  <c r="AL51"/>
  <c r="AL52"/>
  <c r="AL53"/>
  <c r="AL54"/>
  <c r="AL55"/>
  <c r="AL56"/>
  <c r="AL57"/>
  <c r="AL58"/>
  <c r="AL59"/>
  <c r="AL60"/>
  <c r="AL61"/>
  <c r="AL62"/>
  <c r="AL63"/>
  <c r="AL64"/>
  <c r="AL65"/>
  <c r="AL66"/>
  <c r="AL67"/>
  <c r="AL68"/>
  <c r="AL69"/>
  <c r="AL70"/>
  <c r="AL71"/>
  <c r="AL72"/>
  <c r="AL73"/>
  <c r="AL74"/>
  <c r="AL75"/>
  <c r="AL76"/>
  <c r="AL77"/>
  <c r="AL78"/>
  <c r="AL79"/>
  <c r="AL80"/>
  <c r="AL81"/>
  <c r="AL82"/>
  <c r="AL83"/>
  <c r="AL84"/>
  <c r="AL85"/>
  <c r="AL86"/>
  <c r="AL87"/>
  <c r="AL88"/>
  <c r="AL89"/>
  <c r="AL90"/>
  <c r="AL91"/>
  <c r="AL92"/>
  <c r="AL93"/>
  <c r="AL94"/>
  <c r="AL95"/>
  <c r="AL96"/>
  <c r="AL97"/>
  <c r="AL98"/>
  <c r="AL99"/>
  <c r="AL100"/>
  <c r="AL101"/>
  <c r="AL102"/>
  <c r="AL103"/>
  <c r="AL104"/>
  <c r="AL105"/>
  <c r="AL106"/>
  <c r="AL107"/>
  <c r="AL108"/>
  <c r="AL109"/>
  <c r="AL110"/>
  <c r="AL111"/>
  <c r="AL112"/>
  <c r="AL113"/>
  <c r="AL114"/>
  <c r="AL115"/>
  <c r="AL116"/>
  <c r="AL117"/>
  <c r="AL118"/>
  <c r="AL119"/>
  <c r="AL120"/>
  <c r="AL121"/>
  <c r="AL122"/>
  <c r="AL123"/>
  <c r="AL124"/>
  <c r="AL125"/>
  <c r="AL126"/>
  <c r="AL127"/>
  <c r="AL128"/>
  <c r="AL129"/>
  <c r="AL130"/>
  <c r="AL131"/>
  <c r="AL132"/>
  <c r="AL133"/>
  <c r="AL134"/>
  <c r="AL135"/>
  <c r="AL136"/>
  <c r="AL137"/>
  <c r="AL138"/>
  <c r="AL139"/>
  <c r="AL140"/>
  <c r="AL141"/>
  <c r="AL142"/>
  <c r="AL143"/>
  <c r="AL144"/>
  <c r="AL145"/>
  <c r="AL146"/>
  <c r="AL147"/>
  <c r="AL148"/>
  <c r="AL149"/>
  <c r="AL150"/>
  <c r="AL151"/>
  <c r="AL152"/>
  <c r="AL153"/>
  <c r="AL154"/>
  <c r="AL155"/>
  <c r="AL156"/>
  <c r="AL157"/>
  <c r="AL23"/>
  <c r="AL24"/>
  <c r="AL25"/>
  <c r="AL26"/>
  <c r="AL27"/>
  <c r="AL28"/>
  <c r="AL29"/>
  <c r="AL30"/>
  <c r="AL31"/>
  <c r="AL32"/>
  <c r="AL33"/>
  <c r="AL34"/>
  <c r="AL35"/>
  <c r="AL36"/>
  <c r="AL22"/>
  <c r="AL3"/>
  <c r="AL4"/>
  <c r="AL5"/>
  <c r="AL6"/>
  <c r="AL7"/>
  <c r="AL8"/>
  <c r="AL9"/>
  <c r="AL10"/>
  <c r="AL11"/>
  <c r="AL12"/>
  <c r="AL13"/>
  <c r="AL14"/>
  <c r="AL15"/>
  <c r="AL16"/>
  <c r="AL17"/>
  <c r="AL18"/>
  <c r="AL19"/>
  <c r="AL20"/>
  <c r="AL21"/>
  <c r="AL2"/>
  <c r="AS3"/>
  <c r="AS4"/>
  <c r="AS5"/>
  <c r="AS6"/>
  <c r="AS7"/>
  <c r="AS8"/>
  <c r="AS9"/>
  <c r="AS10"/>
  <c r="AS11"/>
  <c r="AS12"/>
  <c r="AS13"/>
  <c r="AS14"/>
  <c r="AS15"/>
  <c r="AS16"/>
  <c r="AS17"/>
  <c r="AS18"/>
  <c r="AS19"/>
  <c r="AS20"/>
  <c r="AS21"/>
  <c r="AS22"/>
  <c r="AS23"/>
  <c r="AS24"/>
  <c r="AS25"/>
  <c r="AS26"/>
  <c r="AS27"/>
  <c r="AS28"/>
  <c r="AS29"/>
  <c r="AS30"/>
  <c r="AS31"/>
  <c r="AS32"/>
  <c r="AS33"/>
  <c r="AS34"/>
  <c r="AS35"/>
  <c r="AS36"/>
  <c r="AS37"/>
  <c r="AS38"/>
  <c r="AS39"/>
  <c r="AS40"/>
  <c r="AS41"/>
  <c r="AS42"/>
  <c r="AS43"/>
  <c r="AS44"/>
  <c r="AS45"/>
  <c r="AS46"/>
  <c r="AS47"/>
  <c r="AS48"/>
  <c r="AS49"/>
  <c r="AS50"/>
  <c r="AS51"/>
  <c r="AS52"/>
  <c r="AS53"/>
  <c r="AS54"/>
  <c r="AS55"/>
  <c r="AS56"/>
  <c r="AS57"/>
  <c r="AS58"/>
  <c r="AS59"/>
  <c r="AS60"/>
  <c r="AS61"/>
  <c r="AS62"/>
  <c r="AS63"/>
  <c r="AS64"/>
  <c r="AS65"/>
  <c r="AS66"/>
  <c r="AS67"/>
  <c r="AS68"/>
  <c r="AS69"/>
  <c r="AS70"/>
  <c r="AS71"/>
  <c r="AS72"/>
  <c r="AS73"/>
  <c r="AS74"/>
  <c r="AS75"/>
  <c r="AS76"/>
  <c r="AS77"/>
  <c r="AS78"/>
  <c r="AS79"/>
  <c r="AS80"/>
  <c r="AS81"/>
  <c r="AS82"/>
  <c r="AS83"/>
  <c r="AS84"/>
  <c r="AS85"/>
  <c r="AS86"/>
  <c r="AS87"/>
  <c r="AS88"/>
  <c r="AS89"/>
  <c r="AS90"/>
  <c r="AS91"/>
  <c r="AS92"/>
  <c r="AS93"/>
  <c r="AS94"/>
  <c r="AS95"/>
  <c r="AS96"/>
  <c r="AS97"/>
  <c r="AS98"/>
  <c r="AS99"/>
  <c r="AS100"/>
  <c r="AS101"/>
  <c r="AS102"/>
  <c r="AS103"/>
  <c r="AS104"/>
  <c r="AS105"/>
  <c r="AS106"/>
  <c r="AS107"/>
  <c r="AS108"/>
  <c r="AS109"/>
  <c r="AS110"/>
  <c r="AS111"/>
  <c r="AS112"/>
  <c r="AS113"/>
  <c r="AS114"/>
  <c r="AS115"/>
  <c r="AS116"/>
  <c r="AS117"/>
  <c r="AS118"/>
  <c r="AS119"/>
  <c r="AS120"/>
  <c r="AS121"/>
  <c r="AS122"/>
  <c r="AS123"/>
  <c r="AS124"/>
  <c r="AS125"/>
  <c r="AS126"/>
  <c r="AS127"/>
  <c r="AS128"/>
  <c r="AS129"/>
  <c r="AS130"/>
  <c r="AS131"/>
  <c r="AS132"/>
  <c r="AS133"/>
  <c r="AS134"/>
  <c r="AS135"/>
  <c r="AS136"/>
  <c r="AS137"/>
  <c r="AS138"/>
  <c r="AS139"/>
  <c r="AS140"/>
  <c r="AS141"/>
  <c r="AS142"/>
  <c r="AS143"/>
  <c r="AS144"/>
  <c r="AS145"/>
  <c r="AS146"/>
  <c r="AS147"/>
  <c r="AS148"/>
  <c r="AS149"/>
  <c r="AS150"/>
  <c r="AS151"/>
  <c r="AS152"/>
  <c r="AS153"/>
  <c r="AS154"/>
  <c r="AS155"/>
  <c r="AS156"/>
  <c r="AS157"/>
  <c r="AS2"/>
  <c r="AQ3"/>
  <c r="BA3" s="1"/>
  <c r="AR3"/>
  <c r="AQ4"/>
  <c r="AR4"/>
  <c r="AQ5"/>
  <c r="BA5" s="1"/>
  <c r="AR5"/>
  <c r="AQ6"/>
  <c r="AR6"/>
  <c r="AQ7"/>
  <c r="BA7" s="1"/>
  <c r="AR7"/>
  <c r="AQ8"/>
  <c r="AR8"/>
  <c r="AQ9"/>
  <c r="BA9" s="1"/>
  <c r="AR9"/>
  <c r="AQ10"/>
  <c r="AR10"/>
  <c r="AQ11"/>
  <c r="BA11" s="1"/>
  <c r="AR11"/>
  <c r="AQ12"/>
  <c r="AR12"/>
  <c r="AQ13"/>
  <c r="BA13" s="1"/>
  <c r="AR13"/>
  <c r="AQ14"/>
  <c r="AR14"/>
  <c r="AQ15"/>
  <c r="BA15" s="1"/>
  <c r="AR15"/>
  <c r="AQ16"/>
  <c r="AR16"/>
  <c r="AQ17"/>
  <c r="BA17" s="1"/>
  <c r="AR17"/>
  <c r="AQ18"/>
  <c r="AR18"/>
  <c r="AQ19"/>
  <c r="BA19" s="1"/>
  <c r="AR19"/>
  <c r="AQ20"/>
  <c r="AR20"/>
  <c r="AQ21"/>
  <c r="BA21" s="1"/>
  <c r="AR21"/>
  <c r="AQ22"/>
  <c r="AR22"/>
  <c r="AQ23"/>
  <c r="BA23" s="1"/>
  <c r="AR23"/>
  <c r="AQ24"/>
  <c r="AR24"/>
  <c r="AQ25"/>
  <c r="BA25" s="1"/>
  <c r="AR25"/>
  <c r="AQ26"/>
  <c r="AR26"/>
  <c r="AQ27"/>
  <c r="BA27" s="1"/>
  <c r="AR27"/>
  <c r="AQ28"/>
  <c r="AR28"/>
  <c r="AQ29"/>
  <c r="BA29" s="1"/>
  <c r="AR29"/>
  <c r="AQ30"/>
  <c r="AR30"/>
  <c r="AQ31"/>
  <c r="BA31" s="1"/>
  <c r="AR31"/>
  <c r="AQ32"/>
  <c r="AR32"/>
  <c r="AQ33"/>
  <c r="BA33" s="1"/>
  <c r="AR33"/>
  <c r="AQ34"/>
  <c r="AR34"/>
  <c r="AQ35"/>
  <c r="BA35" s="1"/>
  <c r="AR35"/>
  <c r="AQ36"/>
  <c r="AR36"/>
  <c r="AQ37"/>
  <c r="BA37" s="1"/>
  <c r="AR37"/>
  <c r="AQ38"/>
  <c r="AR38"/>
  <c r="AQ39"/>
  <c r="BA39" s="1"/>
  <c r="AR39"/>
  <c r="AQ40"/>
  <c r="AR40"/>
  <c r="AQ41"/>
  <c r="BA41" s="1"/>
  <c r="AR41"/>
  <c r="AQ42"/>
  <c r="AR42"/>
  <c r="AQ43"/>
  <c r="BA43" s="1"/>
  <c r="AR43"/>
  <c r="AQ44"/>
  <c r="AR44"/>
  <c r="AQ45"/>
  <c r="BA45" s="1"/>
  <c r="AR45"/>
  <c r="AQ46"/>
  <c r="AR46"/>
  <c r="AQ47"/>
  <c r="BA47" s="1"/>
  <c r="AR47"/>
  <c r="AQ48"/>
  <c r="AR48"/>
  <c r="AQ49"/>
  <c r="BA49" s="1"/>
  <c r="AR49"/>
  <c r="AQ50"/>
  <c r="AR50"/>
  <c r="AQ51"/>
  <c r="BA51" s="1"/>
  <c r="AR51"/>
  <c r="AQ52"/>
  <c r="AR52"/>
  <c r="AQ53"/>
  <c r="BA53" s="1"/>
  <c r="AR53"/>
  <c r="AQ54"/>
  <c r="AR54"/>
  <c r="AQ55"/>
  <c r="BA55" s="1"/>
  <c r="AR55"/>
  <c r="AQ56"/>
  <c r="AR56"/>
  <c r="AQ57"/>
  <c r="BA57" s="1"/>
  <c r="AR57"/>
  <c r="AQ58"/>
  <c r="AR58"/>
  <c r="AQ59"/>
  <c r="BA59" s="1"/>
  <c r="AR59"/>
  <c r="AQ60"/>
  <c r="AR60"/>
  <c r="AQ61"/>
  <c r="BA61" s="1"/>
  <c r="AR61"/>
  <c r="AQ62"/>
  <c r="AR62"/>
  <c r="AQ63"/>
  <c r="BA63" s="1"/>
  <c r="AR63"/>
  <c r="AQ64"/>
  <c r="AR64"/>
  <c r="AQ65"/>
  <c r="BA65" s="1"/>
  <c r="AR65"/>
  <c r="AQ66"/>
  <c r="AR66"/>
  <c r="AQ67"/>
  <c r="BA67" s="1"/>
  <c r="AR67"/>
  <c r="AQ68"/>
  <c r="AR68"/>
  <c r="AQ69"/>
  <c r="BA69" s="1"/>
  <c r="AR69"/>
  <c r="AQ70"/>
  <c r="AR70"/>
  <c r="AQ71"/>
  <c r="BA71" s="1"/>
  <c r="AR71"/>
  <c r="AQ72"/>
  <c r="AR72"/>
  <c r="AQ73"/>
  <c r="BA73" s="1"/>
  <c r="AR73"/>
  <c r="AQ74"/>
  <c r="AR74"/>
  <c r="AQ75"/>
  <c r="BA75" s="1"/>
  <c r="AR75"/>
  <c r="AQ76"/>
  <c r="AR76"/>
  <c r="AQ77"/>
  <c r="BA77" s="1"/>
  <c r="AR77"/>
  <c r="AQ78"/>
  <c r="AR78"/>
  <c r="AQ79"/>
  <c r="BA79" s="1"/>
  <c r="AR79"/>
  <c r="AQ80"/>
  <c r="AR80"/>
  <c r="AQ81"/>
  <c r="BA81" s="1"/>
  <c r="AR81"/>
  <c r="AQ82"/>
  <c r="AR82"/>
  <c r="AQ83"/>
  <c r="BA83" s="1"/>
  <c r="AR83"/>
  <c r="AQ84"/>
  <c r="AR84"/>
  <c r="AQ85"/>
  <c r="BA85" s="1"/>
  <c r="AR85"/>
  <c r="AQ86"/>
  <c r="AR86"/>
  <c r="AQ87"/>
  <c r="BA87" s="1"/>
  <c r="AR87"/>
  <c r="AQ88"/>
  <c r="AR88"/>
  <c r="AQ89"/>
  <c r="BA89" s="1"/>
  <c r="AR89"/>
  <c r="AQ90"/>
  <c r="AR90"/>
  <c r="AQ91"/>
  <c r="BA91" s="1"/>
  <c r="AR91"/>
  <c r="AQ92"/>
  <c r="AR92"/>
  <c r="AQ93"/>
  <c r="BA93" s="1"/>
  <c r="AR93"/>
  <c r="AQ94"/>
  <c r="AR94"/>
  <c r="AQ95"/>
  <c r="BA95" s="1"/>
  <c r="AR95"/>
  <c r="AQ96"/>
  <c r="AR96"/>
  <c r="AQ97"/>
  <c r="BA97" s="1"/>
  <c r="AR97"/>
  <c r="AQ98"/>
  <c r="AR98"/>
  <c r="AQ99"/>
  <c r="BA99" s="1"/>
  <c r="AR99"/>
  <c r="AQ100"/>
  <c r="AR100"/>
  <c r="AQ101"/>
  <c r="BA101" s="1"/>
  <c r="AR101"/>
  <c r="AQ102"/>
  <c r="AR102"/>
  <c r="AQ103"/>
  <c r="BA103" s="1"/>
  <c r="AR103"/>
  <c r="AQ104"/>
  <c r="AR104"/>
  <c r="AQ105"/>
  <c r="BA105" s="1"/>
  <c r="AR105"/>
  <c r="AQ106"/>
  <c r="AR106"/>
  <c r="AQ107"/>
  <c r="BA107" s="1"/>
  <c r="AR107"/>
  <c r="AQ108"/>
  <c r="AR108"/>
  <c r="AQ109"/>
  <c r="BA109" s="1"/>
  <c r="AR109"/>
  <c r="AQ110"/>
  <c r="AR110"/>
  <c r="AQ111"/>
  <c r="BA111" s="1"/>
  <c r="AR111"/>
  <c r="AQ112"/>
  <c r="AR112"/>
  <c r="AQ113"/>
  <c r="BA113" s="1"/>
  <c r="AR113"/>
  <c r="AQ114"/>
  <c r="AR114"/>
  <c r="AQ115"/>
  <c r="BA115" s="1"/>
  <c r="AR115"/>
  <c r="AQ116"/>
  <c r="AR116"/>
  <c r="AQ117"/>
  <c r="BA117" s="1"/>
  <c r="AR117"/>
  <c r="AQ118"/>
  <c r="AR118"/>
  <c r="AQ119"/>
  <c r="BA119" s="1"/>
  <c r="AR119"/>
  <c r="AQ120"/>
  <c r="AR120"/>
  <c r="AQ121"/>
  <c r="BA121" s="1"/>
  <c r="AR121"/>
  <c r="AQ122"/>
  <c r="AR122"/>
  <c r="AQ123"/>
  <c r="BA123" s="1"/>
  <c r="AR123"/>
  <c r="AQ124"/>
  <c r="AR124"/>
  <c r="AQ125"/>
  <c r="BA125" s="1"/>
  <c r="AR125"/>
  <c r="AQ126"/>
  <c r="AR126"/>
  <c r="AQ127"/>
  <c r="BA127" s="1"/>
  <c r="AR127"/>
  <c r="AQ128"/>
  <c r="AR128"/>
  <c r="AQ129"/>
  <c r="BA129" s="1"/>
  <c r="AR129"/>
  <c r="AQ130"/>
  <c r="AR130"/>
  <c r="AQ131"/>
  <c r="BA131" s="1"/>
  <c r="AR131"/>
  <c r="AQ132"/>
  <c r="AR132"/>
  <c r="AQ133"/>
  <c r="BA133" s="1"/>
  <c r="AR133"/>
  <c r="AQ134"/>
  <c r="AR134"/>
  <c r="AQ135"/>
  <c r="BA135" s="1"/>
  <c r="AR135"/>
  <c r="AQ136"/>
  <c r="AR136"/>
  <c r="AQ137"/>
  <c r="BA137" s="1"/>
  <c r="AR137"/>
  <c r="AQ138"/>
  <c r="AR138"/>
  <c r="AQ139"/>
  <c r="BA139" s="1"/>
  <c r="AR139"/>
  <c r="AQ140"/>
  <c r="AR140"/>
  <c r="AQ141"/>
  <c r="BA141" s="1"/>
  <c r="AR141"/>
  <c r="AQ142"/>
  <c r="AR142"/>
  <c r="AQ143"/>
  <c r="BA143" s="1"/>
  <c r="AR143"/>
  <c r="AQ144"/>
  <c r="AR144"/>
  <c r="AQ145"/>
  <c r="BA145" s="1"/>
  <c r="AR145"/>
  <c r="AQ146"/>
  <c r="AR146"/>
  <c r="AQ147"/>
  <c r="BA147" s="1"/>
  <c r="AR147"/>
  <c r="AQ148"/>
  <c r="AR148"/>
  <c r="AQ149"/>
  <c r="BA149" s="1"/>
  <c r="AR149"/>
  <c r="AQ150"/>
  <c r="AR150"/>
  <c r="AQ151"/>
  <c r="BA151" s="1"/>
  <c r="AR151"/>
  <c r="AQ152"/>
  <c r="AR152"/>
  <c r="AQ153"/>
  <c r="BA153" s="1"/>
  <c r="AR153"/>
  <c r="AQ154"/>
  <c r="AR154"/>
  <c r="AQ155"/>
  <c r="BA155" s="1"/>
  <c r="AR155"/>
  <c r="AQ156"/>
  <c r="AR156"/>
  <c r="AQ157"/>
  <c r="BA157" s="1"/>
  <c r="AR157"/>
  <c r="AR2"/>
  <c r="BB2" s="1"/>
  <c r="AQ2"/>
  <c r="BA2"/>
  <c r="D2" i="24"/>
  <c r="AN3" i="26"/>
  <c r="AN4"/>
  <c r="AN5"/>
  <c r="AN6"/>
  <c r="AN7"/>
  <c r="AN8"/>
  <c r="AN9"/>
  <c r="AN10"/>
  <c r="AN11"/>
  <c r="AN12"/>
  <c r="AN13"/>
  <c r="AN14"/>
  <c r="AN15"/>
  <c r="AN16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52"/>
  <c r="AN53"/>
  <c r="AN54"/>
  <c r="AN55"/>
  <c r="AN56"/>
  <c r="AN57"/>
  <c r="AN58"/>
  <c r="AN59"/>
  <c r="AN60"/>
  <c r="AN61"/>
  <c r="AN62"/>
  <c r="AN63"/>
  <c r="AN64"/>
  <c r="AN65"/>
  <c r="AN66"/>
  <c r="AN67"/>
  <c r="AN68"/>
  <c r="AN69"/>
  <c r="AN70"/>
  <c r="AN71"/>
  <c r="AN72"/>
  <c r="AN73"/>
  <c r="AN74"/>
  <c r="AN75"/>
  <c r="AN76"/>
  <c r="AN77"/>
  <c r="AN78"/>
  <c r="AN79"/>
  <c r="AN80"/>
  <c r="AN81"/>
  <c r="AN82"/>
  <c r="AN83"/>
  <c r="AN84"/>
  <c r="AN85"/>
  <c r="AN86"/>
  <c r="AN87"/>
  <c r="AN88"/>
  <c r="AN89"/>
  <c r="AN90"/>
  <c r="AN91"/>
  <c r="AN92"/>
  <c r="AN93"/>
  <c r="AN94"/>
  <c r="AN95"/>
  <c r="AN96"/>
  <c r="AN97"/>
  <c r="AN98"/>
  <c r="AN99"/>
  <c r="AN100"/>
  <c r="AN101"/>
  <c r="AN102"/>
  <c r="AN103"/>
  <c r="AN104"/>
  <c r="AN105"/>
  <c r="AN106"/>
  <c r="AN107"/>
  <c r="AN108"/>
  <c r="AN109"/>
  <c r="AN110"/>
  <c r="AN111"/>
  <c r="AN112"/>
  <c r="AN113"/>
  <c r="AN114"/>
  <c r="AN115"/>
  <c r="AN116"/>
  <c r="AN117"/>
  <c r="AN118"/>
  <c r="AN119"/>
  <c r="AN120"/>
  <c r="AN121"/>
  <c r="AN122"/>
  <c r="AN123"/>
  <c r="AN124"/>
  <c r="AN125"/>
  <c r="AN126"/>
  <c r="AN127"/>
  <c r="AN128"/>
  <c r="AN129"/>
  <c r="AN130"/>
  <c r="AN131"/>
  <c r="AN132"/>
  <c r="AN133"/>
  <c r="AN134"/>
  <c r="AN135"/>
  <c r="AN136"/>
  <c r="AN137"/>
  <c r="AN138"/>
  <c r="AN139"/>
  <c r="AN140"/>
  <c r="AN141"/>
  <c r="AN142"/>
  <c r="AN143"/>
  <c r="AN144"/>
  <c r="AN145"/>
  <c r="AN146"/>
  <c r="AN147"/>
  <c r="AN148"/>
  <c r="AN149"/>
  <c r="AN150"/>
  <c r="AN151"/>
  <c r="AN152"/>
  <c r="AN153"/>
  <c r="AN154"/>
  <c r="AN155"/>
  <c r="AN156"/>
  <c r="AN157"/>
  <c r="AN2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26"/>
  <c r="T3"/>
  <c r="T4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2"/>
  <c r="AZ3"/>
  <c r="AZ4"/>
  <c r="AZ5"/>
  <c r="AZ6"/>
  <c r="AZ7"/>
  <c r="AZ8"/>
  <c r="AZ9"/>
  <c r="AZ10"/>
  <c r="AZ11"/>
  <c r="AZ12"/>
  <c r="AZ13"/>
  <c r="AZ14"/>
  <c r="AZ15"/>
  <c r="AZ16"/>
  <c r="AZ17"/>
  <c r="AZ18"/>
  <c r="AZ19"/>
  <c r="AZ20"/>
  <c r="AZ21"/>
  <c r="AZ22"/>
  <c r="AZ23"/>
  <c r="AZ24"/>
  <c r="AZ25"/>
  <c r="AZ26"/>
  <c r="AZ27"/>
  <c r="AZ28"/>
  <c r="AZ29"/>
  <c r="AZ30"/>
  <c r="AZ31"/>
  <c r="AZ32"/>
  <c r="AZ33"/>
  <c r="AZ34"/>
  <c r="AZ35"/>
  <c r="AZ36"/>
  <c r="AZ37"/>
  <c r="AZ38"/>
  <c r="AZ39"/>
  <c r="AZ40"/>
  <c r="AZ41"/>
  <c r="AZ42"/>
  <c r="AZ43"/>
  <c r="AZ44"/>
  <c r="AZ45"/>
  <c r="AZ46"/>
  <c r="AZ47"/>
  <c r="AZ48"/>
  <c r="AZ49"/>
  <c r="AZ50"/>
  <c r="AZ51"/>
  <c r="AZ52"/>
  <c r="AZ53"/>
  <c r="AZ54"/>
  <c r="AZ55"/>
  <c r="AZ56"/>
  <c r="AZ57"/>
  <c r="AZ58"/>
  <c r="AZ59"/>
  <c r="AZ60"/>
  <c r="AZ61"/>
  <c r="AZ62"/>
  <c r="AZ63"/>
  <c r="AZ64"/>
  <c r="AZ65"/>
  <c r="AZ66"/>
  <c r="AZ67"/>
  <c r="AZ68"/>
  <c r="AZ69"/>
  <c r="AZ70"/>
  <c r="AZ71"/>
  <c r="AZ72"/>
  <c r="AZ73"/>
  <c r="AZ74"/>
  <c r="AZ75"/>
  <c r="AZ76"/>
  <c r="AZ77"/>
  <c r="AZ78"/>
  <c r="AZ79"/>
  <c r="AZ80"/>
  <c r="AZ81"/>
  <c r="AZ82"/>
  <c r="AZ83"/>
  <c r="AZ84"/>
  <c r="AZ85"/>
  <c r="AZ86"/>
  <c r="AZ87"/>
  <c r="AZ88"/>
  <c r="AZ89"/>
  <c r="AZ90"/>
  <c r="AZ91"/>
  <c r="AZ92"/>
  <c r="AZ93"/>
  <c r="AZ94"/>
  <c r="AZ95"/>
  <c r="AZ96"/>
  <c r="AZ97"/>
  <c r="AZ98"/>
  <c r="AZ99"/>
  <c r="AZ100"/>
  <c r="AZ101"/>
  <c r="AZ102"/>
  <c r="AZ103"/>
  <c r="AZ104"/>
  <c r="AZ105"/>
  <c r="AZ106"/>
  <c r="AZ107"/>
  <c r="AZ108"/>
  <c r="AZ109"/>
  <c r="AZ110"/>
  <c r="AZ111"/>
  <c r="AZ112"/>
  <c r="AZ113"/>
  <c r="AZ114"/>
  <c r="AZ115"/>
  <c r="AZ116"/>
  <c r="AZ117"/>
  <c r="AZ118"/>
  <c r="AZ119"/>
  <c r="AZ120"/>
  <c r="AZ121"/>
  <c r="AZ122"/>
  <c r="AZ123"/>
  <c r="AZ124"/>
  <c r="AZ125"/>
  <c r="AZ126"/>
  <c r="AZ127"/>
  <c r="AZ128"/>
  <c r="AZ129"/>
  <c r="AZ130"/>
  <c r="AZ131"/>
  <c r="AZ132"/>
  <c r="AZ133"/>
  <c r="AZ134"/>
  <c r="AZ135"/>
  <c r="AZ136"/>
  <c r="AZ137"/>
  <c r="AZ138"/>
  <c r="AZ139"/>
  <c r="AZ140"/>
  <c r="AZ141"/>
  <c r="AZ142"/>
  <c r="AZ143"/>
  <c r="AZ144"/>
  <c r="AZ145"/>
  <c r="AZ146"/>
  <c r="AZ147"/>
  <c r="AZ148"/>
  <c r="AZ149"/>
  <c r="AZ150"/>
  <c r="AZ151"/>
  <c r="AZ152"/>
  <c r="AZ153"/>
  <c r="AZ154"/>
  <c r="AZ155"/>
  <c r="AZ156"/>
  <c r="AZ157"/>
  <c r="AZ2"/>
  <c r="BB10"/>
  <c r="BB11"/>
  <c r="BB12"/>
  <c r="BB13"/>
  <c r="BB14"/>
  <c r="BB15"/>
  <c r="BB16"/>
  <c r="BB17"/>
  <c r="BB18"/>
  <c r="BB19"/>
  <c r="BB20"/>
  <c r="BB21"/>
  <c r="BB22"/>
  <c r="BB23"/>
  <c r="BB24"/>
  <c r="BB25"/>
  <c r="BB26"/>
  <c r="BB27"/>
  <c r="BB28"/>
  <c r="BB29"/>
  <c r="BB30"/>
  <c r="BB31"/>
  <c r="BB32"/>
  <c r="BB33"/>
  <c r="BB34"/>
  <c r="BB35"/>
  <c r="BB36"/>
  <c r="BB37"/>
  <c r="BB38"/>
  <c r="BB39"/>
  <c r="BB40"/>
  <c r="BB41"/>
  <c r="BB42"/>
  <c r="BB43"/>
  <c r="BB44"/>
  <c r="BB45"/>
  <c r="BB46"/>
  <c r="BB47"/>
  <c r="BB48"/>
  <c r="BB49"/>
  <c r="BB50"/>
  <c r="BB51"/>
  <c r="BB52"/>
  <c r="BB53"/>
  <c r="BB54"/>
  <c r="BB55"/>
  <c r="BB56"/>
  <c r="BB57"/>
  <c r="BB58"/>
  <c r="BB59"/>
  <c r="BB60"/>
  <c r="BB61"/>
  <c r="BB62"/>
  <c r="BB63"/>
  <c r="BB64"/>
  <c r="BB65"/>
  <c r="BB66"/>
  <c r="BB67"/>
  <c r="BB68"/>
  <c r="BB69"/>
  <c r="BB70"/>
  <c r="BB71"/>
  <c r="BB72"/>
  <c r="BB73"/>
  <c r="BB74"/>
  <c r="BB75"/>
  <c r="BB76"/>
  <c r="BB77"/>
  <c r="BB78"/>
  <c r="BB79"/>
  <c r="BB80"/>
  <c r="BB81"/>
  <c r="BB82"/>
  <c r="BB83"/>
  <c r="BB84"/>
  <c r="BB85"/>
  <c r="BB86"/>
  <c r="BB87"/>
  <c r="BB88"/>
  <c r="BB89"/>
  <c r="BB90"/>
  <c r="BB91"/>
  <c r="BB92"/>
  <c r="BB93"/>
  <c r="BB94"/>
  <c r="BB95"/>
  <c r="BB96"/>
  <c r="BB97"/>
  <c r="BB98"/>
  <c r="BB99"/>
  <c r="BB100"/>
  <c r="BB101"/>
  <c r="BB102"/>
  <c r="BB103"/>
  <c r="BB104"/>
  <c r="BB105"/>
  <c r="BB106"/>
  <c r="BB107"/>
  <c r="BB108"/>
  <c r="BB109"/>
  <c r="BB110"/>
  <c r="BB111"/>
  <c r="BB112"/>
  <c r="BB113"/>
  <c r="BB114"/>
  <c r="BB115"/>
  <c r="BB116"/>
  <c r="BB117"/>
  <c r="BB118"/>
  <c r="BB119"/>
  <c r="BB120"/>
  <c r="BB121"/>
  <c r="BB122"/>
  <c r="BB123"/>
  <c r="BB124"/>
  <c r="BB125"/>
  <c r="BB126"/>
  <c r="BB127"/>
  <c r="BB128"/>
  <c r="BB129"/>
  <c r="BB130"/>
  <c r="BB131"/>
  <c r="BB132"/>
  <c r="BB133"/>
  <c r="BB134"/>
  <c r="BB135"/>
  <c r="BB136"/>
  <c r="BB137"/>
  <c r="BB138"/>
  <c r="BB139"/>
  <c r="BB140"/>
  <c r="BB141"/>
  <c r="BB142"/>
  <c r="BB143"/>
  <c r="BB144"/>
  <c r="BB145"/>
  <c r="BB146"/>
  <c r="BB147"/>
  <c r="BB148"/>
  <c r="BB149"/>
  <c r="BB150"/>
  <c r="BB151"/>
  <c r="BB152"/>
  <c r="BB153"/>
  <c r="BB154"/>
  <c r="BB155"/>
  <c r="BB156"/>
  <c r="BB157"/>
  <c r="BB9"/>
  <c r="BA4"/>
  <c r="BA6"/>
  <c r="BA8"/>
  <c r="BA10"/>
  <c r="BA12"/>
  <c r="BA14"/>
  <c r="BA16"/>
  <c r="BA18"/>
  <c r="BA20"/>
  <c r="BA22"/>
  <c r="BA24"/>
  <c r="BA26"/>
  <c r="BA28"/>
  <c r="BA30"/>
  <c r="BA32"/>
  <c r="BA34"/>
  <c r="BA36"/>
  <c r="BA38"/>
  <c r="BA40"/>
  <c r="BA42"/>
  <c r="BA44"/>
  <c r="BA46"/>
  <c r="BA48"/>
  <c r="BA50"/>
  <c r="BA52"/>
  <c r="BA54"/>
  <c r="BA56"/>
  <c r="BA58"/>
  <c r="BA60"/>
  <c r="BA62"/>
  <c r="BA64"/>
  <c r="BA66"/>
  <c r="BA68"/>
  <c r="BA70"/>
  <c r="BA72"/>
  <c r="BA74"/>
  <c r="BA76"/>
  <c r="BA78"/>
  <c r="BA80"/>
  <c r="BA82"/>
  <c r="BA84"/>
  <c r="BA86"/>
  <c r="BA88"/>
  <c r="BA90"/>
  <c r="BA92"/>
  <c r="BA94"/>
  <c r="BA96"/>
  <c r="BA98"/>
  <c r="BA100"/>
  <c r="BA102"/>
  <c r="BA104"/>
  <c r="BA106"/>
  <c r="BA108"/>
  <c r="BA110"/>
  <c r="BA112"/>
  <c r="BA114"/>
  <c r="BA116"/>
  <c r="BA118"/>
  <c r="BA120"/>
  <c r="BA122"/>
  <c r="BA124"/>
  <c r="BA126"/>
  <c r="BA128"/>
  <c r="BA130"/>
  <c r="BA132"/>
  <c r="BA134"/>
  <c r="BA136"/>
  <c r="BA138"/>
  <c r="BA140"/>
  <c r="BA142"/>
  <c r="BA144"/>
  <c r="BA146"/>
  <c r="BA148"/>
  <c r="BA150"/>
  <c r="BA152"/>
  <c r="BA154"/>
  <c r="BA156"/>
  <c r="BB8"/>
  <c r="V3"/>
  <c r="V4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88"/>
  <c r="V89"/>
  <c r="V90"/>
  <c r="V91"/>
  <c r="V92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111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129"/>
  <c r="V130"/>
  <c r="V131"/>
  <c r="V132"/>
  <c r="V133"/>
  <c r="V134"/>
  <c r="V135"/>
  <c r="V136"/>
  <c r="V137"/>
  <c r="V138"/>
  <c r="V139"/>
  <c r="V140"/>
  <c r="V141"/>
  <c r="V142"/>
  <c r="V143"/>
  <c r="V144"/>
  <c r="V145"/>
  <c r="V146"/>
  <c r="V147"/>
  <c r="V148"/>
  <c r="V149"/>
  <c r="V150"/>
  <c r="V151"/>
  <c r="V152"/>
  <c r="V153"/>
  <c r="V154"/>
  <c r="V155"/>
  <c r="V156"/>
  <c r="V157"/>
  <c r="V2"/>
  <c r="R3"/>
  <c r="R4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"/>
  <c r="W3"/>
  <c r="W4"/>
  <c r="W5"/>
  <c r="W6"/>
  <c r="W7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W110"/>
  <c r="W111"/>
  <c r="W112"/>
  <c r="W113"/>
  <c r="W114"/>
  <c r="W115"/>
  <c r="W116"/>
  <c r="W117"/>
  <c r="W118"/>
  <c r="W119"/>
  <c r="W120"/>
  <c r="W121"/>
  <c r="W122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W146"/>
  <c r="W147"/>
  <c r="W148"/>
  <c r="W149"/>
  <c r="W150"/>
  <c r="W151"/>
  <c r="W152"/>
  <c r="W153"/>
  <c r="W154"/>
  <c r="W155"/>
  <c r="W156"/>
  <c r="W157"/>
  <c r="W2"/>
  <c r="U3"/>
  <c r="U4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2"/>
  <c r="Q129" i="3"/>
  <c r="Q130"/>
  <c r="Q131"/>
  <c r="Q132"/>
  <c r="Q133"/>
  <c r="Q134"/>
  <c r="AA3" i="26"/>
  <c r="AA4"/>
  <c r="AA5"/>
  <c r="AA6"/>
  <c r="AA7"/>
  <c r="AA8"/>
  <c r="AA9"/>
  <c r="AA10"/>
  <c r="AA11"/>
  <c r="AA12"/>
  <c r="AA13"/>
  <c r="AA14"/>
  <c r="AA15"/>
  <c r="AA16"/>
  <c r="AA17"/>
  <c r="AA18"/>
  <c r="AA19"/>
  <c r="AA20"/>
  <c r="AA21"/>
  <c r="AA22"/>
  <c r="AA23"/>
  <c r="AA24"/>
  <c r="AA25"/>
  <c r="AA26"/>
  <c r="AA27"/>
  <c r="AA28"/>
  <c r="AA29"/>
  <c r="AA30"/>
  <c r="AA31"/>
  <c r="AA32"/>
  <c r="AA33"/>
  <c r="AA34"/>
  <c r="AA35"/>
  <c r="AA36"/>
  <c r="AA37"/>
  <c r="AA38"/>
  <c r="AA39"/>
  <c r="AA40"/>
  <c r="AA41"/>
  <c r="AA42"/>
  <c r="AA43"/>
  <c r="AA44"/>
  <c r="AA45"/>
  <c r="AA46"/>
  <c r="AA47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83"/>
  <c r="AA84"/>
  <c r="AA85"/>
  <c r="AA86"/>
  <c r="AA87"/>
  <c r="AA88"/>
  <c r="AA89"/>
  <c r="AA90"/>
  <c r="AA91"/>
  <c r="AA92"/>
  <c r="AA93"/>
  <c r="AA94"/>
  <c r="AA95"/>
  <c r="AA96"/>
  <c r="AA97"/>
  <c r="AA98"/>
  <c r="AA99"/>
  <c r="AA100"/>
  <c r="AA101"/>
  <c r="AA102"/>
  <c r="AA103"/>
  <c r="AA104"/>
  <c r="AA105"/>
  <c r="AA106"/>
  <c r="AA107"/>
  <c r="AA108"/>
  <c r="AA109"/>
  <c r="AA110"/>
  <c r="AA111"/>
  <c r="AA112"/>
  <c r="AA113"/>
  <c r="AA114"/>
  <c r="AA115"/>
  <c r="AA116"/>
  <c r="AA117"/>
  <c r="AA118"/>
  <c r="AA119"/>
  <c r="AA120"/>
  <c r="AA121"/>
  <c r="AA122"/>
  <c r="AA123"/>
  <c r="AA124"/>
  <c r="AA125"/>
  <c r="AA126"/>
  <c r="AA127"/>
  <c r="AA128"/>
  <c r="AA129"/>
  <c r="AA130"/>
  <c r="AA131"/>
  <c r="AA132"/>
  <c r="AA133"/>
  <c r="AA134"/>
  <c r="AA135"/>
  <c r="AA136"/>
  <c r="AA137"/>
  <c r="AA138"/>
  <c r="AA139"/>
  <c r="AA140"/>
  <c r="AA141"/>
  <c r="AA142"/>
  <c r="AA143"/>
  <c r="AA144"/>
  <c r="AA145"/>
  <c r="AA146"/>
  <c r="AA147"/>
  <c r="AA148"/>
  <c r="AA149"/>
  <c r="AA150"/>
  <c r="AA151"/>
  <c r="AA152"/>
  <c r="AA153"/>
  <c r="AA154"/>
  <c r="AA155"/>
  <c r="AA156"/>
  <c r="AA157"/>
  <c r="AI3"/>
  <c r="AI4"/>
  <c r="AI5"/>
  <c r="AI6"/>
  <c r="AI7"/>
  <c r="AI8"/>
  <c r="AI9"/>
  <c r="AI10"/>
  <c r="AI11"/>
  <c r="AI12"/>
  <c r="AI15"/>
  <c r="AI16"/>
  <c r="AI17"/>
  <c r="AI18"/>
  <c r="AI20"/>
  <c r="AI21"/>
  <c r="AI22"/>
  <c r="AI23"/>
  <c r="AI30"/>
  <c r="AI31"/>
  <c r="AI32"/>
  <c r="AI35"/>
  <c r="AI36"/>
  <c r="AI37"/>
  <c r="AI39"/>
  <c r="AI41"/>
  <c r="AI42"/>
  <c r="AI43"/>
  <c r="AI47"/>
  <c r="AI48"/>
  <c r="AI49"/>
  <c r="AI52"/>
  <c r="AI53"/>
  <c r="AI55"/>
  <c r="AI57"/>
  <c r="AI58"/>
  <c r="AI65"/>
  <c r="AI66"/>
  <c r="AI67"/>
  <c r="AI70"/>
  <c r="AI71"/>
  <c r="AI73"/>
  <c r="AI74"/>
  <c r="AI75"/>
  <c r="AI79"/>
  <c r="AI80"/>
  <c r="AI81"/>
  <c r="AI84"/>
  <c r="AI85"/>
  <c r="AI87"/>
  <c r="AI89"/>
  <c r="AI90"/>
  <c r="AI94"/>
  <c r="AI95"/>
  <c r="AI96"/>
  <c r="AI100"/>
  <c r="AI101"/>
  <c r="AI104"/>
  <c r="AI106"/>
  <c r="AI107"/>
  <c r="AI112"/>
  <c r="AI113"/>
  <c r="AI114"/>
  <c r="AI117"/>
  <c r="AI118"/>
  <c r="AI120"/>
  <c r="AI123"/>
  <c r="AI124"/>
  <c r="AI125"/>
  <c r="AI129"/>
  <c r="AI130"/>
  <c r="AI131"/>
  <c r="AI134"/>
  <c r="AI135"/>
  <c r="AI137"/>
  <c r="AI139"/>
  <c r="AI140"/>
  <c r="AI145"/>
  <c r="AI146"/>
  <c r="AI147"/>
  <c r="AI150"/>
  <c r="AI151"/>
  <c r="AI154"/>
  <c r="AI156"/>
  <c r="AI157"/>
  <c r="AI2"/>
  <c r="AH3"/>
  <c r="AH4"/>
  <c r="AH5"/>
  <c r="AH6"/>
  <c r="AH7"/>
  <c r="AH8"/>
  <c r="AH9"/>
  <c r="AH10"/>
  <c r="AH11"/>
  <c r="AH12"/>
  <c r="AH15"/>
  <c r="AH16"/>
  <c r="AH17"/>
  <c r="AH18"/>
  <c r="AH20"/>
  <c r="AH21"/>
  <c r="AH22"/>
  <c r="AH23"/>
  <c r="AH30"/>
  <c r="AH31"/>
  <c r="AH32"/>
  <c r="AH35"/>
  <c r="AH36"/>
  <c r="AH37"/>
  <c r="AH39"/>
  <c r="AH41"/>
  <c r="AH42"/>
  <c r="AH43"/>
  <c r="AH47"/>
  <c r="AH48"/>
  <c r="AH49"/>
  <c r="AH52"/>
  <c r="AH53"/>
  <c r="AH55"/>
  <c r="AH57"/>
  <c r="AH58"/>
  <c r="AH65"/>
  <c r="AH66"/>
  <c r="AH67"/>
  <c r="AH70"/>
  <c r="AH71"/>
  <c r="AH73"/>
  <c r="AH74"/>
  <c r="AH75"/>
  <c r="AH79"/>
  <c r="AH80"/>
  <c r="AH81"/>
  <c r="AH84"/>
  <c r="AH85"/>
  <c r="AH87"/>
  <c r="AH89"/>
  <c r="AH90"/>
  <c r="AH94"/>
  <c r="AH95"/>
  <c r="AH96"/>
  <c r="AH100"/>
  <c r="AH101"/>
  <c r="AH104"/>
  <c r="AH106"/>
  <c r="AH107"/>
  <c r="AH112"/>
  <c r="AH113"/>
  <c r="AH114"/>
  <c r="AH117"/>
  <c r="AH118"/>
  <c r="AH120"/>
  <c r="AH123"/>
  <c r="AH124"/>
  <c r="AH125"/>
  <c r="AH129"/>
  <c r="AH130"/>
  <c r="AH131"/>
  <c r="AH134"/>
  <c r="AH135"/>
  <c r="AH137"/>
  <c r="AH139"/>
  <c r="AH140"/>
  <c r="AH145"/>
  <c r="AH146"/>
  <c r="AH147"/>
  <c r="AH150"/>
  <c r="AH151"/>
  <c r="AH154"/>
  <c r="AH156"/>
  <c r="AH157"/>
  <c r="AH2"/>
  <c r="AG3"/>
  <c r="AG4"/>
  <c r="AG5"/>
  <c r="AG6"/>
  <c r="AG7"/>
  <c r="AG8"/>
  <c r="AG9"/>
  <c r="AG10"/>
  <c r="AG11"/>
  <c r="AG12"/>
  <c r="AG15"/>
  <c r="AG16"/>
  <c r="AG17"/>
  <c r="AG18"/>
  <c r="AG20"/>
  <c r="AG21"/>
  <c r="AG22"/>
  <c r="AG23"/>
  <c r="AG30"/>
  <c r="AG31"/>
  <c r="AG32"/>
  <c r="AG35"/>
  <c r="AG36"/>
  <c r="AG37"/>
  <c r="AG39"/>
  <c r="AG41"/>
  <c r="AG42"/>
  <c r="AG43"/>
  <c r="AG47"/>
  <c r="AG48"/>
  <c r="AG49"/>
  <c r="AG52"/>
  <c r="AG53"/>
  <c r="AG55"/>
  <c r="AG57"/>
  <c r="AG58"/>
  <c r="AG65"/>
  <c r="AG66"/>
  <c r="AG67"/>
  <c r="AG70"/>
  <c r="AG71"/>
  <c r="AG73"/>
  <c r="AG74"/>
  <c r="AG75"/>
  <c r="AG79"/>
  <c r="AG80"/>
  <c r="AG81"/>
  <c r="AG84"/>
  <c r="AG85"/>
  <c r="AG87"/>
  <c r="AG89"/>
  <c r="AG90"/>
  <c r="AG94"/>
  <c r="AG95"/>
  <c r="AG96"/>
  <c r="AG100"/>
  <c r="AG101"/>
  <c r="AG104"/>
  <c r="AG106"/>
  <c r="AG107"/>
  <c r="AG112"/>
  <c r="AG113"/>
  <c r="AG114"/>
  <c r="AG117"/>
  <c r="AG118"/>
  <c r="AG120"/>
  <c r="AG123"/>
  <c r="AG124"/>
  <c r="AG125"/>
  <c r="AG129"/>
  <c r="AG130"/>
  <c r="AG131"/>
  <c r="AG134"/>
  <c r="AG135"/>
  <c r="AG137"/>
  <c r="AG139"/>
  <c r="AG140"/>
  <c r="AG145"/>
  <c r="AG146"/>
  <c r="AG147"/>
  <c r="AG150"/>
  <c r="AG151"/>
  <c r="AG154"/>
  <c r="AG156"/>
  <c r="AG157"/>
  <c r="AG2"/>
  <c r="S3"/>
  <c r="S4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2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3"/>
  <c r="O4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2"/>
  <c r="AE65" i="3"/>
  <c r="B3" i="21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2"/>
  <c r="B3" i="20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2"/>
  <c r="W164" i="3"/>
  <c r="W165"/>
  <c r="W166"/>
  <c r="W167"/>
  <c r="W168"/>
  <c r="W169"/>
  <c r="W170"/>
  <c r="W171"/>
  <c r="W172"/>
  <c r="W173"/>
  <c r="W174"/>
  <c r="W175"/>
  <c r="W176"/>
  <c r="W177"/>
  <c r="W178"/>
  <c r="W179"/>
  <c r="W180"/>
  <c r="W181"/>
  <c r="W182"/>
  <c r="W183"/>
  <c r="W184"/>
  <c r="W185"/>
  <c r="W186"/>
  <c r="W187"/>
  <c r="W188"/>
  <c r="W189"/>
  <c r="W190"/>
  <c r="W191"/>
  <c r="W192"/>
  <c r="W193"/>
  <c r="W194"/>
  <c r="W195"/>
  <c r="W196"/>
  <c r="W197"/>
  <c r="W198"/>
  <c r="W199"/>
  <c r="W200"/>
  <c r="W201"/>
  <c r="W202"/>
  <c r="W203"/>
  <c r="W204"/>
  <c r="W205"/>
  <c r="W206"/>
  <c r="W207"/>
  <c r="W208"/>
  <c r="W209"/>
  <c r="W210"/>
  <c r="W211"/>
  <c r="W212"/>
  <c r="W213"/>
  <c r="W214"/>
  <c r="W215"/>
  <c r="W216"/>
  <c r="W217"/>
  <c r="W218"/>
  <c r="W219"/>
  <c r="W220"/>
  <c r="W221"/>
  <c r="W222"/>
  <c r="W223"/>
  <c r="W224"/>
  <c r="W225"/>
  <c r="W226"/>
  <c r="W227"/>
  <c r="W228"/>
  <c r="W229"/>
  <c r="W230"/>
  <c r="W231"/>
  <c r="W232"/>
  <c r="W233"/>
  <c r="W234"/>
  <c r="W125"/>
  <c r="W126"/>
  <c r="W127"/>
  <c r="W128"/>
  <c r="W101"/>
  <c r="W102"/>
  <c r="W103"/>
  <c r="W104"/>
  <c r="W105"/>
  <c r="W106"/>
  <c r="W107"/>
  <c r="W108"/>
  <c r="W109"/>
  <c r="W110"/>
  <c r="W111"/>
  <c r="W112"/>
  <c r="W113"/>
  <c r="W114"/>
  <c r="W115"/>
  <c r="W116"/>
  <c r="W117"/>
  <c r="W118"/>
  <c r="W119"/>
  <c r="W120"/>
  <c r="W121"/>
  <c r="W123"/>
  <c r="W124"/>
  <c r="AW3" i="26"/>
  <c r="AW4"/>
  <c r="AW5"/>
  <c r="AW6"/>
  <c r="AW7"/>
  <c r="AW8"/>
  <c r="AW9"/>
  <c r="AW10"/>
  <c r="AW11"/>
  <c r="AW12"/>
  <c r="AW13"/>
  <c r="AW14"/>
  <c r="AW15"/>
  <c r="AW16"/>
  <c r="AW17"/>
  <c r="AW18"/>
  <c r="AW19"/>
  <c r="AW20"/>
  <c r="AW23"/>
  <c r="AW24"/>
  <c r="AW25"/>
  <c r="AW26"/>
  <c r="AW27"/>
  <c r="AW28"/>
  <c r="AW29"/>
  <c r="AW30"/>
  <c r="AW31"/>
  <c r="AW32"/>
  <c r="AW33"/>
  <c r="AW34"/>
  <c r="AW35"/>
  <c r="AW36"/>
  <c r="AW37"/>
  <c r="AW38"/>
  <c r="AW39"/>
  <c r="AW40"/>
  <c r="AW42"/>
  <c r="AW43"/>
  <c r="AW44"/>
  <c r="AW45"/>
  <c r="AW46"/>
  <c r="AW47"/>
  <c r="AW48"/>
  <c r="AW49"/>
  <c r="AW50"/>
  <c r="AW51"/>
  <c r="AW52"/>
  <c r="AW53"/>
  <c r="AW54"/>
  <c r="AW55"/>
  <c r="AW56"/>
  <c r="AW58"/>
  <c r="AW59"/>
  <c r="AW60"/>
  <c r="AW61"/>
  <c r="AW62"/>
  <c r="AW63"/>
  <c r="AW64"/>
  <c r="AW65"/>
  <c r="AW66"/>
  <c r="AW67"/>
  <c r="AW68"/>
  <c r="AW69"/>
  <c r="AW70"/>
  <c r="AW71"/>
  <c r="AW72"/>
  <c r="AW73"/>
  <c r="AW75"/>
  <c r="AW76"/>
  <c r="AW77"/>
  <c r="AW78"/>
  <c r="AW79"/>
  <c r="AW80"/>
  <c r="AW81"/>
  <c r="AW82"/>
  <c r="AW83"/>
  <c r="AW84"/>
  <c r="AW85"/>
  <c r="AW86"/>
  <c r="AW87"/>
  <c r="AW88"/>
  <c r="AW90"/>
  <c r="AW91"/>
  <c r="AW92"/>
  <c r="AW93"/>
  <c r="AW94"/>
  <c r="AW95"/>
  <c r="AW96"/>
  <c r="AW97"/>
  <c r="AW98"/>
  <c r="AW99"/>
  <c r="AW100"/>
  <c r="AW101"/>
  <c r="AW102"/>
  <c r="AW103"/>
  <c r="AW104"/>
  <c r="AW105"/>
  <c r="AW107"/>
  <c r="AW108"/>
  <c r="AW109"/>
  <c r="AW110"/>
  <c r="AW111"/>
  <c r="AW112"/>
  <c r="AW113"/>
  <c r="AW114"/>
  <c r="AW115"/>
  <c r="AW116"/>
  <c r="AW117"/>
  <c r="AW118"/>
  <c r="AW119"/>
  <c r="AW120"/>
  <c r="AW121"/>
  <c r="AW122"/>
  <c r="AW124"/>
  <c r="AW125"/>
  <c r="AW126"/>
  <c r="AW127"/>
  <c r="AW128"/>
  <c r="AW129"/>
  <c r="AW130"/>
  <c r="AW131"/>
  <c r="AW132"/>
  <c r="AW133"/>
  <c r="AW134"/>
  <c r="AW135"/>
  <c r="AW136"/>
  <c r="AW137"/>
  <c r="AW138"/>
  <c r="AW140"/>
  <c r="AW141"/>
  <c r="AW142"/>
  <c r="AW143"/>
  <c r="AW144"/>
  <c r="AW145"/>
  <c r="AW146"/>
  <c r="AW147"/>
  <c r="AW148"/>
  <c r="AW149"/>
  <c r="AW150"/>
  <c r="AW151"/>
  <c r="AW152"/>
  <c r="AW153"/>
  <c r="AW154"/>
  <c r="AW155"/>
  <c r="AW157"/>
  <c r="AW2"/>
  <c r="B4" i="28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3"/>
  <c r="B2"/>
  <c r="AV21" i="26"/>
  <c r="AV9"/>
  <c r="AV8"/>
  <c r="AV2"/>
  <c r="AV10"/>
  <c r="AV12"/>
  <c r="AV5"/>
  <c r="AV3"/>
  <c r="AV7"/>
  <c r="AV6"/>
  <c r="AV4"/>
  <c r="AV14"/>
  <c r="AV13"/>
  <c r="AV15"/>
  <c r="AV16"/>
  <c r="AV17"/>
  <c r="AV18"/>
  <c r="AV22"/>
  <c r="AV23"/>
  <c r="AV24"/>
  <c r="AV28"/>
  <c r="AV27"/>
  <c r="AV25"/>
  <c r="AV26"/>
  <c r="AV29"/>
  <c r="AV30"/>
  <c r="AV31"/>
  <c r="AV32"/>
  <c r="AV33"/>
  <c r="AV35"/>
  <c r="AV37"/>
  <c r="AV36"/>
  <c r="AV40"/>
  <c r="AV41"/>
  <c r="AV43"/>
  <c r="AV42"/>
  <c r="AV45"/>
  <c r="AV44"/>
  <c r="AV46"/>
  <c r="AV47"/>
  <c r="AV48"/>
  <c r="AV49"/>
  <c r="AV50"/>
  <c r="AV52"/>
  <c r="AV53"/>
  <c r="AV56"/>
  <c r="AV57"/>
  <c r="AV58"/>
  <c r="AV59"/>
  <c r="AV60"/>
  <c r="AV62"/>
  <c r="AV61"/>
  <c r="AV64"/>
  <c r="AV65"/>
  <c r="AV66"/>
  <c r="AV67"/>
  <c r="AV68"/>
  <c r="AV70"/>
  <c r="AV71"/>
  <c r="AV74"/>
  <c r="AV75"/>
  <c r="AV76"/>
  <c r="AV78"/>
  <c r="AV77"/>
  <c r="AV79"/>
  <c r="AV80"/>
  <c r="AV81"/>
  <c r="AV82"/>
  <c r="AV84"/>
  <c r="AV85"/>
  <c r="AV88"/>
  <c r="AV89"/>
  <c r="AV90"/>
  <c r="AV91"/>
  <c r="AV92"/>
  <c r="AV93"/>
  <c r="AV94"/>
  <c r="AV95"/>
  <c r="AV96"/>
  <c r="AV98"/>
  <c r="AV100"/>
  <c r="AV101"/>
  <c r="AV102"/>
  <c r="AV105"/>
  <c r="AV106"/>
  <c r="AV107"/>
  <c r="AV110"/>
  <c r="AV111"/>
  <c r="AV109"/>
  <c r="AV108"/>
  <c r="AV112"/>
  <c r="AV113"/>
  <c r="AV114"/>
  <c r="AV115"/>
  <c r="AV117"/>
  <c r="AV118"/>
  <c r="AV122"/>
  <c r="AV121"/>
  <c r="AV123"/>
  <c r="AV125"/>
  <c r="AV124"/>
  <c r="AV126"/>
  <c r="AV127"/>
  <c r="AV128"/>
  <c r="AV129"/>
  <c r="AV130"/>
  <c r="AV131"/>
  <c r="AV132"/>
  <c r="AV134"/>
  <c r="AV135"/>
  <c r="AV138"/>
  <c r="AV139"/>
  <c r="AV140"/>
  <c r="AV141"/>
  <c r="AV142"/>
  <c r="AV143"/>
  <c r="AV145"/>
  <c r="AV146"/>
  <c r="AV147"/>
  <c r="AV148"/>
  <c r="AV150"/>
  <c r="AV151"/>
  <c r="AV152"/>
  <c r="AV155"/>
  <c r="AV156"/>
  <c r="AV157"/>
  <c r="AV63"/>
  <c r="AV97"/>
  <c r="AV144"/>
  <c r="AV20"/>
  <c r="AV39"/>
  <c r="AV55"/>
  <c r="AV73"/>
  <c r="AV87"/>
  <c r="AV104"/>
  <c r="AV120"/>
  <c r="AV137"/>
  <c r="AV154"/>
  <c r="AV19"/>
  <c r="AV38"/>
  <c r="AV54"/>
  <c r="AV72"/>
  <c r="AV86"/>
  <c r="AV103"/>
  <c r="AV119"/>
  <c r="AV136"/>
  <c r="AV153"/>
  <c r="AV34"/>
  <c r="AV51"/>
  <c r="AV69"/>
  <c r="AV83"/>
  <c r="AV99"/>
  <c r="AV116"/>
  <c r="AV133"/>
  <c r="AV149"/>
  <c r="AV11"/>
  <c r="AT21"/>
  <c r="AT9"/>
  <c r="AT8"/>
  <c r="AT2"/>
  <c r="AT10"/>
  <c r="AT12"/>
  <c r="AT5"/>
  <c r="AT3"/>
  <c r="AT7"/>
  <c r="AT6"/>
  <c r="AT4"/>
  <c r="AT14"/>
  <c r="AT13"/>
  <c r="AT15"/>
  <c r="AT16"/>
  <c r="AT17"/>
  <c r="AT18"/>
  <c r="AT22"/>
  <c r="AT23"/>
  <c r="AT24"/>
  <c r="AT28"/>
  <c r="AT27"/>
  <c r="AT25"/>
  <c r="AT26"/>
  <c r="AT29"/>
  <c r="AT30"/>
  <c r="AT31"/>
  <c r="AT32"/>
  <c r="AT33"/>
  <c r="AT35"/>
  <c r="AT37"/>
  <c r="AT36"/>
  <c r="AT41"/>
  <c r="AT43"/>
  <c r="AT42"/>
  <c r="AT45"/>
  <c r="AT44"/>
  <c r="AT46"/>
  <c r="AT47"/>
  <c r="AT48"/>
  <c r="AT49"/>
  <c r="AT50"/>
  <c r="AT52"/>
  <c r="AT53"/>
  <c r="AT56"/>
  <c r="AT57"/>
  <c r="AT58"/>
  <c r="AT59"/>
  <c r="AT60"/>
  <c r="AT62"/>
  <c r="AT61"/>
  <c r="AT64"/>
  <c r="AT65"/>
  <c r="AT66"/>
  <c r="AT67"/>
  <c r="AT68"/>
  <c r="AT70"/>
  <c r="AT71"/>
  <c r="AT74"/>
  <c r="AT75"/>
  <c r="AT76"/>
  <c r="AT78"/>
  <c r="AT77"/>
  <c r="AT79"/>
  <c r="AT80"/>
  <c r="AT81"/>
  <c r="AT82"/>
  <c r="AT84"/>
  <c r="AT85"/>
  <c r="AT89"/>
  <c r="AT90"/>
  <c r="AT91"/>
  <c r="AT92"/>
  <c r="AT93"/>
  <c r="AT94"/>
  <c r="AT95"/>
  <c r="AT96"/>
  <c r="AT98"/>
  <c r="AT100"/>
  <c r="AT101"/>
  <c r="AT102"/>
  <c r="AT106"/>
  <c r="AT107"/>
  <c r="AT110"/>
  <c r="AT111"/>
  <c r="AT109"/>
  <c r="AT108"/>
  <c r="AT112"/>
  <c r="AT113"/>
  <c r="AT114"/>
  <c r="AT115"/>
  <c r="AT117"/>
  <c r="AT118"/>
  <c r="AT122"/>
  <c r="AT123"/>
  <c r="AT125"/>
  <c r="AT124"/>
  <c r="AT126"/>
  <c r="AT127"/>
  <c r="AT128"/>
  <c r="AT129"/>
  <c r="AT130"/>
  <c r="AT131"/>
  <c r="AT132"/>
  <c r="AT134"/>
  <c r="AT135"/>
  <c r="AT138"/>
  <c r="AT139"/>
  <c r="AT140"/>
  <c r="AT141"/>
  <c r="AT142"/>
  <c r="AT143"/>
  <c r="AT145"/>
  <c r="AT146"/>
  <c r="AT147"/>
  <c r="AT148"/>
  <c r="AT150"/>
  <c r="AT151"/>
  <c r="AT152"/>
  <c r="AT156"/>
  <c r="AT157"/>
  <c r="AT63"/>
  <c r="AT97"/>
  <c r="AT144"/>
  <c r="AT34"/>
  <c r="AT51"/>
  <c r="AT69"/>
  <c r="AT83"/>
  <c r="AT99"/>
  <c r="AT116"/>
  <c r="AT133"/>
  <c r="AT149"/>
  <c r="AP21"/>
  <c r="AP9"/>
  <c r="AP8"/>
  <c r="AP2"/>
  <c r="AP10"/>
  <c r="AP12"/>
  <c r="AP5"/>
  <c r="AP3"/>
  <c r="AP7"/>
  <c r="AP6"/>
  <c r="AP4"/>
  <c r="AP14"/>
  <c r="AP13"/>
  <c r="AP15"/>
  <c r="AP16"/>
  <c r="AP17"/>
  <c r="AP18"/>
  <c r="AP22"/>
  <c r="AP23"/>
  <c r="AP24"/>
  <c r="AP28"/>
  <c r="AP27"/>
  <c r="AP25"/>
  <c r="AP26"/>
  <c r="AP29"/>
  <c r="AP30"/>
  <c r="AP31"/>
  <c r="AP32"/>
  <c r="AP33"/>
  <c r="AP35"/>
  <c r="AP37"/>
  <c r="AP36"/>
  <c r="AP41"/>
  <c r="AP43"/>
  <c r="AP42"/>
  <c r="AP45"/>
  <c r="AP44"/>
  <c r="AP46"/>
  <c r="AP47"/>
  <c r="AP48"/>
  <c r="AP49"/>
  <c r="AP50"/>
  <c r="AP52"/>
  <c r="AP53"/>
  <c r="AP56"/>
  <c r="AP57"/>
  <c r="AP58"/>
  <c r="AP59"/>
  <c r="AP60"/>
  <c r="AP62"/>
  <c r="AP61"/>
  <c r="AP64"/>
  <c r="AP65"/>
  <c r="AP66"/>
  <c r="AP67"/>
  <c r="AP68"/>
  <c r="AP70"/>
  <c r="AP71"/>
  <c r="AP74"/>
  <c r="AP75"/>
  <c r="AP76"/>
  <c r="AP78"/>
  <c r="AP77"/>
  <c r="AP79"/>
  <c r="AP80"/>
  <c r="AP81"/>
  <c r="AP82"/>
  <c r="AP84"/>
  <c r="AP85"/>
  <c r="AP89"/>
  <c r="AP90"/>
  <c r="AP91"/>
  <c r="AP92"/>
  <c r="AP93"/>
  <c r="AP94"/>
  <c r="AP95"/>
  <c r="AP96"/>
  <c r="AP98"/>
  <c r="AP100"/>
  <c r="AP101"/>
  <c r="AP102"/>
  <c r="AP106"/>
  <c r="AP107"/>
  <c r="AP110"/>
  <c r="AP111"/>
  <c r="AP109"/>
  <c r="AP108"/>
  <c r="AP112"/>
  <c r="AP113"/>
  <c r="AP114"/>
  <c r="AP115"/>
  <c r="AP117"/>
  <c r="AP118"/>
  <c r="AP122"/>
  <c r="AP123"/>
  <c r="AP125"/>
  <c r="AP124"/>
  <c r="AP126"/>
  <c r="AP127"/>
  <c r="AP128"/>
  <c r="AP129"/>
  <c r="AP130"/>
  <c r="AP131"/>
  <c r="AP132"/>
  <c r="AP134"/>
  <c r="AP135"/>
  <c r="AP138"/>
  <c r="AP139"/>
  <c r="AP140"/>
  <c r="AP141"/>
  <c r="AP142"/>
  <c r="AP143"/>
  <c r="AP145"/>
  <c r="AP146"/>
  <c r="AP147"/>
  <c r="AP148"/>
  <c r="AP150"/>
  <c r="AP151"/>
  <c r="AP152"/>
  <c r="AP156"/>
  <c r="AP157"/>
  <c r="AP63"/>
  <c r="AP97"/>
  <c r="AP144"/>
  <c r="AP20"/>
  <c r="AP39"/>
  <c r="AP55"/>
  <c r="AP73"/>
  <c r="AP87"/>
  <c r="AP104"/>
  <c r="AP120"/>
  <c r="AP137"/>
  <c r="AP154"/>
  <c r="AP34"/>
  <c r="AP51"/>
  <c r="AP69"/>
  <c r="AP83"/>
  <c r="AP99"/>
  <c r="AP116"/>
  <c r="AP133"/>
  <c r="AP149"/>
  <c r="AP11"/>
  <c r="AX11" s="1"/>
  <c r="AX21"/>
  <c r="AX9"/>
  <c r="AX8"/>
  <c r="AX2"/>
  <c r="AX10"/>
  <c r="AX12"/>
  <c r="AX5"/>
  <c r="AX3"/>
  <c r="AX7"/>
  <c r="AX6"/>
  <c r="AX4"/>
  <c r="AX14"/>
  <c r="AX13"/>
  <c r="AX15"/>
  <c r="AX16"/>
  <c r="AX17"/>
  <c r="AX18"/>
  <c r="AX22"/>
  <c r="AX23"/>
  <c r="AX24"/>
  <c r="AX28"/>
  <c r="AX27"/>
  <c r="AX25"/>
  <c r="AX26"/>
  <c r="AX29"/>
  <c r="AX30"/>
  <c r="AX31"/>
  <c r="AX32"/>
  <c r="AX33"/>
  <c r="AX35"/>
  <c r="AX37"/>
  <c r="AX36"/>
  <c r="AX41"/>
  <c r="AX43"/>
  <c r="AX42"/>
  <c r="AX45"/>
  <c r="AX44"/>
  <c r="AX46"/>
  <c r="AX47"/>
  <c r="AX48"/>
  <c r="AX49"/>
  <c r="AX50"/>
  <c r="AX52"/>
  <c r="AX53"/>
  <c r="AX56"/>
  <c r="AX57"/>
  <c r="AX58"/>
  <c r="AX59"/>
  <c r="AX60"/>
  <c r="AX62"/>
  <c r="AX61"/>
  <c r="AX64"/>
  <c r="AX65"/>
  <c r="AX66"/>
  <c r="AX67"/>
  <c r="AX68"/>
  <c r="AX70"/>
  <c r="AX71"/>
  <c r="AX74"/>
  <c r="AX75"/>
  <c r="AX76"/>
  <c r="AX78"/>
  <c r="AX77"/>
  <c r="AX79"/>
  <c r="AX80"/>
  <c r="AX81"/>
  <c r="AX82"/>
  <c r="AX84"/>
  <c r="AX85"/>
  <c r="AX89"/>
  <c r="M153"/>
  <c r="AO21"/>
  <c r="AO9"/>
  <c r="AO8"/>
  <c r="AO2"/>
  <c r="AO10"/>
  <c r="AO12"/>
  <c r="AO5"/>
  <c r="AO3"/>
  <c r="AO7"/>
  <c r="AO6"/>
  <c r="AO4"/>
  <c r="AO14"/>
  <c r="AO13"/>
  <c r="AO15"/>
  <c r="AO16"/>
  <c r="AO17"/>
  <c r="AO18"/>
  <c r="AO22"/>
  <c r="AO23"/>
  <c r="AO24"/>
  <c r="AO28"/>
  <c r="AO27"/>
  <c r="AO25"/>
  <c r="AO26"/>
  <c r="AO29"/>
  <c r="AO30"/>
  <c r="AO31"/>
  <c r="AO32"/>
  <c r="AO33"/>
  <c r="AO35"/>
  <c r="AO37"/>
  <c r="AO36"/>
  <c r="AO40"/>
  <c r="AO41"/>
  <c r="AO43"/>
  <c r="AO42"/>
  <c r="AO45"/>
  <c r="AO44"/>
  <c r="AO46"/>
  <c r="AO47"/>
  <c r="AO48"/>
  <c r="AO49"/>
  <c r="AO50"/>
  <c r="AO52"/>
  <c r="AO53"/>
  <c r="AO56"/>
  <c r="AO57"/>
  <c r="AO58"/>
  <c r="AO59"/>
  <c r="AO60"/>
  <c r="AO62"/>
  <c r="AO61"/>
  <c r="AO64"/>
  <c r="AO65"/>
  <c r="AO66"/>
  <c r="AO67"/>
  <c r="AO68"/>
  <c r="AO70"/>
  <c r="AO71"/>
  <c r="AO74"/>
  <c r="AO75"/>
  <c r="AO76"/>
  <c r="AO78"/>
  <c r="AO77"/>
  <c r="AO79"/>
  <c r="AO80"/>
  <c r="AO81"/>
  <c r="AO82"/>
  <c r="AO84"/>
  <c r="AO85"/>
  <c r="AO88"/>
  <c r="AO89"/>
  <c r="AO90"/>
  <c r="AO91"/>
  <c r="AO92"/>
  <c r="AO93"/>
  <c r="AO94"/>
  <c r="AO95"/>
  <c r="AO96"/>
  <c r="AO98"/>
  <c r="AO100"/>
  <c r="AO101"/>
  <c r="AO102"/>
  <c r="AO105"/>
  <c r="AO106"/>
  <c r="AO107"/>
  <c r="AO110"/>
  <c r="AO111"/>
  <c r="AO109"/>
  <c r="AO108"/>
  <c r="AO112"/>
  <c r="AO113"/>
  <c r="AO114"/>
  <c r="AO115"/>
  <c r="AO117"/>
  <c r="AO118"/>
  <c r="AO122"/>
  <c r="AO121"/>
  <c r="AO123"/>
  <c r="AO125"/>
  <c r="AO124"/>
  <c r="AO126"/>
  <c r="AO127"/>
  <c r="AO128"/>
  <c r="AO129"/>
  <c r="AO130"/>
  <c r="AO131"/>
  <c r="AO132"/>
  <c r="AO134"/>
  <c r="AO135"/>
  <c r="AO138"/>
  <c r="AO139"/>
  <c r="AO140"/>
  <c r="AO141"/>
  <c r="AO142"/>
  <c r="AO143"/>
  <c r="AO145"/>
  <c r="AO146"/>
  <c r="AO147"/>
  <c r="AO148"/>
  <c r="AO150"/>
  <c r="AO151"/>
  <c r="AO152"/>
  <c r="AO155"/>
  <c r="AO156"/>
  <c r="AO157"/>
  <c r="AO63"/>
  <c r="AO97"/>
  <c r="AO20"/>
  <c r="AU20" s="1"/>
  <c r="AO39"/>
  <c r="AO55"/>
  <c r="AU55" s="1"/>
  <c r="AO73"/>
  <c r="AO87"/>
  <c r="AU87" s="1"/>
  <c r="AO104"/>
  <c r="AO120"/>
  <c r="AU120" s="1"/>
  <c r="AO137"/>
  <c r="AO154"/>
  <c r="AU154" s="1"/>
  <c r="AO19"/>
  <c r="AO38"/>
  <c r="AU38" s="1"/>
  <c r="AO54"/>
  <c r="AO72"/>
  <c r="AU72" s="1"/>
  <c r="AO86"/>
  <c r="AO103"/>
  <c r="AU103" s="1"/>
  <c r="AO119"/>
  <c r="AO136"/>
  <c r="AU136" s="1"/>
  <c r="AO153"/>
  <c r="AO34"/>
  <c r="AU34" s="1"/>
  <c r="AO51"/>
  <c r="AO69"/>
  <c r="AU69" s="1"/>
  <c r="AO83"/>
  <c r="AO99"/>
  <c r="AU99" s="1"/>
  <c r="AO116"/>
  <c r="AO133"/>
  <c r="AU133" s="1"/>
  <c r="AO149"/>
  <c r="AO11"/>
  <c r="AU11" s="1"/>
  <c r="AA2"/>
  <c r="AT11"/>
  <c r="AU21"/>
  <c r="AU9"/>
  <c r="AU8"/>
  <c r="AU2"/>
  <c r="AU10"/>
  <c r="AU12"/>
  <c r="AU5"/>
  <c r="AU3"/>
  <c r="AU7"/>
  <c r="AU6"/>
  <c r="AU4"/>
  <c r="AU14"/>
  <c r="AU13"/>
  <c r="AU15"/>
  <c r="AU16"/>
  <c r="AU17"/>
  <c r="AU18"/>
  <c r="AU22"/>
  <c r="AU23"/>
  <c r="AU24"/>
  <c r="AU28"/>
  <c r="AU27"/>
  <c r="AU25"/>
  <c r="AU26"/>
  <c r="AU29"/>
  <c r="AU30"/>
  <c r="AU31"/>
  <c r="AU32"/>
  <c r="AU33"/>
  <c r="AU35"/>
  <c r="AU37"/>
  <c r="AU36"/>
  <c r="AU40"/>
  <c r="AU41"/>
  <c r="AU43"/>
  <c r="AU42"/>
  <c r="AU45"/>
  <c r="AU44"/>
  <c r="AU46"/>
  <c r="AU47"/>
  <c r="AU48"/>
  <c r="AU49"/>
  <c r="AU50"/>
  <c r="AU52"/>
  <c r="AU53"/>
  <c r="AU56"/>
  <c r="AU57"/>
  <c r="AU58"/>
  <c r="AU59"/>
  <c r="AU60"/>
  <c r="AU62"/>
  <c r="AU61"/>
  <c r="AU64"/>
  <c r="AU65"/>
  <c r="AU66"/>
  <c r="AU67"/>
  <c r="AU68"/>
  <c r="AU70"/>
  <c r="AU71"/>
  <c r="AU74"/>
  <c r="AU75"/>
  <c r="AU76"/>
  <c r="AU78"/>
  <c r="AU77"/>
  <c r="AU79"/>
  <c r="AU80"/>
  <c r="AU81"/>
  <c r="AU82"/>
  <c r="AU84"/>
  <c r="AU85"/>
  <c r="AU88"/>
  <c r="AU89"/>
  <c r="AU90"/>
  <c r="AU91"/>
  <c r="AU92"/>
  <c r="AU93"/>
  <c r="AU94"/>
  <c r="AU95"/>
  <c r="AU96"/>
  <c r="AU98"/>
  <c r="AU100"/>
  <c r="AU101"/>
  <c r="AU102"/>
  <c r="AU105"/>
  <c r="AU106"/>
  <c r="AU107"/>
  <c r="AU110"/>
  <c r="AU111"/>
  <c r="AU109"/>
  <c r="AU108"/>
  <c r="AU112"/>
  <c r="AU113"/>
  <c r="AU114"/>
  <c r="AU115"/>
  <c r="AU117"/>
  <c r="AU118"/>
  <c r="AU122"/>
  <c r="AU121"/>
  <c r="AU123"/>
  <c r="AU125"/>
  <c r="AU124"/>
  <c r="AU126"/>
  <c r="AU127"/>
  <c r="AU128"/>
  <c r="AU129"/>
  <c r="AU130"/>
  <c r="AU131"/>
  <c r="AU132"/>
  <c r="AU134"/>
  <c r="AU135"/>
  <c r="AU138"/>
  <c r="AU139"/>
  <c r="AU140"/>
  <c r="AU141"/>
  <c r="AU142"/>
  <c r="AU143"/>
  <c r="AU145"/>
  <c r="AU146"/>
  <c r="AU147"/>
  <c r="AU148"/>
  <c r="AU150"/>
  <c r="AU151"/>
  <c r="AU152"/>
  <c r="AU155"/>
  <c r="AU156"/>
  <c r="AU157"/>
  <c r="AU63"/>
  <c r="AU97"/>
  <c r="AU144"/>
  <c r="AU39"/>
  <c r="AU73"/>
  <c r="AU104"/>
  <c r="AU137"/>
  <c r="AU19"/>
  <c r="AU54"/>
  <c r="AU86"/>
  <c r="AU119"/>
  <c r="AU153"/>
  <c r="AU51"/>
  <c r="AU83"/>
  <c r="AU116"/>
  <c r="AU149"/>
  <c r="BB5"/>
  <c r="BB3"/>
  <c r="BB7"/>
  <c r="BB6"/>
  <c r="BB4"/>
  <c r="AE9"/>
  <c r="AE2"/>
  <c r="AE12"/>
  <c r="AE3"/>
  <c r="AE6"/>
  <c r="AE14"/>
  <c r="AE15"/>
  <c r="AE17"/>
  <c r="AE22"/>
  <c r="AE24"/>
  <c r="AE27"/>
  <c r="AE26"/>
  <c r="AE30"/>
  <c r="AE32"/>
  <c r="AE35"/>
  <c r="AE36"/>
  <c r="AE43"/>
  <c r="AE45"/>
  <c r="AE46"/>
  <c r="AE48"/>
  <c r="AE50"/>
  <c r="AE53"/>
  <c r="AE57"/>
  <c r="AE59"/>
  <c r="AE62"/>
  <c r="AE64"/>
  <c r="AE66"/>
  <c r="AE68"/>
  <c r="AE71"/>
  <c r="AE75"/>
  <c r="AE78"/>
  <c r="AE79"/>
  <c r="AE81"/>
  <c r="AE84"/>
  <c r="AE89"/>
  <c r="AE91"/>
  <c r="AE93"/>
  <c r="AE95"/>
  <c r="AE98"/>
  <c r="AE101"/>
  <c r="AE106"/>
  <c r="AE110"/>
  <c r="AE109"/>
  <c r="AE112"/>
  <c r="AE114"/>
  <c r="AE117"/>
  <c r="AE122"/>
  <c r="AE125"/>
  <c r="AE126"/>
  <c r="AE128"/>
  <c r="AE130"/>
  <c r="AE132"/>
  <c r="AE135"/>
  <c r="AE139"/>
  <c r="AE141"/>
  <c r="AE143"/>
  <c r="AE146"/>
  <c r="AE148"/>
  <c r="AE156"/>
  <c r="AE63"/>
  <c r="AE99"/>
  <c r="AK20" a="1"/>
  <c r="AK20" s="1"/>
  <c r="AM20" s="1"/>
  <c r="AK39" a="1"/>
  <c r="AK39" s="1"/>
  <c r="AM39" s="1"/>
  <c r="AK55" a="1"/>
  <c r="AK55" s="1"/>
  <c r="AM55" s="1"/>
  <c r="AK73" a="1"/>
  <c r="AK73" s="1"/>
  <c r="AM73" s="1"/>
  <c r="AK87" a="1"/>
  <c r="AK87" s="1"/>
  <c r="AM87" s="1"/>
  <c r="AK104" a="1"/>
  <c r="AK104" s="1"/>
  <c r="AM104" s="1"/>
  <c r="AK120" a="1"/>
  <c r="AK120" s="1"/>
  <c r="AM120" s="1"/>
  <c r="AK137" a="1"/>
  <c r="AK137" s="1"/>
  <c r="AM137" s="1"/>
  <c r="AK154" a="1"/>
  <c r="AK154" s="1"/>
  <c r="AM154" s="1"/>
  <c r="AK19" a="1"/>
  <c r="AK19" s="1"/>
  <c r="AM19" s="1"/>
  <c r="AK38" a="1"/>
  <c r="AK38" s="1"/>
  <c r="AM38" s="1"/>
  <c r="AK54" a="1"/>
  <c r="AK54" s="1"/>
  <c r="AM54" s="1"/>
  <c r="AK72" a="1"/>
  <c r="AK72" s="1"/>
  <c r="AM72" s="1"/>
  <c r="AK86" a="1"/>
  <c r="AK86" s="1"/>
  <c r="AM86" s="1"/>
  <c r="AK103" a="1"/>
  <c r="AK103" s="1"/>
  <c r="AM103" s="1"/>
  <c r="AK119" a="1"/>
  <c r="AK119" s="1"/>
  <c r="AM119" s="1"/>
  <c r="AK136" a="1"/>
  <c r="AK136" s="1"/>
  <c r="AM136" s="1"/>
  <c r="AK153" a="1"/>
  <c r="AK153" s="1"/>
  <c r="AM153" s="1"/>
  <c r="AK34" a="1"/>
  <c r="AK34" s="1"/>
  <c r="AM34" s="1"/>
  <c r="AK51" a="1"/>
  <c r="AK51" s="1"/>
  <c r="AM51" s="1"/>
  <c r="AK69" a="1"/>
  <c r="AK69" s="1"/>
  <c r="AM69" s="1"/>
  <c r="AK83" a="1"/>
  <c r="AK83" s="1"/>
  <c r="AM83" s="1"/>
  <c r="AK99" a="1"/>
  <c r="AK99" s="1"/>
  <c r="AM99" s="1"/>
  <c r="AK116" a="1"/>
  <c r="AK116" s="1"/>
  <c r="AM116" s="1"/>
  <c r="AK133" a="1"/>
  <c r="AK133" s="1"/>
  <c r="AM133" s="1"/>
  <c r="AK149" a="1"/>
  <c r="AK149" s="1"/>
  <c r="AM149" s="1"/>
  <c r="J34"/>
  <c r="K34" s="1" a="1"/>
  <c r="K34" s="1"/>
  <c r="J51"/>
  <c r="K51" s="1" a="1"/>
  <c r="K51" s="1"/>
  <c r="J69"/>
  <c r="K69" s="1" a="1"/>
  <c r="K69" s="1"/>
  <c r="J83"/>
  <c r="K83" s="1" a="1"/>
  <c r="K83" s="1"/>
  <c r="J99"/>
  <c r="K99" s="1" a="1"/>
  <c r="K99" s="1"/>
  <c r="J116"/>
  <c r="K116" s="1" a="1"/>
  <c r="K116" s="1"/>
  <c r="J133"/>
  <c r="K133" s="1" a="1"/>
  <c r="K133" s="1"/>
  <c r="J149"/>
  <c r="K149" s="1" a="1"/>
  <c r="K149" s="1"/>
  <c r="G149"/>
  <c r="Z149"/>
  <c r="G133"/>
  <c r="Z133"/>
  <c r="G116"/>
  <c r="Z116"/>
  <c r="G99"/>
  <c r="Z99"/>
  <c r="G83"/>
  <c r="Z83"/>
  <c r="G69"/>
  <c r="Z69"/>
  <c r="G51"/>
  <c r="Z51"/>
  <c r="G34"/>
  <c r="Z34"/>
  <c r="J136"/>
  <c r="K144" a="1"/>
  <c r="K144" s="1"/>
  <c r="K136" a="1"/>
  <c r="K136" s="1"/>
  <c r="J63"/>
  <c r="J97"/>
  <c r="J20"/>
  <c r="K20" s="1" a="1"/>
  <c r="K20" s="1"/>
  <c r="J39"/>
  <c r="K39" s="1" a="1"/>
  <c r="K39" s="1"/>
  <c r="J55"/>
  <c r="K55" s="1" a="1"/>
  <c r="K55" s="1"/>
  <c r="J73"/>
  <c r="K73" s="1" a="1"/>
  <c r="K73" s="1"/>
  <c r="J87"/>
  <c r="K87" s="1" a="1"/>
  <c r="K87" s="1"/>
  <c r="J104"/>
  <c r="K104" s="1" a="1"/>
  <c r="K104" s="1"/>
  <c r="J120"/>
  <c r="K120" s="1" a="1"/>
  <c r="K120" s="1"/>
  <c r="J137"/>
  <c r="K137" s="1" a="1"/>
  <c r="K137" s="1"/>
  <c r="J154"/>
  <c r="K154" s="1" a="1"/>
  <c r="K154" s="1"/>
  <c r="J19"/>
  <c r="K19" s="1" a="1"/>
  <c r="K19" s="1"/>
  <c r="J38"/>
  <c r="K38" s="1" a="1"/>
  <c r="K38" s="1"/>
  <c r="J54"/>
  <c r="K54" s="1" a="1"/>
  <c r="K54" s="1"/>
  <c r="J72"/>
  <c r="K72" s="1" a="1"/>
  <c r="K72" s="1"/>
  <c r="J86"/>
  <c r="K86" s="1" a="1"/>
  <c r="K86" s="1"/>
  <c r="J103"/>
  <c r="K103" s="1" a="1"/>
  <c r="K103" s="1"/>
  <c r="J119"/>
  <c r="K119" s="1" a="1"/>
  <c r="K119" s="1"/>
  <c r="J153"/>
  <c r="K153" s="1" a="1"/>
  <c r="K153" s="1"/>
  <c r="K97" a="1"/>
  <c r="K97" s="1"/>
  <c r="G153"/>
  <c r="Z153"/>
  <c r="G136"/>
  <c r="Z136"/>
  <c r="G119"/>
  <c r="Z119"/>
  <c r="G103"/>
  <c r="Z103"/>
  <c r="G86"/>
  <c r="Z86"/>
  <c r="G72"/>
  <c r="Z72"/>
  <c r="G54"/>
  <c r="Z54"/>
  <c r="G38"/>
  <c r="Z38"/>
  <c r="G19"/>
  <c r="Z19"/>
  <c r="G154"/>
  <c r="Z154"/>
  <c r="G137"/>
  <c r="Z137"/>
  <c r="G120"/>
  <c r="Z120"/>
  <c r="G104"/>
  <c r="Z104"/>
  <c r="G87"/>
  <c r="Z87"/>
  <c r="G73"/>
  <c r="Z73"/>
  <c r="G55"/>
  <c r="Z55"/>
  <c r="G39"/>
  <c r="Z39"/>
  <c r="G20"/>
  <c r="Z20"/>
  <c r="AE3" i="3"/>
  <c r="AE4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2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3"/>
  <c r="AF104"/>
  <c r="AF105"/>
  <c r="AF106"/>
  <c r="AF107"/>
  <c r="AF108"/>
  <c r="AF109"/>
  <c r="AF110"/>
  <c r="AF111"/>
  <c r="AF112"/>
  <c r="AF113"/>
  <c r="AF114"/>
  <c r="AF115"/>
  <c r="AF116"/>
  <c r="AF117"/>
  <c r="AF118"/>
  <c r="AF119"/>
  <c r="AF120"/>
  <c r="AF121"/>
  <c r="AF122"/>
  <c r="AF123"/>
  <c r="AF124"/>
  <c r="AF125"/>
  <c r="AF126"/>
  <c r="AF127"/>
  <c r="AF128"/>
  <c r="AF129"/>
  <c r="AF130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5"/>
  <c r="AF156"/>
  <c r="AF157"/>
  <c r="AF158"/>
  <c r="AF159"/>
  <c r="AF160"/>
  <c r="AF161"/>
  <c r="AF162"/>
  <c r="AF163"/>
  <c r="AF41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138"/>
  <c r="M132"/>
  <c r="M152"/>
  <c r="M159"/>
  <c r="M143"/>
  <c r="M124"/>
  <c r="M137"/>
  <c r="M157"/>
  <c r="M134"/>
  <c r="M125"/>
  <c r="M162"/>
  <c r="M130"/>
  <c r="M140"/>
  <c r="M160"/>
  <c r="M158"/>
  <c r="M145"/>
  <c r="M150"/>
  <c r="M129"/>
  <c r="M127"/>
  <c r="M146"/>
  <c r="M148"/>
  <c r="M142"/>
  <c r="M149"/>
  <c r="M156"/>
  <c r="M126"/>
  <c r="M151"/>
  <c r="M155"/>
  <c r="M131"/>
  <c r="M133"/>
  <c r="M163"/>
  <c r="M144"/>
  <c r="M154"/>
  <c r="M153"/>
  <c r="M147"/>
  <c r="M128"/>
  <c r="M136"/>
  <c r="M139"/>
  <c r="M161"/>
  <c r="M123"/>
  <c r="M135"/>
  <c r="M141"/>
  <c r="AE97" i="26" l="1"/>
  <c r="AE157"/>
  <c r="AE152"/>
  <c r="AD11"/>
  <c r="AE34"/>
  <c r="AE150"/>
  <c r="AE147"/>
  <c r="AE145"/>
  <c r="AE142"/>
  <c r="AE140"/>
  <c r="AE138"/>
  <c r="AE134"/>
  <c r="AE131"/>
  <c r="AE129"/>
  <c r="AE127"/>
  <c r="AE124"/>
  <c r="AE123"/>
  <c r="AE118"/>
  <c r="AE115"/>
  <c r="AE113"/>
  <c r="AE108"/>
  <c r="AE111"/>
  <c r="AE107"/>
  <c r="AE102"/>
  <c r="AE100"/>
  <c r="AE96"/>
  <c r="AE94"/>
  <c r="AE92"/>
  <c r="AE90"/>
  <c r="AE85"/>
  <c r="AE82"/>
  <c r="AE80"/>
  <c r="AE77"/>
  <c r="AE76"/>
  <c r="AE74"/>
  <c r="AE70"/>
  <c r="AE67"/>
  <c r="AE65"/>
  <c r="AE61"/>
  <c r="AE60"/>
  <c r="AE58"/>
  <c r="AE56"/>
  <c r="AE52"/>
  <c r="AE49"/>
  <c r="AE47"/>
  <c r="AE44"/>
  <c r="AE42"/>
  <c r="AE41"/>
  <c r="AE37"/>
  <c r="AE33"/>
  <c r="AE31"/>
  <c r="AE29"/>
  <c r="AE25"/>
  <c r="AE28"/>
  <c r="AE23"/>
  <c r="AE18"/>
  <c r="AE16"/>
  <c r="AE13"/>
  <c r="AE4"/>
  <c r="AE7"/>
  <c r="AE5"/>
  <c r="AE10"/>
  <c r="AE8"/>
  <c r="AE21"/>
  <c r="AE151"/>
  <c r="AE133"/>
  <c r="AE69"/>
  <c r="AE149"/>
  <c r="AE116"/>
  <c r="AE83"/>
  <c r="AE51"/>
  <c r="AE11"/>
  <c r="AD149"/>
  <c r="AD133"/>
  <c r="AD116"/>
  <c r="AD99"/>
  <c r="AD83"/>
  <c r="AD69"/>
  <c r="AD51"/>
  <c r="AD34"/>
  <c r="AD97"/>
  <c r="AD63"/>
  <c r="AD157"/>
  <c r="AD156"/>
  <c r="AD152"/>
  <c r="AD151"/>
  <c r="AD150"/>
  <c r="AD148"/>
  <c r="AD147"/>
  <c r="AD146"/>
  <c r="AD145"/>
  <c r="AD143"/>
  <c r="AD142"/>
  <c r="AD141"/>
  <c r="AD140"/>
  <c r="AD139"/>
  <c r="AD138"/>
  <c r="AD135"/>
  <c r="AD134"/>
  <c r="AD132"/>
  <c r="AD131"/>
  <c r="AD130"/>
  <c r="AD129"/>
  <c r="AD128"/>
  <c r="AD127"/>
  <c r="AD126"/>
  <c r="AD124"/>
  <c r="AD125"/>
  <c r="AD123"/>
  <c r="AD122"/>
  <c r="AD118"/>
  <c r="AD117"/>
  <c r="AD115"/>
  <c r="AD114"/>
  <c r="AD113"/>
  <c r="AD112"/>
  <c r="AD108"/>
  <c r="AD109"/>
  <c r="AD111"/>
  <c r="AD110"/>
  <c r="AD107"/>
  <c r="AD106"/>
  <c r="AD102"/>
  <c r="AD101"/>
  <c r="AD100"/>
  <c r="AD98"/>
  <c r="AD96"/>
  <c r="AD95"/>
  <c r="AD94"/>
  <c r="AD93"/>
  <c r="AD92"/>
  <c r="AD91"/>
  <c r="AD90"/>
  <c r="AD89"/>
  <c r="AD85"/>
  <c r="AD84"/>
  <c r="AD82"/>
  <c r="AD81"/>
  <c r="AD80"/>
  <c r="AD79"/>
  <c r="AD77"/>
  <c r="AD78"/>
  <c r="AD76"/>
  <c r="AD75"/>
  <c r="AD74"/>
  <c r="AD71"/>
  <c r="AD70"/>
  <c r="AD68"/>
  <c r="AD67"/>
  <c r="AD66"/>
  <c r="AD65"/>
  <c r="AD64"/>
  <c r="AD61"/>
  <c r="AD62"/>
  <c r="AD60"/>
  <c r="AD59"/>
  <c r="AD58"/>
  <c r="AD57"/>
  <c r="AD56"/>
  <c r="AD53"/>
  <c r="AD52"/>
  <c r="AD50"/>
  <c r="AD49"/>
  <c r="AD48"/>
  <c r="AD47"/>
  <c r="AD46"/>
  <c r="AD44"/>
  <c r="AD45"/>
  <c r="AD42"/>
  <c r="AD43"/>
  <c r="AD41"/>
  <c r="AD36"/>
  <c r="AD37"/>
  <c r="AD35"/>
  <c r="AD33"/>
  <c r="AD32"/>
  <c r="AD31"/>
  <c r="AD30"/>
  <c r="AD29"/>
  <c r="AD26"/>
  <c r="AD25"/>
  <c r="AD27"/>
  <c r="AD28"/>
  <c r="AD24"/>
  <c r="AD23"/>
  <c r="AD22"/>
  <c r="AD18"/>
  <c r="AD17"/>
  <c r="AD16"/>
  <c r="AD15"/>
  <c r="AD13"/>
  <c r="AD14"/>
  <c r="AD4"/>
  <c r="AD6"/>
  <c r="AD7"/>
  <c r="AD3"/>
  <c r="AD5"/>
  <c r="AD12"/>
  <c r="AD10"/>
  <c r="AD2"/>
  <c r="AD8"/>
  <c r="AD9"/>
  <c r="AD21"/>
  <c r="W71" i="3"/>
  <c r="T71"/>
  <c r="U71" s="1"/>
  <c r="M71"/>
  <c r="F71" l="1"/>
  <c r="W69"/>
  <c r="T69"/>
  <c r="U69" s="1"/>
  <c r="M69"/>
  <c r="F69" l="1"/>
  <c r="M67"/>
  <c r="M66"/>
  <c r="AK21" i="26" l="1" a="1"/>
  <c r="AK21" s="1"/>
  <c r="AM21" s="1"/>
  <c r="Z21"/>
  <c r="AK63" a="1"/>
  <c r="AK63" s="1"/>
  <c r="AM63" s="1"/>
  <c r="AK97" a="1"/>
  <c r="AK97" s="1"/>
  <c r="AM97" s="1"/>
  <c r="AK144" a="1"/>
  <c r="AK144" s="1"/>
  <c r="AM144" s="1"/>
  <c r="Z97"/>
  <c r="Z144"/>
  <c r="G97"/>
  <c r="G144"/>
  <c r="G63"/>
  <c r="Z63"/>
  <c r="G150"/>
  <c r="G11"/>
  <c r="G9"/>
  <c r="Z11"/>
  <c r="AK11" a="1"/>
  <c r="AK11" s="1"/>
  <c r="AM11" s="1"/>
  <c r="Z9"/>
  <c r="AK9" a="1"/>
  <c r="AK9" s="1"/>
  <c r="AM9" s="1"/>
  <c r="Z8"/>
  <c r="AK8" a="1"/>
  <c r="AK8" s="1"/>
  <c r="AM8" s="1"/>
  <c r="Z2"/>
  <c r="AK2" a="1"/>
  <c r="AK2" s="1"/>
  <c r="AM2" s="1"/>
  <c r="Z10"/>
  <c r="AK10" a="1"/>
  <c r="AK10" s="1"/>
  <c r="AM10" s="1"/>
  <c r="Z12"/>
  <c r="AK12" a="1"/>
  <c r="AK12" s="1"/>
  <c r="AM12" s="1"/>
  <c r="Z5"/>
  <c r="AK5" a="1"/>
  <c r="AK5" s="1"/>
  <c r="AM5" s="1"/>
  <c r="Z3"/>
  <c r="AK3" a="1"/>
  <c r="AK3" s="1"/>
  <c r="AM3" s="1"/>
  <c r="Z7"/>
  <c r="AK7" a="1"/>
  <c r="AK7" s="1"/>
  <c r="AM7" s="1"/>
  <c r="Z6"/>
  <c r="AK6" a="1"/>
  <c r="AK6" s="1"/>
  <c r="AM6" s="1"/>
  <c r="Z4"/>
  <c r="AK4" a="1"/>
  <c r="AK4" s="1"/>
  <c r="AM4" s="1"/>
  <c r="K45" l="1" a="1"/>
  <c r="K45" s="1"/>
  <c r="K44" a="1"/>
  <c r="K44" s="1"/>
  <c r="K59" a="1"/>
  <c r="K59" s="1"/>
  <c r="K76" a="1"/>
  <c r="K76" s="1"/>
  <c r="K91" a="1"/>
  <c r="K91" s="1"/>
  <c r="K126" a="1"/>
  <c r="K126" s="1"/>
  <c r="K141" a="1"/>
  <c r="K141" s="1"/>
  <c r="K132" a="1"/>
  <c r="K132" s="1"/>
  <c r="K148" a="1"/>
  <c r="K148" s="1"/>
  <c r="K146" a="1"/>
  <c r="K146" s="1"/>
  <c r="J17"/>
  <c r="K17" s="1" a="1"/>
  <c r="K17" s="1"/>
  <c r="J18"/>
  <c r="K18" s="1" a="1"/>
  <c r="K18" s="1"/>
  <c r="J23"/>
  <c r="K23" s="1" a="1"/>
  <c r="K23" s="1"/>
  <c r="J14"/>
  <c r="K14" s="1" a="1"/>
  <c r="K14" s="1"/>
  <c r="J13"/>
  <c r="K13" s="1" a="1"/>
  <c r="K13" s="1"/>
  <c r="J24"/>
  <c r="K24" s="1" a="1"/>
  <c r="K24" s="1"/>
  <c r="J22"/>
  <c r="K22" s="1" a="1"/>
  <c r="K22" s="1"/>
  <c r="J16"/>
  <c r="K16" s="1" a="1"/>
  <c r="K16" s="1"/>
  <c r="K30" a="1"/>
  <c r="K30" s="1"/>
  <c r="J32"/>
  <c r="K32" s="1" a="1"/>
  <c r="K32" s="1"/>
  <c r="J37"/>
  <c r="K37" s="1" a="1"/>
  <c r="K37" s="1"/>
  <c r="J43"/>
  <c r="K43" s="1" a="1"/>
  <c r="K43" s="1"/>
  <c r="K28" a="1"/>
  <c r="K28" s="1"/>
  <c r="K27" a="1"/>
  <c r="K27" s="1"/>
  <c r="K29" a="1"/>
  <c r="K29" s="1"/>
  <c r="J33"/>
  <c r="K33" s="1" a="1"/>
  <c r="K33" s="1"/>
  <c r="J41"/>
  <c r="K41" s="1" a="1"/>
  <c r="K41" s="1"/>
  <c r="J31"/>
  <c r="K31" s="1" a="1"/>
  <c r="K31" s="1"/>
  <c r="K35" a="1"/>
  <c r="K35" s="1"/>
  <c r="J36"/>
  <c r="K36" s="1" a="1"/>
  <c r="K36" s="1"/>
  <c r="J42"/>
  <c r="K42" s="1" a="1"/>
  <c r="K42" s="1"/>
  <c r="K25" a="1"/>
  <c r="K25" s="1"/>
  <c r="K26" a="1"/>
  <c r="K26" s="1"/>
  <c r="J40"/>
  <c r="K40" s="1" a="1"/>
  <c r="K40" s="1"/>
  <c r="K47" a="1"/>
  <c r="K47" s="1"/>
  <c r="K49" a="1"/>
  <c r="K49" s="1"/>
  <c r="J53"/>
  <c r="K53" s="1" a="1"/>
  <c r="K53" s="1"/>
  <c r="J58"/>
  <c r="K58" s="1" a="1"/>
  <c r="K58" s="1"/>
  <c r="K60" a="1"/>
  <c r="K60" s="1"/>
  <c r="K46" a="1"/>
  <c r="K46" s="1"/>
  <c r="J56"/>
  <c r="K56" s="1" a="1"/>
  <c r="K56" s="1"/>
  <c r="J50"/>
  <c r="K50" s="1" a="1"/>
  <c r="K50" s="1"/>
  <c r="J57"/>
  <c r="K57" s="1" a="1"/>
  <c r="K57" s="1"/>
  <c r="J48"/>
  <c r="K48" s="1" a="1"/>
  <c r="K48" s="1"/>
  <c r="J52"/>
  <c r="K52" s="1" a="1"/>
  <c r="K52" s="1"/>
  <c r="K65" a="1"/>
  <c r="K65" s="1"/>
  <c r="K67" a="1"/>
  <c r="K67" s="1"/>
  <c r="J71"/>
  <c r="K71" s="1" a="1"/>
  <c r="K71" s="1"/>
  <c r="J75"/>
  <c r="K75" s="1" a="1"/>
  <c r="K75" s="1"/>
  <c r="K62" a="1"/>
  <c r="K62" s="1"/>
  <c r="K61" a="1"/>
  <c r="K61" s="1"/>
  <c r="K64" a="1"/>
  <c r="K64" s="1"/>
  <c r="J68"/>
  <c r="K68" s="1" a="1"/>
  <c r="K68" s="1"/>
  <c r="J74"/>
  <c r="K74" s="1" a="1"/>
  <c r="K74" s="1"/>
  <c r="J66"/>
  <c r="K66" s="1" a="1"/>
  <c r="K66" s="1"/>
  <c r="J70"/>
  <c r="K70" s="1" a="1"/>
  <c r="K70" s="1"/>
  <c r="J79"/>
  <c r="K79" s="1" a="1"/>
  <c r="K79" s="1"/>
  <c r="J81"/>
  <c r="K81" s="1" a="1"/>
  <c r="K81" s="1"/>
  <c r="J85"/>
  <c r="K85" s="1" a="1"/>
  <c r="K85" s="1"/>
  <c r="J90"/>
  <c r="K90" s="1" a="1"/>
  <c r="K90" s="1"/>
  <c r="K78" a="1"/>
  <c r="K78" s="1"/>
  <c r="K77" a="1"/>
  <c r="K77" s="1"/>
  <c r="J88"/>
  <c r="K88" s="1" a="1"/>
  <c r="K88" s="1"/>
  <c r="J82"/>
  <c r="K82" s="1" a="1"/>
  <c r="K82" s="1"/>
  <c r="J89"/>
  <c r="K89" s="1" a="1"/>
  <c r="K89" s="1"/>
  <c r="J80"/>
  <c r="K80" s="1" a="1"/>
  <c r="K80" s="1"/>
  <c r="J84"/>
  <c r="K84" s="1" a="1"/>
  <c r="K84" s="1"/>
  <c r="J94"/>
  <c r="K94" s="1" a="1"/>
  <c r="K94" s="1"/>
  <c r="J96"/>
  <c r="K96" s="1" a="1"/>
  <c r="K96" s="1"/>
  <c r="J101"/>
  <c r="K101" s="1" a="1"/>
  <c r="K101" s="1"/>
  <c r="J107"/>
  <c r="K107" s="1" a="1"/>
  <c r="K107" s="1"/>
  <c r="K92" a="1"/>
  <c r="K92" s="1"/>
  <c r="K93" a="1"/>
  <c r="K93" s="1"/>
  <c r="J105"/>
  <c r="K105" s="1" a="1"/>
  <c r="K105" s="1"/>
  <c r="K102" a="1"/>
  <c r="K102" s="1"/>
  <c r="J98"/>
  <c r="K98" s="1" a="1"/>
  <c r="K98" s="1"/>
  <c r="J106"/>
  <c r="K106" s="1" a="1"/>
  <c r="K106" s="1"/>
  <c r="K95" a="1"/>
  <c r="K95" s="1"/>
  <c r="K100" a="1"/>
  <c r="K100" s="1"/>
  <c r="J112"/>
  <c r="K112" s="1" a="1"/>
  <c r="K112" s="1"/>
  <c r="J114"/>
  <c r="K114" s="1" a="1"/>
  <c r="K114" s="1"/>
  <c r="J118"/>
  <c r="K118" s="1" a="1"/>
  <c r="K118" s="1"/>
  <c r="J125"/>
  <c r="K125" s="1" a="1"/>
  <c r="K125" s="1"/>
  <c r="K110" a="1"/>
  <c r="K110" s="1"/>
  <c r="K111" a="1"/>
  <c r="K111" s="1"/>
  <c r="J122"/>
  <c r="K122" s="1" a="1"/>
  <c r="K122" s="1"/>
  <c r="J115"/>
  <c r="K115" s="1" a="1"/>
  <c r="K115" s="1"/>
  <c r="J123"/>
  <c r="K123" s="1" a="1"/>
  <c r="K123" s="1"/>
  <c r="J113"/>
  <c r="K113" s="1" a="1"/>
  <c r="K113" s="1"/>
  <c r="J117"/>
  <c r="K117" s="1" a="1"/>
  <c r="K117" s="1"/>
  <c r="J124"/>
  <c r="K124" s="1" a="1"/>
  <c r="K124" s="1"/>
  <c r="K109" a="1"/>
  <c r="K109" s="1"/>
  <c r="K108" a="1"/>
  <c r="K108" s="1"/>
  <c r="J121"/>
  <c r="K121" s="1" a="1"/>
  <c r="K121" s="1"/>
  <c r="J129"/>
  <c r="K129" s="1" a="1"/>
  <c r="K129" s="1"/>
  <c r="J131"/>
  <c r="K131" s="1" a="1"/>
  <c r="K131" s="1"/>
  <c r="J135"/>
  <c r="K135" s="1" a="1"/>
  <c r="K135" s="1"/>
  <c r="J140"/>
  <c r="K140" s="1" a="1"/>
  <c r="K140" s="1"/>
  <c r="J127"/>
  <c r="K127" s="1" a="1"/>
  <c r="K127" s="1"/>
  <c r="J128"/>
  <c r="K128" s="1" a="1"/>
  <c r="K128" s="1"/>
  <c r="J138"/>
  <c r="K138" s="1" a="1"/>
  <c r="K138" s="1"/>
  <c r="J139"/>
  <c r="K139" s="1" a="1"/>
  <c r="K139" s="1"/>
  <c r="J130"/>
  <c r="K130" s="1" a="1"/>
  <c r="K130" s="1"/>
  <c r="K134" a="1"/>
  <c r="K134" s="1"/>
  <c r="J145"/>
  <c r="K145" s="1" a="1"/>
  <c r="K145" s="1"/>
  <c r="J147"/>
  <c r="K147" s="1" a="1"/>
  <c r="K147" s="1"/>
  <c r="J151"/>
  <c r="K151" s="1" a="1"/>
  <c r="K151" s="1"/>
  <c r="J157"/>
  <c r="K157" s="1" a="1"/>
  <c r="K157" s="1"/>
  <c r="K142" a="1"/>
  <c r="K142" s="1"/>
  <c r="K143" a="1"/>
  <c r="K143" s="1"/>
  <c r="J155"/>
  <c r="K155" s="1" a="1"/>
  <c r="K155" s="1"/>
  <c r="J152"/>
  <c r="K152" s="1" a="1"/>
  <c r="K152" s="1"/>
  <c r="J156"/>
  <c r="K156" s="1" a="1"/>
  <c r="K156" s="1"/>
  <c r="J150"/>
  <c r="K150" s="1" a="1"/>
  <c r="K150" s="1"/>
  <c r="J15"/>
  <c r="K15" s="1" a="1"/>
  <c r="K15" s="1"/>
  <c r="AK17" l="1" a="1"/>
  <c r="AK17" s="1"/>
  <c r="AM17" s="1"/>
  <c r="AK18" a="1"/>
  <c r="AK18" s="1"/>
  <c r="AM18" s="1"/>
  <c r="AK23" a="1"/>
  <c r="AK23" s="1"/>
  <c r="AM23" s="1"/>
  <c r="AK14" a="1"/>
  <c r="AK14" s="1"/>
  <c r="AM14" s="1"/>
  <c r="AK13" a="1"/>
  <c r="AK13" s="1"/>
  <c r="AM13" s="1"/>
  <c r="AK24" a="1"/>
  <c r="AK24" s="1"/>
  <c r="AM24" s="1"/>
  <c r="AK22" a="1"/>
  <c r="AK22" s="1"/>
  <c r="AM22" s="1"/>
  <c r="AK16" a="1"/>
  <c r="AK16" s="1"/>
  <c r="AM16" s="1"/>
  <c r="AK30" a="1"/>
  <c r="AK30" s="1"/>
  <c r="AM30" s="1"/>
  <c r="AK32" a="1"/>
  <c r="AK32" s="1"/>
  <c r="AM32" s="1"/>
  <c r="AK37" a="1"/>
  <c r="AK37" s="1"/>
  <c r="AM37" s="1"/>
  <c r="AK43" a="1"/>
  <c r="AK43" s="1"/>
  <c r="AM43" s="1"/>
  <c r="AK28" a="1"/>
  <c r="AK28" s="1"/>
  <c r="AM28" s="1"/>
  <c r="AK27" a="1"/>
  <c r="AK27" s="1"/>
  <c r="AM27" s="1"/>
  <c r="AK29" a="1"/>
  <c r="AK29" s="1"/>
  <c r="AM29" s="1"/>
  <c r="AK45" a="1"/>
  <c r="AK45" s="1"/>
  <c r="AM45" s="1"/>
  <c r="AK33" a="1"/>
  <c r="AK33" s="1"/>
  <c r="AM33" s="1"/>
  <c r="AK41" a="1"/>
  <c r="AK41" s="1"/>
  <c r="AM41" s="1"/>
  <c r="AK31" a="1"/>
  <c r="AK31" s="1"/>
  <c r="AM31" s="1"/>
  <c r="AK35" a="1"/>
  <c r="AK35" s="1"/>
  <c r="AM35" s="1"/>
  <c r="AK36" a="1"/>
  <c r="AK36" s="1"/>
  <c r="AM36" s="1"/>
  <c r="AK42" a="1"/>
  <c r="AK42" s="1"/>
  <c r="AM42" s="1"/>
  <c r="AK25" a="1"/>
  <c r="AK25" s="1"/>
  <c r="AM25" s="1"/>
  <c r="AK26" a="1"/>
  <c r="AK26" s="1"/>
  <c r="AM26" s="1"/>
  <c r="AK40" a="1"/>
  <c r="AK40" s="1"/>
  <c r="AM40" s="1"/>
  <c r="AK44" a="1"/>
  <c r="AK44" s="1"/>
  <c r="AM44" s="1"/>
  <c r="AK47" a="1"/>
  <c r="AK47" s="1"/>
  <c r="AM47" s="1"/>
  <c r="AK49" a="1"/>
  <c r="AK49" s="1"/>
  <c r="AM49" s="1"/>
  <c r="AK53" a="1"/>
  <c r="AK53" s="1"/>
  <c r="AM53" s="1"/>
  <c r="AK58" a="1"/>
  <c r="AK58" s="1"/>
  <c r="AM58" s="1"/>
  <c r="AK60" a="1"/>
  <c r="AK60" s="1"/>
  <c r="AM60" s="1"/>
  <c r="AK46" a="1"/>
  <c r="AK46" s="1"/>
  <c r="AM46" s="1"/>
  <c r="AK56" a="1"/>
  <c r="AK56" s="1"/>
  <c r="AM56" s="1"/>
  <c r="AK59" a="1"/>
  <c r="AK59" s="1"/>
  <c r="AM59" s="1"/>
  <c r="AK50" a="1"/>
  <c r="AK50" s="1"/>
  <c r="AM50" s="1"/>
  <c r="AK57" a="1"/>
  <c r="AK57" s="1"/>
  <c r="AM57" s="1"/>
  <c r="AK48" a="1"/>
  <c r="AK48" s="1"/>
  <c r="AM48" s="1"/>
  <c r="AK52" a="1"/>
  <c r="AK52" s="1"/>
  <c r="AM52" s="1"/>
  <c r="AK65" a="1"/>
  <c r="AK65" s="1"/>
  <c r="AM65" s="1"/>
  <c r="AK67" a="1"/>
  <c r="AK67" s="1"/>
  <c r="AM67" s="1"/>
  <c r="AK71" a="1"/>
  <c r="AK71" s="1"/>
  <c r="AM71" s="1"/>
  <c r="AK75" a="1"/>
  <c r="AK75" s="1"/>
  <c r="AM75" s="1"/>
  <c r="AK62" a="1"/>
  <c r="AK62" s="1"/>
  <c r="AM62" s="1"/>
  <c r="AK61" a="1"/>
  <c r="AK61" s="1"/>
  <c r="AM61" s="1"/>
  <c r="AK64" a="1"/>
  <c r="AK64" s="1"/>
  <c r="AM64" s="1"/>
  <c r="AK76" a="1"/>
  <c r="AK76" s="1"/>
  <c r="AM76" s="1"/>
  <c r="AK68" a="1"/>
  <c r="AK68" s="1"/>
  <c r="AM68" s="1"/>
  <c r="AK74" a="1"/>
  <c r="AK74" s="1"/>
  <c r="AM74" s="1"/>
  <c r="AK66" a="1"/>
  <c r="AK66" s="1"/>
  <c r="AM66" s="1"/>
  <c r="AK70" a="1"/>
  <c r="AK70" s="1"/>
  <c r="AM70" s="1"/>
  <c r="AK79" a="1"/>
  <c r="AK79" s="1"/>
  <c r="AM79" s="1"/>
  <c r="AK81" a="1"/>
  <c r="AK81" s="1"/>
  <c r="AM81" s="1"/>
  <c r="AK85" a="1"/>
  <c r="AK85" s="1"/>
  <c r="AM85" s="1"/>
  <c r="AK90" a="1"/>
  <c r="AK90" s="1"/>
  <c r="AM90" s="1"/>
  <c r="AK78" a="1"/>
  <c r="AK78" s="1"/>
  <c r="AM78" s="1"/>
  <c r="AK77" a="1"/>
  <c r="AK77" s="1"/>
  <c r="AM77" s="1"/>
  <c r="AK88" a="1"/>
  <c r="AK88" s="1"/>
  <c r="AM88" s="1"/>
  <c r="AK91" a="1"/>
  <c r="AK91" s="1"/>
  <c r="AM91" s="1"/>
  <c r="AK82" a="1"/>
  <c r="AK82" s="1"/>
  <c r="AM82" s="1"/>
  <c r="AK89" a="1"/>
  <c r="AK89" s="1"/>
  <c r="AM89" s="1"/>
  <c r="AK80" a="1"/>
  <c r="AK80" s="1"/>
  <c r="AM80" s="1"/>
  <c r="AK84" a="1"/>
  <c r="AK84" s="1"/>
  <c r="AM84" s="1"/>
  <c r="AK94" a="1"/>
  <c r="AK94" s="1"/>
  <c r="AM94" s="1"/>
  <c r="AK96" a="1"/>
  <c r="AK96" s="1"/>
  <c r="AM96" s="1"/>
  <c r="AK101" a="1"/>
  <c r="AK101" s="1"/>
  <c r="AM101" s="1"/>
  <c r="AK107" a="1"/>
  <c r="AK107" s="1"/>
  <c r="AM107" s="1"/>
  <c r="AK92" a="1"/>
  <c r="AK92" s="1"/>
  <c r="AM92" s="1"/>
  <c r="AK93" a="1"/>
  <c r="AK93" s="1"/>
  <c r="AM93" s="1"/>
  <c r="AK105" a="1"/>
  <c r="AK105" s="1"/>
  <c r="AM105" s="1"/>
  <c r="AK102" a="1"/>
  <c r="AK102" s="1"/>
  <c r="AM102" s="1"/>
  <c r="AK98" a="1"/>
  <c r="AK98" s="1"/>
  <c r="AM98" s="1"/>
  <c r="AK106" a="1"/>
  <c r="AK106" s="1"/>
  <c r="AM106" s="1"/>
  <c r="AK95" a="1"/>
  <c r="AK95" s="1"/>
  <c r="AM95" s="1"/>
  <c r="AK100" a="1"/>
  <c r="AK100" s="1"/>
  <c r="AM100" s="1"/>
  <c r="AK112" a="1"/>
  <c r="AK112" s="1"/>
  <c r="AM112" s="1"/>
  <c r="AK114" a="1"/>
  <c r="AK114" s="1"/>
  <c r="AM114" s="1"/>
  <c r="AK118" a="1"/>
  <c r="AK118" s="1"/>
  <c r="AM118" s="1"/>
  <c r="AK125" a="1"/>
  <c r="AK125" s="1"/>
  <c r="AM125" s="1"/>
  <c r="AK110" a="1"/>
  <c r="AK110" s="1"/>
  <c r="AM110" s="1"/>
  <c r="AK111" a="1"/>
  <c r="AK111" s="1"/>
  <c r="AM111" s="1"/>
  <c r="AK122" a="1"/>
  <c r="AK122" s="1"/>
  <c r="AM122" s="1"/>
  <c r="AK126" a="1"/>
  <c r="AK126" s="1"/>
  <c r="AM126" s="1"/>
  <c r="AK115" a="1"/>
  <c r="AK115" s="1"/>
  <c r="AM115" s="1"/>
  <c r="AK123" a="1"/>
  <c r="AK123" s="1"/>
  <c r="AM123" s="1"/>
  <c r="AK113" a="1"/>
  <c r="AK113" s="1"/>
  <c r="AM113" s="1"/>
  <c r="AK117" a="1"/>
  <c r="AK117" s="1"/>
  <c r="AM117" s="1"/>
  <c r="AK124" a="1"/>
  <c r="AK124" s="1"/>
  <c r="AM124" s="1"/>
  <c r="AK109" a="1"/>
  <c r="AK109" s="1"/>
  <c r="AM109" s="1"/>
  <c r="AK108" a="1"/>
  <c r="AK108" s="1"/>
  <c r="AM108" s="1"/>
  <c r="AK121" a="1"/>
  <c r="AK121" s="1"/>
  <c r="AM121" s="1"/>
  <c r="AK129" a="1"/>
  <c r="AK129" s="1"/>
  <c r="AM129" s="1"/>
  <c r="AK131" a="1"/>
  <c r="AK131" s="1"/>
  <c r="AM131" s="1"/>
  <c r="AK135" a="1"/>
  <c r="AK135" s="1"/>
  <c r="AM135" s="1"/>
  <c r="AK140" a="1"/>
  <c r="AK140" s="1"/>
  <c r="AM140" s="1"/>
  <c r="AK127" a="1"/>
  <c r="AK127" s="1"/>
  <c r="AM127" s="1"/>
  <c r="AK128" a="1"/>
  <c r="AK128" s="1"/>
  <c r="AM128" s="1"/>
  <c r="AK138" a="1"/>
  <c r="AK138" s="1"/>
  <c r="AM138" s="1"/>
  <c r="AK141" a="1"/>
  <c r="AK141" s="1"/>
  <c r="AM141" s="1"/>
  <c r="AK132" a="1"/>
  <c r="AK132" s="1"/>
  <c r="AM132" s="1"/>
  <c r="AK139" a="1"/>
  <c r="AK139" s="1"/>
  <c r="AM139" s="1"/>
  <c r="AK130" a="1"/>
  <c r="AK130" s="1"/>
  <c r="AM130" s="1"/>
  <c r="AK134" a="1"/>
  <c r="AK134" s="1"/>
  <c r="AM134" s="1"/>
  <c r="AK145" a="1"/>
  <c r="AK145" s="1"/>
  <c r="AM145" s="1"/>
  <c r="AK147" a="1"/>
  <c r="AK147" s="1"/>
  <c r="AM147" s="1"/>
  <c r="AK151" a="1"/>
  <c r="AK151" s="1"/>
  <c r="AM151" s="1"/>
  <c r="AK157" a="1"/>
  <c r="AK157" s="1"/>
  <c r="AM157" s="1"/>
  <c r="AK142" a="1"/>
  <c r="AK142" s="1"/>
  <c r="AM142" s="1"/>
  <c r="AK143" a="1"/>
  <c r="AK143" s="1"/>
  <c r="AM143" s="1"/>
  <c r="AK155" a="1"/>
  <c r="AK155" s="1"/>
  <c r="AM155" s="1"/>
  <c r="AK152" a="1"/>
  <c r="AK152" s="1"/>
  <c r="AM152" s="1"/>
  <c r="AK148" a="1"/>
  <c r="AK148" s="1"/>
  <c r="AM148" s="1"/>
  <c r="AK156" a="1"/>
  <c r="AK156" s="1"/>
  <c r="AM156" s="1"/>
  <c r="AK146" a="1"/>
  <c r="AK146" s="1"/>
  <c r="AM146" s="1"/>
  <c r="AK150" a="1"/>
  <c r="AK150" s="1"/>
  <c r="AM150" s="1"/>
  <c r="AK15" a="1"/>
  <c r="AK15" s="1"/>
  <c r="AM15" s="1"/>
  <c r="Z17"/>
  <c r="Z18"/>
  <c r="Z23"/>
  <c r="Z14"/>
  <c r="Z13"/>
  <c r="Z24"/>
  <c r="Z22"/>
  <c r="Z16"/>
  <c r="Z30"/>
  <c r="Z32"/>
  <c r="Z37"/>
  <c r="Z43"/>
  <c r="Z28"/>
  <c r="Z27"/>
  <c r="Z29"/>
  <c r="Z45"/>
  <c r="Z33"/>
  <c r="Z41"/>
  <c r="Z31"/>
  <c r="Z35"/>
  <c r="Z36"/>
  <c r="Z42"/>
  <c r="Z25"/>
  <c r="Z26"/>
  <c r="Z40"/>
  <c r="Z44"/>
  <c r="Z47"/>
  <c r="Z49"/>
  <c r="Z53"/>
  <c r="Z58"/>
  <c r="Z60"/>
  <c r="Z46"/>
  <c r="Z56"/>
  <c r="Z59"/>
  <c r="Z50"/>
  <c r="Z57"/>
  <c r="Z48"/>
  <c r="Z52"/>
  <c r="Z65"/>
  <c r="Z67"/>
  <c r="Z71"/>
  <c r="Z75"/>
  <c r="Z62"/>
  <c r="Z61"/>
  <c r="Z64"/>
  <c r="Z76"/>
  <c r="Z68"/>
  <c r="Z74"/>
  <c r="Z66"/>
  <c r="Z70"/>
  <c r="Z79"/>
  <c r="Z81"/>
  <c r="Z85"/>
  <c r="Z90"/>
  <c r="Z78"/>
  <c r="Z77"/>
  <c r="Z88"/>
  <c r="Z91"/>
  <c r="Z82"/>
  <c r="Z89"/>
  <c r="Z80"/>
  <c r="Z84"/>
  <c r="Z94"/>
  <c r="Z96"/>
  <c r="Z101"/>
  <c r="Z107"/>
  <c r="Z92"/>
  <c r="Z93"/>
  <c r="Z105"/>
  <c r="Z102"/>
  <c r="Z98"/>
  <c r="Z106"/>
  <c r="Z95"/>
  <c r="Z100"/>
  <c r="Z112"/>
  <c r="Z114"/>
  <c r="Z118"/>
  <c r="Z125"/>
  <c r="Z110"/>
  <c r="Z111"/>
  <c r="Z122"/>
  <c r="Z126"/>
  <c r="Z115"/>
  <c r="Z123"/>
  <c r="Z113"/>
  <c r="Z117"/>
  <c r="Z124"/>
  <c r="Z109"/>
  <c r="Z108"/>
  <c r="Z121"/>
  <c r="Z129"/>
  <c r="Z131"/>
  <c r="Z135"/>
  <c r="Z140"/>
  <c r="Z127"/>
  <c r="Z128"/>
  <c r="Z138"/>
  <c r="Z141"/>
  <c r="Z132"/>
  <c r="Z139"/>
  <c r="Z130"/>
  <c r="Z134"/>
  <c r="Z145"/>
  <c r="Z147"/>
  <c r="Z151"/>
  <c r="Z157"/>
  <c r="Z142"/>
  <c r="Z143"/>
  <c r="Z155"/>
  <c r="Z152"/>
  <c r="Z148"/>
  <c r="Z156"/>
  <c r="Z146"/>
  <c r="Z150"/>
  <c r="Z15"/>
  <c r="G15"/>
  <c r="G17"/>
  <c r="G18"/>
  <c r="G23"/>
  <c r="G14"/>
  <c r="G13"/>
  <c r="G24"/>
  <c r="G22"/>
  <c r="G16"/>
  <c r="G30"/>
  <c r="G32"/>
  <c r="G37"/>
  <c r="G43"/>
  <c r="G28"/>
  <c r="G27"/>
  <c r="G29"/>
  <c r="G45"/>
  <c r="G33"/>
  <c r="G41"/>
  <c r="G31"/>
  <c r="G35"/>
  <c r="G42"/>
  <c r="G25"/>
  <c r="G26"/>
  <c r="G40"/>
  <c r="G44"/>
  <c r="G47"/>
  <c r="G49"/>
  <c r="G53"/>
  <c r="G58"/>
  <c r="G60"/>
  <c r="G46"/>
  <c r="G56"/>
  <c r="G59"/>
  <c r="G50"/>
  <c r="G57"/>
  <c r="G48"/>
  <c r="G52"/>
  <c r="G65"/>
  <c r="G67"/>
  <c r="G71"/>
  <c r="G75"/>
  <c r="G62"/>
  <c r="G61"/>
  <c r="G64"/>
  <c r="G76"/>
  <c r="G68"/>
  <c r="G74"/>
  <c r="G66"/>
  <c r="G70"/>
  <c r="G79"/>
  <c r="G81"/>
  <c r="G85"/>
  <c r="G90"/>
  <c r="G78"/>
  <c r="G77"/>
  <c r="G88"/>
  <c r="G91"/>
  <c r="G82"/>
  <c r="G89"/>
  <c r="G80"/>
  <c r="G84"/>
  <c r="G94"/>
  <c r="G96"/>
  <c r="G101"/>
  <c r="G107"/>
  <c r="G92"/>
  <c r="G93"/>
  <c r="G105"/>
  <c r="G102"/>
  <c r="G98"/>
  <c r="G106"/>
  <c r="G95"/>
  <c r="G100"/>
  <c r="G112"/>
  <c r="G114"/>
  <c r="G118"/>
  <c r="G125"/>
  <c r="G110"/>
  <c r="G111"/>
  <c r="G122"/>
  <c r="G126"/>
  <c r="G115"/>
  <c r="G123"/>
  <c r="G113"/>
  <c r="G117"/>
  <c r="G124"/>
  <c r="G109"/>
  <c r="G108"/>
  <c r="G121"/>
  <c r="G129"/>
  <c r="G131"/>
  <c r="G135"/>
  <c r="G140"/>
  <c r="G127"/>
  <c r="G128"/>
  <c r="G138"/>
  <c r="G141"/>
  <c r="G132"/>
  <c r="G139"/>
  <c r="G130"/>
  <c r="G134"/>
  <c r="G145"/>
  <c r="G147"/>
  <c r="G151"/>
  <c r="G157"/>
  <c r="G142"/>
  <c r="G143"/>
  <c r="G155"/>
  <c r="G152"/>
  <c r="G148"/>
  <c r="G156"/>
  <c r="G146"/>
  <c r="G36"/>
  <c r="Q136" i="3"/>
  <c r="Q137"/>
  <c r="Q138"/>
  <c r="Q139"/>
  <c r="Q140"/>
  <c r="Q141"/>
  <c r="Q142"/>
  <c r="Q135"/>
  <c r="Q23" l="1"/>
  <c r="Q35"/>
  <c r="Q36"/>
  <c r="Q37"/>
  <c r="Q38"/>
  <c r="Q39"/>
  <c r="Q28"/>
  <c r="Q29"/>
  <c r="Q30"/>
  <c r="Q31"/>
  <c r="Q32"/>
  <c r="Q33"/>
  <c r="Q34"/>
  <c r="Q24"/>
  <c r="Q25"/>
  <c r="Q26"/>
  <c r="Q27"/>
  <c r="AB164"/>
  <c r="AC164"/>
  <c r="AB165"/>
  <c r="AC165"/>
  <c r="AB166"/>
  <c r="AC166"/>
  <c r="AB167"/>
  <c r="AC167"/>
  <c r="AB168"/>
  <c r="AC168"/>
  <c r="AB169"/>
  <c r="AC169"/>
  <c r="AB170"/>
  <c r="AC170"/>
  <c r="AB171"/>
  <c r="AC171"/>
  <c r="AB172"/>
  <c r="AC172"/>
  <c r="AB173"/>
  <c r="AC173"/>
  <c r="AB174"/>
  <c r="AC174"/>
  <c r="AB175"/>
  <c r="AC175"/>
  <c r="AB176"/>
  <c r="AC176"/>
  <c r="AB177"/>
  <c r="AC177"/>
  <c r="AB178"/>
  <c r="AC178"/>
  <c r="AB179"/>
  <c r="AC179"/>
  <c r="AB180"/>
  <c r="AC180"/>
  <c r="AB181"/>
  <c r="AC181"/>
  <c r="AB182"/>
  <c r="AC182"/>
  <c r="AB183"/>
  <c r="AC183"/>
  <c r="AB184"/>
  <c r="AC184"/>
  <c r="AB185"/>
  <c r="AC185"/>
  <c r="AB186"/>
  <c r="AC186"/>
  <c r="AB187"/>
  <c r="AC187"/>
  <c r="AB188"/>
  <c r="AC188"/>
  <c r="AB189"/>
  <c r="AC189"/>
  <c r="AB190"/>
  <c r="AC190"/>
  <c r="AB191"/>
  <c r="AC191"/>
  <c r="AB192"/>
  <c r="AC192"/>
  <c r="AB193"/>
  <c r="AC193"/>
  <c r="AB194"/>
  <c r="AC194"/>
  <c r="AB195"/>
  <c r="AC195"/>
  <c r="AB196"/>
  <c r="AC196"/>
  <c r="AB197"/>
  <c r="AC197"/>
  <c r="AB198"/>
  <c r="AC198"/>
  <c r="AB199"/>
  <c r="AC199"/>
  <c r="AB200"/>
  <c r="AC200"/>
  <c r="AB201"/>
  <c r="AC201"/>
  <c r="AB202"/>
  <c r="AC202"/>
  <c r="AB203"/>
  <c r="AC203"/>
  <c r="AB204"/>
  <c r="AC204"/>
  <c r="AB205"/>
  <c r="AC205"/>
  <c r="AB206"/>
  <c r="AC206"/>
  <c r="AB207"/>
  <c r="AC207"/>
  <c r="AB208"/>
  <c r="AC208"/>
  <c r="AB209"/>
  <c r="AC209"/>
  <c r="AB210"/>
  <c r="AC210"/>
  <c r="AB211"/>
  <c r="AC211"/>
  <c r="AB212"/>
  <c r="AC212"/>
  <c r="AB213"/>
  <c r="AC213"/>
  <c r="AB214"/>
  <c r="AC214"/>
  <c r="AB215"/>
  <c r="AC215"/>
  <c r="AB216"/>
  <c r="AC216"/>
  <c r="AB217"/>
  <c r="AC217"/>
  <c r="AB218"/>
  <c r="AC218"/>
  <c r="Z219"/>
  <c r="AA219"/>
  <c r="AB219"/>
  <c r="AC219"/>
  <c r="Z220"/>
  <c r="AA220"/>
  <c r="AB220"/>
  <c r="AC220"/>
  <c r="Z221"/>
  <c r="AA221"/>
  <c r="AB221"/>
  <c r="AC221"/>
  <c r="Z222"/>
  <c r="AA222"/>
  <c r="AB222"/>
  <c r="AC222"/>
  <c r="Z223"/>
  <c r="AA223"/>
  <c r="AB223"/>
  <c r="AC223"/>
  <c r="Z224"/>
  <c r="AA224"/>
  <c r="AB224"/>
  <c r="AC224"/>
  <c r="Z225"/>
  <c r="AA225"/>
  <c r="AB225"/>
  <c r="AC225"/>
  <c r="Z226"/>
  <c r="AA226"/>
  <c r="AB226"/>
  <c r="AC226"/>
  <c r="Z227"/>
  <c r="AA227"/>
  <c r="AB227"/>
  <c r="AC227"/>
  <c r="Z228"/>
  <c r="AA228"/>
  <c r="AB228"/>
  <c r="AC228"/>
  <c r="Z229"/>
  <c r="AA229"/>
  <c r="AB229"/>
  <c r="AC229"/>
  <c r="Z230"/>
  <c r="AA230"/>
  <c r="AB230"/>
  <c r="AC230"/>
  <c r="Z231"/>
  <c r="AA231"/>
  <c r="AB231"/>
  <c r="AC231"/>
  <c r="Z232"/>
  <c r="AA232"/>
  <c r="AB232"/>
  <c r="AC232"/>
  <c r="Z233"/>
  <c r="AA233"/>
  <c r="AB233"/>
  <c r="AC233"/>
  <c r="Z234"/>
  <c r="AA234"/>
  <c r="AB234"/>
  <c r="AC234"/>
  <c r="F158" l="1"/>
  <c r="F163"/>
  <c r="F162"/>
  <c r="F161"/>
  <c r="F160"/>
  <c r="F159"/>
  <c r="F127"/>
  <c r="F128"/>
  <c r="F125"/>
  <c r="F129"/>
  <c r="F130"/>
  <c r="AE1" l="1"/>
  <c r="F2"/>
  <c r="U2"/>
  <c r="F3"/>
  <c r="U3"/>
  <c r="F4"/>
  <c r="U4"/>
  <c r="F5"/>
  <c r="U5"/>
  <c r="F6"/>
  <c r="U6"/>
  <c r="F7"/>
  <c r="U7"/>
  <c r="F8"/>
  <c r="U8"/>
  <c r="F9"/>
  <c r="U9"/>
  <c r="F10"/>
  <c r="U10"/>
  <c r="F11"/>
  <c r="U11"/>
  <c r="F12"/>
  <c r="F13"/>
  <c r="U13"/>
  <c r="F14"/>
  <c r="U14"/>
  <c r="F15"/>
  <c r="U15"/>
  <c r="F16"/>
  <c r="U16"/>
  <c r="F17"/>
  <c r="U17"/>
  <c r="F18"/>
  <c r="U18"/>
  <c r="F19"/>
  <c r="U19"/>
  <c r="F20"/>
  <c r="U20"/>
  <c r="F21"/>
  <c r="U21"/>
  <c r="F22"/>
  <c r="U22"/>
  <c r="F23"/>
  <c r="M6"/>
  <c r="M7"/>
  <c r="M21"/>
  <c r="M15"/>
  <c r="M2"/>
  <c r="M8"/>
  <c r="M18"/>
  <c r="M22"/>
  <c r="M13"/>
  <c r="M10"/>
  <c r="M20"/>
  <c r="M14"/>
  <c r="M9"/>
  <c r="M23"/>
  <c r="M5"/>
  <c r="M4"/>
  <c r="M16"/>
  <c r="M19"/>
  <c r="M12"/>
  <c r="M3"/>
  <c r="M11"/>
  <c r="M17"/>
  <c r="U23" l="1"/>
  <c r="AB23"/>
  <c r="AC23"/>
  <c r="F24"/>
  <c r="U24"/>
  <c r="W24"/>
  <c r="AB24"/>
  <c r="AC24"/>
  <c r="F25"/>
  <c r="U25"/>
  <c r="W25"/>
  <c r="AB25"/>
  <c r="AC25"/>
  <c r="F26"/>
  <c r="U26"/>
  <c r="W26"/>
  <c r="AB26"/>
  <c r="AC26"/>
  <c r="F27"/>
  <c r="U27"/>
  <c r="W27"/>
  <c r="AB27"/>
  <c r="AC27"/>
  <c r="F28"/>
  <c r="U28"/>
  <c r="W28"/>
  <c r="AB28"/>
  <c r="AC28"/>
  <c r="F29"/>
  <c r="U29"/>
  <c r="W29"/>
  <c r="AB29"/>
  <c r="AC29"/>
  <c r="F30"/>
  <c r="U30"/>
  <c r="W30"/>
  <c r="AB30"/>
  <c r="AC30"/>
  <c r="F31"/>
  <c r="U31"/>
  <c r="W31"/>
  <c r="AB31"/>
  <c r="AC31"/>
  <c r="F32"/>
  <c r="U32"/>
  <c r="W32"/>
  <c r="AB32"/>
  <c r="AC32"/>
  <c r="F33"/>
  <c r="U33"/>
  <c r="W33"/>
  <c r="AB33"/>
  <c r="AC33"/>
  <c r="F34"/>
  <c r="U34"/>
  <c r="W34"/>
  <c r="AB34"/>
  <c r="AC34"/>
  <c r="F35"/>
  <c r="U35"/>
  <c r="W35"/>
  <c r="AB35"/>
  <c r="AC35"/>
  <c r="F36"/>
  <c r="U36"/>
  <c r="W36"/>
  <c r="AB36"/>
  <c r="AC36"/>
  <c r="F37"/>
  <c r="U37"/>
  <c r="W37"/>
  <c r="AB37"/>
  <c r="AC37"/>
  <c r="F38"/>
  <c r="U38"/>
  <c r="W38"/>
  <c r="AB38"/>
  <c r="AC38"/>
  <c r="F39"/>
  <c r="U39"/>
  <c r="W39"/>
  <c r="AB39"/>
  <c r="AC39"/>
  <c r="F40"/>
  <c r="U40"/>
  <c r="W40"/>
  <c r="AB40"/>
  <c r="AC40"/>
  <c r="F41"/>
  <c r="U41"/>
  <c r="W41"/>
  <c r="AB41"/>
  <c r="AC41"/>
  <c r="F42"/>
  <c r="U42"/>
  <c r="W42"/>
  <c r="AB42"/>
  <c r="AC42"/>
  <c r="F43"/>
  <c r="U43"/>
  <c r="W43"/>
  <c r="AB43"/>
  <c r="AC43"/>
  <c r="F44"/>
  <c r="U44"/>
  <c r="W44"/>
  <c r="AB44"/>
  <c r="AC44"/>
  <c r="F45"/>
  <c r="M35"/>
  <c r="M26"/>
  <c r="M39"/>
  <c r="M38"/>
  <c r="M25"/>
  <c r="M42"/>
  <c r="M41"/>
  <c r="M30"/>
  <c r="M45"/>
  <c r="M24"/>
  <c r="M44"/>
  <c r="M33"/>
  <c r="M28"/>
  <c r="M36"/>
  <c r="M31"/>
  <c r="M37"/>
  <c r="M29"/>
  <c r="M34"/>
  <c r="M27"/>
  <c r="M43"/>
  <c r="M32"/>
  <c r="M40"/>
  <c r="U45" l="1"/>
  <c r="W45"/>
  <c r="AB45"/>
  <c r="AC45"/>
  <c r="F46"/>
  <c r="U46"/>
  <c r="W46"/>
  <c r="AB46"/>
  <c r="AC46"/>
  <c r="F47"/>
  <c r="W47"/>
  <c r="AB47"/>
  <c r="AC47"/>
  <c r="F48"/>
  <c r="O48"/>
  <c r="U48"/>
  <c r="W48"/>
  <c r="AB48"/>
  <c r="AC48"/>
  <c r="F49"/>
  <c r="M48"/>
  <c r="M47"/>
  <c r="M46"/>
  <c r="M49"/>
  <c r="Z48" l="1"/>
  <c r="AA48"/>
  <c r="U49"/>
  <c r="F50"/>
  <c r="U50"/>
  <c r="F51"/>
  <c r="U51"/>
  <c r="F52"/>
  <c r="U52"/>
  <c r="F53"/>
  <c r="M52"/>
  <c r="M53"/>
  <c r="M51"/>
  <c r="M50"/>
  <c r="U53" l="1"/>
  <c r="F54"/>
  <c r="U54"/>
  <c r="F55"/>
  <c r="U55"/>
  <c r="F56"/>
  <c r="M55"/>
  <c r="M54"/>
  <c r="M56"/>
  <c r="U56" l="1"/>
  <c r="F57"/>
  <c r="F58"/>
  <c r="F59"/>
  <c r="U59"/>
  <c r="F60"/>
  <c r="U60"/>
  <c r="F61"/>
  <c r="T61"/>
  <c r="U61" s="1"/>
  <c r="W61"/>
  <c r="F62"/>
  <c r="T62"/>
  <c r="U62" s="1"/>
  <c r="W62"/>
  <c r="F63"/>
  <c r="T63"/>
  <c r="U63" s="1"/>
  <c r="W63"/>
  <c r="F64"/>
  <c r="T64"/>
  <c r="U64" s="1"/>
  <c r="W64"/>
  <c r="F65"/>
  <c r="T65"/>
  <c r="U65" s="1"/>
  <c r="W65"/>
  <c r="F66"/>
  <c r="T66"/>
  <c r="U66"/>
  <c r="W66"/>
  <c r="F67"/>
  <c r="T67"/>
  <c r="U67" s="1"/>
  <c r="W67"/>
  <c r="F68"/>
  <c r="T68"/>
  <c r="U68" s="1"/>
  <c r="W68"/>
  <c r="F70"/>
  <c r="T70"/>
  <c r="U70" s="1"/>
  <c r="W70"/>
  <c r="F72"/>
  <c r="T72"/>
  <c r="U72" s="1"/>
  <c r="W72"/>
  <c r="F73"/>
  <c r="T73"/>
  <c r="U73" s="1"/>
  <c r="W73"/>
  <c r="F74"/>
  <c r="T74"/>
  <c r="U74" s="1"/>
  <c r="W74"/>
  <c r="F75"/>
  <c r="T75"/>
  <c r="U75" s="1"/>
  <c r="W75"/>
  <c r="F76"/>
  <c r="T76"/>
  <c r="U76" s="1"/>
  <c r="W76"/>
  <c r="F77"/>
  <c r="T77"/>
  <c r="U77" s="1"/>
  <c r="W77"/>
  <c r="F78"/>
  <c r="U78"/>
  <c r="F79"/>
  <c r="U79"/>
  <c r="F80"/>
  <c r="U80"/>
  <c r="F81"/>
  <c r="U81"/>
  <c r="F82"/>
  <c r="U82"/>
  <c r="F83"/>
  <c r="U83"/>
  <c r="F84"/>
  <c r="U84"/>
  <c r="F85"/>
  <c r="U85"/>
  <c r="F86"/>
  <c r="U86"/>
  <c r="F87"/>
  <c r="U87"/>
  <c r="F88"/>
  <c r="U88"/>
  <c r="F89"/>
  <c r="U89"/>
  <c r="W89"/>
  <c r="AB89"/>
  <c r="AC89"/>
  <c r="F90"/>
  <c r="U90"/>
  <c r="W90"/>
  <c r="AB90"/>
  <c r="AC90"/>
  <c r="F91"/>
  <c r="U91"/>
  <c r="W91"/>
  <c r="AB91"/>
  <c r="AC91"/>
  <c r="F92"/>
  <c r="U92"/>
  <c r="W92"/>
  <c r="AB92"/>
  <c r="AC92"/>
  <c r="F93"/>
  <c r="U93"/>
  <c r="W93"/>
  <c r="AB93"/>
  <c r="AC93"/>
  <c r="F94"/>
  <c r="U94"/>
  <c r="W94"/>
  <c r="F95"/>
  <c r="U95"/>
  <c r="W95"/>
  <c r="F96"/>
  <c r="U96"/>
  <c r="W96"/>
  <c r="AB96"/>
  <c r="AC96"/>
  <c r="F97"/>
  <c r="U97"/>
  <c r="W97"/>
  <c r="AB97"/>
  <c r="AC97"/>
  <c r="F98"/>
  <c r="U98"/>
  <c r="W98"/>
  <c r="AB98"/>
  <c r="AC98"/>
  <c r="F99"/>
  <c r="U99"/>
  <c r="W99"/>
  <c r="AB99"/>
  <c r="AC99"/>
  <c r="F100"/>
  <c r="U100"/>
  <c r="W100"/>
  <c r="AB100"/>
  <c r="AC100"/>
  <c r="F101"/>
  <c r="U101"/>
  <c r="AB101"/>
  <c r="AC101"/>
  <c r="F102"/>
  <c r="O102"/>
  <c r="Z102" s="1"/>
  <c r="U102"/>
  <c r="AB102"/>
  <c r="AC102"/>
  <c r="F103"/>
  <c r="M78"/>
  <c r="M80"/>
  <c r="M93"/>
  <c r="M68"/>
  <c r="M83"/>
  <c r="M79"/>
  <c r="M70"/>
  <c r="M84"/>
  <c r="M98"/>
  <c r="M90"/>
  <c r="M64"/>
  <c r="M103"/>
  <c r="M59"/>
  <c r="M87"/>
  <c r="M95"/>
  <c r="M73"/>
  <c r="M92"/>
  <c r="M74"/>
  <c r="M62"/>
  <c r="M100"/>
  <c r="M81"/>
  <c r="M77"/>
  <c r="M82"/>
  <c r="M72"/>
  <c r="M94"/>
  <c r="M89"/>
  <c r="M85"/>
  <c r="M96"/>
  <c r="M86"/>
  <c r="M63"/>
  <c r="M58"/>
  <c r="M60"/>
  <c r="M61"/>
  <c r="M88"/>
  <c r="M102"/>
  <c r="M97"/>
  <c r="M76"/>
  <c r="M65"/>
  <c r="M91"/>
  <c r="M57"/>
  <c r="M101"/>
  <c r="M99"/>
  <c r="M75"/>
  <c r="AA102" l="1"/>
  <c r="U103"/>
  <c r="AB103"/>
  <c r="AC103"/>
  <c r="F104"/>
  <c r="M104"/>
  <c r="U104" l="1"/>
  <c r="AB104"/>
  <c r="AC104"/>
  <c r="F105"/>
  <c r="U105"/>
  <c r="AB105"/>
  <c r="AC105"/>
  <c r="F106"/>
  <c r="T106"/>
  <c r="U106" s="1"/>
  <c r="F107"/>
  <c r="U107"/>
  <c r="AB107"/>
  <c r="AC107"/>
  <c r="F108"/>
  <c r="U108"/>
  <c r="AB108"/>
  <c r="AC108"/>
  <c r="F109"/>
  <c r="U109"/>
  <c r="AB109"/>
  <c r="AC109"/>
  <c r="F110"/>
  <c r="T110"/>
  <c r="U110" s="1"/>
  <c r="F111"/>
  <c r="T111"/>
  <c r="U111" s="1"/>
  <c r="F112"/>
  <c r="T112"/>
  <c r="U112" s="1"/>
  <c r="F113"/>
  <c r="T113"/>
  <c r="U113" s="1"/>
  <c r="F114"/>
  <c r="T114"/>
  <c r="U114" s="1"/>
  <c r="F115"/>
  <c r="T115"/>
  <c r="U115"/>
  <c r="F116"/>
  <c r="T116"/>
  <c r="U116"/>
  <c r="F117"/>
  <c r="T117"/>
  <c r="U117" s="1"/>
  <c r="F118"/>
  <c r="T118"/>
  <c r="U118" s="1"/>
  <c r="F119"/>
  <c r="T119"/>
  <c r="U119" s="1"/>
  <c r="F120"/>
  <c r="T120"/>
  <c r="U120" s="1"/>
  <c r="F121"/>
  <c r="T121"/>
  <c r="U121" s="1"/>
  <c r="F122"/>
  <c r="U122"/>
  <c r="F123"/>
  <c r="U123"/>
  <c r="F124"/>
  <c r="U124"/>
  <c r="F126"/>
  <c r="U126"/>
  <c r="U129"/>
  <c r="U130"/>
  <c r="F131"/>
  <c r="U131"/>
  <c r="F132"/>
  <c r="U132"/>
  <c r="F133"/>
  <c r="U133"/>
  <c r="F134"/>
  <c r="U134"/>
  <c r="F135"/>
  <c r="T135"/>
  <c r="U135" s="1"/>
  <c r="F136"/>
  <c r="T136"/>
  <c r="U136" s="1"/>
  <c r="F137"/>
  <c r="T137"/>
  <c r="U137" s="1"/>
  <c r="F138"/>
  <c r="T138"/>
  <c r="U138" s="1"/>
  <c r="F139"/>
  <c r="M121"/>
  <c r="M109"/>
  <c r="M120"/>
  <c r="M119"/>
  <c r="M111"/>
  <c r="M116"/>
  <c r="M106"/>
  <c r="M110"/>
  <c r="M107"/>
  <c r="M114"/>
  <c r="M115"/>
  <c r="M118"/>
  <c r="M113"/>
  <c r="M112"/>
  <c r="M108"/>
  <c r="M117"/>
  <c r="M105"/>
  <c r="M122"/>
  <c r="T139" l="1"/>
  <c r="U139" s="1"/>
  <c r="F140"/>
  <c r="T140"/>
  <c r="U140" s="1"/>
  <c r="F141"/>
  <c r="T141"/>
  <c r="U141" s="1"/>
  <c r="F142"/>
  <c r="T142"/>
  <c r="U142"/>
  <c r="F143"/>
  <c r="T143"/>
  <c r="U143" s="1"/>
  <c r="F144"/>
  <c r="U144"/>
  <c r="F145"/>
  <c r="U145"/>
  <c r="F146"/>
  <c r="U146"/>
  <c r="F147"/>
  <c r="U147"/>
  <c r="F148"/>
  <c r="U148" l="1"/>
  <c r="F149"/>
  <c r="U149" l="1"/>
  <c r="F150"/>
  <c r="U150" l="1"/>
  <c r="F151"/>
  <c r="U151" l="1"/>
  <c r="F152"/>
  <c r="U152" l="1"/>
  <c r="F153"/>
  <c r="U153"/>
  <c r="F154"/>
  <c r="U154" l="1"/>
  <c r="F155"/>
  <c r="U155"/>
  <c r="F156"/>
  <c r="U156" l="1"/>
  <c r="F157"/>
  <c r="U157" l="1"/>
  <c r="U159"/>
  <c r="U160" l="1"/>
  <c r="U161" l="1"/>
  <c r="U162" l="1"/>
  <c r="U163" l="1"/>
  <c r="O164" l="1"/>
  <c r="U164"/>
  <c r="AA164" l="1"/>
  <c r="Z164"/>
  <c r="O165"/>
  <c r="U165"/>
  <c r="AA165" l="1"/>
  <c r="Z165"/>
  <c r="O166"/>
  <c r="U166"/>
  <c r="AA166" l="1"/>
  <c r="Z166"/>
  <c r="O167"/>
  <c r="U167"/>
  <c r="AA167" l="1"/>
  <c r="Z167"/>
  <c r="O168"/>
  <c r="U168"/>
  <c r="AA168" l="1"/>
  <c r="Z168"/>
  <c r="O169"/>
  <c r="U169"/>
  <c r="AA169" l="1"/>
  <c r="Z169"/>
  <c r="O170"/>
  <c r="U170"/>
  <c r="AA170" l="1"/>
  <c r="Z170"/>
  <c r="O171"/>
  <c r="U171"/>
  <c r="AA171" l="1"/>
  <c r="Z171"/>
  <c r="O172"/>
  <c r="U172"/>
  <c r="AA172" l="1"/>
  <c r="Z172"/>
  <c r="O173"/>
  <c r="U173"/>
  <c r="AA173" l="1"/>
  <c r="Z173"/>
  <c r="O174"/>
  <c r="U174"/>
  <c r="O175"/>
  <c r="U175"/>
  <c r="O176"/>
  <c r="U176"/>
  <c r="O177"/>
  <c r="U177"/>
  <c r="O178"/>
  <c r="U178"/>
  <c r="O179"/>
  <c r="U179"/>
  <c r="O180"/>
  <c r="U180"/>
  <c r="O181"/>
  <c r="U181"/>
  <c r="O182"/>
  <c r="U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K3" i="1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2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2"/>
  <c r="AA182" i="3" l="1"/>
  <c r="Z182"/>
  <c r="AA180"/>
  <c r="Z180"/>
  <c r="AA178"/>
  <c r="Z178"/>
  <c r="AA176"/>
  <c r="Z176"/>
  <c r="AA174"/>
  <c r="Z174"/>
  <c r="AA218"/>
  <c r="Z218"/>
  <c r="AA217"/>
  <c r="Z217"/>
  <c r="AA216"/>
  <c r="Z216"/>
  <c r="AA215"/>
  <c r="Z215"/>
  <c r="AA214"/>
  <c r="Z214"/>
  <c r="AA213"/>
  <c r="Z213"/>
  <c r="AA212"/>
  <c r="Z212"/>
  <c r="AA211"/>
  <c r="Z211"/>
  <c r="AA210"/>
  <c r="Z210"/>
  <c r="AA209"/>
  <c r="Z209"/>
  <c r="AA208"/>
  <c r="Z208"/>
  <c r="AA207"/>
  <c r="Z207"/>
  <c r="AA206"/>
  <c r="Z206"/>
  <c r="AA205"/>
  <c r="Z205"/>
  <c r="AA204"/>
  <c r="Z204"/>
  <c r="AA203"/>
  <c r="Z203"/>
  <c r="AA202"/>
  <c r="Z202"/>
  <c r="AA201"/>
  <c r="Z201"/>
  <c r="AA200"/>
  <c r="Z200"/>
  <c r="AA199"/>
  <c r="Z199"/>
  <c r="AA198"/>
  <c r="Z198"/>
  <c r="AA197"/>
  <c r="Z197"/>
  <c r="AA196"/>
  <c r="Z196"/>
  <c r="AA195"/>
  <c r="Z195"/>
  <c r="AA194"/>
  <c r="Z194"/>
  <c r="AA193"/>
  <c r="Z193"/>
  <c r="AA192"/>
  <c r="Z192"/>
  <c r="AA191"/>
  <c r="Z191"/>
  <c r="AA190"/>
  <c r="Z190"/>
  <c r="AA189"/>
  <c r="Z189"/>
  <c r="AA188"/>
  <c r="Z188"/>
  <c r="AA187"/>
  <c r="Z187"/>
  <c r="AA186"/>
  <c r="Z186"/>
  <c r="AA185"/>
  <c r="Z185"/>
  <c r="AA184"/>
  <c r="Z184"/>
  <c r="AA183"/>
  <c r="Z183"/>
  <c r="AA181"/>
  <c r="Z181"/>
  <c r="AA179"/>
  <c r="Z179"/>
  <c r="AA177"/>
  <c r="Z177"/>
  <c r="AA175"/>
  <c r="Z175"/>
  <c r="E8" i="28"/>
  <c r="C19" l="1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3"/>
  <c r="C4"/>
  <c r="C5"/>
  <c r="C6"/>
  <c r="C7"/>
  <c r="C8"/>
  <c r="C9"/>
  <c r="C10"/>
  <c r="C11"/>
  <c r="C12"/>
  <c r="C13"/>
  <c r="C14"/>
  <c r="C15"/>
  <c r="C16"/>
  <c r="C17"/>
  <c r="C18"/>
  <c r="C2"/>
  <c r="B5" i="14" l="1" a="1"/>
  <c r="B5" s="1"/>
  <c r="C5" a="1"/>
  <c r="C5" s="1"/>
  <c r="I5" s="1"/>
  <c r="D5" a="1"/>
  <c r="D5" s="1"/>
  <c r="J5" s="1"/>
  <c r="E5" a="1"/>
  <c r="E5" s="1"/>
  <c r="K5" s="1"/>
  <c r="F5" a="1"/>
  <c r="F5" s="1"/>
  <c r="L5" s="1"/>
  <c r="G5" a="1"/>
  <c r="G5" s="1"/>
  <c r="B6" a="1"/>
  <c r="B6" s="1"/>
  <c r="C6" a="1"/>
  <c r="C6" s="1"/>
  <c r="I6" s="1"/>
  <c r="D6" a="1"/>
  <c r="D6" s="1"/>
  <c r="J6" s="1"/>
  <c r="E6" a="1"/>
  <c r="E6" s="1"/>
  <c r="K6" s="1"/>
  <c r="F6" a="1"/>
  <c r="F6" s="1"/>
  <c r="L6" s="1"/>
  <c r="G6" a="1"/>
  <c r="G6" s="1"/>
  <c r="B7" a="1"/>
  <c r="B7" s="1"/>
  <c r="H7" s="1"/>
  <c r="C7" a="1"/>
  <c r="C7" s="1"/>
  <c r="I7" s="1"/>
  <c r="D7" a="1"/>
  <c r="D7" s="1"/>
  <c r="J7" s="1"/>
  <c r="E7" a="1"/>
  <c r="E7" s="1"/>
  <c r="K7" s="1"/>
  <c r="F7" a="1"/>
  <c r="F7" s="1"/>
  <c r="L7" s="1"/>
  <c r="G7" a="1"/>
  <c r="G7" s="1"/>
  <c r="B8" a="1"/>
  <c r="B8" s="1"/>
  <c r="H8" s="1"/>
  <c r="C8" a="1"/>
  <c r="C8" s="1"/>
  <c r="I8" s="1"/>
  <c r="D8" a="1"/>
  <c r="D8" s="1"/>
  <c r="J8" s="1"/>
  <c r="E8" a="1"/>
  <c r="E8" s="1"/>
  <c r="K8" s="1"/>
  <c r="F8" a="1"/>
  <c r="F8" s="1"/>
  <c r="L8" s="1"/>
  <c r="G8" a="1"/>
  <c r="G8" s="1"/>
  <c r="B9" a="1"/>
  <c r="B9" s="1"/>
  <c r="H9" s="1"/>
  <c r="C9" a="1"/>
  <c r="C9" s="1"/>
  <c r="I9" s="1"/>
  <c r="D9" a="1"/>
  <c r="D9" s="1"/>
  <c r="J9" s="1"/>
  <c r="E9" a="1"/>
  <c r="E9" s="1"/>
  <c r="K9" s="1"/>
  <c r="F9" a="1"/>
  <c r="F9" s="1"/>
  <c r="L9" s="1"/>
  <c r="G9" a="1"/>
  <c r="G9" s="1"/>
  <c r="B10" a="1"/>
  <c r="B10" s="1"/>
  <c r="C10" a="1"/>
  <c r="C10" s="1"/>
  <c r="I10" s="1"/>
  <c r="D10" a="1"/>
  <c r="D10" s="1"/>
  <c r="J10" s="1"/>
  <c r="E10" a="1"/>
  <c r="E10" s="1"/>
  <c r="K10" s="1"/>
  <c r="F10" a="1"/>
  <c r="F10" s="1"/>
  <c r="L10" s="1"/>
  <c r="G10" a="1"/>
  <c r="G10" s="1"/>
  <c r="B11" a="1"/>
  <c r="B11" s="1"/>
  <c r="C11" a="1"/>
  <c r="C11" s="1"/>
  <c r="I11" s="1"/>
  <c r="D11" a="1"/>
  <c r="D11" s="1"/>
  <c r="J11" s="1"/>
  <c r="E11" a="1"/>
  <c r="E11" s="1"/>
  <c r="K11" s="1"/>
  <c r="F11" a="1"/>
  <c r="F11" s="1"/>
  <c r="L11" s="1"/>
  <c r="G11" a="1"/>
  <c r="G11" s="1"/>
  <c r="B12" a="1"/>
  <c r="B12" s="1"/>
  <c r="H12" s="1"/>
  <c r="C12" a="1"/>
  <c r="C12" s="1"/>
  <c r="I12" s="1"/>
  <c r="D12" a="1"/>
  <c r="D12" s="1"/>
  <c r="J12" s="1"/>
  <c r="E12" a="1"/>
  <c r="E12" s="1"/>
  <c r="K12" s="1"/>
  <c r="F12" a="1"/>
  <c r="F12" s="1"/>
  <c r="L12" s="1"/>
  <c r="G12" a="1"/>
  <c r="G12" s="1"/>
  <c r="B13" a="1"/>
  <c r="B13" s="1"/>
  <c r="C13" a="1"/>
  <c r="C13" s="1"/>
  <c r="I13" s="1"/>
  <c r="D13" a="1"/>
  <c r="D13" s="1"/>
  <c r="J13" s="1"/>
  <c r="E13" a="1"/>
  <c r="E13" s="1"/>
  <c r="K13" s="1"/>
  <c r="F13" a="1"/>
  <c r="F13" s="1"/>
  <c r="L13" s="1"/>
  <c r="G13" a="1"/>
  <c r="G13" s="1"/>
  <c r="B14" a="1"/>
  <c r="B14" s="1"/>
  <c r="H14" s="1"/>
  <c r="C14" a="1"/>
  <c r="C14" s="1"/>
  <c r="I14" s="1"/>
  <c r="D14" a="1"/>
  <c r="D14" s="1"/>
  <c r="J14" s="1"/>
  <c r="E14" a="1"/>
  <c r="E14" s="1"/>
  <c r="K14" s="1"/>
  <c r="F14" a="1"/>
  <c r="F14" s="1"/>
  <c r="L14" s="1"/>
  <c r="G14" a="1"/>
  <c r="G14" s="1"/>
  <c r="B15" a="1"/>
  <c r="B15" s="1"/>
  <c r="C15" a="1"/>
  <c r="C15" s="1"/>
  <c r="I15" s="1"/>
  <c r="D15" a="1"/>
  <c r="D15" s="1"/>
  <c r="J15" s="1"/>
  <c r="E15" a="1"/>
  <c r="E15" s="1"/>
  <c r="K15" s="1"/>
  <c r="F15" a="1"/>
  <c r="F15" s="1"/>
  <c r="L15" s="1"/>
  <c r="G15" a="1"/>
  <c r="G15" s="1"/>
  <c r="B16" a="1"/>
  <c r="B16" s="1"/>
  <c r="H16" s="1"/>
  <c r="C16" a="1"/>
  <c r="C16" s="1"/>
  <c r="I16" s="1"/>
  <c r="D16" a="1"/>
  <c r="D16" s="1"/>
  <c r="J16" s="1"/>
  <c r="E16" a="1"/>
  <c r="E16" s="1"/>
  <c r="K16" s="1"/>
  <c r="F16" a="1"/>
  <c r="F16" s="1"/>
  <c r="L16" s="1"/>
  <c r="G16" a="1"/>
  <c r="G16" s="1"/>
  <c r="B17" a="1"/>
  <c r="B17" s="1"/>
  <c r="C17" a="1"/>
  <c r="C17" s="1"/>
  <c r="I17" s="1"/>
  <c r="D17" a="1"/>
  <c r="D17" s="1"/>
  <c r="J17" s="1"/>
  <c r="E17" a="1"/>
  <c r="E17" s="1"/>
  <c r="K17" s="1"/>
  <c r="F17" a="1"/>
  <c r="F17" s="1"/>
  <c r="L17" s="1"/>
  <c r="G17" a="1"/>
  <c r="G17" s="1"/>
  <c r="B18" a="1"/>
  <c r="B18" s="1"/>
  <c r="C18" a="1"/>
  <c r="C18" s="1"/>
  <c r="D18" a="1"/>
  <c r="D18" s="1"/>
  <c r="E18" a="1"/>
  <c r="E18" s="1"/>
  <c r="K18" s="1"/>
  <c r="F18" a="1"/>
  <c r="F18" s="1"/>
  <c r="L18" s="1"/>
  <c r="G18" a="1"/>
  <c r="G18" s="1"/>
  <c r="B19" a="1"/>
  <c r="B19" s="1"/>
  <c r="C19" a="1"/>
  <c r="C19" s="1"/>
  <c r="I19" s="1"/>
  <c r="D19" a="1"/>
  <c r="D19" s="1"/>
  <c r="J19" s="1"/>
  <c r="E19" a="1"/>
  <c r="E19" s="1"/>
  <c r="K19" s="1"/>
  <c r="F19" a="1"/>
  <c r="F19" s="1"/>
  <c r="L19" s="1"/>
  <c r="G19" a="1"/>
  <c r="G19" s="1"/>
  <c r="B20" a="1"/>
  <c r="B20" s="1"/>
  <c r="H20" s="1"/>
  <c r="C20" a="1"/>
  <c r="C20" s="1"/>
  <c r="I20" s="1"/>
  <c r="D20" a="1"/>
  <c r="D20" s="1"/>
  <c r="J20" s="1"/>
  <c r="E20" a="1"/>
  <c r="E20" s="1"/>
  <c r="K20" s="1"/>
  <c r="F20" a="1"/>
  <c r="F20" s="1"/>
  <c r="L20" s="1"/>
  <c r="G20" a="1"/>
  <c r="G20" s="1"/>
  <c r="B21" a="1"/>
  <c r="B21" s="1"/>
  <c r="H21" s="1"/>
  <c r="C21" a="1"/>
  <c r="C21" s="1"/>
  <c r="I21" s="1"/>
  <c r="D21" a="1"/>
  <c r="D21" s="1"/>
  <c r="J21" s="1"/>
  <c r="E21" a="1"/>
  <c r="E21" s="1"/>
  <c r="K21" s="1"/>
  <c r="F21" a="1"/>
  <c r="F21" s="1"/>
  <c r="L21" s="1"/>
  <c r="G21" a="1"/>
  <c r="G21" s="1"/>
  <c r="B22" a="1"/>
  <c r="B22" s="1"/>
  <c r="C22" a="1"/>
  <c r="C22" s="1"/>
  <c r="D22" a="1"/>
  <c r="D22" s="1"/>
  <c r="J22" s="1"/>
  <c r="E22" a="1"/>
  <c r="E22" s="1"/>
  <c r="K22" s="1"/>
  <c r="F22" a="1"/>
  <c r="F22" s="1"/>
  <c r="L22" s="1"/>
  <c r="G22" a="1"/>
  <c r="G22" s="1"/>
  <c r="B23" a="1"/>
  <c r="B23" s="1"/>
  <c r="H23" s="1"/>
  <c r="C23" a="1"/>
  <c r="C23" s="1"/>
  <c r="I23" s="1"/>
  <c r="D23" a="1"/>
  <c r="D23" s="1"/>
  <c r="J23" s="1"/>
  <c r="E23" a="1"/>
  <c r="E23" s="1"/>
  <c r="K23" s="1"/>
  <c r="F23" a="1"/>
  <c r="F23" s="1"/>
  <c r="L23" s="1"/>
  <c r="G23" a="1"/>
  <c r="G23" s="1"/>
  <c r="B24" a="1"/>
  <c r="B24" s="1"/>
  <c r="H24" s="1"/>
  <c r="C24" a="1"/>
  <c r="C24" s="1"/>
  <c r="I24" s="1"/>
  <c r="D24" a="1"/>
  <c r="D24" s="1"/>
  <c r="J24" s="1"/>
  <c r="E24" a="1"/>
  <c r="E24" s="1"/>
  <c r="K24" s="1"/>
  <c r="F24" a="1"/>
  <c r="F24" s="1"/>
  <c r="L24" s="1"/>
  <c r="G24" a="1"/>
  <c r="G24" s="1"/>
  <c r="B25" a="1"/>
  <c r="B25" s="1"/>
  <c r="H25" s="1"/>
  <c r="C25" a="1"/>
  <c r="C25" s="1"/>
  <c r="I25" s="1"/>
  <c r="D25" a="1"/>
  <c r="D25" s="1"/>
  <c r="J25" s="1"/>
  <c r="E25" a="1"/>
  <c r="E25" s="1"/>
  <c r="K25" s="1"/>
  <c r="F25" a="1"/>
  <c r="F25" s="1"/>
  <c r="L25" s="1"/>
  <c r="G25" a="1"/>
  <c r="G25" s="1"/>
  <c r="B26" a="1"/>
  <c r="B26" s="1"/>
  <c r="H26" s="1"/>
  <c r="C26" a="1"/>
  <c r="C26" s="1"/>
  <c r="I26" s="1"/>
  <c r="D26" a="1"/>
  <c r="D26" s="1"/>
  <c r="J26" s="1"/>
  <c r="E26" a="1"/>
  <c r="E26" s="1"/>
  <c r="K26" s="1"/>
  <c r="F26" a="1"/>
  <c r="F26" s="1"/>
  <c r="L26" s="1"/>
  <c r="G26" a="1"/>
  <c r="G26" s="1"/>
  <c r="B27" a="1"/>
  <c r="B27" s="1"/>
  <c r="H27" s="1"/>
  <c r="C27" a="1"/>
  <c r="C27" s="1"/>
  <c r="I27" s="1"/>
  <c r="D27" a="1"/>
  <c r="D27" s="1"/>
  <c r="J27" s="1"/>
  <c r="E27" a="1"/>
  <c r="E27" s="1"/>
  <c r="K27" s="1"/>
  <c r="F27" a="1"/>
  <c r="F27" s="1"/>
  <c r="L27" s="1"/>
  <c r="G27" a="1"/>
  <c r="G27" s="1"/>
  <c r="B28" a="1"/>
  <c r="B28" s="1"/>
  <c r="H28" s="1"/>
  <c r="C28" a="1"/>
  <c r="C28" s="1"/>
  <c r="I28" s="1"/>
  <c r="D28" a="1"/>
  <c r="D28" s="1"/>
  <c r="J28" s="1"/>
  <c r="E28" a="1"/>
  <c r="E28" s="1"/>
  <c r="K28" s="1"/>
  <c r="F28" a="1"/>
  <c r="F28" s="1"/>
  <c r="L28" s="1"/>
  <c r="G28" a="1"/>
  <c r="G28" s="1"/>
  <c r="B29" a="1"/>
  <c r="B29" s="1"/>
  <c r="C29" a="1"/>
  <c r="C29" s="1"/>
  <c r="D29" a="1"/>
  <c r="D29" s="1"/>
  <c r="J29" s="1"/>
  <c r="E29" a="1"/>
  <c r="E29" s="1"/>
  <c r="K29" s="1"/>
  <c r="F29" a="1"/>
  <c r="F29" s="1"/>
  <c r="L29" s="1"/>
  <c r="G29" a="1"/>
  <c r="G29" s="1"/>
  <c r="B30" a="1"/>
  <c r="B30" s="1"/>
  <c r="H30" s="1"/>
  <c r="C30" a="1"/>
  <c r="C30" s="1"/>
  <c r="I30" s="1"/>
  <c r="D30" a="1"/>
  <c r="D30" s="1"/>
  <c r="J30" s="1"/>
  <c r="E30" a="1"/>
  <c r="E30" s="1"/>
  <c r="K30" s="1"/>
  <c r="F30" a="1"/>
  <c r="F30" s="1"/>
  <c r="L30" s="1"/>
  <c r="G30" a="1"/>
  <c r="G30" s="1"/>
  <c r="B31" a="1"/>
  <c r="B31" s="1"/>
  <c r="H31" s="1"/>
  <c r="C31" a="1"/>
  <c r="C31" s="1"/>
  <c r="I31" s="1"/>
  <c r="D31" a="1"/>
  <c r="D31" s="1"/>
  <c r="J31" s="1"/>
  <c r="E31" a="1"/>
  <c r="E31" s="1"/>
  <c r="K31" s="1"/>
  <c r="F31" a="1"/>
  <c r="F31" s="1"/>
  <c r="L31" s="1"/>
  <c r="G31" a="1"/>
  <c r="G31" s="1"/>
  <c r="B32" a="1"/>
  <c r="B32" s="1"/>
  <c r="H32" s="1"/>
  <c r="C32" a="1"/>
  <c r="C32" s="1"/>
  <c r="I32" s="1"/>
  <c r="D32" a="1"/>
  <c r="D32" s="1"/>
  <c r="J32" s="1"/>
  <c r="E32" a="1"/>
  <c r="E32" s="1"/>
  <c r="K32" s="1"/>
  <c r="F32" a="1"/>
  <c r="F32" s="1"/>
  <c r="L32" s="1"/>
  <c r="G32" a="1"/>
  <c r="G32" s="1"/>
  <c r="B33" a="1"/>
  <c r="B33" s="1"/>
  <c r="C33" a="1"/>
  <c r="C33" s="1"/>
  <c r="I33" s="1"/>
  <c r="D33" a="1"/>
  <c r="D33" s="1"/>
  <c r="J33" s="1"/>
  <c r="E33" a="1"/>
  <c r="E33" s="1"/>
  <c r="K33" s="1"/>
  <c r="F33" a="1"/>
  <c r="F33" s="1"/>
  <c r="L33" s="1"/>
  <c r="G33" a="1"/>
  <c r="G33" s="1"/>
  <c r="B34" a="1"/>
  <c r="B34" s="1"/>
  <c r="H34" s="1"/>
  <c r="C34" a="1"/>
  <c r="C34" s="1"/>
  <c r="I34" s="1"/>
  <c r="D34" a="1"/>
  <c r="D34" s="1"/>
  <c r="J34" s="1"/>
  <c r="E34" a="1"/>
  <c r="E34" s="1"/>
  <c r="K34" s="1"/>
  <c r="F34" a="1"/>
  <c r="F34" s="1"/>
  <c r="L34" s="1"/>
  <c r="G34" a="1"/>
  <c r="G34" s="1"/>
  <c r="B35" a="1"/>
  <c r="B35" s="1"/>
  <c r="H35" s="1"/>
  <c r="C35" a="1"/>
  <c r="C35" s="1"/>
  <c r="I35" s="1"/>
  <c r="D35" a="1"/>
  <c r="D35" s="1"/>
  <c r="J35" s="1"/>
  <c r="E35" a="1"/>
  <c r="E35" s="1"/>
  <c r="K35" s="1"/>
  <c r="F35" a="1"/>
  <c r="F35" s="1"/>
  <c r="L35" s="1"/>
  <c r="G35" a="1"/>
  <c r="G35" s="1"/>
  <c r="B36" a="1"/>
  <c r="B36" s="1"/>
  <c r="H36" s="1"/>
  <c r="C36" a="1"/>
  <c r="C36" s="1"/>
  <c r="I36" s="1"/>
  <c r="D36" a="1"/>
  <c r="D36" s="1"/>
  <c r="J36" s="1"/>
  <c r="E36" a="1"/>
  <c r="E36" s="1"/>
  <c r="K36" s="1"/>
  <c r="F36" a="1"/>
  <c r="F36" s="1"/>
  <c r="L36" s="1"/>
  <c r="G36" a="1"/>
  <c r="G36" s="1"/>
  <c r="B37" a="1"/>
  <c r="B37" s="1"/>
  <c r="H37" s="1"/>
  <c r="C37" a="1"/>
  <c r="C37" s="1"/>
  <c r="I37" s="1"/>
  <c r="D37" a="1"/>
  <c r="D37" s="1"/>
  <c r="J37" s="1"/>
  <c r="E37" a="1"/>
  <c r="E37" s="1"/>
  <c r="K37" s="1"/>
  <c r="F37" a="1"/>
  <c r="F37" s="1"/>
  <c r="L37" s="1"/>
  <c r="G37" a="1"/>
  <c r="G37" s="1"/>
  <c r="B38" a="1"/>
  <c r="B38" s="1"/>
  <c r="H38" s="1"/>
  <c r="C38" a="1"/>
  <c r="C38" s="1"/>
  <c r="I38" s="1"/>
  <c r="D38" a="1"/>
  <c r="D38" s="1"/>
  <c r="J38" s="1"/>
  <c r="E38" a="1"/>
  <c r="E38" s="1"/>
  <c r="K38" s="1"/>
  <c r="F38" a="1"/>
  <c r="F38" s="1"/>
  <c r="L38" s="1"/>
  <c r="G38" a="1"/>
  <c r="G38" s="1"/>
  <c r="B39" a="1"/>
  <c r="B39" s="1"/>
  <c r="H39" s="1"/>
  <c r="C39" a="1"/>
  <c r="C39" s="1"/>
  <c r="I39" s="1"/>
  <c r="D39" a="1"/>
  <c r="D39" s="1"/>
  <c r="J39" s="1"/>
  <c r="E39" a="1"/>
  <c r="E39" s="1"/>
  <c r="K39" s="1"/>
  <c r="F39" a="1"/>
  <c r="F39" s="1"/>
  <c r="L39" s="1"/>
  <c r="G39" a="1"/>
  <c r="G39" s="1"/>
  <c r="B40" a="1"/>
  <c r="B40" s="1"/>
  <c r="H40" s="1"/>
  <c r="C40" a="1"/>
  <c r="C40" s="1"/>
  <c r="I40" s="1"/>
  <c r="D40" a="1"/>
  <c r="D40" s="1"/>
  <c r="J40" s="1"/>
  <c r="E40" a="1"/>
  <c r="E40" s="1"/>
  <c r="K40" s="1"/>
  <c r="F40" a="1"/>
  <c r="F40" s="1"/>
  <c r="L40" s="1"/>
  <c r="G40" a="1"/>
  <c r="G40" s="1"/>
  <c r="B41" a="1"/>
  <c r="B41" s="1"/>
  <c r="H41" s="1"/>
  <c r="C41" a="1"/>
  <c r="C41" s="1"/>
  <c r="I41" s="1"/>
  <c r="D41" a="1"/>
  <c r="D41" s="1"/>
  <c r="J41" s="1"/>
  <c r="E41" a="1"/>
  <c r="E41" s="1"/>
  <c r="K41" s="1"/>
  <c r="F41" a="1"/>
  <c r="F41" s="1"/>
  <c r="L41" s="1"/>
  <c r="G41" a="1"/>
  <c r="G41" s="1"/>
  <c r="B42" a="1"/>
  <c r="B42" s="1"/>
  <c r="H42" s="1"/>
  <c r="C42" a="1"/>
  <c r="C42" s="1"/>
  <c r="I42" s="1"/>
  <c r="D42" a="1"/>
  <c r="D42" s="1"/>
  <c r="J42" s="1"/>
  <c r="E42" a="1"/>
  <c r="E42" s="1"/>
  <c r="K42" s="1"/>
  <c r="F42" a="1"/>
  <c r="F42" s="1"/>
  <c r="L42" s="1"/>
  <c r="G42" a="1"/>
  <c r="G42" s="1"/>
  <c r="B43" a="1"/>
  <c r="B43" s="1"/>
  <c r="H43" s="1"/>
  <c r="C43" a="1"/>
  <c r="C43" s="1"/>
  <c r="I43" s="1"/>
  <c r="D43" a="1"/>
  <c r="D43" s="1"/>
  <c r="J43" s="1"/>
  <c r="E43" a="1"/>
  <c r="E43" s="1"/>
  <c r="K43" s="1"/>
  <c r="F43" a="1"/>
  <c r="F43" s="1"/>
  <c r="L43" s="1"/>
  <c r="G43" a="1"/>
  <c r="G43" s="1"/>
  <c r="B44" a="1"/>
  <c r="B44" s="1"/>
  <c r="H44" s="1"/>
  <c r="C44" a="1"/>
  <c r="C44" s="1"/>
  <c r="I44" s="1"/>
  <c r="D44" a="1"/>
  <c r="D44" s="1"/>
  <c r="J44" s="1"/>
  <c r="E44" a="1"/>
  <c r="E44" s="1"/>
  <c r="K44" s="1"/>
  <c r="F44" a="1"/>
  <c r="F44" s="1"/>
  <c r="L44" s="1"/>
  <c r="G44" a="1"/>
  <c r="G44" s="1"/>
  <c r="B45" a="1"/>
  <c r="B45" s="1"/>
  <c r="H45" s="1"/>
  <c r="C45" a="1"/>
  <c r="C45" s="1"/>
  <c r="I45" s="1"/>
  <c r="D45" a="1"/>
  <c r="D45" s="1"/>
  <c r="J45" s="1"/>
  <c r="E45" a="1"/>
  <c r="E45" s="1"/>
  <c r="K45" s="1"/>
  <c r="F45" a="1"/>
  <c r="F45" s="1"/>
  <c r="L45" s="1"/>
  <c r="G45" a="1"/>
  <c r="G45" s="1"/>
  <c r="B46" a="1"/>
  <c r="B46" s="1"/>
  <c r="H46" s="1"/>
  <c r="C46" a="1"/>
  <c r="C46" s="1"/>
  <c r="I46" s="1"/>
  <c r="D46" a="1"/>
  <c r="D46" s="1"/>
  <c r="J46" s="1"/>
  <c r="E46" a="1"/>
  <c r="E46" s="1"/>
  <c r="K46" s="1"/>
  <c r="F46" a="1"/>
  <c r="F46" s="1"/>
  <c r="L46" s="1"/>
  <c r="G46" a="1"/>
  <c r="G46" s="1"/>
  <c r="B47" a="1"/>
  <c r="B47" s="1"/>
  <c r="H47" s="1"/>
  <c r="C47" a="1"/>
  <c r="C47" s="1"/>
  <c r="I47" s="1"/>
  <c r="D47" a="1"/>
  <c r="D47" s="1"/>
  <c r="J47" s="1"/>
  <c r="E47" a="1"/>
  <c r="E47" s="1"/>
  <c r="K47" s="1"/>
  <c r="F47" a="1"/>
  <c r="F47" s="1"/>
  <c r="L47" s="1"/>
  <c r="G47" a="1"/>
  <c r="G47" s="1"/>
  <c r="B48" a="1"/>
  <c r="B48" s="1"/>
  <c r="H48" s="1"/>
  <c r="C48" a="1"/>
  <c r="C48" s="1"/>
  <c r="I48" s="1"/>
  <c r="D48" a="1"/>
  <c r="D48" s="1"/>
  <c r="J48" s="1"/>
  <c r="E48" a="1"/>
  <c r="E48" s="1"/>
  <c r="K48" s="1"/>
  <c r="F48" a="1"/>
  <c r="F48" s="1"/>
  <c r="L48" s="1"/>
  <c r="G48" a="1"/>
  <c r="G48" s="1"/>
  <c r="B49" a="1"/>
  <c r="B49" s="1"/>
  <c r="H49" s="1"/>
  <c r="C49" a="1"/>
  <c r="C49" s="1"/>
  <c r="I49" s="1"/>
  <c r="D49" a="1"/>
  <c r="D49" s="1"/>
  <c r="J49" s="1"/>
  <c r="E49" a="1"/>
  <c r="E49" s="1"/>
  <c r="K49" s="1"/>
  <c r="F49" a="1"/>
  <c r="F49" s="1"/>
  <c r="L49" s="1"/>
  <c r="G49" a="1"/>
  <c r="G49" s="1"/>
  <c r="B50" a="1"/>
  <c r="B50" s="1"/>
  <c r="H50" s="1"/>
  <c r="C50" a="1"/>
  <c r="C50" s="1"/>
  <c r="I50" s="1"/>
  <c r="D50" a="1"/>
  <c r="D50" s="1"/>
  <c r="J50" s="1"/>
  <c r="E50" a="1"/>
  <c r="E50" s="1"/>
  <c r="K50" s="1"/>
  <c r="F50" a="1"/>
  <c r="F50" s="1"/>
  <c r="L50" s="1"/>
  <c r="G50" a="1"/>
  <c r="G50" s="1"/>
  <c r="B51" a="1"/>
  <c r="B51" s="1"/>
  <c r="H51" s="1"/>
  <c r="C51" a="1"/>
  <c r="C51" s="1"/>
  <c r="I51" s="1"/>
  <c r="D51" a="1"/>
  <c r="D51" s="1"/>
  <c r="J51" s="1"/>
  <c r="E51" a="1"/>
  <c r="E51" s="1"/>
  <c r="K51" s="1"/>
  <c r="F51" a="1"/>
  <c r="F51" s="1"/>
  <c r="L51" s="1"/>
  <c r="G51" a="1"/>
  <c r="G51" s="1"/>
  <c r="B52" a="1"/>
  <c r="B52" s="1"/>
  <c r="H52" s="1"/>
  <c r="C52" a="1"/>
  <c r="C52" s="1"/>
  <c r="I52" s="1"/>
  <c r="D52" a="1"/>
  <c r="D52" s="1"/>
  <c r="J52" s="1"/>
  <c r="E52" a="1"/>
  <c r="E52" s="1"/>
  <c r="K52" s="1"/>
  <c r="F52" a="1"/>
  <c r="F52" s="1"/>
  <c r="L52" s="1"/>
  <c r="G52" a="1"/>
  <c r="G52" s="1"/>
  <c r="B53" a="1"/>
  <c r="B53" s="1"/>
  <c r="H53" s="1"/>
  <c r="C53" a="1"/>
  <c r="C53" s="1"/>
  <c r="I53" s="1"/>
  <c r="D53" a="1"/>
  <c r="D53" s="1"/>
  <c r="J53" s="1"/>
  <c r="E53" a="1"/>
  <c r="E53" s="1"/>
  <c r="K53" s="1"/>
  <c r="F53" a="1"/>
  <c r="F53" s="1"/>
  <c r="L53" s="1"/>
  <c r="G53" a="1"/>
  <c r="G53" s="1"/>
  <c r="B54" a="1"/>
  <c r="B54" s="1"/>
  <c r="H54" s="1"/>
  <c r="C54" a="1"/>
  <c r="C54" s="1"/>
  <c r="I54" s="1"/>
  <c r="D54" a="1"/>
  <c r="D54" s="1"/>
  <c r="J54" s="1"/>
  <c r="E54" a="1"/>
  <c r="E54" s="1"/>
  <c r="K54" s="1"/>
  <c r="F54" a="1"/>
  <c r="F54" s="1"/>
  <c r="L54" s="1"/>
  <c r="G54" a="1"/>
  <c r="G54" s="1"/>
  <c r="B55" a="1"/>
  <c r="B55" s="1"/>
  <c r="H55" s="1"/>
  <c r="C55" a="1"/>
  <c r="C55" s="1"/>
  <c r="I55" s="1"/>
  <c r="D55" a="1"/>
  <c r="D55" s="1"/>
  <c r="J55" s="1"/>
  <c r="E55" a="1"/>
  <c r="E55" s="1"/>
  <c r="K55" s="1"/>
  <c r="F55" a="1"/>
  <c r="F55" s="1"/>
  <c r="L55" s="1"/>
  <c r="G55" a="1"/>
  <c r="G55" s="1"/>
  <c r="B56" a="1"/>
  <c r="B56" s="1"/>
  <c r="H56" s="1"/>
  <c r="C56" a="1"/>
  <c r="C56" s="1"/>
  <c r="I56" s="1"/>
  <c r="D56" a="1"/>
  <c r="D56" s="1"/>
  <c r="J56" s="1"/>
  <c r="E56" a="1"/>
  <c r="E56" s="1"/>
  <c r="K56" s="1"/>
  <c r="F56" a="1"/>
  <c r="F56" s="1"/>
  <c r="L56" s="1"/>
  <c r="G56" a="1"/>
  <c r="G56" s="1"/>
  <c r="B57" a="1"/>
  <c r="B57" s="1"/>
  <c r="H57" s="1"/>
  <c r="C57" a="1"/>
  <c r="C57" s="1"/>
  <c r="I57" s="1"/>
  <c r="D57" a="1"/>
  <c r="D57" s="1"/>
  <c r="J57" s="1"/>
  <c r="E57" a="1"/>
  <c r="E57" s="1"/>
  <c r="K57" s="1"/>
  <c r="F57" a="1"/>
  <c r="F57" s="1"/>
  <c r="L57" s="1"/>
  <c r="G57" a="1"/>
  <c r="G57" s="1"/>
  <c r="B58" a="1"/>
  <c r="B58" s="1"/>
  <c r="H58" s="1"/>
  <c r="C58" a="1"/>
  <c r="C58" s="1"/>
  <c r="I58" s="1"/>
  <c r="D58" a="1"/>
  <c r="D58" s="1"/>
  <c r="J58" s="1"/>
  <c r="E58" a="1"/>
  <c r="E58" s="1"/>
  <c r="K58" s="1"/>
  <c r="F58" a="1"/>
  <c r="F58" s="1"/>
  <c r="L58" s="1"/>
  <c r="G58" a="1"/>
  <c r="G58" s="1"/>
  <c r="B59" a="1"/>
  <c r="B59" s="1"/>
  <c r="H59" s="1"/>
  <c r="C59" a="1"/>
  <c r="C59" s="1"/>
  <c r="I59" s="1"/>
  <c r="D59" a="1"/>
  <c r="D59" s="1"/>
  <c r="J59" s="1"/>
  <c r="E59" a="1"/>
  <c r="E59" s="1"/>
  <c r="K59" s="1"/>
  <c r="F59" a="1"/>
  <c r="F59" s="1"/>
  <c r="L59" s="1"/>
  <c r="G59" a="1"/>
  <c r="G59" s="1"/>
  <c r="B60" a="1"/>
  <c r="B60" s="1"/>
  <c r="H60" s="1"/>
  <c r="C60" a="1"/>
  <c r="C60" s="1"/>
  <c r="I60" s="1"/>
  <c r="D60" a="1"/>
  <c r="D60" s="1"/>
  <c r="J60" s="1"/>
  <c r="E60" a="1"/>
  <c r="E60" s="1"/>
  <c r="K60" s="1"/>
  <c r="F60" a="1"/>
  <c r="F60" s="1"/>
  <c r="L60" s="1"/>
  <c r="G60" a="1"/>
  <c r="G60" s="1"/>
  <c r="B61" a="1"/>
  <c r="B61" s="1"/>
  <c r="H61" s="1"/>
  <c r="C61" a="1"/>
  <c r="C61" s="1"/>
  <c r="I61" s="1"/>
  <c r="D61" a="1"/>
  <c r="D61" s="1"/>
  <c r="J61" s="1"/>
  <c r="E61" a="1"/>
  <c r="E61" s="1"/>
  <c r="K61" s="1"/>
  <c r="F61" a="1"/>
  <c r="F61" s="1"/>
  <c r="L61" s="1"/>
  <c r="G61" a="1"/>
  <c r="G61" s="1"/>
  <c r="B62" a="1"/>
  <c r="B62" s="1"/>
  <c r="H62" s="1"/>
  <c r="C62" a="1"/>
  <c r="C62" s="1"/>
  <c r="I62" s="1"/>
  <c r="D62" a="1"/>
  <c r="D62" s="1"/>
  <c r="J62" s="1"/>
  <c r="E62" a="1"/>
  <c r="E62" s="1"/>
  <c r="K62" s="1"/>
  <c r="F62" a="1"/>
  <c r="F62" s="1"/>
  <c r="L62" s="1"/>
  <c r="G62" a="1"/>
  <c r="G62" s="1"/>
  <c r="B63" a="1"/>
  <c r="B63" s="1"/>
  <c r="H63" s="1"/>
  <c r="C63" a="1"/>
  <c r="C63" s="1"/>
  <c r="I63" s="1"/>
  <c r="D63" a="1"/>
  <c r="D63" s="1"/>
  <c r="J63" s="1"/>
  <c r="E63" a="1"/>
  <c r="E63" s="1"/>
  <c r="K63" s="1"/>
  <c r="F63" a="1"/>
  <c r="F63" s="1"/>
  <c r="L63" s="1"/>
  <c r="G63" a="1"/>
  <c r="G63" s="1"/>
  <c r="B64" a="1"/>
  <c r="B64" s="1"/>
  <c r="H64" s="1"/>
  <c r="C64" a="1"/>
  <c r="C64" s="1"/>
  <c r="I64" s="1"/>
  <c r="D64" a="1"/>
  <c r="D64" s="1"/>
  <c r="J64" s="1"/>
  <c r="E64" a="1"/>
  <c r="E64" s="1"/>
  <c r="K64" s="1"/>
  <c r="F64" a="1"/>
  <c r="F64" s="1"/>
  <c r="L64" s="1"/>
  <c r="G64" a="1"/>
  <c r="G64" s="1"/>
  <c r="B65" a="1"/>
  <c r="B65" s="1"/>
  <c r="H65" s="1"/>
  <c r="C65" a="1"/>
  <c r="C65" s="1"/>
  <c r="I65" s="1"/>
  <c r="D65" a="1"/>
  <c r="D65" s="1"/>
  <c r="J65" s="1"/>
  <c r="E65" a="1"/>
  <c r="E65" s="1"/>
  <c r="K65" s="1"/>
  <c r="F65" a="1"/>
  <c r="F65" s="1"/>
  <c r="L65" s="1"/>
  <c r="G65" a="1"/>
  <c r="G65" s="1"/>
  <c r="B66" a="1"/>
  <c r="B66" s="1"/>
  <c r="H66" s="1"/>
  <c r="C66" a="1"/>
  <c r="C66" s="1"/>
  <c r="I66" s="1"/>
  <c r="D66" a="1"/>
  <c r="D66" s="1"/>
  <c r="J66" s="1"/>
  <c r="E66" a="1"/>
  <c r="E66" s="1"/>
  <c r="K66" s="1"/>
  <c r="F66" a="1"/>
  <c r="F66" s="1"/>
  <c r="L66" s="1"/>
  <c r="G66" a="1"/>
  <c r="G66" s="1"/>
  <c r="B67" a="1"/>
  <c r="B67" s="1"/>
  <c r="H67" s="1"/>
  <c r="C67" a="1"/>
  <c r="C67" s="1"/>
  <c r="I67" s="1"/>
  <c r="D67" a="1"/>
  <c r="D67" s="1"/>
  <c r="J67" s="1"/>
  <c r="E67" a="1"/>
  <c r="E67" s="1"/>
  <c r="K67" s="1"/>
  <c r="F67" a="1"/>
  <c r="F67" s="1"/>
  <c r="L67" s="1"/>
  <c r="G67" a="1"/>
  <c r="G67" s="1"/>
  <c r="B68" a="1"/>
  <c r="B68" s="1"/>
  <c r="H68" s="1"/>
  <c r="C68" a="1"/>
  <c r="C68" s="1"/>
  <c r="I68" s="1"/>
  <c r="D68" a="1"/>
  <c r="D68" s="1"/>
  <c r="J68" s="1"/>
  <c r="E68" a="1"/>
  <c r="E68" s="1"/>
  <c r="K68" s="1"/>
  <c r="F68" a="1"/>
  <c r="F68" s="1"/>
  <c r="L68" s="1"/>
  <c r="G68" a="1"/>
  <c r="G68" s="1"/>
  <c r="B69" a="1"/>
  <c r="B69" s="1"/>
  <c r="C69" a="1"/>
  <c r="C69" s="1"/>
  <c r="I69" s="1"/>
  <c r="D69" a="1"/>
  <c r="D69" s="1"/>
  <c r="J69" s="1"/>
  <c r="E69" a="1"/>
  <c r="E69" s="1"/>
  <c r="K69" s="1"/>
  <c r="F69" a="1"/>
  <c r="F69" s="1"/>
  <c r="L69" s="1"/>
  <c r="G69" a="1"/>
  <c r="G69" s="1"/>
  <c r="B70" a="1"/>
  <c r="B70" s="1"/>
  <c r="H70" s="1"/>
  <c r="C70" a="1"/>
  <c r="C70" s="1"/>
  <c r="I70" s="1"/>
  <c r="D70" a="1"/>
  <c r="D70" s="1"/>
  <c r="J70" s="1"/>
  <c r="E70" a="1"/>
  <c r="E70" s="1"/>
  <c r="K70" s="1"/>
  <c r="F70" a="1"/>
  <c r="F70" s="1"/>
  <c r="L70" s="1"/>
  <c r="G70" a="1"/>
  <c r="G70" s="1"/>
  <c r="B71" a="1"/>
  <c r="B71" s="1"/>
  <c r="H71" s="1"/>
  <c r="C71" a="1"/>
  <c r="C71" s="1"/>
  <c r="I71" s="1"/>
  <c r="D71" a="1"/>
  <c r="D71" s="1"/>
  <c r="J71" s="1"/>
  <c r="E71" a="1"/>
  <c r="E71" s="1"/>
  <c r="K71" s="1"/>
  <c r="F71" a="1"/>
  <c r="F71" s="1"/>
  <c r="L71" s="1"/>
  <c r="G71" a="1"/>
  <c r="G71" s="1"/>
  <c r="B72" a="1"/>
  <c r="B72" s="1"/>
  <c r="H72" s="1"/>
  <c r="C72" a="1"/>
  <c r="C72" s="1"/>
  <c r="I72" s="1"/>
  <c r="D72" a="1"/>
  <c r="D72" s="1"/>
  <c r="J72" s="1"/>
  <c r="E72" a="1"/>
  <c r="E72" s="1"/>
  <c r="K72" s="1"/>
  <c r="F72" a="1"/>
  <c r="F72" s="1"/>
  <c r="L72" s="1"/>
  <c r="G72" a="1"/>
  <c r="G72" s="1"/>
  <c r="B73" a="1"/>
  <c r="B73" s="1"/>
  <c r="H73" s="1"/>
  <c r="C73" a="1"/>
  <c r="C73" s="1"/>
  <c r="I73" s="1"/>
  <c r="D73" a="1"/>
  <c r="D73" s="1"/>
  <c r="J73" s="1"/>
  <c r="E73" a="1"/>
  <c r="E73" s="1"/>
  <c r="K73" s="1"/>
  <c r="F73" a="1"/>
  <c r="F73" s="1"/>
  <c r="L73" s="1"/>
  <c r="G73" a="1"/>
  <c r="G73" s="1"/>
  <c r="B74" a="1"/>
  <c r="B74" s="1"/>
  <c r="H74" s="1"/>
  <c r="C74" a="1"/>
  <c r="C74" s="1"/>
  <c r="I74" s="1"/>
  <c r="D74" a="1"/>
  <c r="D74" s="1"/>
  <c r="J74" s="1"/>
  <c r="E74" a="1"/>
  <c r="E74" s="1"/>
  <c r="K74" s="1"/>
  <c r="F74" a="1"/>
  <c r="F74" s="1"/>
  <c r="L74" s="1"/>
  <c r="G74" a="1"/>
  <c r="G74" s="1"/>
  <c r="B75" a="1"/>
  <c r="B75" s="1"/>
  <c r="H75" s="1"/>
  <c r="C75" a="1"/>
  <c r="C75" s="1"/>
  <c r="I75" s="1"/>
  <c r="D75" a="1"/>
  <c r="D75" s="1"/>
  <c r="J75" s="1"/>
  <c r="E75" a="1"/>
  <c r="E75" s="1"/>
  <c r="K75" s="1"/>
  <c r="F75" a="1"/>
  <c r="F75" s="1"/>
  <c r="L75" s="1"/>
  <c r="G75" a="1"/>
  <c r="G75" s="1"/>
  <c r="B76" a="1"/>
  <c r="B76" s="1"/>
  <c r="H76" s="1"/>
  <c r="C76" a="1"/>
  <c r="C76" s="1"/>
  <c r="I76" s="1"/>
  <c r="D76" a="1"/>
  <c r="D76" s="1"/>
  <c r="J76" s="1"/>
  <c r="E76" a="1"/>
  <c r="E76" s="1"/>
  <c r="K76" s="1"/>
  <c r="F76" a="1"/>
  <c r="F76" s="1"/>
  <c r="L76" s="1"/>
  <c r="G76" a="1"/>
  <c r="G76" s="1"/>
  <c r="B77" a="1"/>
  <c r="B77" s="1"/>
  <c r="H77" s="1"/>
  <c r="C77" a="1"/>
  <c r="C77" s="1"/>
  <c r="I77" s="1"/>
  <c r="D77" a="1"/>
  <c r="D77" s="1"/>
  <c r="J77" s="1"/>
  <c r="E77" a="1"/>
  <c r="E77" s="1"/>
  <c r="K77" s="1"/>
  <c r="F77" a="1"/>
  <c r="F77" s="1"/>
  <c r="L77" s="1"/>
  <c r="G77" a="1"/>
  <c r="G77" s="1"/>
  <c r="B78" a="1"/>
  <c r="B78" s="1"/>
  <c r="H78" s="1"/>
  <c r="C78" a="1"/>
  <c r="C78" s="1"/>
  <c r="I78" s="1"/>
  <c r="D78" a="1"/>
  <c r="D78" s="1"/>
  <c r="J78" s="1"/>
  <c r="E78" a="1"/>
  <c r="E78" s="1"/>
  <c r="K78" s="1"/>
  <c r="F78" a="1"/>
  <c r="F78" s="1"/>
  <c r="L78" s="1"/>
  <c r="G78" a="1"/>
  <c r="G78" s="1"/>
  <c r="B79" a="1"/>
  <c r="B79" s="1"/>
  <c r="H79" s="1"/>
  <c r="C79" a="1"/>
  <c r="C79" s="1"/>
  <c r="I79" s="1"/>
  <c r="D79" a="1"/>
  <c r="D79" s="1"/>
  <c r="J79" s="1"/>
  <c r="E79" a="1"/>
  <c r="E79" s="1"/>
  <c r="K79" s="1"/>
  <c r="F79" a="1"/>
  <c r="F79" s="1"/>
  <c r="L79" s="1"/>
  <c r="G79" a="1"/>
  <c r="G79" s="1"/>
  <c r="B80" a="1"/>
  <c r="B80" s="1"/>
  <c r="H80" s="1"/>
  <c r="C80" a="1"/>
  <c r="C80" s="1"/>
  <c r="I80" s="1"/>
  <c r="D80" a="1"/>
  <c r="D80" s="1"/>
  <c r="J80" s="1"/>
  <c r="E80" a="1"/>
  <c r="E80" s="1"/>
  <c r="K80" s="1"/>
  <c r="F80" a="1"/>
  <c r="F80" s="1"/>
  <c r="L80" s="1"/>
  <c r="G80" a="1"/>
  <c r="G80" s="1"/>
  <c r="B81" a="1"/>
  <c r="B81" s="1"/>
  <c r="H81" s="1"/>
  <c r="C81" a="1"/>
  <c r="C81" s="1"/>
  <c r="I81" s="1"/>
  <c r="D81" a="1"/>
  <c r="D81" s="1"/>
  <c r="J81" s="1"/>
  <c r="E81" a="1"/>
  <c r="E81" s="1"/>
  <c r="K81" s="1"/>
  <c r="F81" a="1"/>
  <c r="F81" s="1"/>
  <c r="L81" s="1"/>
  <c r="G81" a="1"/>
  <c r="G81" s="1"/>
  <c r="B82" a="1"/>
  <c r="B82" s="1"/>
  <c r="H82" s="1"/>
  <c r="C82" a="1"/>
  <c r="C82" s="1"/>
  <c r="I82" s="1"/>
  <c r="D82" a="1"/>
  <c r="D82" s="1"/>
  <c r="J82" s="1"/>
  <c r="E82" a="1"/>
  <c r="E82" s="1"/>
  <c r="K82" s="1"/>
  <c r="F82" a="1"/>
  <c r="F82" s="1"/>
  <c r="L82" s="1"/>
  <c r="G82" a="1"/>
  <c r="G82" s="1"/>
  <c r="B83" a="1"/>
  <c r="B83" s="1"/>
  <c r="H83" s="1"/>
  <c r="C83" a="1"/>
  <c r="C83" s="1"/>
  <c r="I83" s="1"/>
  <c r="D83" a="1"/>
  <c r="D83" s="1"/>
  <c r="J83" s="1"/>
  <c r="E83" a="1"/>
  <c r="E83" s="1"/>
  <c r="K83" s="1"/>
  <c r="F83" a="1"/>
  <c r="F83" s="1"/>
  <c r="L83" s="1"/>
  <c r="G83" a="1"/>
  <c r="G83" s="1"/>
  <c r="B84" a="1"/>
  <c r="B84" s="1"/>
  <c r="C84" a="1"/>
  <c r="C84" s="1"/>
  <c r="I84" s="1"/>
  <c r="D84" a="1"/>
  <c r="D84" s="1"/>
  <c r="J84" s="1"/>
  <c r="E84" a="1"/>
  <c r="E84" s="1"/>
  <c r="K84" s="1"/>
  <c r="F84" a="1"/>
  <c r="F84" s="1"/>
  <c r="L84" s="1"/>
  <c r="G84" a="1"/>
  <c r="G84" s="1"/>
  <c r="B85" a="1"/>
  <c r="B85" s="1"/>
  <c r="H85" s="1"/>
  <c r="C85" a="1"/>
  <c r="C85" s="1"/>
  <c r="I85" s="1"/>
  <c r="D85" a="1"/>
  <c r="D85" s="1"/>
  <c r="J85" s="1"/>
  <c r="E85" a="1"/>
  <c r="E85" s="1"/>
  <c r="K85" s="1"/>
  <c r="F85" a="1"/>
  <c r="F85" s="1"/>
  <c r="L85" s="1"/>
  <c r="G85" a="1"/>
  <c r="G85" s="1"/>
  <c r="B86" a="1"/>
  <c r="B86" s="1"/>
  <c r="H86" s="1"/>
  <c r="C86" a="1"/>
  <c r="C86" s="1"/>
  <c r="I86" s="1"/>
  <c r="D86" a="1"/>
  <c r="D86" s="1"/>
  <c r="J86" s="1"/>
  <c r="E86" a="1"/>
  <c r="E86" s="1"/>
  <c r="K86" s="1"/>
  <c r="F86" a="1"/>
  <c r="F86" s="1"/>
  <c r="L86" s="1"/>
  <c r="G86" a="1"/>
  <c r="G86" s="1"/>
  <c r="B87" a="1"/>
  <c r="B87" s="1"/>
  <c r="H87" s="1"/>
  <c r="C87" a="1"/>
  <c r="C87" s="1"/>
  <c r="I87" s="1"/>
  <c r="D87" a="1"/>
  <c r="D87" s="1"/>
  <c r="J87" s="1"/>
  <c r="E87" a="1"/>
  <c r="E87" s="1"/>
  <c r="K87" s="1"/>
  <c r="F87" a="1"/>
  <c r="F87" s="1"/>
  <c r="L87" s="1"/>
  <c r="G87" a="1"/>
  <c r="G87" s="1"/>
  <c r="B88" a="1"/>
  <c r="B88" s="1"/>
  <c r="H88" s="1"/>
  <c r="C88" a="1"/>
  <c r="C88" s="1"/>
  <c r="I88" s="1"/>
  <c r="D88" a="1"/>
  <c r="D88" s="1"/>
  <c r="J88" s="1"/>
  <c r="E88" a="1"/>
  <c r="E88" s="1"/>
  <c r="K88" s="1"/>
  <c r="F88" a="1"/>
  <c r="F88" s="1"/>
  <c r="L88" s="1"/>
  <c r="G88" a="1"/>
  <c r="G88" s="1"/>
  <c r="B89" a="1"/>
  <c r="B89" s="1"/>
  <c r="H89" s="1"/>
  <c r="C89" a="1"/>
  <c r="C89" s="1"/>
  <c r="I89" s="1"/>
  <c r="D89" a="1"/>
  <c r="D89" s="1"/>
  <c r="J89" s="1"/>
  <c r="E89" a="1"/>
  <c r="E89" s="1"/>
  <c r="K89" s="1"/>
  <c r="F89" a="1"/>
  <c r="F89" s="1"/>
  <c r="L89" s="1"/>
  <c r="G89" a="1"/>
  <c r="G89" s="1"/>
  <c r="B90" a="1"/>
  <c r="B90" s="1"/>
  <c r="H90" s="1"/>
  <c r="C90" a="1"/>
  <c r="C90" s="1"/>
  <c r="I90" s="1"/>
  <c r="D90" a="1"/>
  <c r="D90" s="1"/>
  <c r="J90" s="1"/>
  <c r="E90" a="1"/>
  <c r="E90" s="1"/>
  <c r="K90" s="1"/>
  <c r="F90" a="1"/>
  <c r="F90" s="1"/>
  <c r="L90" s="1"/>
  <c r="G90" a="1"/>
  <c r="G90" s="1"/>
  <c r="B91" a="1"/>
  <c r="B91" s="1"/>
  <c r="H91" s="1"/>
  <c r="C91" a="1"/>
  <c r="C91" s="1"/>
  <c r="I91" s="1"/>
  <c r="D91" a="1"/>
  <c r="D91" s="1"/>
  <c r="J91" s="1"/>
  <c r="E91" a="1"/>
  <c r="E91" s="1"/>
  <c r="K91" s="1"/>
  <c r="F91" a="1"/>
  <c r="F91" s="1"/>
  <c r="L91" s="1"/>
  <c r="G91" a="1"/>
  <c r="G91" s="1"/>
  <c r="B92" a="1"/>
  <c r="B92" s="1"/>
  <c r="H92" s="1"/>
  <c r="C92" a="1"/>
  <c r="C92" s="1"/>
  <c r="I92" s="1"/>
  <c r="D92" a="1"/>
  <c r="D92" s="1"/>
  <c r="J92" s="1"/>
  <c r="E92" a="1"/>
  <c r="E92" s="1"/>
  <c r="K92" s="1"/>
  <c r="F92" a="1"/>
  <c r="F92" s="1"/>
  <c r="L92" s="1"/>
  <c r="G92" a="1"/>
  <c r="G92" s="1"/>
  <c r="B93" a="1"/>
  <c r="B93" s="1"/>
  <c r="H93" s="1"/>
  <c r="C93" a="1"/>
  <c r="C93" s="1"/>
  <c r="I93" s="1"/>
  <c r="D93" a="1"/>
  <c r="D93" s="1"/>
  <c r="J93" s="1"/>
  <c r="E93" a="1"/>
  <c r="E93" s="1"/>
  <c r="K93" s="1"/>
  <c r="F93" a="1"/>
  <c r="F93" s="1"/>
  <c r="L93" s="1"/>
  <c r="G93" a="1"/>
  <c r="G93" s="1"/>
  <c r="B94" a="1"/>
  <c r="B94" s="1"/>
  <c r="H94" s="1"/>
  <c r="C94" a="1"/>
  <c r="C94" s="1"/>
  <c r="I94" s="1"/>
  <c r="D94" a="1"/>
  <c r="D94" s="1"/>
  <c r="J94" s="1"/>
  <c r="E94" a="1"/>
  <c r="E94" s="1"/>
  <c r="K94" s="1"/>
  <c r="F94" a="1"/>
  <c r="F94" s="1"/>
  <c r="L94" s="1"/>
  <c r="G94" a="1"/>
  <c r="G94" s="1"/>
  <c r="B95" a="1"/>
  <c r="B95" s="1"/>
  <c r="H95" s="1"/>
  <c r="C95" a="1"/>
  <c r="C95" s="1"/>
  <c r="I95" s="1"/>
  <c r="D95" a="1"/>
  <c r="D95" s="1"/>
  <c r="J95" s="1"/>
  <c r="E95" a="1"/>
  <c r="E95" s="1"/>
  <c r="K95" s="1"/>
  <c r="F95" a="1"/>
  <c r="F95" s="1"/>
  <c r="L95" s="1"/>
  <c r="G95" a="1"/>
  <c r="G95" s="1"/>
  <c r="B96" a="1"/>
  <c r="B96" s="1"/>
  <c r="H96" s="1"/>
  <c r="C96" a="1"/>
  <c r="C96" s="1"/>
  <c r="I96" s="1"/>
  <c r="D96" a="1"/>
  <c r="D96" s="1"/>
  <c r="J96" s="1"/>
  <c r="E96" a="1"/>
  <c r="E96" s="1"/>
  <c r="K96" s="1"/>
  <c r="F96" a="1"/>
  <c r="F96" s="1"/>
  <c r="L96" s="1"/>
  <c r="G96" a="1"/>
  <c r="G96" s="1"/>
  <c r="B97" a="1"/>
  <c r="B97" s="1"/>
  <c r="H97" s="1"/>
  <c r="C97" a="1"/>
  <c r="C97" s="1"/>
  <c r="I97" s="1"/>
  <c r="D97" a="1"/>
  <c r="D97" s="1"/>
  <c r="J97" s="1"/>
  <c r="E97" a="1"/>
  <c r="E97" s="1"/>
  <c r="K97" s="1"/>
  <c r="F97" a="1"/>
  <c r="F97" s="1"/>
  <c r="L97" s="1"/>
  <c r="G97" a="1"/>
  <c r="G97" s="1"/>
  <c r="B98" a="1"/>
  <c r="B98" s="1"/>
  <c r="H98" s="1"/>
  <c r="C98" a="1"/>
  <c r="C98" s="1"/>
  <c r="I98" s="1"/>
  <c r="D98" a="1"/>
  <c r="D98" s="1"/>
  <c r="J98" s="1"/>
  <c r="E98" a="1"/>
  <c r="E98" s="1"/>
  <c r="K98" s="1"/>
  <c r="F98" a="1"/>
  <c r="F98" s="1"/>
  <c r="L98" s="1"/>
  <c r="G98" a="1"/>
  <c r="G98" s="1"/>
  <c r="B99" a="1"/>
  <c r="B99" s="1"/>
  <c r="H99" s="1"/>
  <c r="C99" a="1"/>
  <c r="C99" s="1"/>
  <c r="I99" s="1"/>
  <c r="D99" a="1"/>
  <c r="D99" s="1"/>
  <c r="J99" s="1"/>
  <c r="E99" a="1"/>
  <c r="E99" s="1"/>
  <c r="K99" s="1"/>
  <c r="F99" a="1"/>
  <c r="F99" s="1"/>
  <c r="L99" s="1"/>
  <c r="G99" a="1"/>
  <c r="G99" s="1"/>
  <c r="B100" a="1"/>
  <c r="B100" s="1"/>
  <c r="H100" s="1"/>
  <c r="C100" a="1"/>
  <c r="C100" s="1"/>
  <c r="I100" s="1"/>
  <c r="D100" a="1"/>
  <c r="D100" s="1"/>
  <c r="J100" s="1"/>
  <c r="E100" a="1"/>
  <c r="E100" s="1"/>
  <c r="K100" s="1"/>
  <c r="F100" a="1"/>
  <c r="F100" s="1"/>
  <c r="L100" s="1"/>
  <c r="G100" a="1"/>
  <c r="G100" s="1"/>
  <c r="B101" a="1"/>
  <c r="B101" s="1"/>
  <c r="H101" s="1"/>
  <c r="C101" a="1"/>
  <c r="C101" s="1"/>
  <c r="I101" s="1"/>
  <c r="D101" a="1"/>
  <c r="D101" s="1"/>
  <c r="J101" s="1"/>
  <c r="E101" a="1"/>
  <c r="E101" s="1"/>
  <c r="K101" s="1"/>
  <c r="F101" a="1"/>
  <c r="F101" s="1"/>
  <c r="L101" s="1"/>
  <c r="G101" a="1"/>
  <c r="G101" s="1"/>
  <c r="B102" a="1"/>
  <c r="B102" s="1"/>
  <c r="H102" s="1"/>
  <c r="C102" a="1"/>
  <c r="C102" s="1"/>
  <c r="I102" s="1"/>
  <c r="D102" a="1"/>
  <c r="D102" s="1"/>
  <c r="J102" s="1"/>
  <c r="E102" a="1"/>
  <c r="E102" s="1"/>
  <c r="K102" s="1"/>
  <c r="F102" a="1"/>
  <c r="F102" s="1"/>
  <c r="L102" s="1"/>
  <c r="G102" a="1"/>
  <c r="G102" s="1"/>
  <c r="B103" a="1"/>
  <c r="B103" s="1"/>
  <c r="H103" s="1"/>
  <c r="C103" a="1"/>
  <c r="C103" s="1"/>
  <c r="I103" s="1"/>
  <c r="D103" a="1"/>
  <c r="D103" s="1"/>
  <c r="J103" s="1"/>
  <c r="E103" a="1"/>
  <c r="E103" s="1"/>
  <c r="K103" s="1"/>
  <c r="F103" a="1"/>
  <c r="F103" s="1"/>
  <c r="L103" s="1"/>
  <c r="G103" a="1"/>
  <c r="G103" s="1"/>
  <c r="B104" a="1"/>
  <c r="B104" s="1"/>
  <c r="H104" s="1"/>
  <c r="C104" a="1"/>
  <c r="C104" s="1"/>
  <c r="I104" s="1"/>
  <c r="D104" a="1"/>
  <c r="D104" s="1"/>
  <c r="J104" s="1"/>
  <c r="E104" a="1"/>
  <c r="E104" s="1"/>
  <c r="K104" s="1"/>
  <c r="F104" a="1"/>
  <c r="F104" s="1"/>
  <c r="L104" s="1"/>
  <c r="G104" a="1"/>
  <c r="G104" s="1"/>
  <c r="B105" a="1"/>
  <c r="B105" s="1"/>
  <c r="H105" s="1"/>
  <c r="C105" a="1"/>
  <c r="C105" s="1"/>
  <c r="I105" s="1"/>
  <c r="D105" a="1"/>
  <c r="D105" s="1"/>
  <c r="J105" s="1"/>
  <c r="E105" a="1"/>
  <c r="E105" s="1"/>
  <c r="K105" s="1"/>
  <c r="F105" a="1"/>
  <c r="F105" s="1"/>
  <c r="L105" s="1"/>
  <c r="G105" a="1"/>
  <c r="G105" s="1"/>
  <c r="B106" a="1"/>
  <c r="B106" s="1"/>
  <c r="H106" s="1"/>
  <c r="C106" a="1"/>
  <c r="C106" s="1"/>
  <c r="I106" s="1"/>
  <c r="D106" a="1"/>
  <c r="D106" s="1"/>
  <c r="J106" s="1"/>
  <c r="E106" a="1"/>
  <c r="E106" s="1"/>
  <c r="K106" s="1"/>
  <c r="F106" a="1"/>
  <c r="F106" s="1"/>
  <c r="L106" s="1"/>
  <c r="G106" a="1"/>
  <c r="G106" s="1"/>
  <c r="B107" a="1"/>
  <c r="B107" s="1"/>
  <c r="H107" s="1"/>
  <c r="C107" a="1"/>
  <c r="C107" s="1"/>
  <c r="I107" s="1"/>
  <c r="D107" a="1"/>
  <c r="D107" s="1"/>
  <c r="J107" s="1"/>
  <c r="E107" a="1"/>
  <c r="E107" s="1"/>
  <c r="K107" s="1"/>
  <c r="F107" a="1"/>
  <c r="F107" s="1"/>
  <c r="L107" s="1"/>
  <c r="G107" a="1"/>
  <c r="G107" s="1"/>
  <c r="B108" a="1"/>
  <c r="B108" s="1"/>
  <c r="H108" s="1"/>
  <c r="C108" a="1"/>
  <c r="C108" s="1"/>
  <c r="I108" s="1"/>
  <c r="D108" a="1"/>
  <c r="D108" s="1"/>
  <c r="J108" s="1"/>
  <c r="E108" a="1"/>
  <c r="E108" s="1"/>
  <c r="K108" s="1"/>
  <c r="F108" a="1"/>
  <c r="F108" s="1"/>
  <c r="L108" s="1"/>
  <c r="G108" a="1"/>
  <c r="G108" s="1"/>
  <c r="B109" a="1"/>
  <c r="B109" s="1"/>
  <c r="H109" s="1"/>
  <c r="C109" a="1"/>
  <c r="C109" s="1"/>
  <c r="I109" s="1"/>
  <c r="D109" a="1"/>
  <c r="D109" s="1"/>
  <c r="J109" s="1"/>
  <c r="E109" a="1"/>
  <c r="E109" s="1"/>
  <c r="K109" s="1"/>
  <c r="F109" a="1"/>
  <c r="F109" s="1"/>
  <c r="L109" s="1"/>
  <c r="G109" a="1"/>
  <c r="G109" s="1"/>
  <c r="B110" a="1"/>
  <c r="B110" s="1"/>
  <c r="H110" s="1"/>
  <c r="C110" a="1"/>
  <c r="C110" s="1"/>
  <c r="I110" s="1"/>
  <c r="D110" a="1"/>
  <c r="D110" s="1"/>
  <c r="J110" s="1"/>
  <c r="E110" a="1"/>
  <c r="E110" s="1"/>
  <c r="K110" s="1"/>
  <c r="F110" a="1"/>
  <c r="F110" s="1"/>
  <c r="L110" s="1"/>
  <c r="G110" a="1"/>
  <c r="G110" s="1"/>
  <c r="B111" a="1"/>
  <c r="B111" s="1"/>
  <c r="H111" s="1"/>
  <c r="C111" a="1"/>
  <c r="C111" s="1"/>
  <c r="I111" s="1"/>
  <c r="D111" a="1"/>
  <c r="D111" s="1"/>
  <c r="J111" s="1"/>
  <c r="E111" a="1"/>
  <c r="E111" s="1"/>
  <c r="K111" s="1"/>
  <c r="F111" a="1"/>
  <c r="F111" s="1"/>
  <c r="L111" s="1"/>
  <c r="G111" a="1"/>
  <c r="G111" s="1"/>
  <c r="B112" a="1"/>
  <c r="B112" s="1"/>
  <c r="H112" s="1"/>
  <c r="C112" a="1"/>
  <c r="C112" s="1"/>
  <c r="I112" s="1"/>
  <c r="D112" a="1"/>
  <c r="D112" s="1"/>
  <c r="J112" s="1"/>
  <c r="E112" a="1"/>
  <c r="E112" s="1"/>
  <c r="K112" s="1"/>
  <c r="F112" a="1"/>
  <c r="F112" s="1"/>
  <c r="L112" s="1"/>
  <c r="G112" a="1"/>
  <c r="G112" s="1"/>
  <c r="B113" a="1"/>
  <c r="B113" s="1"/>
  <c r="H113" s="1"/>
  <c r="C113" a="1"/>
  <c r="C113" s="1"/>
  <c r="I113" s="1"/>
  <c r="D113" a="1"/>
  <c r="D113" s="1"/>
  <c r="J113" s="1"/>
  <c r="E113" a="1"/>
  <c r="E113" s="1"/>
  <c r="K113" s="1"/>
  <c r="F113" a="1"/>
  <c r="F113" s="1"/>
  <c r="L113" s="1"/>
  <c r="G113" a="1"/>
  <c r="G113" s="1"/>
  <c r="B114" a="1"/>
  <c r="B114" s="1"/>
  <c r="H114" s="1"/>
  <c r="C114" a="1"/>
  <c r="C114" s="1"/>
  <c r="I114" s="1"/>
  <c r="D114" a="1"/>
  <c r="D114" s="1"/>
  <c r="J114" s="1"/>
  <c r="E114" a="1"/>
  <c r="E114" s="1"/>
  <c r="K114" s="1"/>
  <c r="F114" a="1"/>
  <c r="F114" s="1"/>
  <c r="L114" s="1"/>
  <c r="G114" a="1"/>
  <c r="G114" s="1"/>
  <c r="B115" a="1"/>
  <c r="B115" s="1"/>
  <c r="H115" s="1"/>
  <c r="C115" a="1"/>
  <c r="C115" s="1"/>
  <c r="I115" s="1"/>
  <c r="D115" a="1"/>
  <c r="D115" s="1"/>
  <c r="J115" s="1"/>
  <c r="E115" a="1"/>
  <c r="E115" s="1"/>
  <c r="K115" s="1"/>
  <c r="F115" a="1"/>
  <c r="F115" s="1"/>
  <c r="L115" s="1"/>
  <c r="G115" a="1"/>
  <c r="G115" s="1"/>
  <c r="B116" a="1"/>
  <c r="B116" s="1"/>
  <c r="H116" s="1"/>
  <c r="C116" a="1"/>
  <c r="C116" s="1"/>
  <c r="I116" s="1"/>
  <c r="D116" a="1"/>
  <c r="D116" s="1"/>
  <c r="J116" s="1"/>
  <c r="E116" a="1"/>
  <c r="E116" s="1"/>
  <c r="K116" s="1"/>
  <c r="F116" a="1"/>
  <c r="F116" s="1"/>
  <c r="L116" s="1"/>
  <c r="G116" a="1"/>
  <c r="G116" s="1"/>
  <c r="B117" a="1"/>
  <c r="B117" s="1"/>
  <c r="H117" s="1"/>
  <c r="C117" a="1"/>
  <c r="C117" s="1"/>
  <c r="I117" s="1"/>
  <c r="D117" a="1"/>
  <c r="D117" s="1"/>
  <c r="J117" s="1"/>
  <c r="E117" a="1"/>
  <c r="E117" s="1"/>
  <c r="K117" s="1"/>
  <c r="F117" a="1"/>
  <c r="F117" s="1"/>
  <c r="L117" s="1"/>
  <c r="G117" a="1"/>
  <c r="G117" s="1"/>
  <c r="B118" a="1"/>
  <c r="B118" s="1"/>
  <c r="H118" s="1"/>
  <c r="C118" a="1"/>
  <c r="C118" s="1"/>
  <c r="I118" s="1"/>
  <c r="D118" a="1"/>
  <c r="D118" s="1"/>
  <c r="J118" s="1"/>
  <c r="E118" a="1"/>
  <c r="E118" s="1"/>
  <c r="K118" s="1"/>
  <c r="F118" a="1"/>
  <c r="F118" s="1"/>
  <c r="L118" s="1"/>
  <c r="G118" a="1"/>
  <c r="G118" s="1"/>
  <c r="B119" a="1"/>
  <c r="B119" s="1"/>
  <c r="H119" s="1"/>
  <c r="C119" a="1"/>
  <c r="C119" s="1"/>
  <c r="I119" s="1"/>
  <c r="D119" a="1"/>
  <c r="D119" s="1"/>
  <c r="J119" s="1"/>
  <c r="E119" a="1"/>
  <c r="E119" s="1"/>
  <c r="K119" s="1"/>
  <c r="F119" a="1"/>
  <c r="F119" s="1"/>
  <c r="L119" s="1"/>
  <c r="G119" a="1"/>
  <c r="G119" s="1"/>
  <c r="B120" a="1"/>
  <c r="B120" s="1"/>
  <c r="H120" s="1"/>
  <c r="C120" a="1"/>
  <c r="C120" s="1"/>
  <c r="I120" s="1"/>
  <c r="D120" a="1"/>
  <c r="D120" s="1"/>
  <c r="J120" s="1"/>
  <c r="E120" a="1"/>
  <c r="E120" s="1"/>
  <c r="K120" s="1"/>
  <c r="F120" a="1"/>
  <c r="F120" s="1"/>
  <c r="L120" s="1"/>
  <c r="G120" a="1"/>
  <c r="G120" s="1"/>
  <c r="B121" a="1"/>
  <c r="B121" s="1"/>
  <c r="H121" s="1"/>
  <c r="C121" a="1"/>
  <c r="C121" s="1"/>
  <c r="I121" s="1"/>
  <c r="D121" a="1"/>
  <c r="D121" s="1"/>
  <c r="J121" s="1"/>
  <c r="E121" a="1"/>
  <c r="E121" s="1"/>
  <c r="K121" s="1"/>
  <c r="F121" a="1"/>
  <c r="F121" s="1"/>
  <c r="L121" s="1"/>
  <c r="G121" a="1"/>
  <c r="G121" s="1"/>
  <c r="B122" a="1"/>
  <c r="B122" s="1"/>
  <c r="H122" s="1"/>
  <c r="C122" a="1"/>
  <c r="C122" s="1"/>
  <c r="I122" s="1"/>
  <c r="D122" a="1"/>
  <c r="D122" s="1"/>
  <c r="J122" s="1"/>
  <c r="E122" a="1"/>
  <c r="E122" s="1"/>
  <c r="K122" s="1"/>
  <c r="F122" a="1"/>
  <c r="F122" s="1"/>
  <c r="L122" s="1"/>
  <c r="G122" a="1"/>
  <c r="G122" s="1"/>
  <c r="B123" a="1"/>
  <c r="B123" s="1"/>
  <c r="H123" s="1"/>
  <c r="C123" a="1"/>
  <c r="C123" s="1"/>
  <c r="I123" s="1"/>
  <c r="D123" a="1"/>
  <c r="D123" s="1"/>
  <c r="J123" s="1"/>
  <c r="E123" a="1"/>
  <c r="E123" s="1"/>
  <c r="K123" s="1"/>
  <c r="F123" a="1"/>
  <c r="F123" s="1"/>
  <c r="L123" s="1"/>
  <c r="G123" a="1"/>
  <c r="G123" s="1"/>
  <c r="B124" a="1"/>
  <c r="B124" s="1"/>
  <c r="H124" s="1"/>
  <c r="C124" a="1"/>
  <c r="C124" s="1"/>
  <c r="I124" s="1"/>
  <c r="D124" a="1"/>
  <c r="D124" s="1"/>
  <c r="J124" s="1"/>
  <c r="E124" a="1"/>
  <c r="E124" s="1"/>
  <c r="K124" s="1"/>
  <c r="F124" a="1"/>
  <c r="F124" s="1"/>
  <c r="L124" s="1"/>
  <c r="G124" a="1"/>
  <c r="G124" s="1"/>
  <c r="B125" a="1"/>
  <c r="B125" s="1"/>
  <c r="H125" s="1"/>
  <c r="C125" a="1"/>
  <c r="C125" s="1"/>
  <c r="I125" s="1"/>
  <c r="D125" a="1"/>
  <c r="D125" s="1"/>
  <c r="J125" s="1"/>
  <c r="E125" a="1"/>
  <c r="E125" s="1"/>
  <c r="K125" s="1"/>
  <c r="F125" a="1"/>
  <c r="F125" s="1"/>
  <c r="L125" s="1"/>
  <c r="G125" a="1"/>
  <c r="G125" s="1"/>
  <c r="B126" a="1"/>
  <c r="B126" s="1"/>
  <c r="H126" s="1"/>
  <c r="C126" a="1"/>
  <c r="C126" s="1"/>
  <c r="I126" s="1"/>
  <c r="D126" a="1"/>
  <c r="D126" s="1"/>
  <c r="J126" s="1"/>
  <c r="E126" a="1"/>
  <c r="E126" s="1"/>
  <c r="K126" s="1"/>
  <c r="F126" a="1"/>
  <c r="F126" s="1"/>
  <c r="L126" s="1"/>
  <c r="G126" a="1"/>
  <c r="G126" s="1"/>
  <c r="B127" a="1"/>
  <c r="B127" s="1"/>
  <c r="H127" s="1"/>
  <c r="C127" a="1"/>
  <c r="C127" s="1"/>
  <c r="I127" s="1"/>
  <c r="D127" a="1"/>
  <c r="D127" s="1"/>
  <c r="J127" s="1"/>
  <c r="E127" a="1"/>
  <c r="E127" s="1"/>
  <c r="K127" s="1"/>
  <c r="F127" a="1"/>
  <c r="F127" s="1"/>
  <c r="L127" s="1"/>
  <c r="G127" a="1"/>
  <c r="G127" s="1"/>
  <c r="B128" a="1"/>
  <c r="B128" s="1"/>
  <c r="H128" s="1"/>
  <c r="C128" a="1"/>
  <c r="C128" s="1"/>
  <c r="I128" s="1"/>
  <c r="D128" a="1"/>
  <c r="D128" s="1"/>
  <c r="J128" s="1"/>
  <c r="E128" a="1"/>
  <c r="E128" s="1"/>
  <c r="K128" s="1"/>
  <c r="F128" a="1"/>
  <c r="F128" s="1"/>
  <c r="L128" s="1"/>
  <c r="G128" a="1"/>
  <c r="G128" s="1"/>
  <c r="B129" a="1"/>
  <c r="B129" s="1"/>
  <c r="H129" s="1"/>
  <c r="C129" a="1"/>
  <c r="C129" s="1"/>
  <c r="I129" s="1"/>
  <c r="D129" a="1"/>
  <c r="D129" s="1"/>
  <c r="J129" s="1"/>
  <c r="E129" a="1"/>
  <c r="E129" s="1"/>
  <c r="K129" s="1"/>
  <c r="F129" a="1"/>
  <c r="F129" s="1"/>
  <c r="L129" s="1"/>
  <c r="G129" a="1"/>
  <c r="G129" s="1"/>
  <c r="B130" a="1"/>
  <c r="B130" s="1"/>
  <c r="H130" s="1"/>
  <c r="C130" a="1"/>
  <c r="C130" s="1"/>
  <c r="I130" s="1"/>
  <c r="D130" a="1"/>
  <c r="D130" s="1"/>
  <c r="J130" s="1"/>
  <c r="E130" a="1"/>
  <c r="E130" s="1"/>
  <c r="K130" s="1"/>
  <c r="F130" a="1"/>
  <c r="F130" s="1"/>
  <c r="L130" s="1"/>
  <c r="G130" a="1"/>
  <c r="G130" s="1"/>
  <c r="B131" a="1"/>
  <c r="B131" s="1"/>
  <c r="H131" s="1"/>
  <c r="C131" a="1"/>
  <c r="C131" s="1"/>
  <c r="I131" s="1"/>
  <c r="D131" a="1"/>
  <c r="D131" s="1"/>
  <c r="J131" s="1"/>
  <c r="E131" a="1"/>
  <c r="E131" s="1"/>
  <c r="K131" s="1"/>
  <c r="F131" a="1"/>
  <c r="F131" s="1"/>
  <c r="L131" s="1"/>
  <c r="G131" a="1"/>
  <c r="G131" s="1"/>
  <c r="B132" a="1"/>
  <c r="B132" s="1"/>
  <c r="H132" s="1"/>
  <c r="C132" a="1"/>
  <c r="C132" s="1"/>
  <c r="I132" s="1"/>
  <c r="D132" a="1"/>
  <c r="D132" s="1"/>
  <c r="J132" s="1"/>
  <c r="E132" a="1"/>
  <c r="E132" s="1"/>
  <c r="K132" s="1"/>
  <c r="F132" a="1"/>
  <c r="F132" s="1"/>
  <c r="L132" s="1"/>
  <c r="G132" a="1"/>
  <c r="G132" s="1"/>
  <c r="B133" a="1"/>
  <c r="B133" s="1"/>
  <c r="H133" s="1"/>
  <c r="C133" a="1"/>
  <c r="C133" s="1"/>
  <c r="I133" s="1"/>
  <c r="D133" a="1"/>
  <c r="D133" s="1"/>
  <c r="J133" s="1"/>
  <c r="E133" a="1"/>
  <c r="E133" s="1"/>
  <c r="K133" s="1"/>
  <c r="F133" a="1"/>
  <c r="F133" s="1"/>
  <c r="L133" s="1"/>
  <c r="G133" a="1"/>
  <c r="G133" s="1"/>
  <c r="B134" a="1"/>
  <c r="B134" s="1"/>
  <c r="H134" s="1"/>
  <c r="C134" a="1"/>
  <c r="C134" s="1"/>
  <c r="I134" s="1"/>
  <c r="D134" a="1"/>
  <c r="D134" s="1"/>
  <c r="J134" s="1"/>
  <c r="E134" a="1"/>
  <c r="E134" s="1"/>
  <c r="K134" s="1"/>
  <c r="F134" a="1"/>
  <c r="F134" s="1"/>
  <c r="L134" s="1"/>
  <c r="G134" a="1"/>
  <c r="G134" s="1"/>
  <c r="B135" a="1"/>
  <c r="B135" s="1"/>
  <c r="H135" s="1"/>
  <c r="C135" a="1"/>
  <c r="C135" s="1"/>
  <c r="I135" s="1"/>
  <c r="D135" a="1"/>
  <c r="D135" s="1"/>
  <c r="J135" s="1"/>
  <c r="E135" a="1"/>
  <c r="E135" s="1"/>
  <c r="K135" s="1"/>
  <c r="F135" a="1"/>
  <c r="F135" s="1"/>
  <c r="L135" s="1"/>
  <c r="G135" a="1"/>
  <c r="G135" s="1"/>
  <c r="B136" a="1"/>
  <c r="B136" s="1"/>
  <c r="H136" s="1"/>
  <c r="C136" a="1"/>
  <c r="C136" s="1"/>
  <c r="I136" s="1"/>
  <c r="D136" a="1"/>
  <c r="D136" s="1"/>
  <c r="J136" s="1"/>
  <c r="E136" a="1"/>
  <c r="E136" s="1"/>
  <c r="K136" s="1"/>
  <c r="F136" a="1"/>
  <c r="F136" s="1"/>
  <c r="L136" s="1"/>
  <c r="G136" a="1"/>
  <c r="G136" s="1"/>
  <c r="B137" a="1"/>
  <c r="B137" s="1"/>
  <c r="H137" s="1"/>
  <c r="C137" a="1"/>
  <c r="C137" s="1"/>
  <c r="I137" s="1"/>
  <c r="D137" a="1"/>
  <c r="D137" s="1"/>
  <c r="J137" s="1"/>
  <c r="E137" a="1"/>
  <c r="E137" s="1"/>
  <c r="K137" s="1"/>
  <c r="F137" a="1"/>
  <c r="F137" s="1"/>
  <c r="L137" s="1"/>
  <c r="G137" a="1"/>
  <c r="G137" s="1"/>
  <c r="B138" a="1"/>
  <c r="B138" s="1"/>
  <c r="H138" s="1"/>
  <c r="C138" a="1"/>
  <c r="C138" s="1"/>
  <c r="I138" s="1"/>
  <c r="D138" a="1"/>
  <c r="D138" s="1"/>
  <c r="J138" s="1"/>
  <c r="E138" a="1"/>
  <c r="E138" s="1"/>
  <c r="K138" s="1"/>
  <c r="F138" a="1"/>
  <c r="F138" s="1"/>
  <c r="L138" s="1"/>
  <c r="G138" a="1"/>
  <c r="G138" s="1"/>
  <c r="B139" a="1"/>
  <c r="B139" s="1"/>
  <c r="H139" s="1"/>
  <c r="C139" a="1"/>
  <c r="C139" s="1"/>
  <c r="I139" s="1"/>
  <c r="D139" a="1"/>
  <c r="D139" s="1"/>
  <c r="J139" s="1"/>
  <c r="E139" a="1"/>
  <c r="E139" s="1"/>
  <c r="K139" s="1"/>
  <c r="F139" a="1"/>
  <c r="F139" s="1"/>
  <c r="L139" s="1"/>
  <c r="G139" a="1"/>
  <c r="G139" s="1"/>
  <c r="B140" a="1"/>
  <c r="B140" s="1"/>
  <c r="H140" s="1"/>
  <c r="C140" a="1"/>
  <c r="C140" s="1"/>
  <c r="I140" s="1"/>
  <c r="D140" a="1"/>
  <c r="D140" s="1"/>
  <c r="J140" s="1"/>
  <c r="E140" a="1"/>
  <c r="E140" s="1"/>
  <c r="K140" s="1"/>
  <c r="F140" a="1"/>
  <c r="F140" s="1"/>
  <c r="L140" s="1"/>
  <c r="G140" a="1"/>
  <c r="G140" s="1"/>
  <c r="B141" a="1"/>
  <c r="B141" s="1"/>
  <c r="H141" s="1"/>
  <c r="C141" a="1"/>
  <c r="C141" s="1"/>
  <c r="I141" s="1"/>
  <c r="D141" a="1"/>
  <c r="D141" s="1"/>
  <c r="J141" s="1"/>
  <c r="E141" a="1"/>
  <c r="E141" s="1"/>
  <c r="K141" s="1"/>
  <c r="F141" a="1"/>
  <c r="F141" s="1"/>
  <c r="L141" s="1"/>
  <c r="G141" a="1"/>
  <c r="G141" s="1"/>
  <c r="B142" a="1"/>
  <c r="B142" s="1"/>
  <c r="H142" s="1"/>
  <c r="C142" a="1"/>
  <c r="C142" s="1"/>
  <c r="I142" s="1"/>
  <c r="D142" a="1"/>
  <c r="D142" s="1"/>
  <c r="J142" s="1"/>
  <c r="E142" a="1"/>
  <c r="E142" s="1"/>
  <c r="K142" s="1"/>
  <c r="F142" a="1"/>
  <c r="F142" s="1"/>
  <c r="L142" s="1"/>
  <c r="G142" a="1"/>
  <c r="G142" s="1"/>
  <c r="B143" a="1"/>
  <c r="B143" s="1"/>
  <c r="H143" s="1"/>
  <c r="C143" a="1"/>
  <c r="C143" s="1"/>
  <c r="I143" s="1"/>
  <c r="D143" a="1"/>
  <c r="D143" s="1"/>
  <c r="J143" s="1"/>
  <c r="E143" a="1"/>
  <c r="E143" s="1"/>
  <c r="K143" s="1"/>
  <c r="F143" a="1"/>
  <c r="F143" s="1"/>
  <c r="L143" s="1"/>
  <c r="G143" a="1"/>
  <c r="G143" s="1"/>
  <c r="B144" a="1"/>
  <c r="B144" s="1"/>
  <c r="H144" s="1"/>
  <c r="C144" a="1"/>
  <c r="C144" s="1"/>
  <c r="I144" s="1"/>
  <c r="D144" a="1"/>
  <c r="D144" s="1"/>
  <c r="J144" s="1"/>
  <c r="E144" a="1"/>
  <c r="E144" s="1"/>
  <c r="K144" s="1"/>
  <c r="F144" a="1"/>
  <c r="F144" s="1"/>
  <c r="L144" s="1"/>
  <c r="G144" a="1"/>
  <c r="G144" s="1"/>
  <c r="B145" a="1"/>
  <c r="B145" s="1"/>
  <c r="H145" s="1"/>
  <c r="C145" a="1"/>
  <c r="C145" s="1"/>
  <c r="I145" s="1"/>
  <c r="D145" a="1"/>
  <c r="D145" s="1"/>
  <c r="J145" s="1"/>
  <c r="E145" a="1"/>
  <c r="E145" s="1"/>
  <c r="K145" s="1"/>
  <c r="F145" a="1"/>
  <c r="F145" s="1"/>
  <c r="L145" s="1"/>
  <c r="G145" a="1"/>
  <c r="G145" s="1"/>
  <c r="B146" a="1"/>
  <c r="B146" s="1"/>
  <c r="H146" s="1"/>
  <c r="C146" a="1"/>
  <c r="C146" s="1"/>
  <c r="I146" s="1"/>
  <c r="D146" a="1"/>
  <c r="D146" s="1"/>
  <c r="J146" s="1"/>
  <c r="E146" a="1"/>
  <c r="E146" s="1"/>
  <c r="K146" s="1"/>
  <c r="F146" a="1"/>
  <c r="F146" s="1"/>
  <c r="L146" s="1"/>
  <c r="G146" a="1"/>
  <c r="G146" s="1"/>
  <c r="B147" a="1"/>
  <c r="B147" s="1"/>
  <c r="H147" s="1"/>
  <c r="C147" a="1"/>
  <c r="C147" s="1"/>
  <c r="I147" s="1"/>
  <c r="D147" a="1"/>
  <c r="D147" s="1"/>
  <c r="J147" s="1"/>
  <c r="E147" a="1"/>
  <c r="E147" s="1"/>
  <c r="K147" s="1"/>
  <c r="F147" a="1"/>
  <c r="F147" s="1"/>
  <c r="L147" s="1"/>
  <c r="G147" a="1"/>
  <c r="G147" s="1"/>
  <c r="B148" a="1"/>
  <c r="B148" s="1"/>
  <c r="H148" s="1"/>
  <c r="C148" a="1"/>
  <c r="C148" s="1"/>
  <c r="I148" s="1"/>
  <c r="D148" a="1"/>
  <c r="D148" s="1"/>
  <c r="J148" s="1"/>
  <c r="E148" a="1"/>
  <c r="E148" s="1"/>
  <c r="K148" s="1"/>
  <c r="F148" a="1"/>
  <c r="F148" s="1"/>
  <c r="L148" s="1"/>
  <c r="G148" a="1"/>
  <c r="G148" s="1"/>
  <c r="B149" a="1"/>
  <c r="B149" s="1"/>
  <c r="H149" s="1"/>
  <c r="C149" a="1"/>
  <c r="C149" s="1"/>
  <c r="I149" s="1"/>
  <c r="D149" a="1"/>
  <c r="D149" s="1"/>
  <c r="J149" s="1"/>
  <c r="E149" a="1"/>
  <c r="E149" s="1"/>
  <c r="K149" s="1"/>
  <c r="F149" a="1"/>
  <c r="F149" s="1"/>
  <c r="L149" s="1"/>
  <c r="G149" a="1"/>
  <c r="G149" s="1"/>
  <c r="B150" a="1"/>
  <c r="B150" s="1"/>
  <c r="H150" s="1"/>
  <c r="C150" a="1"/>
  <c r="C150" s="1"/>
  <c r="I150" s="1"/>
  <c r="D150" a="1"/>
  <c r="D150" s="1"/>
  <c r="J150" s="1"/>
  <c r="E150" a="1"/>
  <c r="E150" s="1"/>
  <c r="K150" s="1"/>
  <c r="F150" a="1"/>
  <c r="F150" s="1"/>
  <c r="L150" s="1"/>
  <c r="G150" a="1"/>
  <c r="G150" s="1"/>
  <c r="B151" a="1"/>
  <c r="B151" s="1"/>
  <c r="H151" s="1"/>
  <c r="C151" a="1"/>
  <c r="C151" s="1"/>
  <c r="I151" s="1"/>
  <c r="D151" a="1"/>
  <c r="D151" s="1"/>
  <c r="J151" s="1"/>
  <c r="E151" a="1"/>
  <c r="E151" s="1"/>
  <c r="K151" s="1"/>
  <c r="F151" a="1"/>
  <c r="F151" s="1"/>
  <c r="L151" s="1"/>
  <c r="G151" a="1"/>
  <c r="G151" s="1"/>
  <c r="B152" a="1"/>
  <c r="B152" s="1"/>
  <c r="H152" s="1"/>
  <c r="C152" a="1"/>
  <c r="C152" s="1"/>
  <c r="I152" s="1"/>
  <c r="D152" a="1"/>
  <c r="D152" s="1"/>
  <c r="J152" s="1"/>
  <c r="E152" a="1"/>
  <c r="E152" s="1"/>
  <c r="K152" s="1"/>
  <c r="F152" a="1"/>
  <c r="F152" s="1"/>
  <c r="L152" s="1"/>
  <c r="G152" a="1"/>
  <c r="G152" s="1"/>
  <c r="B153" a="1"/>
  <c r="B153" s="1"/>
  <c r="H153" s="1"/>
  <c r="C153" a="1"/>
  <c r="C153" s="1"/>
  <c r="I153" s="1"/>
  <c r="D153" a="1"/>
  <c r="D153" s="1"/>
  <c r="J153" s="1"/>
  <c r="E153" a="1"/>
  <c r="E153" s="1"/>
  <c r="K153" s="1"/>
  <c r="F153" a="1"/>
  <c r="F153" s="1"/>
  <c r="L153" s="1"/>
  <c r="G153" a="1"/>
  <c r="G153" s="1"/>
  <c r="C4" a="1"/>
  <c r="C4" s="1"/>
  <c r="I4" s="1"/>
  <c r="D4" a="1"/>
  <c r="D4" s="1"/>
  <c r="J4" s="1"/>
  <c r="E4" a="1"/>
  <c r="E4" s="1"/>
  <c r="K4" s="1"/>
  <c r="F4" a="1"/>
  <c r="F4" s="1"/>
  <c r="L4" s="1"/>
  <c r="G4" a="1"/>
  <c r="G4" s="1"/>
  <c r="B4" a="1"/>
  <c r="B4" s="1"/>
  <c r="H5" l="1"/>
  <c r="H22"/>
  <c r="H18"/>
  <c r="H11"/>
  <c r="H6" l="1"/>
  <c r="I22"/>
  <c r="H84"/>
  <c r="H69" l="1"/>
  <c r="H33" l="1"/>
  <c r="H29" l="1"/>
  <c r="H15"/>
  <c r="I29"/>
  <c r="I18" l="1"/>
  <c r="J18"/>
  <c r="H4" l="1"/>
  <c r="H10"/>
  <c r="H17"/>
  <c r="H19"/>
  <c r="H13"/>
  <c r="E3" i="1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2"/>
  <c r="A19" i="6"/>
  <c r="C2" i="24"/>
  <c r="G20" i="2"/>
  <c r="C32" i="24" l="1"/>
  <c r="C3"/>
  <c r="C4"/>
  <c r="C5" s="1"/>
  <c r="C6" s="1"/>
  <c r="C7" s="1"/>
  <c r="C8" s="1"/>
  <c r="C9" s="1"/>
  <c r="C10" s="1"/>
  <c r="C11" s="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3" l="1"/>
  <c r="C34" l="1"/>
  <c r="C35" l="1"/>
  <c r="C36" l="1"/>
  <c r="X26" i="23"/>
  <c r="W20"/>
  <c r="W24"/>
  <c r="X24"/>
  <c r="W26"/>
  <c r="Y24" l="1"/>
  <c r="Z24" s="1"/>
  <c r="Y26"/>
  <c r="Z26" s="1"/>
  <c r="C37" i="24"/>
  <c r="X20" i="23"/>
  <c r="C38" i="24" l="1"/>
  <c r="Y20" i="23"/>
  <c r="Z20" s="1"/>
  <c r="C3" i="22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2"/>
  <c r="B151"/>
  <c r="B150"/>
  <c r="B149"/>
  <c r="B148"/>
  <c r="B147"/>
  <c r="B146"/>
  <c r="B145"/>
  <c r="B144"/>
  <c r="B143"/>
  <c r="B142"/>
  <c r="B141"/>
  <c r="B140"/>
  <c r="B139"/>
  <c r="B138"/>
  <c r="B137"/>
  <c r="B136"/>
  <c r="B135"/>
  <c r="B134"/>
  <c r="B133"/>
  <c r="B132"/>
  <c r="B131"/>
  <c r="B130"/>
  <c r="B129"/>
  <c r="B128"/>
  <c r="B127"/>
  <c r="B126"/>
  <c r="B125"/>
  <c r="B124"/>
  <c r="B123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B103"/>
  <c r="B102"/>
  <c r="B101"/>
  <c r="B100"/>
  <c r="B99"/>
  <c r="B98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B5"/>
  <c r="B4"/>
  <c r="B3"/>
  <c r="B2"/>
  <c r="C3" i="21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2"/>
  <c r="C3" i="19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2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C2" i="20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B44" i="19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B5"/>
  <c r="B4"/>
  <c r="B3"/>
  <c r="B2"/>
  <c r="W17" i="23"/>
  <c r="X17"/>
  <c r="Y17" l="1"/>
  <c r="Z17" s="1"/>
  <c r="C39" i="24"/>
  <c r="C40" l="1"/>
  <c r="C41" l="1"/>
  <c r="C42" l="1"/>
  <c r="C43" l="1"/>
  <c r="C44" l="1"/>
  <c r="C45" l="1"/>
  <c r="C46" l="1"/>
  <c r="C47" l="1"/>
  <c r="C48" l="1"/>
  <c r="C49" l="1"/>
  <c r="C50" l="1"/>
  <c r="M4" i="14"/>
  <c r="M5" s="1"/>
  <c r="M6" s="1"/>
  <c r="M7" s="1"/>
  <c r="M8" s="1"/>
  <c r="M9" s="1"/>
  <c r="M10" s="1"/>
  <c r="M11" s="1"/>
  <c r="M12" s="1"/>
  <c r="M13" s="1"/>
  <c r="M14" s="1"/>
  <c r="M15" s="1"/>
  <c r="M16" s="1"/>
  <c r="M17" s="1"/>
  <c r="M18" s="1"/>
  <c r="M19" s="1"/>
  <c r="M20" s="1"/>
  <c r="M21" s="1"/>
  <c r="M22" s="1"/>
  <c r="M23" s="1"/>
  <c r="M24" s="1"/>
  <c r="M25" s="1"/>
  <c r="M26" s="1"/>
  <c r="M27" s="1"/>
  <c r="M28" s="1"/>
  <c r="M29" s="1"/>
  <c r="M30" s="1"/>
  <c r="M31" s="1"/>
  <c r="M32" s="1"/>
  <c r="M33" s="1"/>
  <c r="M34" s="1"/>
  <c r="M35" s="1"/>
  <c r="M36" s="1"/>
  <c r="M37" s="1"/>
  <c r="M38" s="1"/>
  <c r="M39" s="1"/>
  <c r="M40" s="1"/>
  <c r="M41" s="1"/>
  <c r="M42" s="1"/>
  <c r="M43" s="1"/>
  <c r="M44" s="1"/>
  <c r="M45" s="1"/>
  <c r="M46" s="1"/>
  <c r="M47" s="1"/>
  <c r="M48" s="1"/>
  <c r="M49" s="1"/>
  <c r="M50" s="1"/>
  <c r="M51" s="1"/>
  <c r="M52" s="1"/>
  <c r="M53" s="1"/>
  <c r="M54" s="1"/>
  <c r="M55" s="1"/>
  <c r="M56" s="1"/>
  <c r="M57" s="1"/>
  <c r="M58" s="1"/>
  <c r="M59" s="1"/>
  <c r="M60" s="1"/>
  <c r="M61" s="1"/>
  <c r="M62" s="1"/>
  <c r="M63" s="1"/>
  <c r="M64" s="1"/>
  <c r="M65" s="1"/>
  <c r="M66" s="1"/>
  <c r="M67" s="1"/>
  <c r="M68" s="1"/>
  <c r="M69" s="1"/>
  <c r="M70" s="1"/>
  <c r="M71" s="1"/>
  <c r="M72" s="1"/>
  <c r="M73" s="1"/>
  <c r="M74" s="1"/>
  <c r="M75" s="1"/>
  <c r="M76" s="1"/>
  <c r="M77" s="1"/>
  <c r="M78" s="1"/>
  <c r="M79" s="1"/>
  <c r="M80" s="1"/>
  <c r="M81" s="1"/>
  <c r="M82" s="1"/>
  <c r="M83" s="1"/>
  <c r="M84" s="1"/>
  <c r="M85" s="1"/>
  <c r="M86" s="1"/>
  <c r="M87" s="1"/>
  <c r="M88" s="1"/>
  <c r="M89" s="1"/>
  <c r="M90" s="1"/>
  <c r="M91" s="1"/>
  <c r="M92" s="1"/>
  <c r="M93" s="1"/>
  <c r="M94" s="1"/>
  <c r="M95" s="1"/>
  <c r="M96" s="1"/>
  <c r="M97" s="1"/>
  <c r="M98" s="1"/>
  <c r="M99" s="1"/>
  <c r="M100" s="1"/>
  <c r="M101" s="1"/>
  <c r="M102" s="1"/>
  <c r="M103" s="1"/>
  <c r="M104" s="1"/>
  <c r="M105" s="1"/>
  <c r="M106" s="1"/>
  <c r="M107" s="1"/>
  <c r="M108" s="1"/>
  <c r="M109" s="1"/>
  <c r="M110" s="1"/>
  <c r="M111" s="1"/>
  <c r="M112" s="1"/>
  <c r="M113" s="1"/>
  <c r="M114" s="1"/>
  <c r="M115" s="1"/>
  <c r="M116" s="1"/>
  <c r="M117" s="1"/>
  <c r="M118" s="1"/>
  <c r="M119" s="1"/>
  <c r="M120" s="1"/>
  <c r="M121" s="1"/>
  <c r="M122" s="1"/>
  <c r="M123" s="1"/>
  <c r="M124" s="1"/>
  <c r="M125" s="1"/>
  <c r="M126" s="1"/>
  <c r="M127" s="1"/>
  <c r="M128" s="1"/>
  <c r="M129" s="1"/>
  <c r="M130" s="1"/>
  <c r="M131" s="1"/>
  <c r="M132" s="1"/>
  <c r="M133" s="1"/>
  <c r="M134" s="1"/>
  <c r="M135" s="1"/>
  <c r="M136" s="1"/>
  <c r="M137" s="1"/>
  <c r="M138" s="1"/>
  <c r="M139" s="1"/>
  <c r="M140" s="1"/>
  <c r="M141" s="1"/>
  <c r="M142" s="1"/>
  <c r="M143" s="1"/>
  <c r="M144" s="1"/>
  <c r="M145" s="1"/>
  <c r="M146" s="1"/>
  <c r="M147" s="1"/>
  <c r="M148" s="1"/>
  <c r="M149" s="1"/>
  <c r="M150" s="1"/>
  <c r="M151" s="1"/>
  <c r="M152" s="1"/>
  <c r="M153" s="1"/>
  <c r="I1"/>
  <c r="H1"/>
  <c r="P7" i="13"/>
  <c r="C51" i="24" l="1"/>
  <c r="C52" l="1"/>
  <c r="N2" i="14"/>
  <c r="A3" i="6"/>
  <c r="D150" i="12"/>
  <c r="G150" s="1"/>
  <c r="D149"/>
  <c r="G149" s="1"/>
  <c r="D148"/>
  <c r="G148" s="1"/>
  <c r="D147"/>
  <c r="G147" s="1"/>
  <c r="D146"/>
  <c r="G146" s="1"/>
  <c r="D145"/>
  <c r="G145" s="1"/>
  <c r="D144"/>
  <c r="G144" s="1"/>
  <c r="D143"/>
  <c r="G143" s="1"/>
  <c r="D142"/>
  <c r="G142" s="1"/>
  <c r="D141"/>
  <c r="G141" s="1"/>
  <c r="D140"/>
  <c r="G140" s="1"/>
  <c r="D139"/>
  <c r="G139" s="1"/>
  <c r="D138"/>
  <c r="G138" s="1"/>
  <c r="D137"/>
  <c r="G137" s="1"/>
  <c r="D136"/>
  <c r="G136" s="1"/>
  <c r="D135"/>
  <c r="G135" s="1"/>
  <c r="D134"/>
  <c r="G134" s="1"/>
  <c r="D133"/>
  <c r="G133" s="1"/>
  <c r="D132"/>
  <c r="G132" s="1"/>
  <c r="D131"/>
  <c r="G131" s="1"/>
  <c r="D130"/>
  <c r="G130" s="1"/>
  <c r="D129"/>
  <c r="G129" s="1"/>
  <c r="D128"/>
  <c r="G128" s="1"/>
  <c r="D127"/>
  <c r="G127" s="1"/>
  <c r="D126"/>
  <c r="G126" s="1"/>
  <c r="D125"/>
  <c r="G125" s="1"/>
  <c r="D124"/>
  <c r="G124" s="1"/>
  <c r="D123"/>
  <c r="G123" s="1"/>
  <c r="D122"/>
  <c r="G122" s="1"/>
  <c r="D121"/>
  <c r="G121" s="1"/>
  <c r="D120"/>
  <c r="G120" s="1"/>
  <c r="D119"/>
  <c r="G119" s="1"/>
  <c r="D118"/>
  <c r="G118" s="1"/>
  <c r="D117"/>
  <c r="G117" s="1"/>
  <c r="D116"/>
  <c r="G116" s="1"/>
  <c r="D115"/>
  <c r="G115" s="1"/>
  <c r="D114"/>
  <c r="G114" s="1"/>
  <c r="D113"/>
  <c r="G113" s="1"/>
  <c r="D112"/>
  <c r="G112" s="1"/>
  <c r="D111"/>
  <c r="G111" s="1"/>
  <c r="D110"/>
  <c r="G110" s="1"/>
  <c r="D109"/>
  <c r="G109" s="1"/>
  <c r="D108"/>
  <c r="G108" s="1"/>
  <c r="D107"/>
  <c r="G107" s="1"/>
  <c r="D106"/>
  <c r="G106" s="1"/>
  <c r="D105"/>
  <c r="G105" s="1"/>
  <c r="D104"/>
  <c r="G104" s="1"/>
  <c r="D103"/>
  <c r="G103" s="1"/>
  <c r="D102"/>
  <c r="G102" s="1"/>
  <c r="D101"/>
  <c r="G101" s="1"/>
  <c r="D100"/>
  <c r="G100" s="1"/>
  <c r="D99"/>
  <c r="G99" s="1"/>
  <c r="D98"/>
  <c r="G98" s="1"/>
  <c r="D97"/>
  <c r="G97" s="1"/>
  <c r="D96"/>
  <c r="G96" s="1"/>
  <c r="D95"/>
  <c r="G95" s="1"/>
  <c r="D94"/>
  <c r="G94" s="1"/>
  <c r="D93"/>
  <c r="G93" s="1"/>
  <c r="D92"/>
  <c r="G92" s="1"/>
  <c r="D91"/>
  <c r="G91" s="1"/>
  <c r="D90"/>
  <c r="G90" s="1"/>
  <c r="D89"/>
  <c r="G89" s="1"/>
  <c r="D88"/>
  <c r="G88" s="1"/>
  <c r="D87"/>
  <c r="G87" s="1"/>
  <c r="D86"/>
  <c r="G86" s="1"/>
  <c r="D85"/>
  <c r="G85" s="1"/>
  <c r="D84"/>
  <c r="G84" s="1"/>
  <c r="D83"/>
  <c r="G83" s="1"/>
  <c r="D82"/>
  <c r="G82" s="1"/>
  <c r="D81"/>
  <c r="G81" s="1"/>
  <c r="D80"/>
  <c r="G80" s="1"/>
  <c r="D79"/>
  <c r="G79" s="1"/>
  <c r="D78"/>
  <c r="G78" s="1"/>
  <c r="D77"/>
  <c r="G77" s="1"/>
  <c r="D76"/>
  <c r="G76" s="1"/>
  <c r="D75"/>
  <c r="G75" s="1"/>
  <c r="D74"/>
  <c r="G74" s="1"/>
  <c r="D73"/>
  <c r="G73" s="1"/>
  <c r="D72"/>
  <c r="G72" s="1"/>
  <c r="D71"/>
  <c r="G71" s="1"/>
  <c r="D70"/>
  <c r="G70" s="1"/>
  <c r="D69"/>
  <c r="G69" s="1"/>
  <c r="D68"/>
  <c r="G68" s="1"/>
  <c r="D67"/>
  <c r="G67" s="1"/>
  <c r="D66"/>
  <c r="G66" s="1"/>
  <c r="D65"/>
  <c r="G65" s="1"/>
  <c r="D64"/>
  <c r="G64" s="1"/>
  <c r="D63"/>
  <c r="G63" s="1"/>
  <c r="D62"/>
  <c r="G62" s="1"/>
  <c r="D61"/>
  <c r="G61" s="1"/>
  <c r="D60"/>
  <c r="G60" s="1"/>
  <c r="D59"/>
  <c r="G59" s="1"/>
  <c r="D58"/>
  <c r="G58" s="1"/>
  <c r="D57"/>
  <c r="G57" s="1"/>
  <c r="D56"/>
  <c r="G56" s="1"/>
  <c r="D55"/>
  <c r="G55" s="1"/>
  <c r="D54"/>
  <c r="G54" s="1"/>
  <c r="D53"/>
  <c r="G53" s="1"/>
  <c r="D52"/>
  <c r="G52" s="1"/>
  <c r="D51"/>
  <c r="G51" s="1"/>
  <c r="D50"/>
  <c r="G50" s="1"/>
  <c r="D49"/>
  <c r="G49" s="1"/>
  <c r="D48"/>
  <c r="G48" s="1"/>
  <c r="D47"/>
  <c r="G47" s="1"/>
  <c r="D46"/>
  <c r="G46" s="1"/>
  <c r="D45"/>
  <c r="G45" s="1"/>
  <c r="D44"/>
  <c r="G44" s="1"/>
  <c r="D43"/>
  <c r="G43" s="1"/>
  <c r="D42"/>
  <c r="G42" s="1"/>
  <c r="D41"/>
  <c r="G41" s="1"/>
  <c r="D40"/>
  <c r="G40" s="1"/>
  <c r="D39"/>
  <c r="G39" s="1"/>
  <c r="D38"/>
  <c r="G38" s="1"/>
  <c r="D37"/>
  <c r="G37" s="1"/>
  <c r="D36"/>
  <c r="G36" s="1"/>
  <c r="D35"/>
  <c r="G35" s="1"/>
  <c r="D34"/>
  <c r="G34" s="1"/>
  <c r="D33"/>
  <c r="G33" s="1"/>
  <c r="D32"/>
  <c r="G32" s="1"/>
  <c r="D31"/>
  <c r="G31" s="1"/>
  <c r="D30"/>
  <c r="G30" s="1"/>
  <c r="D29"/>
  <c r="G29" s="1"/>
  <c r="D28"/>
  <c r="G28" s="1"/>
  <c r="D27"/>
  <c r="G27" s="1"/>
  <c r="D26"/>
  <c r="G26" s="1"/>
  <c r="D25"/>
  <c r="G25" s="1"/>
  <c r="D24"/>
  <c r="G24" s="1"/>
  <c r="D23"/>
  <c r="G23" s="1"/>
  <c r="D22"/>
  <c r="G22" s="1"/>
  <c r="D21"/>
  <c r="G21" s="1"/>
  <c r="D20"/>
  <c r="G20" s="1"/>
  <c r="D19"/>
  <c r="G19" s="1"/>
  <c r="D18"/>
  <c r="G18" s="1"/>
  <c r="D17"/>
  <c r="G17" s="1"/>
  <c r="D16"/>
  <c r="G16" s="1"/>
  <c r="D15"/>
  <c r="G15" s="1"/>
  <c r="D14"/>
  <c r="G14" s="1"/>
  <c r="D13"/>
  <c r="G13" s="1"/>
  <c r="D12"/>
  <c r="G12" s="1"/>
  <c r="D11"/>
  <c r="G11" s="1"/>
  <c r="D10"/>
  <c r="G10" s="1"/>
  <c r="D9"/>
  <c r="G9" s="1"/>
  <c r="D8"/>
  <c r="G8" s="1"/>
  <c r="D7"/>
  <c r="G7" s="1"/>
  <c r="D6"/>
  <c r="G6" s="1"/>
  <c r="D5"/>
  <c r="G5" s="1"/>
  <c r="D4"/>
  <c r="G4" s="1"/>
  <c r="D3"/>
  <c r="G3" s="1"/>
  <c r="D2"/>
  <c r="G2" s="1"/>
  <c r="H2" s="1"/>
  <c r="C53" i="24" l="1"/>
  <c r="N4" i="14"/>
  <c r="O4" s="1"/>
  <c r="H3" i="12"/>
  <c r="H150"/>
  <c r="H148"/>
  <c r="H146"/>
  <c r="H144"/>
  <c r="H142"/>
  <c r="H140"/>
  <c r="H138"/>
  <c r="H136"/>
  <c r="H134"/>
  <c r="H132"/>
  <c r="H130"/>
  <c r="H128"/>
  <c r="H126"/>
  <c r="H124"/>
  <c r="H122"/>
  <c r="H120"/>
  <c r="H118"/>
  <c r="H116"/>
  <c r="H114"/>
  <c r="H112"/>
  <c r="H110"/>
  <c r="H108"/>
  <c r="H106"/>
  <c r="H104"/>
  <c r="H102"/>
  <c r="H100"/>
  <c r="H98"/>
  <c r="H96"/>
  <c r="H94"/>
  <c r="H92"/>
  <c r="H90"/>
  <c r="H88"/>
  <c r="H86"/>
  <c r="H84"/>
  <c r="H82"/>
  <c r="H80"/>
  <c r="H78"/>
  <c r="H76"/>
  <c r="H74"/>
  <c r="H72"/>
  <c r="H70"/>
  <c r="H68"/>
  <c r="H66"/>
  <c r="H64"/>
  <c r="H62"/>
  <c r="H60"/>
  <c r="H58"/>
  <c r="H56"/>
  <c r="H54"/>
  <c r="H52"/>
  <c r="H50"/>
  <c r="H48"/>
  <c r="H46"/>
  <c r="H44"/>
  <c r="H42"/>
  <c r="H40"/>
  <c r="H38"/>
  <c r="H36"/>
  <c r="H34"/>
  <c r="H32"/>
  <c r="H30"/>
  <c r="H28"/>
  <c r="H26"/>
  <c r="H24"/>
  <c r="H22"/>
  <c r="H20"/>
  <c r="H18"/>
  <c r="H16"/>
  <c r="H14"/>
  <c r="H12"/>
  <c r="H10"/>
  <c r="H8"/>
  <c r="H6"/>
  <c r="H4"/>
  <c r="H149"/>
  <c r="H147"/>
  <c r="H145"/>
  <c r="H143"/>
  <c r="H141"/>
  <c r="H139"/>
  <c r="H137"/>
  <c r="H135"/>
  <c r="H133"/>
  <c r="H131"/>
  <c r="H129"/>
  <c r="H127"/>
  <c r="H125"/>
  <c r="H123"/>
  <c r="H121"/>
  <c r="H119"/>
  <c r="H117"/>
  <c r="H115"/>
  <c r="H113"/>
  <c r="H111"/>
  <c r="H109"/>
  <c r="H107"/>
  <c r="H105"/>
  <c r="H103"/>
  <c r="H101"/>
  <c r="H99"/>
  <c r="H97"/>
  <c r="H95"/>
  <c r="H93"/>
  <c r="H91"/>
  <c r="H89"/>
  <c r="H87"/>
  <c r="H85"/>
  <c r="H83"/>
  <c r="H81"/>
  <c r="H79"/>
  <c r="H77"/>
  <c r="H75"/>
  <c r="H73"/>
  <c r="H71"/>
  <c r="H69"/>
  <c r="H67"/>
  <c r="H65"/>
  <c r="H63"/>
  <c r="H61"/>
  <c r="H59"/>
  <c r="H57"/>
  <c r="H55"/>
  <c r="H53"/>
  <c r="H51"/>
  <c r="H49"/>
  <c r="H47"/>
  <c r="H45"/>
  <c r="H43"/>
  <c r="H41"/>
  <c r="H39"/>
  <c r="H37"/>
  <c r="H35"/>
  <c r="H33"/>
  <c r="H31"/>
  <c r="H29"/>
  <c r="H27"/>
  <c r="H25"/>
  <c r="H23"/>
  <c r="H21"/>
  <c r="H19"/>
  <c r="H17"/>
  <c r="H15"/>
  <c r="H13"/>
  <c r="H11"/>
  <c r="H9"/>
  <c r="H7"/>
  <c r="H5"/>
  <c r="A14" i="6"/>
  <c r="A9"/>
  <c r="A4"/>
  <c r="C54" i="24" l="1"/>
  <c r="N5" i="14"/>
  <c r="O5" s="1"/>
  <c r="P5" s="1"/>
  <c r="P4"/>
  <c r="A18" i="6"/>
  <c r="A13"/>
  <c r="A8"/>
  <c r="B2" i="5"/>
  <c r="A2"/>
  <c r="A4"/>
  <c r="B4"/>
  <c r="B3"/>
  <c r="A3"/>
  <c r="B1"/>
  <c r="A1"/>
  <c r="J17" i="2"/>
  <c r="I17"/>
  <c r="H17"/>
  <c r="G17"/>
  <c r="J16"/>
  <c r="I16"/>
  <c r="H16"/>
  <c r="G16"/>
  <c r="J15"/>
  <c r="I15"/>
  <c r="H15"/>
  <c r="G15"/>
  <c r="J14"/>
  <c r="I14"/>
  <c r="H14"/>
  <c r="G14"/>
  <c r="J13"/>
  <c r="I13"/>
  <c r="H13"/>
  <c r="G13"/>
  <c r="J7"/>
  <c r="I7"/>
  <c r="H7"/>
  <c r="G7"/>
  <c r="J6"/>
  <c r="I6"/>
  <c r="H6"/>
  <c r="G6"/>
  <c r="J5"/>
  <c r="I5"/>
  <c r="H5"/>
  <c r="G5"/>
  <c r="J4"/>
  <c r="I4"/>
  <c r="H4"/>
  <c r="G4"/>
  <c r="J3"/>
  <c r="I3"/>
  <c r="H3"/>
  <c r="G3"/>
  <c r="J2"/>
  <c r="I2"/>
  <c r="H2"/>
  <c r="G2"/>
  <c r="C91" i="7"/>
  <c r="C16"/>
  <c r="E101"/>
  <c r="E42"/>
  <c r="H29"/>
  <c r="G52"/>
  <c r="D40"/>
  <c r="F102"/>
  <c r="E17"/>
  <c r="G43"/>
  <c r="C54"/>
  <c r="H103"/>
  <c r="G123"/>
  <c r="F129"/>
  <c r="F104"/>
  <c r="E124"/>
  <c r="E88"/>
  <c r="E13"/>
  <c r="G98"/>
  <c r="G39"/>
  <c r="D27"/>
  <c r="C50"/>
  <c r="F37"/>
  <c r="H99"/>
  <c r="C12"/>
  <c r="E38"/>
  <c r="G48"/>
  <c r="F98"/>
  <c r="C121"/>
  <c r="H126"/>
  <c r="H101"/>
  <c r="F89"/>
  <c r="G85"/>
  <c r="G10"/>
  <c r="C96"/>
  <c r="C37"/>
  <c r="F24"/>
  <c r="E47"/>
  <c r="H34"/>
  <c r="D97"/>
  <c r="D69"/>
  <c r="C33"/>
  <c r="E43"/>
  <c r="D93"/>
  <c r="E118"/>
  <c r="D124"/>
  <c r="D99"/>
  <c r="C119"/>
  <c r="C83"/>
  <c r="C8"/>
  <c r="E93"/>
  <c r="E34"/>
  <c r="H21"/>
  <c r="G44"/>
  <c r="D32"/>
  <c r="F94"/>
  <c r="H63"/>
  <c r="G27"/>
  <c r="C38"/>
  <c r="H87"/>
  <c r="G115"/>
  <c r="F121"/>
  <c r="E151"/>
  <c r="F151"/>
  <c r="E80"/>
  <c r="H67"/>
  <c r="G90"/>
  <c r="G31"/>
  <c r="D19"/>
  <c r="C42"/>
  <c r="F29"/>
  <c r="H91"/>
  <c r="F58"/>
  <c r="E22"/>
  <c r="G32"/>
  <c r="F76"/>
  <c r="C111"/>
  <c r="H118"/>
  <c r="H93"/>
  <c r="E112"/>
  <c r="G77"/>
  <c r="D65"/>
  <c r="C88"/>
  <c r="C29"/>
  <c r="F16"/>
  <c r="E39"/>
  <c r="H26"/>
  <c r="D89"/>
  <c r="D53"/>
  <c r="C17"/>
  <c r="E27"/>
  <c r="H72"/>
  <c r="C7"/>
  <c r="D116"/>
  <c r="D91"/>
  <c r="D77"/>
  <c r="C75"/>
  <c r="F62"/>
  <c r="E85"/>
  <c r="E26"/>
  <c r="H13"/>
  <c r="G36"/>
  <c r="D24"/>
  <c r="F86"/>
  <c r="H47"/>
  <c r="G11"/>
  <c r="C22"/>
  <c r="D62"/>
  <c r="D155"/>
  <c r="C112"/>
  <c r="F88"/>
  <c r="H155"/>
  <c r="E72"/>
  <c r="H59"/>
  <c r="G82"/>
  <c r="G23"/>
  <c r="D11"/>
  <c r="C34"/>
  <c r="F21"/>
  <c r="D81"/>
  <c r="F42"/>
  <c r="H52"/>
  <c r="G16"/>
  <c r="F84"/>
  <c r="F152"/>
  <c r="D107"/>
  <c r="C142"/>
  <c r="J109"/>
  <c r="G69"/>
  <c r="D57"/>
  <c r="C80"/>
  <c r="C21"/>
  <c r="F8"/>
  <c r="E31"/>
  <c r="H18"/>
  <c r="D71"/>
  <c r="D37"/>
  <c r="F47"/>
  <c r="E11"/>
  <c r="H77"/>
  <c r="H149"/>
  <c r="C153"/>
  <c r="D79"/>
  <c r="F150"/>
  <c r="C67"/>
  <c r="F54"/>
  <c r="E77"/>
  <c r="E18"/>
  <c r="G103"/>
  <c r="G28"/>
  <c r="D16"/>
  <c r="F75"/>
  <c r="H31"/>
  <c r="D42"/>
  <c r="F68"/>
  <c r="H78"/>
  <c r="D147"/>
  <c r="E147"/>
  <c r="F79"/>
  <c r="E130"/>
  <c r="E64"/>
  <c r="H51"/>
  <c r="G74"/>
  <c r="G15"/>
  <c r="C101"/>
  <c r="C26"/>
  <c r="F13"/>
  <c r="D70"/>
  <c r="F26"/>
  <c r="H36"/>
  <c r="D63"/>
  <c r="F73"/>
  <c r="F144"/>
  <c r="G141"/>
  <c r="D74"/>
  <c r="D145"/>
  <c r="G61"/>
  <c r="D49"/>
  <c r="C72"/>
  <c r="C13"/>
  <c r="E98"/>
  <c r="E23"/>
  <c r="H10"/>
  <c r="H64"/>
  <c r="D21"/>
  <c r="F31"/>
  <c r="H57"/>
  <c r="D68"/>
  <c r="H141"/>
  <c r="C136"/>
  <c r="C106"/>
  <c r="D130"/>
  <c r="C59"/>
  <c r="F46"/>
  <c r="E69"/>
  <c r="E10"/>
  <c r="G95"/>
  <c r="G20"/>
  <c r="D8"/>
  <c r="F59"/>
  <c r="H15"/>
  <c r="D26"/>
  <c r="F52"/>
  <c r="H62"/>
  <c r="D139"/>
  <c r="C130"/>
  <c r="F63"/>
  <c r="H139"/>
  <c r="E56"/>
  <c r="H43"/>
  <c r="G66"/>
  <c r="D54"/>
  <c r="C93"/>
  <c r="C18"/>
  <c r="E103"/>
  <c r="H85"/>
  <c r="F10"/>
  <c r="H20"/>
  <c r="D47"/>
  <c r="F57"/>
  <c r="F136"/>
  <c r="H112"/>
  <c r="D58"/>
  <c r="C107"/>
  <c r="G53"/>
  <c r="D41"/>
  <c r="C64"/>
  <c r="F51"/>
  <c r="E90"/>
  <c r="E15"/>
  <c r="G100"/>
  <c r="D83"/>
  <c r="C103"/>
  <c r="F15"/>
  <c r="H41"/>
  <c r="D52"/>
  <c r="H133"/>
  <c r="D110"/>
  <c r="E155"/>
  <c r="F134"/>
  <c r="C51"/>
  <c r="F38"/>
  <c r="E61"/>
  <c r="H48"/>
  <c r="G87"/>
  <c r="G12"/>
  <c r="C98"/>
  <c r="F80"/>
  <c r="G97"/>
  <c r="D10"/>
  <c r="F36"/>
  <c r="H46"/>
  <c r="D131"/>
  <c r="D132"/>
  <c r="G124"/>
  <c r="M108"/>
  <c r="E48"/>
  <c r="H35"/>
  <c r="G58"/>
  <c r="D46"/>
  <c r="C85"/>
  <c r="C10"/>
  <c r="E95"/>
  <c r="D75"/>
  <c r="E92"/>
  <c r="G102"/>
  <c r="D31"/>
  <c r="F41"/>
  <c r="F128"/>
  <c r="H104"/>
  <c r="G145"/>
  <c r="D129"/>
  <c r="G45"/>
  <c r="D33"/>
  <c r="C56"/>
  <c r="F43"/>
  <c r="E82"/>
  <c r="H69"/>
  <c r="G92"/>
  <c r="D80"/>
  <c r="C87"/>
  <c r="E97"/>
  <c r="H25"/>
  <c r="D36"/>
  <c r="H125"/>
  <c r="D102"/>
  <c r="G130"/>
  <c r="D137"/>
  <c r="C43"/>
  <c r="F30"/>
  <c r="E53"/>
  <c r="H40"/>
  <c r="G79"/>
  <c r="D67"/>
  <c r="C90"/>
  <c r="F77"/>
  <c r="G81"/>
  <c r="C92"/>
  <c r="F20"/>
  <c r="H30"/>
  <c r="D123"/>
  <c r="F99"/>
  <c r="E123"/>
  <c r="H123"/>
  <c r="E40"/>
  <c r="H27"/>
  <c r="G50"/>
  <c r="D38"/>
  <c r="C77"/>
  <c r="F64"/>
  <c r="E87"/>
  <c r="H74"/>
  <c r="E76"/>
  <c r="G86"/>
  <c r="D15"/>
  <c r="F25"/>
  <c r="F120"/>
  <c r="H96"/>
  <c r="D85"/>
  <c r="E154"/>
  <c r="G37"/>
  <c r="D25"/>
  <c r="C48"/>
  <c r="F35"/>
  <c r="E74"/>
  <c r="H61"/>
  <c r="G84"/>
  <c r="D72"/>
  <c r="C71"/>
  <c r="E81"/>
  <c r="H9"/>
  <c r="D20"/>
  <c r="H117"/>
  <c r="D94"/>
  <c r="C113"/>
  <c r="F118"/>
  <c r="C35"/>
  <c r="F22"/>
  <c r="E45"/>
  <c r="H32"/>
  <c r="G71"/>
  <c r="D59"/>
  <c r="C82"/>
  <c r="F69"/>
  <c r="G65"/>
  <c r="C76"/>
  <c r="E102"/>
  <c r="H14"/>
  <c r="D115"/>
  <c r="F91"/>
  <c r="G107"/>
  <c r="H115"/>
  <c r="E32"/>
  <c r="H19"/>
  <c r="G42"/>
  <c r="D30"/>
  <c r="C69"/>
  <c r="F56"/>
  <c r="E79"/>
  <c r="H66"/>
  <c r="E60"/>
  <c r="G70"/>
  <c r="C97"/>
  <c r="F9"/>
  <c r="C110"/>
  <c r="H88"/>
  <c r="D156"/>
  <c r="E111"/>
  <c r="G29"/>
  <c r="D17"/>
  <c r="C40"/>
  <c r="F27"/>
  <c r="E66"/>
  <c r="H53"/>
  <c r="G76"/>
  <c r="D64"/>
  <c r="C55"/>
  <c r="E65"/>
  <c r="G91"/>
  <c r="C102"/>
  <c r="G156"/>
  <c r="F107"/>
  <c r="F119"/>
  <c r="N151"/>
  <c r="C27"/>
  <c r="F14"/>
  <c r="E37"/>
  <c r="H24"/>
  <c r="G63"/>
  <c r="D51"/>
  <c r="C74"/>
  <c r="F61"/>
  <c r="G49"/>
  <c r="C60"/>
  <c r="E86"/>
  <c r="G96"/>
  <c r="C151"/>
  <c r="F83"/>
  <c r="H150"/>
  <c r="E152"/>
  <c r="E24"/>
  <c r="H11"/>
  <c r="G34"/>
  <c r="D22"/>
  <c r="C61"/>
  <c r="F48"/>
  <c r="E71"/>
  <c r="H58"/>
  <c r="E44"/>
  <c r="G54"/>
  <c r="C81"/>
  <c r="E91"/>
  <c r="C145"/>
  <c r="H80"/>
  <c r="D148"/>
  <c r="G146"/>
  <c r="G21"/>
  <c r="D9"/>
  <c r="C32"/>
  <c r="F19"/>
  <c r="E58"/>
  <c r="H45"/>
  <c r="G68"/>
  <c r="D56"/>
  <c r="C39"/>
  <c r="E49"/>
  <c r="G75"/>
  <c r="C86"/>
  <c r="G139"/>
  <c r="H75"/>
  <c r="F145"/>
  <c r="C141"/>
  <c r="C19"/>
  <c r="E104"/>
  <c r="E29"/>
  <c r="H16"/>
  <c r="G55"/>
  <c r="D43"/>
  <c r="C66"/>
  <c r="F53"/>
  <c r="G33"/>
  <c r="C44"/>
  <c r="E70"/>
  <c r="G80"/>
  <c r="C134"/>
  <c r="F70"/>
  <c r="F153"/>
  <c r="F105"/>
  <c r="E16"/>
  <c r="G101"/>
  <c r="G26"/>
  <c r="D14"/>
  <c r="C53"/>
  <c r="F40"/>
  <c r="E63"/>
  <c r="H50"/>
  <c r="E28"/>
  <c r="G38"/>
  <c r="C65"/>
  <c r="E75"/>
  <c r="F114"/>
  <c r="G147"/>
  <c r="D140"/>
  <c r="E127"/>
  <c r="G13"/>
  <c r="C99"/>
  <c r="C24"/>
  <c r="F11"/>
  <c r="E50"/>
  <c r="H37"/>
  <c r="G60"/>
  <c r="D48"/>
  <c r="C23"/>
  <c r="E33"/>
  <c r="G59"/>
  <c r="C70"/>
  <c r="H111"/>
  <c r="C135"/>
  <c r="F137"/>
  <c r="F112"/>
  <c r="C11"/>
  <c r="E96"/>
  <c r="E21"/>
  <c r="H8"/>
  <c r="G47"/>
  <c r="D35"/>
  <c r="C58"/>
  <c r="F45"/>
  <c r="G17"/>
  <c r="C28"/>
  <c r="E54"/>
  <c r="D109"/>
  <c r="H134"/>
  <c r="E8"/>
  <c r="G18"/>
  <c r="C45"/>
  <c r="E55"/>
  <c r="E12"/>
  <c r="C49"/>
  <c r="F106"/>
  <c r="H94"/>
  <c r="J66"/>
  <c r="M151"/>
  <c r="L66"/>
  <c r="I152"/>
  <c r="N66"/>
  <c r="H44"/>
  <c r="F72"/>
  <c r="E150"/>
  <c r="D149"/>
  <c r="E136"/>
  <c r="J78"/>
  <c r="L78"/>
  <c r="N78"/>
  <c r="F113"/>
  <c r="C137"/>
  <c r="N111"/>
  <c r="J90"/>
  <c r="J112"/>
  <c r="L90"/>
  <c r="L112"/>
  <c r="N90"/>
  <c r="G46"/>
  <c r="E83"/>
  <c r="D73"/>
  <c r="C138"/>
  <c r="H144"/>
  <c r="I126"/>
  <c r="K126"/>
  <c r="M126"/>
  <c r="D84"/>
  <c r="H156"/>
  <c r="N135"/>
  <c r="I114"/>
  <c r="J136"/>
  <c r="K114"/>
  <c r="L136"/>
  <c r="M114"/>
  <c r="D13"/>
  <c r="H49"/>
  <c r="H137"/>
  <c r="H60"/>
  <c r="H114"/>
  <c r="L110"/>
  <c r="N110"/>
  <c r="J111"/>
  <c r="D86"/>
  <c r="C132"/>
  <c r="E153"/>
  <c r="M140"/>
  <c r="L55"/>
  <c r="I141"/>
  <c r="N55"/>
  <c r="K141"/>
  <c r="J56"/>
  <c r="C41"/>
  <c r="D101"/>
  <c r="D128"/>
  <c r="C123"/>
  <c r="E148"/>
  <c r="N56"/>
  <c r="J57"/>
  <c r="D121"/>
  <c r="G148"/>
  <c r="D7"/>
  <c r="J101"/>
  <c r="L79"/>
  <c r="L101"/>
  <c r="N79"/>
  <c r="N101"/>
  <c r="J80"/>
  <c r="E89"/>
  <c r="D28"/>
  <c r="D98"/>
  <c r="F122"/>
  <c r="G118"/>
  <c r="M104"/>
  <c r="I105"/>
  <c r="H142"/>
  <c r="D100"/>
  <c r="C120"/>
  <c r="J125"/>
  <c r="K103"/>
  <c r="L125"/>
  <c r="M103"/>
  <c r="N125"/>
  <c r="I104"/>
  <c r="H55"/>
  <c r="C30"/>
  <c r="E108"/>
  <c r="F92"/>
  <c r="D118"/>
  <c r="M152"/>
  <c r="I153"/>
  <c r="K153"/>
  <c r="H71"/>
  <c r="F143"/>
  <c r="J149"/>
  <c r="K127"/>
  <c r="L149"/>
  <c r="M127"/>
  <c r="N149"/>
  <c r="I128"/>
  <c r="G57"/>
  <c r="E94"/>
  <c r="E107"/>
  <c r="H154"/>
  <c r="D88"/>
  <c r="J137"/>
  <c r="L137"/>
  <c r="H86"/>
  <c r="L138"/>
  <c r="N138"/>
  <c r="J139"/>
  <c r="E100"/>
  <c r="F132"/>
  <c r="F109"/>
  <c r="J116"/>
  <c r="G41"/>
  <c r="E78"/>
  <c r="E142"/>
  <c r="H146"/>
  <c r="H79"/>
  <c r="J145"/>
  <c r="E114"/>
  <c r="I130"/>
  <c r="J152"/>
  <c r="K130"/>
  <c r="L152"/>
  <c r="M130"/>
  <c r="C47"/>
  <c r="G83"/>
  <c r="C148"/>
  <c r="F149"/>
  <c r="H82"/>
  <c r="L142"/>
  <c r="N142"/>
  <c r="J143"/>
  <c r="F142"/>
  <c r="H116"/>
  <c r="G120"/>
  <c r="I154"/>
  <c r="N68"/>
  <c r="K154"/>
  <c r="J69"/>
  <c r="M154"/>
  <c r="L69"/>
  <c r="D34"/>
  <c r="H70"/>
  <c r="G138"/>
  <c r="H143"/>
  <c r="E149"/>
  <c r="L83"/>
  <c r="N83"/>
  <c r="G116"/>
  <c r="H110"/>
  <c r="G131"/>
  <c r="L114"/>
  <c r="N92"/>
  <c r="N114"/>
  <c r="J93"/>
  <c r="J115"/>
  <c r="K93"/>
  <c r="C36"/>
  <c r="G72"/>
  <c r="E141"/>
  <c r="H113"/>
  <c r="F139"/>
  <c r="K131"/>
  <c r="M131"/>
  <c r="I132"/>
  <c r="G106"/>
  <c r="H140"/>
  <c r="J141"/>
  <c r="K119"/>
  <c r="L141"/>
  <c r="M119"/>
  <c r="N141"/>
  <c r="I120"/>
  <c r="G89"/>
  <c r="F28"/>
  <c r="D127"/>
  <c r="E138"/>
  <c r="D104"/>
  <c r="J121"/>
  <c r="L121"/>
  <c r="N121"/>
  <c r="E116"/>
  <c r="F127"/>
  <c r="E143"/>
  <c r="K143"/>
  <c r="J58"/>
  <c r="M143"/>
  <c r="L58"/>
  <c r="I144"/>
  <c r="N58"/>
  <c r="E30"/>
  <c r="F90"/>
  <c r="H122"/>
  <c r="G117"/>
  <c r="C133"/>
  <c r="J62"/>
  <c r="L62"/>
  <c r="H68"/>
  <c r="C143"/>
  <c r="C152"/>
  <c r="N103"/>
  <c r="J82"/>
  <c r="J104"/>
  <c r="L82"/>
  <c r="L104"/>
  <c r="N82"/>
  <c r="G78"/>
  <c r="F17"/>
  <c r="H92"/>
  <c r="D117"/>
  <c r="G111"/>
  <c r="I110"/>
  <c r="K110"/>
  <c r="M110"/>
  <c r="F97"/>
  <c r="E117"/>
  <c r="N127"/>
  <c r="I106"/>
  <c r="J128"/>
  <c r="K106"/>
  <c r="L128"/>
  <c r="M106"/>
  <c r="D45"/>
  <c r="E19"/>
  <c r="H153"/>
  <c r="D87"/>
  <c r="G110"/>
  <c r="L94"/>
  <c r="N94"/>
  <c r="C108"/>
  <c r="N95"/>
  <c r="J96"/>
  <c r="L96"/>
  <c r="H12"/>
  <c r="H108"/>
  <c r="G129"/>
  <c r="K94"/>
  <c r="D29"/>
  <c r="H65"/>
  <c r="H145"/>
  <c r="H76"/>
  <c r="C146"/>
  <c r="L102"/>
  <c r="N102"/>
  <c r="J103"/>
  <c r="N132"/>
  <c r="M123"/>
  <c r="L111"/>
  <c r="L68"/>
  <c r="K62"/>
  <c r="D160" i="4"/>
  <c r="R53" i="7"/>
  <c r="D156" i="4"/>
  <c r="M42" i="7"/>
  <c r="P49"/>
  <c r="V38"/>
  <c r="N17"/>
  <c r="M17"/>
  <c r="G64"/>
  <c r="E129"/>
  <c r="H109"/>
  <c r="G93"/>
  <c r="C104"/>
  <c r="F32"/>
  <c r="H42"/>
  <c r="G22"/>
  <c r="E59"/>
  <c r="E126"/>
  <c r="K151"/>
  <c r="N130"/>
  <c r="I109"/>
  <c r="J131"/>
  <c r="K109"/>
  <c r="F34"/>
  <c r="G8"/>
  <c r="F148"/>
  <c r="H73"/>
  <c r="G151"/>
  <c r="N99"/>
  <c r="J100"/>
  <c r="L100"/>
  <c r="G137"/>
  <c r="D138"/>
  <c r="L154"/>
  <c r="M132"/>
  <c r="N154"/>
  <c r="I133"/>
  <c r="J155"/>
  <c r="K133"/>
  <c r="E36"/>
  <c r="C73"/>
  <c r="G136"/>
  <c r="D144"/>
  <c r="F74"/>
  <c r="N147"/>
  <c r="J148"/>
  <c r="L148"/>
  <c r="F96"/>
  <c r="E113"/>
  <c r="H7"/>
  <c r="M156"/>
  <c r="L71"/>
  <c r="L93"/>
  <c r="N71"/>
  <c r="N93"/>
  <c r="J72"/>
  <c r="F23"/>
  <c r="D60"/>
  <c r="D114"/>
  <c r="F138"/>
  <c r="E139"/>
  <c r="N88"/>
  <c r="J89"/>
  <c r="L89"/>
  <c r="G133"/>
  <c r="E125"/>
  <c r="N119"/>
  <c r="I98"/>
  <c r="J120"/>
  <c r="K98"/>
  <c r="L120"/>
  <c r="M98"/>
  <c r="G14"/>
  <c r="E51"/>
  <c r="E122"/>
  <c r="D103"/>
  <c r="H128"/>
  <c r="I142"/>
  <c r="K142"/>
  <c r="M142"/>
  <c r="F81"/>
  <c r="H148"/>
  <c r="N143"/>
  <c r="I122"/>
  <c r="J144"/>
  <c r="K122"/>
  <c r="L144"/>
  <c r="M122"/>
  <c r="C79"/>
  <c r="H17"/>
  <c r="H121"/>
  <c r="E119"/>
  <c r="H98"/>
  <c r="L126"/>
  <c r="N126"/>
  <c r="J127"/>
  <c r="E135"/>
  <c r="H124"/>
  <c r="G135"/>
  <c r="I146"/>
  <c r="N60"/>
  <c r="K146"/>
  <c r="J61"/>
  <c r="M146"/>
  <c r="L61"/>
  <c r="G19"/>
  <c r="D78"/>
  <c r="F117"/>
  <c r="G109"/>
  <c r="C122"/>
  <c r="L67"/>
  <c r="N67"/>
  <c r="J68"/>
  <c r="E137"/>
  <c r="C147"/>
  <c r="L106"/>
  <c r="N84"/>
  <c r="N106"/>
  <c r="J85"/>
  <c r="J107"/>
  <c r="L85"/>
  <c r="C68"/>
  <c r="G104"/>
  <c r="F87"/>
  <c r="G108"/>
  <c r="F155"/>
  <c r="K115"/>
  <c r="M115"/>
  <c r="D154"/>
  <c r="M116"/>
  <c r="I117"/>
  <c r="K117"/>
  <c r="D39"/>
  <c r="G142"/>
  <c r="N115"/>
  <c r="L116"/>
  <c r="C52"/>
  <c r="G88"/>
  <c r="F78"/>
  <c r="G143"/>
  <c r="F147"/>
  <c r="K123"/>
  <c r="L130"/>
  <c r="L87"/>
  <c r="L109"/>
  <c r="N87"/>
  <c r="N109"/>
  <c r="J88"/>
  <c r="E57"/>
  <c r="C94"/>
  <c r="D82"/>
  <c r="G149"/>
  <c r="D150"/>
  <c r="M120"/>
  <c r="I121"/>
  <c r="K121"/>
  <c r="D92"/>
  <c r="C109"/>
  <c r="J133"/>
  <c r="K111"/>
  <c r="L133"/>
  <c r="M111"/>
  <c r="N133"/>
  <c r="I112"/>
  <c r="H23"/>
  <c r="F60"/>
  <c r="D143"/>
  <c r="F71"/>
  <c r="E140"/>
  <c r="J105"/>
  <c r="L105"/>
  <c r="N105"/>
  <c r="F126"/>
  <c r="F135"/>
  <c r="C150"/>
  <c r="K135"/>
  <c r="J50"/>
  <c r="M135"/>
  <c r="L50"/>
  <c r="I136"/>
  <c r="G25"/>
  <c r="E62"/>
  <c r="D113"/>
  <c r="H138"/>
  <c r="E145"/>
  <c r="J153"/>
  <c r="L153"/>
  <c r="N153"/>
  <c r="H131"/>
  <c r="H147"/>
  <c r="C140"/>
  <c r="L98"/>
  <c r="N76"/>
  <c r="N98"/>
  <c r="J77"/>
  <c r="J99"/>
  <c r="L77"/>
  <c r="C100"/>
  <c r="H38"/>
  <c r="F103"/>
  <c r="H127"/>
  <c r="C124"/>
  <c r="K99"/>
  <c r="M99"/>
  <c r="I100"/>
  <c r="H102"/>
  <c r="G122"/>
  <c r="L122"/>
  <c r="M100"/>
  <c r="N122"/>
  <c r="I101"/>
  <c r="J123"/>
  <c r="K101"/>
  <c r="F66"/>
  <c r="G40"/>
  <c r="C117"/>
  <c r="H97"/>
  <c r="F123"/>
  <c r="K147"/>
  <c r="M147"/>
  <c r="I148"/>
  <c r="G121"/>
  <c r="D146"/>
  <c r="L146"/>
  <c r="M124"/>
  <c r="N146"/>
  <c r="I125"/>
  <c r="J147"/>
  <c r="K125"/>
  <c r="E68"/>
  <c r="C105"/>
  <c r="F116"/>
  <c r="E110"/>
  <c r="F93"/>
  <c r="N131"/>
  <c r="J132"/>
  <c r="L132"/>
  <c r="D153"/>
  <c r="D122"/>
  <c r="C129"/>
  <c r="M148"/>
  <c r="L63"/>
  <c r="I149"/>
  <c r="N63"/>
  <c r="K149"/>
  <c r="J64"/>
  <c r="C9"/>
  <c r="H56"/>
  <c r="E109"/>
  <c r="F154"/>
  <c r="G152"/>
  <c r="N72"/>
  <c r="J73"/>
  <c r="C149"/>
  <c r="J74"/>
  <c r="L74"/>
  <c r="N74"/>
  <c r="F49"/>
  <c r="D133"/>
  <c r="I94"/>
  <c r="M94"/>
  <c r="F39"/>
  <c r="D76"/>
  <c r="E144"/>
  <c r="G154"/>
  <c r="J81"/>
  <c r="M153"/>
  <c r="I111"/>
  <c r="M19"/>
  <c r="X65"/>
  <c r="T45"/>
  <c r="V85"/>
  <c r="P10"/>
  <c r="R57"/>
  <c r="X9"/>
  <c r="M38"/>
  <c r="Y57"/>
  <c r="V42"/>
  <c r="O51"/>
  <c r="W107"/>
  <c r="U140"/>
  <c r="N61"/>
  <c r="T19"/>
  <c r="P19"/>
  <c r="U76"/>
  <c r="F18"/>
  <c r="D55"/>
  <c r="F140"/>
  <c r="D66"/>
  <c r="G134"/>
  <c r="N107"/>
  <c r="J108"/>
  <c r="L108"/>
  <c r="L135"/>
  <c r="M113"/>
  <c r="L22"/>
  <c r="K22"/>
  <c r="W47"/>
  <c r="T60"/>
  <c r="N22"/>
  <c r="X34"/>
  <c r="P33"/>
  <c r="R80"/>
  <c r="I63"/>
  <c r="D148" i="4"/>
  <c r="P51" i="7"/>
  <c r="D146" i="4"/>
  <c r="I44" i="7"/>
  <c r="Z89"/>
  <c r="R37"/>
  <c r="O54"/>
  <c r="S102"/>
  <c r="Q135"/>
  <c r="J67"/>
  <c r="X8"/>
  <c r="T8"/>
  <c r="R56"/>
  <c r="G105"/>
  <c r="F44"/>
  <c r="D135"/>
  <c r="F55"/>
  <c r="D112"/>
  <c r="J113"/>
  <c r="L113"/>
  <c r="N113"/>
  <c r="J138"/>
  <c r="K116"/>
  <c r="J25"/>
  <c r="I25"/>
  <c r="S42"/>
  <c r="P55"/>
  <c r="L25"/>
  <c r="P24"/>
  <c r="X23"/>
  <c r="Z74"/>
  <c r="M65"/>
  <c r="D116" i="4"/>
  <c r="U46" i="7"/>
  <c r="D114" i="4"/>
  <c r="K49" i="7"/>
  <c r="R79"/>
  <c r="Z31"/>
  <c r="X46"/>
  <c r="Z96"/>
  <c r="Y129"/>
  <c r="L72"/>
  <c r="D108" i="4"/>
  <c r="D106"/>
  <c r="V76" i="7"/>
  <c r="C95"/>
  <c r="H33"/>
  <c r="H129"/>
  <c r="G150"/>
  <c r="H106"/>
  <c r="L118"/>
  <c r="N118"/>
  <c r="J119"/>
  <c r="N140"/>
  <c r="I119"/>
  <c r="N27"/>
  <c r="M27"/>
  <c r="O37"/>
  <c r="Y79"/>
  <c r="J28"/>
  <c r="T13"/>
  <c r="P13"/>
  <c r="V69"/>
  <c r="K68"/>
  <c r="H132"/>
  <c r="I138"/>
  <c r="K138"/>
  <c r="M138"/>
  <c r="G51"/>
  <c r="F133"/>
  <c r="E146"/>
  <c r="N51"/>
  <c r="E9"/>
  <c r="C46"/>
  <c r="G119"/>
  <c r="F100"/>
  <c r="D126"/>
  <c r="M144"/>
  <c r="I145"/>
  <c r="K145"/>
  <c r="J122"/>
  <c r="K100"/>
  <c r="J9"/>
  <c r="I9"/>
  <c r="V27"/>
  <c r="P87"/>
  <c r="L9"/>
  <c r="W49"/>
  <c r="S21"/>
  <c r="N49"/>
  <c r="M49"/>
  <c r="T31"/>
  <c r="V78"/>
  <c r="P31"/>
  <c r="K17"/>
  <c r="T70"/>
  <c r="U25"/>
  <c r="U77"/>
  <c r="O129"/>
  <c r="L147"/>
  <c r="L34"/>
  <c r="W23"/>
  <c r="N34"/>
  <c r="D38" i="4"/>
  <c r="D61" i="7"/>
  <c r="E35"/>
  <c r="G113"/>
  <c r="D95"/>
  <c r="H120"/>
  <c r="I150"/>
  <c r="K150"/>
  <c r="M150"/>
  <c r="N124"/>
  <c r="I103"/>
  <c r="N11"/>
  <c r="M11"/>
  <c r="R22"/>
  <c r="X81"/>
  <c r="J12"/>
  <c r="O39"/>
  <c r="O16"/>
  <c r="J55"/>
  <c r="K52"/>
  <c r="P26"/>
  <c r="R73"/>
  <c r="X25"/>
  <c r="M22"/>
  <c r="X59"/>
  <c r="Q20"/>
  <c r="Y66"/>
  <c r="W123"/>
  <c r="N152"/>
  <c r="N39"/>
  <c r="O13"/>
  <c r="J40"/>
  <c r="N57"/>
  <c r="F50"/>
  <c r="G24"/>
  <c r="F156"/>
  <c r="H89"/>
  <c r="F115"/>
  <c r="K155"/>
  <c r="M155"/>
  <c r="I156"/>
  <c r="L127"/>
  <c r="M105"/>
  <c r="L14"/>
  <c r="K14"/>
  <c r="Z16"/>
  <c r="T76"/>
  <c r="N14"/>
  <c r="S28"/>
  <c r="W10"/>
  <c r="L60"/>
  <c r="I55"/>
  <c r="X20"/>
  <c r="Z67"/>
  <c r="T20"/>
  <c r="I28"/>
  <c r="Q79"/>
  <c r="Y14"/>
  <c r="Q56"/>
  <c r="S118"/>
  <c r="N50"/>
  <c r="J45"/>
  <c r="X40"/>
  <c r="L45"/>
  <c r="P89"/>
  <c r="H39"/>
  <c r="C14"/>
  <c r="D151"/>
  <c r="F82"/>
  <c r="F7"/>
  <c r="J97"/>
  <c r="L97"/>
  <c r="N97"/>
  <c r="J130"/>
  <c r="K108"/>
  <c r="J17"/>
  <c r="I17"/>
  <c r="V11"/>
  <c r="P71"/>
  <c r="L17"/>
  <c r="W17"/>
  <c r="X43"/>
  <c r="Z90"/>
  <c r="M57"/>
  <c r="T15"/>
  <c r="V62"/>
  <c r="P15"/>
  <c r="K33"/>
  <c r="U68"/>
  <c r="Z36"/>
  <c r="I90"/>
  <c r="S9"/>
  <c r="Q52"/>
  <c r="U94"/>
  <c r="T124"/>
  <c r="M141"/>
  <c r="N145"/>
  <c r="K132"/>
  <c r="J41"/>
  <c r="I41"/>
  <c r="S10"/>
  <c r="Q53"/>
  <c r="L41"/>
  <c r="D99" i="4"/>
  <c r="D97"/>
  <c r="Y42" i="7"/>
  <c r="M81"/>
  <c r="D143" i="4"/>
  <c r="U14" i="7"/>
  <c r="D141" i="4"/>
  <c r="K81" i="7"/>
  <c r="Q15"/>
  <c r="W46"/>
  <c r="T59"/>
  <c r="Z128"/>
  <c r="Y97"/>
  <c r="K104"/>
  <c r="I13"/>
  <c r="P79"/>
  <c r="W33"/>
  <c r="C31"/>
  <c r="G67"/>
  <c r="C131"/>
  <c r="F141"/>
  <c r="E156"/>
  <c r="L150"/>
  <c r="N150"/>
  <c r="J151"/>
  <c r="N156"/>
  <c r="I135"/>
  <c r="N43"/>
  <c r="M43"/>
  <c r="T43"/>
  <c r="V90"/>
  <c r="J44"/>
  <c r="D35" i="4"/>
  <c r="D33"/>
  <c r="U37" i="7"/>
  <c r="K84"/>
  <c r="D111" i="4"/>
  <c r="Q9" i="7"/>
  <c r="D109" i="4"/>
  <c r="M84" i="7"/>
  <c r="Z42"/>
  <c r="S41"/>
  <c r="P54"/>
  <c r="V123"/>
  <c r="T156"/>
  <c r="M109"/>
  <c r="K18"/>
  <c r="T68"/>
  <c r="O24"/>
  <c r="E20"/>
  <c r="C57"/>
  <c r="F110"/>
  <c r="D136"/>
  <c r="E132"/>
  <c r="N155"/>
  <c r="J156"/>
  <c r="L156"/>
  <c r="J52"/>
  <c r="M137"/>
  <c r="L46"/>
  <c r="K46"/>
  <c r="P38"/>
  <c r="R85"/>
  <c r="N46"/>
  <c r="M10"/>
  <c r="X83"/>
  <c r="Q32"/>
  <c r="I87"/>
  <c r="D79" i="4"/>
  <c r="R42" i="7"/>
  <c r="D77" i="4"/>
  <c r="K87" i="7"/>
  <c r="R32"/>
  <c r="O36"/>
  <c r="Y78"/>
  <c r="R118"/>
  <c r="P151"/>
  <c r="I115"/>
  <c r="M23"/>
  <c r="X57"/>
  <c r="T29"/>
  <c r="G9"/>
  <c r="E46"/>
  <c r="D105"/>
  <c r="H130"/>
  <c r="G125"/>
  <c r="C156"/>
  <c r="J54"/>
  <c r="L54"/>
  <c r="N54"/>
  <c r="K140"/>
  <c r="J49"/>
  <c r="I49"/>
  <c r="X32"/>
  <c r="Z79"/>
  <c r="L49"/>
  <c r="I16"/>
  <c r="P73"/>
  <c r="Y26"/>
  <c r="M89"/>
  <c r="D108"/>
  <c r="J117"/>
  <c r="L117"/>
  <c r="N117"/>
  <c r="E25"/>
  <c r="C128"/>
  <c r="D134"/>
  <c r="I137"/>
  <c r="E84"/>
  <c r="D23"/>
  <c r="F124"/>
  <c r="G127"/>
  <c r="F101"/>
  <c r="N123"/>
  <c r="J124"/>
  <c r="L124"/>
  <c r="L143"/>
  <c r="M121"/>
  <c r="L30"/>
  <c r="K30"/>
  <c r="W31"/>
  <c r="U74"/>
  <c r="N30"/>
  <c r="D136" i="4"/>
  <c r="D134"/>
  <c r="R64" i="7"/>
  <c r="I71"/>
  <c r="D52" i="4"/>
  <c r="Y35" i="7"/>
  <c r="D50" i="4"/>
  <c r="I60" i="7"/>
  <c r="Z57"/>
  <c r="R21"/>
  <c r="X80"/>
  <c r="R150"/>
  <c r="Q119"/>
  <c r="J83"/>
  <c r="D162" i="4"/>
  <c r="D158"/>
  <c r="Y33" i="7"/>
  <c r="G73"/>
  <c r="F12"/>
  <c r="D119"/>
  <c r="E115"/>
  <c r="D96"/>
  <c r="J129"/>
  <c r="L129"/>
  <c r="N129"/>
  <c r="J146"/>
  <c r="K124"/>
  <c r="J33"/>
  <c r="I33"/>
  <c r="S26"/>
  <c r="Q69"/>
  <c r="L33"/>
  <c r="D72" i="4"/>
  <c r="D70"/>
  <c r="Z58" i="7"/>
  <c r="M73"/>
  <c r="D20" i="4"/>
  <c r="U30" i="7"/>
  <c r="D18" i="4"/>
  <c r="K65" i="7"/>
  <c r="Q47"/>
  <c r="Z15"/>
  <c r="T75"/>
  <c r="Z144"/>
  <c r="Y113"/>
  <c r="L88"/>
  <c r="D135" i="4"/>
  <c r="D133"/>
  <c r="U13" i="7"/>
  <c r="C63"/>
  <c r="G99"/>
  <c r="G112"/>
  <c r="G7"/>
  <c r="H90"/>
  <c r="L134"/>
  <c r="N134"/>
  <c r="J135"/>
  <c r="N148"/>
  <c r="I127"/>
  <c r="N35"/>
  <c r="M35"/>
  <c r="O21"/>
  <c r="Y63"/>
  <c r="J36"/>
  <c r="D8" i="4"/>
  <c r="D6"/>
  <c r="V53" i="7"/>
  <c r="K76"/>
  <c r="D174" i="4"/>
  <c r="Q25" i="7"/>
  <c r="D170" i="4"/>
  <c r="M70" i="7"/>
  <c r="U36"/>
  <c r="V10"/>
  <c r="P70"/>
  <c r="V139"/>
  <c r="U108"/>
  <c r="M93"/>
  <c r="D71" i="4"/>
  <c r="D69"/>
  <c r="V29" i="7"/>
  <c r="E52"/>
  <c r="C89"/>
  <c r="G153"/>
  <c r="D152"/>
  <c r="F85"/>
  <c r="N139"/>
  <c r="J140"/>
  <c r="L140"/>
  <c r="L151"/>
  <c r="M129"/>
  <c r="L38"/>
  <c r="K38"/>
  <c r="W15"/>
  <c r="U58"/>
  <c r="N38"/>
  <c r="D163" i="4"/>
  <c r="D161"/>
  <c r="Q48" i="7"/>
  <c r="I79"/>
  <c r="D175" i="4"/>
  <c r="Y19" i="7"/>
  <c r="D173" i="4"/>
  <c r="I76" i="7"/>
  <c r="Y25"/>
  <c r="X36"/>
  <c r="L47"/>
  <c r="P81"/>
  <c r="X51"/>
  <c r="P91"/>
  <c r="W155"/>
  <c r="N120"/>
  <c r="M71"/>
  <c r="P8"/>
  <c r="M21"/>
  <c r="X61"/>
  <c r="T37"/>
  <c r="V81"/>
  <c r="P111"/>
  <c r="F146"/>
  <c r="N80"/>
  <c r="L81"/>
  <c r="I124"/>
  <c r="N19"/>
  <c r="Z50"/>
  <c r="J20"/>
  <c r="T38"/>
  <c r="K60"/>
  <c r="R10"/>
  <c r="X69"/>
  <c r="J18"/>
  <c r="O15"/>
  <c r="T42"/>
  <c r="V89"/>
  <c r="Q85"/>
  <c r="P119"/>
  <c r="I147"/>
  <c r="M55"/>
  <c r="V66"/>
  <c r="K29"/>
  <c r="K105"/>
  <c r="H28"/>
  <c r="F65"/>
  <c r="E133"/>
  <c r="D141"/>
  <c r="G144"/>
  <c r="J86"/>
  <c r="L86"/>
  <c r="N86"/>
  <c r="K156"/>
  <c r="J71"/>
  <c r="I65"/>
  <c r="D124" i="4"/>
  <c r="Y47" i="7"/>
  <c r="D122" i="4"/>
  <c r="I48" i="7"/>
  <c r="Z81"/>
  <c r="R33"/>
  <c r="L20"/>
  <c r="K20"/>
  <c r="V48"/>
  <c r="T64"/>
  <c r="N20"/>
  <c r="X42"/>
  <c r="P37"/>
  <c r="R84"/>
  <c r="O90"/>
  <c r="X113"/>
  <c r="K152"/>
  <c r="I61"/>
  <c r="Z55"/>
  <c r="R8"/>
  <c r="I116"/>
  <c r="D18"/>
  <c r="H54"/>
  <c r="F111"/>
  <c r="H135"/>
  <c r="E134"/>
  <c r="L91"/>
  <c r="N91"/>
  <c r="J92"/>
  <c r="L95"/>
  <c r="N73"/>
  <c r="M67"/>
  <c r="D92" i="4"/>
  <c r="U42" i="7"/>
  <c r="D90" i="4"/>
  <c r="K53" i="7"/>
  <c r="R71"/>
  <c r="Z27"/>
  <c r="J23"/>
  <c r="I23"/>
  <c r="S46"/>
  <c r="P59"/>
  <c r="L23"/>
  <c r="P32"/>
  <c r="X31"/>
  <c r="Z78"/>
  <c r="W84"/>
  <c r="T108"/>
  <c r="J94"/>
  <c r="K66"/>
  <c r="Q45"/>
  <c r="M50"/>
  <c r="V30"/>
  <c r="E105"/>
  <c r="D44"/>
  <c r="D106"/>
  <c r="F130"/>
  <c r="G126"/>
  <c r="M96"/>
  <c r="I97"/>
  <c r="K97"/>
  <c r="J98"/>
  <c r="L76"/>
  <c r="K70"/>
  <c r="D60" i="4"/>
  <c r="Q37" i="7"/>
  <c r="D58" i="4"/>
  <c r="M58" i="7"/>
  <c r="V60"/>
  <c r="V22"/>
  <c r="N25"/>
  <c r="C127"/>
  <c r="C139"/>
  <c r="N52"/>
  <c r="J53"/>
  <c r="C15"/>
  <c r="H107"/>
  <c r="G128"/>
  <c r="L51"/>
  <c r="L57"/>
  <c r="G35"/>
  <c r="H95"/>
  <c r="F125"/>
  <c r="E120"/>
  <c r="G140"/>
  <c r="L59"/>
  <c r="N59"/>
  <c r="J60"/>
  <c r="I143"/>
  <c r="N53"/>
  <c r="M51"/>
  <c r="T27"/>
  <c r="V74"/>
  <c r="P27"/>
  <c r="K21"/>
  <c r="T62"/>
  <c r="U21"/>
  <c r="K92"/>
  <c r="D15" i="4"/>
  <c r="V31" i="7"/>
  <c r="D13" i="4"/>
  <c r="M92" i="7"/>
  <c r="Z10"/>
  <c r="S25"/>
  <c r="Q68"/>
  <c r="V107"/>
  <c r="T140"/>
  <c r="M125"/>
  <c r="K34"/>
  <c r="U66"/>
  <c r="D40" i="4"/>
  <c r="N62" i="7"/>
  <c r="C25"/>
  <c r="H83"/>
  <c r="D120"/>
  <c r="C115"/>
  <c r="C126"/>
  <c r="N64"/>
  <c r="J65"/>
  <c r="L65"/>
  <c r="M145"/>
  <c r="J59"/>
  <c r="K54"/>
  <c r="P22"/>
  <c r="R69"/>
  <c r="X21"/>
  <c r="M26"/>
  <c r="X50"/>
  <c r="Q16"/>
  <c r="N9"/>
  <c r="M9"/>
  <c r="R26"/>
  <c r="X85"/>
  <c r="J10"/>
  <c r="O47"/>
  <c r="O20"/>
  <c r="Y62"/>
  <c r="R102"/>
  <c r="P135"/>
  <c r="I131"/>
  <c r="M39"/>
  <c r="Y55"/>
  <c r="X67"/>
  <c r="L73"/>
  <c r="E14"/>
  <c r="F67"/>
  <c r="G114"/>
  <c r="E7"/>
  <c r="C118"/>
  <c r="J70"/>
  <c r="L70"/>
  <c r="N70"/>
  <c r="K148"/>
  <c r="J63"/>
  <c r="I57"/>
  <c r="X16"/>
  <c r="Z63"/>
  <c r="T16"/>
  <c r="I32"/>
  <c r="Q71"/>
  <c r="Y10"/>
  <c r="L12"/>
  <c r="K12"/>
  <c r="Z20"/>
  <c r="T80"/>
  <c r="N12"/>
  <c r="S36"/>
  <c r="W14"/>
  <c r="U57"/>
  <c r="X96"/>
  <c r="X129"/>
  <c r="K136"/>
  <c r="I45"/>
  <c r="Z87"/>
  <c r="I8"/>
  <c r="J84"/>
  <c r="D50"/>
  <c r="H81"/>
  <c r="G155"/>
  <c r="H151"/>
  <c r="C144"/>
  <c r="L75"/>
  <c r="N75"/>
  <c r="J76"/>
  <c r="I151"/>
  <c r="N65"/>
  <c r="M59"/>
  <c r="T11"/>
  <c r="V58"/>
  <c r="P11"/>
  <c r="K37"/>
  <c r="U60"/>
  <c r="Z43"/>
  <c r="J15"/>
  <c r="I15"/>
  <c r="V15"/>
  <c r="P75"/>
  <c r="L15"/>
  <c r="W25"/>
  <c r="D47" i="4"/>
  <c r="D45"/>
  <c r="V21" i="7"/>
  <c r="U9"/>
  <c r="S59"/>
  <c r="O113"/>
  <c r="Y151"/>
  <c r="L145"/>
  <c r="J154"/>
  <c r="N89"/>
  <c r="M83"/>
  <c r="D119" i="4"/>
  <c r="U10" i="7"/>
  <c r="D117" i="4"/>
  <c r="I84" i="7"/>
  <c r="V45"/>
  <c r="W42"/>
  <c r="J39"/>
  <c r="I39"/>
  <c r="S14"/>
  <c r="Q57"/>
  <c r="L39"/>
  <c r="D147" i="4"/>
  <c r="D145"/>
  <c r="Y46" i="7"/>
  <c r="P90"/>
  <c r="S150"/>
  <c r="J126"/>
  <c r="J13"/>
  <c r="V19"/>
  <c r="L13"/>
  <c r="S13"/>
  <c r="E41"/>
  <c r="C78"/>
  <c r="C154"/>
  <c r="G132"/>
  <c r="D142"/>
  <c r="M128"/>
  <c r="I129"/>
  <c r="K129"/>
  <c r="J114"/>
  <c r="L92"/>
  <c r="K86"/>
  <c r="D87" i="4"/>
  <c r="V43" i="7"/>
  <c r="D85" i="4"/>
  <c r="M86" i="7"/>
  <c r="Z34"/>
  <c r="S37"/>
  <c r="N41"/>
  <c r="M41"/>
  <c r="O9"/>
  <c r="Y51"/>
  <c r="J42"/>
  <c r="D83" i="4"/>
  <c r="D81"/>
  <c r="U41" i="7"/>
  <c r="T79"/>
  <c r="O145"/>
  <c r="L131"/>
  <c r="L18"/>
  <c r="Z8"/>
  <c r="J8"/>
  <c r="N137"/>
  <c r="G30"/>
  <c r="E67"/>
  <c r="E131"/>
  <c r="D111"/>
  <c r="H136"/>
  <c r="I134"/>
  <c r="K134"/>
  <c r="M134"/>
  <c r="N116"/>
  <c r="I95"/>
  <c r="I89"/>
  <c r="D55" i="4"/>
  <c r="R38" i="7"/>
  <c r="D53" i="4"/>
  <c r="K89" i="7"/>
  <c r="R24"/>
  <c r="O32"/>
  <c r="L44"/>
  <c r="K44"/>
  <c r="P42"/>
  <c r="R89"/>
  <c r="N44"/>
  <c r="D19" i="4"/>
  <c r="D17"/>
  <c r="Q36" i="7"/>
  <c r="X68"/>
  <c r="W139"/>
  <c r="N136"/>
  <c r="N23"/>
  <c r="O45"/>
  <c r="J24"/>
  <c r="P29"/>
  <c r="C20"/>
  <c r="G56"/>
  <c r="C125"/>
  <c r="H105"/>
  <c r="F131"/>
  <c r="K139"/>
  <c r="M139"/>
  <c r="I140"/>
  <c r="L119"/>
  <c r="M97"/>
  <c r="M91"/>
  <c r="D23" i="4"/>
  <c r="Z32" i="7"/>
  <c r="D21" i="4"/>
  <c r="I92" i="7"/>
  <c r="V13"/>
  <c r="W26"/>
  <c r="J47"/>
  <c r="I47"/>
  <c r="E128"/>
  <c r="K95"/>
  <c r="M95"/>
  <c r="I96"/>
  <c r="C62"/>
  <c r="F108"/>
  <c r="M136"/>
  <c r="K137"/>
  <c r="G94"/>
  <c r="F33"/>
  <c r="H100"/>
  <c r="D125"/>
  <c r="E121"/>
  <c r="I102"/>
  <c r="K102"/>
  <c r="M102"/>
  <c r="N100"/>
  <c r="J79"/>
  <c r="I73"/>
  <c r="D28" i="4"/>
  <c r="Y31" i="7"/>
  <c r="D26" i="4"/>
  <c r="I64" i="7"/>
  <c r="Y49"/>
  <c r="R17"/>
  <c r="L28"/>
  <c r="K28"/>
  <c r="W35"/>
  <c r="U78"/>
  <c r="N28"/>
  <c r="X10"/>
  <c r="T10"/>
  <c r="R68"/>
  <c r="O74"/>
  <c r="X97"/>
  <c r="N104"/>
  <c r="I77"/>
  <c r="Y23"/>
  <c r="I72"/>
  <c r="R9"/>
  <c r="C84"/>
  <c r="H22"/>
  <c r="F95"/>
  <c r="H119"/>
  <c r="C116"/>
  <c r="K107"/>
  <c r="M107"/>
  <c r="I108"/>
  <c r="L103"/>
  <c r="N81"/>
  <c r="M75"/>
  <c r="D186" i="4"/>
  <c r="U26" i="7"/>
  <c r="D182" i="4"/>
  <c r="K69" i="7"/>
  <c r="Q39"/>
  <c r="Z11"/>
  <c r="J31"/>
  <c r="I31"/>
  <c r="S30"/>
  <c r="Q73"/>
  <c r="L31"/>
  <c r="D120" i="4"/>
  <c r="D118"/>
  <c r="Z62" i="7"/>
  <c r="W68"/>
  <c r="S95"/>
  <c r="J110"/>
  <c r="K82"/>
  <c r="Q13"/>
  <c r="M18"/>
  <c r="J95"/>
  <c r="E73"/>
  <c r="D12"/>
  <c r="D90"/>
  <c r="C114"/>
  <c r="E106"/>
  <c r="M112"/>
  <c r="I113"/>
  <c r="K113"/>
  <c r="J106"/>
  <c r="L84"/>
  <c r="K78"/>
  <c r="D183" i="4"/>
  <c r="Q21" i="7"/>
  <c r="D181" i="4"/>
  <c r="M74" i="7"/>
  <c r="U28"/>
  <c r="R51"/>
  <c r="N33"/>
  <c r="M33"/>
  <c r="O25"/>
  <c r="Y67"/>
  <c r="J34"/>
  <c r="D56" i="4"/>
  <c r="D54"/>
  <c r="V57" i="7"/>
  <c r="S63"/>
  <c r="Y86"/>
  <c r="L115"/>
  <c r="M87"/>
  <c r="Z40"/>
  <c r="I88"/>
  <c r="W34"/>
  <c r="G62"/>
  <c r="E99"/>
  <c r="H84"/>
  <c r="C155"/>
  <c r="H152"/>
  <c r="I118"/>
  <c r="K118"/>
  <c r="M118"/>
  <c r="N108"/>
  <c r="J87"/>
  <c r="I81"/>
  <c r="D151" i="4"/>
  <c r="Y15" i="7"/>
  <c r="D149" i="4"/>
  <c r="I80" i="7"/>
  <c r="Y17"/>
  <c r="O48"/>
  <c r="L36"/>
  <c r="K36"/>
  <c r="W19"/>
  <c r="U62"/>
  <c r="N36"/>
  <c r="D180" i="4"/>
  <c r="D176"/>
  <c r="Z83" i="7"/>
  <c r="I12"/>
  <c r="R49"/>
  <c r="X64"/>
  <c r="R134"/>
  <c r="Q103"/>
  <c r="I99"/>
  <c r="U34"/>
  <c r="N21"/>
  <c r="O49"/>
  <c r="J22"/>
  <c r="T34"/>
  <c r="S87"/>
  <c r="W85"/>
  <c r="T109"/>
  <c r="T65"/>
  <c r="M40"/>
  <c r="Y53"/>
  <c r="V40"/>
  <c r="T87"/>
  <c r="D44" i="4"/>
  <c r="D132"/>
  <c r="V84" i="7"/>
  <c r="U132"/>
  <c r="Z52"/>
  <c r="Q11"/>
  <c r="O92"/>
  <c r="L26"/>
  <c r="W39"/>
  <c r="N26"/>
  <c r="T18"/>
  <c r="I67"/>
  <c r="Y43"/>
  <c r="I52"/>
  <c r="R29"/>
  <c r="V91"/>
  <c r="V116"/>
  <c r="Y130"/>
  <c r="O11"/>
  <c r="P56"/>
  <c r="Y34"/>
  <c r="S51"/>
  <c r="T106"/>
  <c r="M117"/>
  <c r="P52"/>
  <c r="R72"/>
  <c r="D98" i="4"/>
  <c r="X88" i="7"/>
  <c r="O138"/>
  <c r="Q30"/>
  <c r="P101"/>
  <c r="R44"/>
  <c r="O42"/>
  <c r="P94"/>
  <c r="T128"/>
  <c r="V128"/>
  <c r="S12"/>
  <c r="K80"/>
  <c r="Q17"/>
  <c r="M78"/>
  <c r="S49"/>
  <c r="V131"/>
  <c r="R103"/>
  <c r="P136"/>
  <c r="W70"/>
  <c r="I14"/>
  <c r="P77"/>
  <c r="Y28"/>
  <c r="L155"/>
  <c r="L42"/>
  <c r="P46"/>
  <c r="N42"/>
  <c r="D65" i="4"/>
  <c r="I83" i="7"/>
  <c r="Y11"/>
  <c r="K83"/>
  <c r="O44"/>
  <c r="R126"/>
  <c r="V100"/>
  <c r="T133"/>
  <c r="S65"/>
  <c r="M16"/>
  <c r="X71"/>
  <c r="R30"/>
  <c r="L32"/>
  <c r="W27"/>
  <c r="N32"/>
  <c r="D86" i="4"/>
  <c r="O66" i="7"/>
  <c r="O75"/>
  <c r="X98"/>
  <c r="U75"/>
  <c r="K51"/>
  <c r="R75"/>
  <c r="Z29"/>
  <c r="P66"/>
  <c r="N85"/>
  <c r="D167" i="4"/>
  <c r="D165"/>
  <c r="Q23" i="7"/>
  <c r="J35"/>
  <c r="S22"/>
  <c r="L35"/>
  <c r="D22" i="4"/>
  <c r="O58" i="7"/>
  <c r="S72"/>
  <c r="P95"/>
  <c r="Q70"/>
  <c r="I54"/>
  <c r="Z69"/>
  <c r="R27"/>
  <c r="V127"/>
  <c r="Z95"/>
  <c r="R96"/>
  <c r="D129" i="4"/>
  <c r="K48" i="7"/>
  <c r="R81"/>
  <c r="M14"/>
  <c r="Q28"/>
  <c r="W131"/>
  <c r="R135"/>
  <c r="Q104"/>
  <c r="Z126"/>
  <c r="D96" i="4"/>
  <c r="D94"/>
  <c r="R74" i="7"/>
  <c r="L123"/>
  <c r="L10"/>
  <c r="Z24"/>
  <c r="N10"/>
  <c r="W18"/>
  <c r="I51"/>
  <c r="Z75"/>
  <c r="I20"/>
  <c r="Y22"/>
  <c r="S126"/>
  <c r="V132"/>
  <c r="U101"/>
  <c r="V121"/>
  <c r="D64" i="4"/>
  <c r="D62"/>
  <c r="S77" i="7"/>
  <c r="O133"/>
  <c r="S68"/>
  <c r="O95"/>
  <c r="Y60"/>
  <c r="O41"/>
  <c r="J26"/>
  <c r="P21"/>
  <c r="V73"/>
  <c r="S79"/>
  <c r="P103"/>
  <c r="L99"/>
  <c r="I29"/>
  <c r="D192" i="4"/>
  <c r="D95"/>
  <c r="D93"/>
  <c r="V37" i="7"/>
  <c r="V49"/>
  <c r="X153"/>
  <c r="S119"/>
  <c r="Q152"/>
  <c r="W137"/>
  <c r="V51"/>
  <c r="S23"/>
  <c r="X89"/>
  <c r="I139"/>
  <c r="M47"/>
  <c r="V82"/>
  <c r="K13"/>
  <c r="U29"/>
  <c r="D63" i="4"/>
  <c r="D61"/>
  <c r="Z26" i="7"/>
  <c r="Q76"/>
  <c r="T148"/>
  <c r="W116"/>
  <c r="U149"/>
  <c r="S132"/>
  <c r="S48"/>
  <c r="W20"/>
  <c r="S83"/>
  <c r="P107"/>
  <c r="R107"/>
  <c r="I40"/>
  <c r="L16"/>
  <c r="Z12"/>
  <c r="N16"/>
  <c r="P45"/>
  <c r="U90"/>
  <c r="O91"/>
  <c r="X114"/>
  <c r="P76"/>
  <c r="K35"/>
  <c r="U64"/>
  <c r="Z45"/>
  <c r="S55"/>
  <c r="N69"/>
  <c r="D140" i="4"/>
  <c r="D138"/>
  <c r="R87" i="7"/>
  <c r="J19"/>
  <c r="R52"/>
  <c r="L19"/>
  <c r="X39"/>
  <c r="W92"/>
  <c r="S88"/>
  <c r="P112"/>
  <c r="X70"/>
  <c r="I38"/>
  <c r="Q59"/>
  <c r="P30"/>
  <c r="V77"/>
  <c r="T23"/>
  <c r="P23"/>
  <c r="T54"/>
  <c r="U61"/>
  <c r="P50"/>
  <c r="S151"/>
  <c r="V75"/>
  <c r="M72"/>
  <c r="U32"/>
  <c r="V8"/>
  <c r="U53"/>
  <c r="I107"/>
  <c r="M15"/>
  <c r="X73"/>
  <c r="O23"/>
  <c r="Y50"/>
  <c r="P18"/>
  <c r="X17"/>
  <c r="Y73"/>
  <c r="O62"/>
  <c r="O7"/>
  <c r="W148"/>
  <c r="R70"/>
  <c r="K75"/>
  <c r="Q27"/>
  <c r="V50"/>
  <c r="R106"/>
  <c r="P139"/>
  <c r="R139"/>
  <c r="U12"/>
  <c r="M69"/>
  <c r="U38"/>
  <c r="K57"/>
  <c r="Z23"/>
  <c r="Z152"/>
  <c r="Z113"/>
  <c r="X146"/>
  <c r="Q81"/>
  <c r="D59" i="4"/>
  <c r="D57"/>
  <c r="Y40" i="7"/>
  <c r="N144"/>
  <c r="N31"/>
  <c r="O29"/>
  <c r="J32"/>
  <c r="D102" i="4"/>
  <c r="K72" i="7"/>
  <c r="J30"/>
  <c r="S71"/>
  <c r="T101"/>
  <c r="M48"/>
  <c r="V32"/>
  <c r="Y101"/>
  <c r="Y134"/>
  <c r="X62"/>
  <c r="Z100"/>
  <c r="Z133"/>
  <c r="R124"/>
  <c r="K15"/>
  <c r="T74"/>
  <c r="U27"/>
  <c r="T102"/>
  <c r="Z147"/>
  <c r="U93"/>
  <c r="R148"/>
  <c r="U103"/>
  <c r="V79"/>
  <c r="W103"/>
  <c r="U136"/>
  <c r="W136"/>
  <c r="K7"/>
  <c r="T98"/>
  <c r="V41"/>
  <c r="W40"/>
  <c r="O84"/>
  <c r="D42" i="4"/>
  <c r="Q49" i="7"/>
  <c r="V34"/>
  <c r="R119"/>
  <c r="X92"/>
  <c r="D121" i="4"/>
  <c r="L139" i="7"/>
  <c r="I69"/>
  <c r="Y39"/>
  <c r="I56"/>
  <c r="R25"/>
  <c r="K24"/>
  <c r="T56"/>
  <c r="X26"/>
  <c r="R76"/>
  <c r="X105"/>
  <c r="V93"/>
  <c r="Q128"/>
  <c r="W101"/>
  <c r="P44"/>
  <c r="X37"/>
  <c r="T49"/>
  <c r="Q84"/>
  <c r="U84"/>
  <c r="N18"/>
  <c r="N37"/>
  <c r="O17"/>
  <c r="J38"/>
  <c r="D177" i="4"/>
  <c r="W52" i="7"/>
  <c r="W69"/>
  <c r="S96"/>
  <c r="Y64"/>
  <c r="M56"/>
  <c r="V64"/>
  <c r="V24"/>
  <c r="T55"/>
  <c r="J91"/>
  <c r="D103" i="4"/>
  <c r="D101"/>
  <c r="R40" i="7"/>
  <c r="L40"/>
  <c r="W11"/>
  <c r="N40"/>
  <c r="D113" i="4"/>
  <c r="X84" i="7"/>
  <c r="O67"/>
  <c r="W93"/>
  <c r="Q58"/>
  <c r="K59"/>
  <c r="R59"/>
  <c r="D7" i="4"/>
  <c r="Z19" i="7"/>
  <c r="D4" i="4"/>
  <c r="D2"/>
  <c r="Y41" i="7"/>
  <c r="X72"/>
  <c r="Q111"/>
  <c r="O130"/>
  <c r="U146"/>
  <c r="Y82"/>
  <c r="R28"/>
  <c r="O34"/>
  <c r="O72"/>
  <c r="K128"/>
  <c r="I37"/>
  <c r="Q61"/>
  <c r="D154" i="4"/>
  <c r="V47" i="7"/>
  <c r="D191" i="4"/>
  <c r="D189"/>
  <c r="Q31" i="7"/>
  <c r="T67"/>
  <c r="Y105"/>
  <c r="S127"/>
  <c r="Q141"/>
  <c r="W153"/>
  <c r="Z22"/>
  <c r="S31"/>
  <c r="U82"/>
  <c r="X117"/>
  <c r="Z117"/>
  <c r="D131" i="4"/>
  <c r="I91" i="7"/>
  <c r="R34"/>
  <c r="K91"/>
  <c r="O28"/>
  <c r="R110"/>
  <c r="U95"/>
  <c r="T125"/>
  <c r="S53"/>
  <c r="M24"/>
  <c r="X55"/>
  <c r="Q18"/>
  <c r="S67"/>
  <c r="L56"/>
  <c r="X24"/>
  <c r="T24"/>
  <c r="P57"/>
  <c r="L8"/>
  <c r="Z28"/>
  <c r="N8"/>
  <c r="W22"/>
  <c r="Z104"/>
  <c r="U92"/>
  <c r="X122"/>
  <c r="X90"/>
  <c r="K27"/>
  <c r="U80"/>
  <c r="Q38"/>
  <c r="R154"/>
  <c r="Q123"/>
  <c r="S123"/>
  <c r="Q156"/>
  <c r="D84" i="4"/>
  <c r="D82"/>
  <c r="V68" i="7"/>
  <c r="Y30"/>
  <c r="P58"/>
  <c r="S134"/>
  <c r="J142"/>
  <c r="J29"/>
  <c r="L29"/>
  <c r="I43"/>
  <c r="X47"/>
  <c r="D51" i="4"/>
  <c r="Y38" i="7"/>
  <c r="S142"/>
  <c r="V140"/>
  <c r="U109"/>
  <c r="V137"/>
  <c r="D172" i="4"/>
  <c r="D166"/>
  <c r="Z84" i="7"/>
  <c r="J118"/>
  <c r="K90"/>
  <c r="V35"/>
  <c r="M90"/>
  <c r="S29"/>
  <c r="M45"/>
  <c r="V86"/>
  <c r="K9"/>
  <c r="U33"/>
  <c r="O137"/>
  <c r="Z137"/>
  <c r="Y106"/>
  <c r="R132"/>
  <c r="D128" i="4"/>
  <c r="D126"/>
  <c r="Q89" i="7"/>
  <c r="S138"/>
  <c r="W73"/>
  <c r="T97"/>
  <c r="R88"/>
  <c r="X12"/>
  <c r="T12"/>
  <c r="Q63"/>
  <c r="S56"/>
  <c r="Y145"/>
  <c r="O146"/>
  <c r="Z64"/>
  <c r="I78"/>
  <c r="Y21"/>
  <c r="O50"/>
  <c r="U96"/>
  <c r="K112"/>
  <c r="I21"/>
  <c r="P63"/>
  <c r="P40"/>
  <c r="Z82"/>
  <c r="D184" i="4"/>
  <c r="D178"/>
  <c r="U52" i="7"/>
  <c r="W56"/>
  <c r="Y137"/>
  <c r="S143"/>
  <c r="V59"/>
  <c r="M80"/>
  <c r="U16"/>
  <c r="K50"/>
  <c r="R55"/>
  <c r="I11"/>
  <c r="P83"/>
  <c r="W41"/>
  <c r="Q60"/>
  <c r="T132"/>
  <c r="W108"/>
  <c r="U141"/>
  <c r="W117"/>
  <c r="S32"/>
  <c r="W12"/>
  <c r="T77"/>
  <c r="M149"/>
  <c r="K58"/>
  <c r="R61"/>
  <c r="M34"/>
  <c r="Q8"/>
  <c r="M13"/>
  <c r="X77"/>
  <c r="O31"/>
  <c r="Y54"/>
  <c r="P127"/>
  <c r="O106"/>
  <c r="Y138"/>
  <c r="W113"/>
  <c r="O27"/>
  <c r="O10"/>
  <c r="W72"/>
  <c r="X95"/>
  <c r="P96"/>
  <c r="M82"/>
  <c r="J27"/>
  <c r="S38"/>
  <c r="L27"/>
  <c r="X15"/>
  <c r="W76"/>
  <c r="S80"/>
  <c r="P104"/>
  <c r="X54"/>
  <c r="I46"/>
  <c r="Z85"/>
  <c r="R35"/>
  <c r="X76"/>
  <c r="L80"/>
  <c r="D12" i="4"/>
  <c r="D10"/>
  <c r="U44" i="7"/>
  <c r="N29"/>
  <c r="Y75"/>
  <c r="V65"/>
  <c r="Z153"/>
  <c r="V95"/>
  <c r="T32"/>
  <c r="S154"/>
  <c r="T113"/>
  <c r="U129"/>
  <c r="X82"/>
  <c r="W57"/>
  <c r="V83"/>
  <c r="I58"/>
  <c r="Z61"/>
  <c r="R23"/>
  <c r="V133"/>
  <c r="S66"/>
  <c r="Y111"/>
  <c r="Y144"/>
  <c r="O156"/>
  <c r="Q130"/>
  <c r="Z124"/>
  <c r="R7"/>
  <c r="T7"/>
  <c r="Y126"/>
  <c r="S100"/>
  <c r="T41"/>
  <c r="T36"/>
  <c r="Y76"/>
  <c r="T47"/>
  <c r="P122"/>
  <c r="W138"/>
  <c r="O85"/>
  <c r="Q125"/>
  <c r="O98"/>
  <c r="S104"/>
  <c r="T40"/>
  <c r="N96"/>
  <c r="D130" i="4"/>
  <c r="W140" i="7"/>
  <c r="W44"/>
  <c r="K26"/>
  <c r="X18"/>
  <c r="D100" i="4"/>
  <c r="Z73" i="7"/>
  <c r="Q127"/>
  <c r="T149"/>
  <c r="Y91"/>
  <c r="D91" i="4"/>
  <c r="D89"/>
  <c r="T61" i="7"/>
  <c r="O117"/>
  <c r="T90"/>
  <c r="O150"/>
  <c r="U45"/>
  <c r="D159" i="4"/>
  <c r="D157"/>
  <c r="U20" i="7"/>
  <c r="P62"/>
  <c r="U100"/>
  <c r="W124"/>
  <c r="Q7"/>
  <c r="S148"/>
  <c r="V17"/>
  <c r="W28"/>
  <c r="S61"/>
  <c r="M133"/>
  <c r="K42"/>
  <c r="T50"/>
  <c r="D67" i="4"/>
  <c r="Q40" i="7"/>
  <c r="D127" i="4"/>
  <c r="D125"/>
  <c r="Y9" i="7"/>
  <c r="X56"/>
  <c r="R93"/>
  <c r="O122"/>
  <c r="Y154"/>
  <c r="O143"/>
  <c r="R12"/>
  <c r="I93"/>
  <c r="K61"/>
  <c r="K32"/>
  <c r="U70"/>
  <c r="D88" i="4"/>
  <c r="R60" i="7"/>
  <c r="Q92"/>
  <c r="R151"/>
  <c r="Q120"/>
  <c r="P7"/>
  <c r="P28"/>
  <c r="X27"/>
  <c r="U63"/>
  <c r="L107"/>
  <c r="M79"/>
  <c r="U18"/>
  <c r="K77"/>
  <c r="V46"/>
  <c r="I35"/>
  <c r="Q65"/>
  <c r="D24" i="4"/>
  <c r="Z54" i="7"/>
  <c r="U81"/>
  <c r="V148"/>
  <c r="U117"/>
  <c r="R152"/>
  <c r="X22"/>
  <c r="T22"/>
  <c r="Q80"/>
  <c r="O149"/>
  <c r="S84"/>
  <c r="P108"/>
  <c r="L48"/>
  <c r="P34"/>
  <c r="N48"/>
  <c r="X75"/>
  <c r="X52"/>
  <c r="O59"/>
  <c r="W156"/>
  <c r="R86"/>
  <c r="K67"/>
  <c r="Q43"/>
  <c r="Z13"/>
  <c r="Q64"/>
  <c r="M101"/>
  <c r="K10"/>
  <c r="T84"/>
  <c r="S44"/>
  <c r="L52"/>
  <c r="X28"/>
  <c r="T28"/>
  <c r="P65"/>
  <c r="Q72"/>
  <c r="W55"/>
  <c r="O154"/>
  <c r="Z80"/>
  <c r="I70"/>
  <c r="Y37"/>
  <c r="R11"/>
  <c r="V111"/>
  <c r="T144"/>
  <c r="V144"/>
  <c r="U113"/>
  <c r="M25"/>
  <c r="X53"/>
  <c r="T21"/>
  <c r="V26"/>
  <c r="P86"/>
  <c r="V155"/>
  <c r="U124"/>
  <c r="N77"/>
  <c r="Q77"/>
  <c r="M85"/>
  <c r="Z44"/>
  <c r="I86"/>
  <c r="W38"/>
  <c r="Z120"/>
  <c r="Z97"/>
  <c r="X130"/>
  <c r="W58"/>
  <c r="K19"/>
  <c r="T66"/>
  <c r="U23"/>
  <c r="L53"/>
  <c r="N47"/>
  <c r="T35"/>
  <c r="J48"/>
  <c r="T78"/>
  <c r="K88"/>
  <c r="V39"/>
  <c r="M88"/>
  <c r="S33"/>
  <c r="V115"/>
  <c r="T93"/>
  <c r="P128"/>
  <c r="X48"/>
  <c r="I22"/>
  <c r="P61"/>
  <c r="Y48"/>
  <c r="R94"/>
  <c r="U128"/>
  <c r="W128"/>
  <c r="R41"/>
  <c r="K16"/>
  <c r="T72"/>
  <c r="S20"/>
  <c r="T48"/>
  <c r="X121"/>
  <c r="S103"/>
  <c r="Q136"/>
  <c r="W109"/>
  <c r="W21"/>
  <c r="X45"/>
  <c r="X66"/>
  <c r="I155"/>
  <c r="M63"/>
  <c r="U50"/>
  <c r="K45"/>
  <c r="Z35"/>
  <c r="I19"/>
  <c r="P67"/>
  <c r="W9"/>
  <c r="Z86"/>
  <c r="T116"/>
  <c r="W100"/>
  <c r="U133"/>
  <c r="O107"/>
  <c r="S16"/>
  <c r="P43"/>
  <c r="X29"/>
  <c r="M53"/>
  <c r="V70"/>
  <c r="K25"/>
  <c r="U17"/>
  <c r="O121"/>
  <c r="Z129"/>
  <c r="Y98"/>
  <c r="R116"/>
  <c r="D32" i="4"/>
  <c r="D30"/>
  <c r="V63" i="7"/>
  <c r="N128"/>
  <c r="N15"/>
  <c r="R14"/>
  <c r="J16"/>
  <c r="O8"/>
  <c r="K56"/>
  <c r="R65"/>
  <c r="M30"/>
  <c r="Q12"/>
  <c r="W115"/>
  <c r="R127"/>
  <c r="R95"/>
  <c r="Z110"/>
  <c r="D190" i="4"/>
  <c r="D188"/>
  <c r="S57" i="7"/>
  <c r="W127"/>
  <c r="O63"/>
  <c r="Q86"/>
  <c r="Z66"/>
  <c r="D68" i="4"/>
  <c r="D66"/>
  <c r="R63" i="7"/>
  <c r="T83"/>
  <c r="Y121"/>
  <c r="S135"/>
  <c r="U156"/>
  <c r="X91"/>
  <c r="Z38"/>
  <c r="S39"/>
  <c r="S81"/>
  <c r="I123"/>
  <c r="M31"/>
  <c r="Y71"/>
  <c r="D104" i="4"/>
  <c r="V61" i="7"/>
  <c r="O33"/>
  <c r="D150" i="4"/>
  <c r="W77" i="7"/>
  <c r="U79"/>
  <c r="V80"/>
  <c r="Z132"/>
  <c r="O102"/>
  <c r="R144"/>
  <c r="S47"/>
  <c r="X133"/>
  <c r="Y102"/>
  <c r="W145"/>
  <c r="Z14"/>
  <c r="S27"/>
  <c r="O60"/>
  <c r="W129"/>
  <c r="Y132"/>
  <c r="T123"/>
  <c r="V134"/>
  <c r="W130"/>
  <c r="S91"/>
  <c r="P115"/>
  <c r="R115"/>
  <c r="P148"/>
  <c r="U86"/>
  <c r="D75" i="4"/>
  <c r="D73"/>
  <c r="Q42" i="7"/>
  <c r="J51"/>
  <c r="K64"/>
  <c r="M46"/>
  <c r="W99"/>
  <c r="P152"/>
  <c r="D123" i="4"/>
  <c r="Q46" i="7"/>
  <c r="J75"/>
  <c r="D76" i="4"/>
  <c r="D74"/>
  <c r="Z65" i="7"/>
  <c r="L24"/>
  <c r="W43"/>
  <c r="N24"/>
  <c r="T26"/>
  <c r="O82"/>
  <c r="O83"/>
  <c r="X106"/>
  <c r="P60"/>
  <c r="K43"/>
  <c r="T46"/>
  <c r="R43"/>
  <c r="R138"/>
  <c r="Q107"/>
  <c r="S107"/>
  <c r="P41"/>
  <c r="M37"/>
  <c r="Y59"/>
  <c r="D179" i="4"/>
  <c r="U49" i="7"/>
  <c r="O153"/>
  <c r="Z145"/>
  <c r="Y114"/>
  <c r="Z146"/>
  <c r="T17"/>
  <c r="P17"/>
  <c r="Q54"/>
  <c r="N112"/>
  <c r="I85"/>
  <c r="R46"/>
  <c r="K85"/>
  <c r="O40"/>
  <c r="K40"/>
  <c r="U54"/>
  <c r="D115" i="4"/>
  <c r="Q44" i="7"/>
  <c r="W147"/>
  <c r="R143"/>
  <c r="Q112"/>
  <c r="V141"/>
  <c r="P12"/>
  <c r="X11"/>
  <c r="D5" i="4"/>
  <c r="I75" i="7"/>
  <c r="Y27"/>
  <c r="I68"/>
  <c r="R13"/>
  <c r="R142"/>
  <c r="V108"/>
  <c r="T141"/>
  <c r="W82"/>
  <c r="M8"/>
  <c r="X87"/>
  <c r="U35"/>
  <c r="J150"/>
  <c r="J37"/>
  <c r="S18"/>
  <c r="L37"/>
  <c r="D3" i="4"/>
  <c r="M77" i="7"/>
  <c r="U22"/>
  <c r="K73"/>
  <c r="V52"/>
  <c r="Z136"/>
  <c r="Z105"/>
  <c r="X138"/>
  <c r="O76"/>
  <c r="K11"/>
  <c r="T82"/>
  <c r="R90"/>
  <c r="S106"/>
  <c r="Q139"/>
  <c r="S139"/>
  <c r="Q24"/>
  <c r="D31" i="4"/>
  <c r="D29"/>
  <c r="R16" i="7"/>
  <c r="Y70"/>
  <c r="P143"/>
  <c r="O114"/>
  <c r="Y146"/>
  <c r="S128"/>
  <c r="O43"/>
  <c r="O18"/>
  <c r="T89"/>
  <c r="K144"/>
  <c r="I53"/>
  <c r="Z71"/>
  <c r="I24"/>
  <c r="Y18"/>
  <c r="K8"/>
  <c r="T88"/>
  <c r="Z49"/>
  <c r="U65"/>
  <c r="X137"/>
  <c r="S111"/>
  <c r="Q144"/>
  <c r="O123"/>
  <c r="W37"/>
  <c r="S15"/>
  <c r="O78"/>
  <c r="X101"/>
  <c r="Z101"/>
  <c r="X134"/>
  <c r="O68"/>
  <c r="Q41"/>
  <c r="M54"/>
  <c r="W30"/>
  <c r="U73"/>
  <c r="Z112"/>
  <c r="X145"/>
  <c r="K120"/>
  <c r="S34"/>
  <c r="J43"/>
  <c r="X44"/>
  <c r="L43"/>
  <c r="D49" i="4"/>
  <c r="P74" i="7"/>
  <c r="S64"/>
  <c r="Y88"/>
  <c r="Y52"/>
  <c r="I62"/>
  <c r="Z53"/>
  <c r="R19"/>
  <c r="Y74"/>
  <c r="K96"/>
  <c r="D39" i="4"/>
  <c r="D37"/>
  <c r="Z18" i="7"/>
  <c r="N45"/>
  <c r="T39"/>
  <c r="J46"/>
  <c r="T86"/>
  <c r="T63"/>
  <c r="W61"/>
  <c r="U83"/>
  <c r="P47"/>
  <c r="M64"/>
  <c r="U48"/>
  <c r="V16"/>
  <c r="Z116"/>
  <c r="X149"/>
  <c r="Z149"/>
  <c r="Q55"/>
  <c r="I59"/>
  <c r="Z59"/>
  <c r="I36"/>
  <c r="R45"/>
  <c r="S110"/>
  <c r="V124"/>
  <c r="U7"/>
  <c r="V105"/>
  <c r="D187" i="4"/>
  <c r="D185"/>
  <c r="R54" i="7"/>
  <c r="J134"/>
  <c r="J21"/>
  <c r="S50"/>
  <c r="L21"/>
  <c r="X35"/>
  <c r="M61"/>
  <c r="V54"/>
  <c r="K41"/>
  <c r="Z39"/>
  <c r="O105"/>
  <c r="Z121"/>
  <c r="X154"/>
  <c r="R100"/>
  <c r="D155" i="4"/>
  <c r="D153"/>
  <c r="R77" i="7"/>
  <c r="J11"/>
  <c r="V23"/>
  <c r="L11"/>
  <c r="S17"/>
  <c r="V99"/>
  <c r="Q87"/>
  <c r="P120"/>
  <c r="T85"/>
  <c r="I30"/>
  <c r="Q75"/>
  <c r="Y12"/>
  <c r="W60"/>
  <c r="L64"/>
  <c r="P14"/>
  <c r="X13"/>
  <c r="Y65"/>
  <c r="N13"/>
  <c r="R18"/>
  <c r="J14"/>
  <c r="O12"/>
  <c r="T91"/>
  <c r="Y81"/>
  <c r="T117"/>
  <c r="T81"/>
  <c r="M32"/>
  <c r="Y69"/>
  <c r="Q26"/>
  <c r="Z148"/>
  <c r="Y117"/>
  <c r="O118"/>
  <c r="S45"/>
  <c r="I27"/>
  <c r="R48"/>
  <c r="P16"/>
  <c r="Z70"/>
  <c r="T100"/>
  <c r="V156"/>
  <c r="U125"/>
  <c r="O99"/>
  <c r="X38"/>
  <c r="P35"/>
  <c r="Q74"/>
  <c r="J102"/>
  <c r="K74"/>
  <c r="Q29"/>
  <c r="M66"/>
  <c r="V14"/>
  <c r="M29"/>
  <c r="D152" i="4"/>
  <c r="P93" i="7"/>
  <c r="Y122"/>
  <c r="T33"/>
  <c r="T71"/>
  <c r="W89"/>
  <c r="T73"/>
  <c r="W97"/>
  <c r="S122"/>
  <c r="S155"/>
  <c r="U51"/>
  <c r="X14"/>
  <c r="T14"/>
  <c r="X49"/>
  <c r="Y123"/>
  <c r="X93"/>
  <c r="O112"/>
  <c r="Q137"/>
  <c r="Q109"/>
  <c r="U69"/>
  <c r="S146"/>
  <c r="W81"/>
  <c r="T105"/>
  <c r="T57"/>
  <c r="M44"/>
  <c r="V88"/>
  <c r="V36"/>
  <c r="S116"/>
  <c r="Q91"/>
  <c r="U138"/>
  <c r="Q106"/>
  <c r="X108"/>
  <c r="W146"/>
  <c r="Z72"/>
  <c r="M20"/>
  <c r="X63"/>
  <c r="Q22"/>
  <c r="O96"/>
  <c r="R137"/>
  <c r="O89"/>
  <c r="V125"/>
  <c r="X156"/>
  <c r="R58"/>
  <c r="S98"/>
  <c r="Q131"/>
  <c r="S131"/>
  <c r="Q149"/>
  <c r="Q88"/>
  <c r="Z30"/>
  <c r="S35"/>
  <c r="W74"/>
  <c r="Y90"/>
  <c r="Q155"/>
  <c r="T139"/>
  <c r="V150"/>
  <c r="Q96"/>
  <c r="Y141"/>
  <c r="O65"/>
  <c r="J7"/>
  <c r="R129"/>
  <c r="U98"/>
  <c r="Z21"/>
  <c r="P155"/>
  <c r="Q124"/>
  <c r="W94"/>
  <c r="R36"/>
  <c r="O38"/>
  <c r="O80"/>
  <c r="X99"/>
  <c r="X111"/>
  <c r="P117"/>
  <c r="S97"/>
  <c r="U97"/>
  <c r="Z48"/>
  <c r="Z122"/>
  <c r="Q101"/>
  <c r="O135"/>
  <c r="O22"/>
  <c r="V153"/>
  <c r="X112"/>
  <c r="S109"/>
  <c r="X109"/>
  <c r="X142"/>
  <c r="D11" i="4"/>
  <c r="Y36" i="7"/>
  <c r="O100"/>
  <c r="S136"/>
  <c r="P126"/>
  <c r="Z99"/>
  <c r="O81"/>
  <c r="R122"/>
  <c r="T129"/>
  <c r="D41" i="4"/>
  <c r="X123" i="7"/>
  <c r="T110"/>
  <c r="Z103"/>
  <c r="Z17"/>
  <c r="Q134"/>
  <c r="Y152"/>
  <c r="T152"/>
  <c r="U121"/>
  <c r="X30"/>
  <c r="Q66"/>
  <c r="T111"/>
  <c r="W71"/>
  <c r="U147"/>
  <c r="X132"/>
  <c r="X104"/>
  <c r="W143"/>
  <c r="O55"/>
  <c r="X33"/>
  <c r="Y149"/>
  <c r="Z111"/>
  <c r="O147"/>
  <c r="U151"/>
  <c r="Z46"/>
  <c r="S114"/>
  <c r="U154"/>
  <c r="S147"/>
  <c r="V67"/>
  <c r="M76"/>
  <c r="U24"/>
  <c r="Z47"/>
  <c r="T95"/>
  <c r="P153"/>
  <c r="T138"/>
  <c r="U107"/>
  <c r="W118"/>
  <c r="R125"/>
  <c r="Y118"/>
  <c r="M52"/>
  <c r="V72"/>
  <c r="V28"/>
  <c r="V145"/>
  <c r="S82"/>
  <c r="U122"/>
  <c r="U155"/>
  <c r="W95"/>
  <c r="M7"/>
  <c r="R130"/>
  <c r="Q99"/>
  <c r="S99"/>
  <c r="Q132"/>
  <c r="W105"/>
  <c r="W13"/>
  <c r="X41"/>
  <c r="X58"/>
  <c r="W63"/>
  <c r="S149"/>
  <c r="V114"/>
  <c r="P110"/>
  <c r="Y143"/>
  <c r="U72"/>
  <c r="S144"/>
  <c r="W67"/>
  <c r="O124"/>
  <c r="S75"/>
  <c r="R99"/>
  <c r="U55"/>
  <c r="V56"/>
  <c r="R128"/>
  <c r="V96"/>
  <c r="N7"/>
  <c r="M62"/>
  <c r="V147"/>
  <c r="P144"/>
  <c r="D27" i="4"/>
  <c r="Y68" i="7"/>
  <c r="U148"/>
  <c r="R62"/>
  <c r="Q95"/>
  <c r="V143"/>
  <c r="W112"/>
  <c r="Q108"/>
  <c r="D171" i="4"/>
  <c r="D169"/>
  <c r="R50" i="7"/>
  <c r="P145"/>
  <c r="W126"/>
  <c r="R133"/>
  <c r="X115"/>
  <c r="X119"/>
  <c r="O52"/>
  <c r="O125"/>
  <c r="S60"/>
  <c r="Y80"/>
  <c r="Z88"/>
  <c r="I66"/>
  <c r="Y45"/>
  <c r="R15"/>
  <c r="V117"/>
  <c r="Y131"/>
  <c r="V94"/>
  <c r="Y128"/>
  <c r="O140"/>
  <c r="V146"/>
  <c r="Q140"/>
  <c r="I42"/>
  <c r="Q51"/>
  <c r="R39"/>
  <c r="W121"/>
  <c r="P92"/>
  <c r="Q147"/>
  <c r="Y116"/>
  <c r="P114"/>
  <c r="Q10"/>
  <c r="Z140"/>
  <c r="Y109"/>
  <c r="O110"/>
  <c r="Y142"/>
  <c r="S120"/>
  <c r="O35"/>
  <c r="O14"/>
  <c r="P80"/>
  <c r="R120"/>
  <c r="P154"/>
  <c r="T96"/>
  <c r="Z107"/>
  <c r="W59"/>
  <c r="Y140"/>
  <c r="L7"/>
  <c r="X127"/>
  <c r="Y85"/>
  <c r="Q126"/>
  <c r="O26"/>
  <c r="T112"/>
  <c r="T145"/>
  <c r="S108"/>
  <c r="S40"/>
  <c r="W16"/>
  <c r="X86"/>
  <c r="Z130"/>
  <c r="Z93"/>
  <c r="P102"/>
  <c r="R113"/>
  <c r="R141"/>
  <c r="W80"/>
  <c r="T104"/>
  <c r="V104"/>
  <c r="T137"/>
  <c r="S73"/>
  <c r="M12"/>
  <c r="X79"/>
  <c r="U31"/>
  <c r="X107"/>
  <c r="R153"/>
  <c r="X94"/>
  <c r="O111"/>
  <c r="Y103"/>
  <c r="W78"/>
  <c r="D14" i="4"/>
  <c r="X155" i="7"/>
  <c r="Z143"/>
  <c r="Q110"/>
  <c r="X141"/>
  <c r="U153"/>
  <c r="V9"/>
  <c r="S52"/>
  <c r="U126"/>
  <c r="Q150"/>
  <c r="P140"/>
  <c r="V101"/>
  <c r="Y112"/>
  <c r="W65"/>
  <c r="P69"/>
  <c r="U119"/>
  <c r="P129"/>
  <c r="R117"/>
  <c r="Q145"/>
  <c r="V113"/>
  <c r="D142" i="4"/>
  <c r="Q113" i="7"/>
  <c r="S101"/>
  <c r="X151"/>
  <c r="O141"/>
  <c r="P100"/>
  <c r="I50"/>
  <c r="R31"/>
  <c r="W87"/>
  <c r="U142"/>
  <c r="W114"/>
  <c r="Y120"/>
  <c r="Q98"/>
  <c r="Y58"/>
  <c r="T51"/>
  <c r="R83"/>
  <c r="R156"/>
  <c r="Q133"/>
  <c r="U152"/>
  <c r="T103"/>
  <c r="Z37"/>
  <c r="V135"/>
  <c r="U104"/>
  <c r="W104"/>
  <c r="U137"/>
  <c r="S112"/>
  <c r="S24"/>
  <c r="W8"/>
  <c r="T69"/>
  <c r="S74"/>
  <c r="T143"/>
  <c r="Y84"/>
  <c r="R97"/>
  <c r="Q153"/>
  <c r="Y147"/>
  <c r="S156"/>
  <c r="V25"/>
  <c r="W32"/>
  <c r="S69"/>
  <c r="S152"/>
  <c r="Y156"/>
  <c r="P134"/>
  <c r="R145"/>
  <c r="O152"/>
  <c r="Y87"/>
  <c r="T120"/>
  <c r="V120"/>
  <c r="T153"/>
  <c r="V97"/>
  <c r="D139" i="4"/>
  <c r="D137"/>
  <c r="U47" i="7"/>
  <c r="X139"/>
  <c r="U106"/>
  <c r="T114"/>
  <c r="O97"/>
  <c r="W98"/>
  <c r="W29"/>
  <c r="X74"/>
  <c r="X148"/>
  <c r="P137"/>
  <c r="Y32"/>
  <c r="U120"/>
  <c r="Y110"/>
  <c r="T9"/>
  <c r="V87"/>
  <c r="Z127"/>
  <c r="X7"/>
  <c r="D34" i="4"/>
  <c r="P78" i="7"/>
  <c r="W132"/>
  <c r="S93"/>
  <c r="W36"/>
  <c r="P123"/>
  <c r="P156"/>
  <c r="Q50"/>
  <c r="W64"/>
  <c r="Q94"/>
  <c r="W50"/>
  <c r="M36"/>
  <c r="Y61"/>
  <c r="V44"/>
  <c r="W133"/>
  <c r="R105"/>
  <c r="O57"/>
  <c r="U135"/>
  <c r="X124"/>
  <c r="Y20"/>
  <c r="R146"/>
  <c r="Q115"/>
  <c r="S115"/>
  <c r="Q148"/>
  <c r="O131"/>
  <c r="W45"/>
  <c r="S19"/>
  <c r="P48"/>
  <c r="Z142"/>
  <c r="Y100"/>
  <c r="T107"/>
  <c r="V118"/>
  <c r="S70"/>
  <c r="X118"/>
  <c r="X103"/>
  <c r="U8"/>
  <c r="S43"/>
  <c r="S89"/>
  <c r="P121"/>
  <c r="T122"/>
  <c r="T155"/>
  <c r="W102"/>
  <c r="T131"/>
  <c r="R98"/>
  <c r="P131"/>
  <c r="R131"/>
  <c r="Q100"/>
  <c r="Z118"/>
  <c r="D48" i="4"/>
  <c r="D46"/>
  <c r="R66" i="7"/>
  <c r="Q97"/>
  <c r="W142"/>
  <c r="R149"/>
  <c r="X147"/>
  <c r="X135"/>
  <c r="Y104"/>
  <c r="S125"/>
  <c r="S121"/>
  <c r="R136"/>
  <c r="Y7"/>
  <c r="V130"/>
  <c r="O101"/>
  <c r="O134"/>
  <c r="Y150"/>
  <c r="D80" i="4"/>
  <c r="D78"/>
  <c r="V71" i="7"/>
  <c r="U102"/>
  <c r="O148"/>
  <c r="V154"/>
  <c r="Z91"/>
  <c r="P141"/>
  <c r="W86"/>
  <c r="W135"/>
  <c r="O71"/>
  <c r="T92"/>
  <c r="U67"/>
  <c r="K55"/>
  <c r="R67"/>
  <c r="Z25"/>
  <c r="Z138"/>
  <c r="O77"/>
  <c r="Q117"/>
  <c r="Y155"/>
  <c r="I74"/>
  <c r="X143"/>
  <c r="S130"/>
  <c r="I18"/>
  <c r="P149"/>
  <c r="Z135"/>
  <c r="S141"/>
  <c r="W150"/>
  <c r="Z68"/>
  <c r="Y153"/>
  <c r="U40"/>
  <c r="R112"/>
  <c r="Q121"/>
  <c r="U123"/>
  <c r="W134"/>
  <c r="R114"/>
  <c r="R147"/>
  <c r="V149"/>
  <c r="X19"/>
  <c r="Q129"/>
  <c r="X100"/>
  <c r="W91"/>
  <c r="T130"/>
  <c r="P97"/>
  <c r="P142"/>
  <c r="R47"/>
  <c r="W54"/>
  <c r="Y108"/>
  <c r="Z123"/>
  <c r="O86"/>
  <c r="Z109"/>
  <c r="S85"/>
  <c r="D9" i="4"/>
  <c r="T118" i="7"/>
  <c r="V106"/>
  <c r="Q138"/>
  <c r="Q142"/>
  <c r="U139"/>
  <c r="U115"/>
  <c r="R155"/>
  <c r="D43" i="4"/>
  <c r="U39" i="7"/>
  <c r="S105"/>
  <c r="P150"/>
  <c r="K63"/>
  <c r="U144"/>
  <c r="S145"/>
  <c r="V119"/>
  <c r="V152"/>
  <c r="Z92"/>
  <c r="T30"/>
  <c r="Y139"/>
  <c r="O128"/>
  <c r="U114"/>
  <c r="X136"/>
  <c r="P105"/>
  <c r="Y148"/>
  <c r="X102"/>
  <c r="P36"/>
  <c r="U71"/>
  <c r="X116"/>
  <c r="X144"/>
  <c r="Z155"/>
  <c r="T99"/>
  <c r="Y95"/>
  <c r="X125"/>
  <c r="Z125"/>
  <c r="V92"/>
  <c r="R108"/>
  <c r="D168" i="4"/>
  <c r="D164"/>
  <c r="V55" i="7"/>
  <c r="T150"/>
  <c r="O132"/>
  <c r="V138"/>
  <c r="T126"/>
  <c r="P125"/>
  <c r="Y119"/>
  <c r="Z154"/>
  <c r="T25"/>
  <c r="P25"/>
  <c r="Q62"/>
  <c r="U134"/>
  <c r="P106"/>
  <c r="W122"/>
  <c r="O61"/>
  <c r="U130"/>
  <c r="X60"/>
  <c r="W151"/>
  <c r="O87"/>
  <c r="X110"/>
  <c r="P68"/>
  <c r="K39"/>
  <c r="U56"/>
  <c r="Z41"/>
  <c r="O127"/>
  <c r="Y92"/>
  <c r="O108"/>
  <c r="Z151"/>
  <c r="O104"/>
  <c r="K31"/>
  <c r="U11"/>
  <c r="Z115"/>
  <c r="Q154"/>
  <c r="Z119"/>
  <c r="P99"/>
  <c r="U91"/>
  <c r="M60"/>
  <c r="V20"/>
  <c r="V142"/>
  <c r="O136"/>
  <c r="Q33"/>
  <c r="V18"/>
  <c r="R111"/>
  <c r="O88"/>
  <c r="D25" i="4"/>
  <c r="W111" i="7"/>
  <c r="W144"/>
  <c r="X150"/>
  <c r="U15"/>
  <c r="U112"/>
  <c r="U145"/>
  <c r="K79"/>
  <c r="Q19"/>
  <c r="W48"/>
  <c r="Y93"/>
  <c r="T142"/>
  <c r="P133"/>
  <c r="Q102"/>
  <c r="S113"/>
  <c r="X152"/>
  <c r="V103"/>
  <c r="T136"/>
  <c r="V136"/>
  <c r="U105"/>
  <c r="V129"/>
  <c r="D112" i="4"/>
  <c r="D110"/>
  <c r="Z76" i="7"/>
  <c r="Y107"/>
  <c r="S153"/>
  <c r="Z94"/>
  <c r="Q105"/>
  <c r="T146"/>
  <c r="U88"/>
  <c r="O103"/>
  <c r="S8"/>
  <c r="P39"/>
  <c r="T53"/>
  <c r="S58"/>
  <c r="T127"/>
  <c r="O144"/>
  <c r="S90"/>
  <c r="S86"/>
  <c r="W53"/>
  <c r="U89"/>
  <c r="Y89"/>
  <c r="T121"/>
  <c r="P88"/>
  <c r="M28"/>
  <c r="Y77"/>
  <c r="Q14"/>
  <c r="W149"/>
  <c r="R121"/>
  <c r="O73"/>
  <c r="U150"/>
  <c r="X140"/>
  <c r="Z7"/>
  <c r="X120"/>
  <c r="X131"/>
  <c r="P118"/>
  <c r="W7"/>
  <c r="U111"/>
  <c r="W88"/>
  <c r="V112"/>
  <c r="W90"/>
  <c r="I26"/>
  <c r="P53"/>
  <c r="Y16"/>
  <c r="O155"/>
  <c r="V126"/>
  <c r="S78"/>
  <c r="R104"/>
  <c r="P146"/>
  <c r="U43"/>
  <c r="Z156"/>
  <c r="Y125"/>
  <c r="O126"/>
  <c r="I7"/>
  <c r="O151"/>
  <c r="R20"/>
  <c r="O30"/>
  <c r="O64"/>
  <c r="W141"/>
  <c r="U143"/>
  <c r="X128"/>
  <c r="Z139"/>
  <c r="Y136"/>
  <c r="D16" i="4"/>
  <c r="Z60" i="7"/>
  <c r="S137"/>
  <c r="V102"/>
  <c r="Z108"/>
  <c r="W120"/>
  <c r="S140"/>
  <c r="W24"/>
  <c r="O119"/>
  <c r="U99"/>
  <c r="U87"/>
  <c r="Y29"/>
  <c r="Y99"/>
  <c r="W66"/>
  <c r="W62"/>
  <c r="Y24"/>
  <c r="Y135"/>
  <c r="W110"/>
  <c r="S7"/>
  <c r="Q122"/>
  <c r="D144" i="4"/>
  <c r="R82" i="7"/>
  <c r="Q82"/>
  <c r="Y115"/>
  <c r="Z98"/>
  <c r="S76"/>
  <c r="Q78"/>
  <c r="Z77"/>
  <c r="Z150"/>
  <c r="Y127"/>
  <c r="P98"/>
  <c r="O120"/>
  <c r="W106"/>
  <c r="Q90"/>
  <c r="O79"/>
  <c r="K47"/>
  <c r="Z33"/>
  <c r="O93"/>
  <c r="S133"/>
  <c r="W79"/>
  <c r="W51"/>
  <c r="P82"/>
  <c r="V7"/>
  <c r="S92"/>
  <c r="P116"/>
  <c r="X78"/>
  <c r="I34"/>
  <c r="Q67"/>
  <c r="Y8"/>
  <c r="O139"/>
  <c r="V110"/>
  <c r="S62"/>
  <c r="Q146"/>
  <c r="P130"/>
  <c r="T115"/>
  <c r="Y72"/>
  <c r="I10"/>
  <c r="P85"/>
  <c r="Q34"/>
  <c r="P113"/>
  <c r="R92"/>
  <c r="R101"/>
  <c r="S124"/>
  <c r="Y124"/>
  <c r="U59"/>
  <c r="O109"/>
  <c r="Q143"/>
  <c r="O142"/>
  <c r="Z56"/>
  <c r="I82"/>
  <c r="Y13"/>
  <c r="O46"/>
  <c r="Y83"/>
  <c r="S54"/>
  <c r="U127"/>
  <c r="T147"/>
  <c r="Q114"/>
  <c r="O115"/>
  <c r="S11"/>
  <c r="V109"/>
  <c r="S94"/>
  <c r="T135"/>
  <c r="V151"/>
  <c r="Z141"/>
  <c r="R140"/>
  <c r="P9"/>
  <c r="U118"/>
  <c r="T119"/>
  <c r="D36" i="4"/>
  <c r="T52" i="7"/>
  <c r="U116"/>
  <c r="Q151"/>
  <c r="V33"/>
  <c r="Q93"/>
  <c r="R123"/>
  <c r="Z102"/>
  <c r="W125"/>
  <c r="O94"/>
  <c r="P124"/>
  <c r="Z134"/>
  <c r="O19"/>
  <c r="T44"/>
  <c r="P64"/>
  <c r="O69"/>
  <c r="P138"/>
  <c r="W154"/>
  <c r="Y94"/>
  <c r="V98"/>
  <c r="O70"/>
  <c r="W96"/>
  <c r="Y96"/>
  <c r="X126"/>
  <c r="O56"/>
  <c r="K23"/>
  <c r="T58"/>
  <c r="U19"/>
  <c r="U85"/>
  <c r="Z131"/>
  <c r="W83"/>
  <c r="Z114"/>
  <c r="T151"/>
  <c r="R91"/>
  <c r="P84"/>
  <c r="D107" i="4"/>
  <c r="D105"/>
  <c r="Y44" i="7"/>
  <c r="T134"/>
  <c r="O116"/>
  <c r="V122"/>
  <c r="T94"/>
  <c r="P109"/>
  <c r="P72"/>
  <c r="W119"/>
  <c r="O53"/>
  <c r="W152"/>
  <c r="R78"/>
  <c r="K71"/>
  <c r="Q35"/>
  <c r="Z9"/>
  <c r="Z106"/>
  <c r="U110"/>
  <c r="Q118"/>
  <c r="S129"/>
  <c r="R109"/>
  <c r="Q83"/>
  <c r="W75"/>
  <c r="Y133"/>
  <c r="M68"/>
  <c r="V12"/>
  <c r="T154"/>
  <c r="U131"/>
  <c r="P147"/>
  <c r="Q116"/>
  <c r="P20"/>
  <c r="Y56"/>
  <c r="S117"/>
  <c r="Z51"/>
  <c r="P132"/>
  <c r="J5"/>
  <c r="R3"/>
  <c r="O3"/>
  <c r="L3"/>
  <c r="X5"/>
  <c r="U5"/>
  <c r="N5"/>
  <c r="Q5"/>
  <c r="M5"/>
  <c r="R5"/>
  <c r="C3"/>
  <c r="S5"/>
  <c r="T5"/>
  <c r="F5"/>
  <c r="I3"/>
  <c r="J3"/>
  <c r="M3"/>
  <c r="Y3"/>
  <c r="O5"/>
  <c r="Q3"/>
  <c r="H3"/>
  <c r="G3"/>
  <c r="T3"/>
  <c r="V3"/>
  <c r="N3"/>
  <c r="Z5"/>
  <c r="U3"/>
  <c r="G5"/>
  <c r="P5"/>
  <c r="K3"/>
  <c r="Y5"/>
  <c r="X3"/>
  <c r="E3"/>
  <c r="C5"/>
  <c r="L5"/>
  <c r="I5"/>
  <c r="F3"/>
  <c r="V5"/>
  <c r="S3"/>
  <c r="Z3"/>
  <c r="D5"/>
  <c r="E5"/>
  <c r="H5"/>
  <c r="D3"/>
  <c r="W5"/>
  <c r="K5"/>
  <c r="P3"/>
  <c r="W3"/>
  <c r="F126" i="23" l="1" a="1"/>
  <c r="F126" s="1"/>
  <c r="G126" s="1"/>
  <c r="B63" a="1"/>
  <c r="B63" s="1"/>
  <c r="C63" s="1"/>
  <c r="D104" a="1"/>
  <c r="D104" s="1"/>
  <c r="E104" s="1"/>
  <c r="F105" a="1"/>
  <c r="F105" s="1"/>
  <c r="G105" s="1"/>
  <c r="D73" a="1"/>
  <c r="D73" s="1"/>
  <c r="E73" s="1"/>
  <c r="D86" a="1"/>
  <c r="D86" s="1"/>
  <c r="E86" s="1"/>
  <c r="F80" a="1"/>
  <c r="F80" s="1"/>
  <c r="G80" s="1"/>
  <c r="F14" a="1"/>
  <c r="F14" s="1"/>
  <c r="G14" s="1"/>
  <c r="D118" a="1"/>
  <c r="D118" s="1"/>
  <c r="E118" s="1"/>
  <c r="F111" a="1"/>
  <c r="F111" s="1"/>
  <c r="G111" s="1"/>
  <c r="F113" a="1"/>
  <c r="F113" s="1"/>
  <c r="G113" s="1"/>
  <c r="D135" a="1"/>
  <c r="D135" s="1"/>
  <c r="E135" s="1"/>
  <c r="F122" a="1"/>
  <c r="F122" s="1"/>
  <c r="G122" s="1"/>
  <c r="F54" a="1"/>
  <c r="F54" s="1"/>
  <c r="G54" s="1"/>
  <c r="D96" a="1"/>
  <c r="D96" s="1"/>
  <c r="E96" s="1"/>
  <c r="D87" a="1"/>
  <c r="D87" s="1"/>
  <c r="E87" s="1"/>
  <c r="D77" a="1"/>
  <c r="D77" s="1"/>
  <c r="E77" s="1"/>
  <c r="F82" a="1"/>
  <c r="F82" s="1"/>
  <c r="G82" s="1"/>
  <c r="F94" a="1"/>
  <c r="F94" s="1"/>
  <c r="G94" s="1"/>
  <c r="F138" a="1"/>
  <c r="F138" s="1"/>
  <c r="G138" s="1"/>
  <c r="D15" a="1"/>
  <c r="D15" s="1"/>
  <c r="E15" s="1"/>
  <c r="F38" a="1"/>
  <c r="F38" s="1"/>
  <c r="G38" s="1"/>
  <c r="D99" a="1"/>
  <c r="D99" s="1"/>
  <c r="E99" s="1"/>
  <c r="F106" a="1"/>
  <c r="F106" s="1"/>
  <c r="G106" s="1"/>
  <c r="F145" a="1"/>
  <c r="F145" s="1"/>
  <c r="G145" s="1"/>
  <c r="D116" a="1"/>
  <c r="D116" s="1"/>
  <c r="E116" s="1"/>
  <c r="B23" a="1"/>
  <c r="B23" s="1"/>
  <c r="C23" s="1"/>
  <c r="F84" a="1"/>
  <c r="F84" s="1"/>
  <c r="G84" s="1"/>
  <c r="F83" a="1"/>
  <c r="F83" s="1"/>
  <c r="G83" s="1"/>
  <c r="F100" a="1"/>
  <c r="F100" s="1"/>
  <c r="G100" s="1"/>
  <c r="F140" a="1"/>
  <c r="F140" s="1"/>
  <c r="G140" s="1"/>
  <c r="F107" a="1"/>
  <c r="F107" s="1"/>
  <c r="G107" s="1"/>
  <c r="F10" a="1"/>
  <c r="F10" s="1"/>
  <c r="G10" s="1"/>
  <c r="D106" a="1"/>
  <c r="D106" s="1"/>
  <c r="E106" s="1"/>
  <c r="B55" a="1"/>
  <c r="B55" s="1"/>
  <c r="C55" s="1"/>
  <c r="F86" a="1"/>
  <c r="F86" s="1"/>
  <c r="G86" s="1"/>
  <c r="F6" a="1"/>
  <c r="F6" s="1"/>
  <c r="F51" a="1"/>
  <c r="F51" s="1"/>
  <c r="G51" s="1"/>
  <c r="F125" a="1"/>
  <c r="F125" s="1"/>
  <c r="G125" s="1"/>
  <c r="F129" a="1"/>
  <c r="F129" s="1"/>
  <c r="G129" s="1"/>
  <c r="D103" a="1"/>
  <c r="D103" s="1"/>
  <c r="E103" s="1"/>
  <c r="F66" a="1"/>
  <c r="F66" s="1"/>
  <c r="G66" s="1"/>
  <c r="F109" a="1"/>
  <c r="F109" s="1"/>
  <c r="G109" s="1"/>
  <c r="F139" a="1"/>
  <c r="F139" s="1"/>
  <c r="G139" s="1"/>
  <c r="F34" a="1"/>
  <c r="F34" s="1"/>
  <c r="G34" s="1"/>
  <c r="D150" a="1"/>
  <c r="D150" s="1"/>
  <c r="E150" s="1"/>
  <c r="F110" a="1"/>
  <c r="F110" s="1"/>
  <c r="G110" s="1"/>
  <c r="F134" a="1"/>
  <c r="F134" s="1"/>
  <c r="G134" s="1"/>
  <c r="D42" a="1"/>
  <c r="D42" s="1"/>
  <c r="E42" s="1"/>
  <c r="D142" a="1"/>
  <c r="D142" s="1"/>
  <c r="E142" s="1"/>
  <c r="D109" a="1"/>
  <c r="D109" s="1"/>
  <c r="E109" s="1"/>
  <c r="F118" a="1"/>
  <c r="F118" s="1"/>
  <c r="G118" s="1"/>
  <c r="D107" a="1"/>
  <c r="D107" s="1"/>
  <c r="E107" s="1"/>
  <c r="F35" a="1"/>
  <c r="F35" s="1"/>
  <c r="G35" s="1"/>
  <c r="D62" a="1"/>
  <c r="D62" s="1"/>
  <c r="E62" s="1"/>
  <c r="F62" a="1"/>
  <c r="F62" s="1"/>
  <c r="G62" s="1"/>
  <c r="F97" a="1"/>
  <c r="F97" s="1"/>
  <c r="G97" s="1"/>
  <c r="D131" a="1"/>
  <c r="D131" s="1"/>
  <c r="E131" s="1"/>
  <c r="D144" a="1"/>
  <c r="D144" s="1"/>
  <c r="E144" s="1"/>
  <c r="D61" a="1"/>
  <c r="D61" s="1"/>
  <c r="E61" s="1"/>
  <c r="D126" a="1"/>
  <c r="D126" s="1"/>
  <c r="E126" s="1"/>
  <c r="D93" a="1"/>
  <c r="D93" s="1"/>
  <c r="E93" s="1"/>
  <c r="F3" a="1"/>
  <c r="F3" s="1"/>
  <c r="G3" s="1"/>
  <c r="D141" a="1"/>
  <c r="D141" s="1"/>
  <c r="E141" s="1"/>
  <c r="F130" a="1"/>
  <c r="F130" s="1"/>
  <c r="G130" s="1"/>
  <c r="D100" a="1"/>
  <c r="D100" s="1"/>
  <c r="E100" s="1"/>
  <c r="B31" a="1"/>
  <c r="B31" s="1"/>
  <c r="C31" s="1"/>
  <c r="F115" a="1"/>
  <c r="F115" s="1"/>
  <c r="G115" s="1"/>
  <c r="F101" a="1"/>
  <c r="F101" s="1"/>
  <c r="G101" s="1"/>
  <c r="F42" a="1"/>
  <c r="F42" s="1"/>
  <c r="G42" s="1"/>
  <c r="D140" a="1"/>
  <c r="D140" s="1"/>
  <c r="E140" s="1"/>
  <c r="D92" a="1"/>
  <c r="D92" s="1"/>
  <c r="E92" s="1"/>
  <c r="F132" a="1"/>
  <c r="F132" s="1"/>
  <c r="G132" s="1"/>
  <c r="F99" a="1"/>
  <c r="F99" s="1"/>
  <c r="G99" s="1"/>
  <c r="F147" a="1"/>
  <c r="F147" s="1"/>
  <c r="G147" s="1"/>
  <c r="D151" a="1"/>
  <c r="D151" s="1"/>
  <c r="E151" s="1"/>
  <c r="D78" a="1"/>
  <c r="D78" s="1"/>
  <c r="E78" s="1"/>
  <c r="F137" a="1"/>
  <c r="F137" s="1"/>
  <c r="G137" s="1"/>
  <c r="D26" a="1"/>
  <c r="D26" s="1"/>
  <c r="E26" s="1"/>
  <c r="D112" a="1"/>
  <c r="D112" s="1"/>
  <c r="E112" s="1"/>
  <c r="F114" a="1"/>
  <c r="F114" s="1"/>
  <c r="G114" s="1"/>
  <c r="F121" a="1"/>
  <c r="F121" s="1"/>
  <c r="G121" s="1"/>
  <c r="F148" a="1"/>
  <c r="F148" s="1"/>
  <c r="G148" s="1"/>
  <c r="D148" a="1"/>
  <c r="D148" s="1"/>
  <c r="E148" s="1"/>
  <c r="F26" a="1"/>
  <c r="F26" s="1"/>
  <c r="B7" a="1"/>
  <c r="B7" s="1"/>
  <c r="C7" s="1"/>
  <c r="D136" a="1"/>
  <c r="D136" s="1"/>
  <c r="E136" s="1"/>
  <c r="D108" a="1"/>
  <c r="D108" s="1"/>
  <c r="E108" s="1"/>
  <c r="D115" a="1"/>
  <c r="D115" s="1"/>
  <c r="E115" s="1"/>
  <c r="D34" a="1"/>
  <c r="D34" s="1"/>
  <c r="E34" s="1"/>
  <c r="D10" a="1"/>
  <c r="D10" s="1"/>
  <c r="E10" s="1"/>
  <c r="D128" a="1"/>
  <c r="D128" s="1"/>
  <c r="E128" s="1"/>
  <c r="D45" a="1"/>
  <c r="D45" s="1"/>
  <c r="E45" s="1"/>
  <c r="D57" a="1"/>
  <c r="D57" s="1"/>
  <c r="E57" s="1"/>
  <c r="F143" a="1"/>
  <c r="F143" s="1"/>
  <c r="G143" s="1"/>
  <c r="B57" a="1"/>
  <c r="B57" s="1"/>
  <c r="C57" s="1"/>
  <c r="D123" a="1"/>
  <c r="D123" s="1"/>
  <c r="E123" s="1"/>
  <c r="F50" a="1"/>
  <c r="F50" s="1"/>
  <c r="G50" s="1"/>
  <c r="D94" a="1"/>
  <c r="D94" s="1"/>
  <c r="E94" s="1"/>
  <c r="F67" a="1"/>
  <c r="F67" s="1"/>
  <c r="G67" s="1"/>
  <c r="D125" a="1"/>
  <c r="D125" s="1"/>
  <c r="E125" s="1"/>
  <c r="B2" a="1"/>
  <c r="B2" s="1"/>
  <c r="C2" s="1"/>
  <c r="F150" a="1"/>
  <c r="F150" s="1"/>
  <c r="G150" s="1"/>
  <c r="F117" a="1"/>
  <c r="F117" s="1"/>
  <c r="G117" s="1"/>
  <c r="B47" a="1"/>
  <c r="B47" s="1"/>
  <c r="C47" s="1"/>
  <c r="D120" a="1"/>
  <c r="D120" s="1"/>
  <c r="E120" s="1"/>
  <c r="F102" a="1"/>
  <c r="F102" s="1"/>
  <c r="G102" s="1"/>
  <c r="F19" a="1"/>
  <c r="F19" s="1"/>
  <c r="G19" s="1"/>
  <c r="B71" a="1"/>
  <c r="B71" s="1"/>
  <c r="C71" s="1"/>
  <c r="F149" a="1"/>
  <c r="F149" s="1"/>
  <c r="G149" s="1"/>
  <c r="F146" a="1"/>
  <c r="F146" s="1"/>
  <c r="G146" s="1"/>
  <c r="F142" a="1"/>
  <c r="F142" s="1"/>
  <c r="G142" s="1"/>
  <c r="F116" a="1"/>
  <c r="F116" s="1"/>
  <c r="G116" s="1"/>
  <c r="D117" a="1"/>
  <c r="D117" s="1"/>
  <c r="E117" s="1"/>
  <c r="F92" a="1"/>
  <c r="F92" s="1"/>
  <c r="G92" s="1"/>
  <c r="D31" a="1"/>
  <c r="D31" s="1"/>
  <c r="E31" s="1"/>
  <c r="F93" a="1"/>
  <c r="F93" s="1"/>
  <c r="G93" s="1"/>
  <c r="D124" a="1"/>
  <c r="D124" s="1"/>
  <c r="E124" s="1"/>
  <c r="D53" a="1"/>
  <c r="D53" s="1"/>
  <c r="E53" s="1"/>
  <c r="D132" a="1"/>
  <c r="D132" s="1"/>
  <c r="E132" s="1"/>
  <c r="B15" a="1"/>
  <c r="B15" s="1"/>
  <c r="F133" a="1"/>
  <c r="F133" s="1"/>
  <c r="G133" s="1"/>
  <c r="B39" a="1"/>
  <c r="B39" s="1"/>
  <c r="C39" s="1"/>
  <c r="F64" a="1"/>
  <c r="F64" s="1"/>
  <c r="G64" s="1"/>
  <c r="F46" a="1"/>
  <c r="F46" s="1"/>
  <c r="G46" s="1"/>
  <c r="B24" a="1"/>
  <c r="B24" s="1"/>
  <c r="C24" s="1"/>
  <c r="B61" a="1"/>
  <c r="B61" s="1"/>
  <c r="C61" s="1"/>
  <c r="F120" a="1"/>
  <c r="F120" s="1"/>
  <c r="G120" s="1"/>
  <c r="D43" a="1"/>
  <c r="D43" s="1"/>
  <c r="E43" s="1"/>
  <c r="B27" a="1"/>
  <c r="B27" s="1"/>
  <c r="C27" s="1"/>
  <c r="D13" a="1"/>
  <c r="D13" s="1"/>
  <c r="E13" s="1"/>
  <c r="D72" a="1"/>
  <c r="D72" s="1"/>
  <c r="E72" s="1"/>
  <c r="D95" a="1"/>
  <c r="D95" s="1"/>
  <c r="E95" s="1"/>
  <c r="B56" a="1"/>
  <c r="B56" s="1"/>
  <c r="C56" s="1"/>
  <c r="D49" a="1"/>
  <c r="D49" s="1"/>
  <c r="E49" s="1"/>
  <c r="F2" a="1"/>
  <c r="F2" s="1"/>
  <c r="D40" a="1"/>
  <c r="D40" s="1"/>
  <c r="E40" s="1"/>
  <c r="F43" a="1"/>
  <c r="F43" s="1"/>
  <c r="G43" s="1"/>
  <c r="B59" a="1"/>
  <c r="B59" s="1"/>
  <c r="C59" s="1"/>
  <c r="F78" a="1"/>
  <c r="F78" s="1"/>
  <c r="G78" s="1"/>
  <c r="D14" a="1"/>
  <c r="D14" s="1"/>
  <c r="E14" s="1"/>
  <c r="F68" a="1"/>
  <c r="F68" s="1"/>
  <c r="G68" s="1"/>
  <c r="B49" a="1"/>
  <c r="B49" s="1"/>
  <c r="C49" s="1"/>
  <c r="F60" a="1"/>
  <c r="F60" s="1"/>
  <c r="G60" s="1"/>
  <c r="D11" a="1"/>
  <c r="D11" s="1"/>
  <c r="E11" s="1"/>
  <c r="D85" a="1"/>
  <c r="D85" s="1"/>
  <c r="E85" s="1"/>
  <c r="F17" a="1"/>
  <c r="F17" s="1"/>
  <c r="G17" s="1"/>
  <c r="B72" a="1"/>
  <c r="B72" s="1"/>
  <c r="C72" s="1"/>
  <c r="F30" a="1"/>
  <c r="F30" s="1"/>
  <c r="G30" s="1"/>
  <c r="B3" a="1"/>
  <c r="B3" s="1"/>
  <c r="C3" s="1"/>
  <c r="D137" a="1"/>
  <c r="D137" s="1"/>
  <c r="E137" s="1"/>
  <c r="D8" a="1"/>
  <c r="D8" s="1"/>
  <c r="E8" s="1"/>
  <c r="D138" a="1"/>
  <c r="D138" s="1"/>
  <c r="E138" s="1"/>
  <c r="F49" a="1"/>
  <c r="F49" s="1"/>
  <c r="G49" s="1"/>
  <c r="D41" a="1"/>
  <c r="D41" s="1"/>
  <c r="E41" s="1"/>
  <c r="F44" a="1"/>
  <c r="F44" s="1"/>
  <c r="G44" s="1"/>
  <c r="B32" a="1"/>
  <c r="B32" s="1"/>
  <c r="C32" s="1"/>
  <c r="D133" a="1"/>
  <c r="D133" s="1"/>
  <c r="E133" s="1"/>
  <c r="D38" a="1"/>
  <c r="D38" s="1"/>
  <c r="E38" s="1"/>
  <c r="B41" a="1"/>
  <c r="B41" s="1"/>
  <c r="C41" s="1"/>
  <c r="F81" a="1"/>
  <c r="F81" s="1"/>
  <c r="G81" s="1"/>
  <c r="D110" a="1"/>
  <c r="D110" s="1"/>
  <c r="E110" s="1"/>
  <c r="D139" a="1"/>
  <c r="D139" s="1"/>
  <c r="E139" s="1"/>
  <c r="F74" a="1"/>
  <c r="F74" s="1"/>
  <c r="G74" s="1"/>
  <c r="B26" a="1"/>
  <c r="B26" s="1"/>
  <c r="C26" s="1"/>
  <c r="F151" a="1"/>
  <c r="F151" s="1"/>
  <c r="G151" s="1"/>
  <c r="D58" a="1"/>
  <c r="D58" s="1"/>
  <c r="E58" s="1"/>
  <c r="D90" a="1"/>
  <c r="D90" s="1"/>
  <c r="E90" s="1"/>
  <c r="D122" a="1"/>
  <c r="D122" s="1"/>
  <c r="E122" s="1"/>
  <c r="B25" a="1"/>
  <c r="B25" s="1"/>
  <c r="D60" a="1"/>
  <c r="D60" s="1"/>
  <c r="E60" s="1"/>
  <c r="D9" a="1"/>
  <c r="D9" s="1"/>
  <c r="E9" s="1"/>
  <c r="D111" a="1"/>
  <c r="D111" s="1"/>
  <c r="E111" s="1"/>
  <c r="F12" a="1"/>
  <c r="F12" s="1"/>
  <c r="G12" s="1"/>
  <c r="B48" a="1"/>
  <c r="B48" s="1"/>
  <c r="C48" s="1"/>
  <c r="F128" a="1"/>
  <c r="F128" s="1"/>
  <c r="G128" s="1"/>
  <c r="F45" a="1"/>
  <c r="F45" s="1"/>
  <c r="G45" s="1"/>
  <c r="B58" a="1"/>
  <c r="B58" s="1"/>
  <c r="C58" s="1"/>
  <c r="D36" a="1"/>
  <c r="D36" s="1"/>
  <c r="E36" s="1"/>
  <c r="F123" a="1"/>
  <c r="F123" s="1"/>
  <c r="G123" s="1"/>
  <c r="D89" a="1"/>
  <c r="D89" s="1"/>
  <c r="E89" s="1"/>
  <c r="B83" a="1"/>
  <c r="B83" s="1"/>
  <c r="C83" s="1"/>
  <c r="F18" a="1"/>
  <c r="F18" s="1"/>
  <c r="G18" s="1"/>
  <c r="B80" a="1"/>
  <c r="B80" s="1"/>
  <c r="C80" s="1"/>
  <c r="F119" a="1"/>
  <c r="F119" s="1"/>
  <c r="G119" s="1"/>
  <c r="B20" a="1"/>
  <c r="B20" s="1"/>
  <c r="F108" a="1"/>
  <c r="F108" s="1"/>
  <c r="G108" s="1"/>
  <c r="D6" a="1"/>
  <c r="D6" s="1"/>
  <c r="E6" s="1"/>
  <c r="B96" a="1"/>
  <c r="B96" s="1"/>
  <c r="C96" s="1"/>
  <c r="D81" a="1"/>
  <c r="D81" s="1"/>
  <c r="E81" s="1"/>
  <c r="D147" a="1"/>
  <c r="D147" s="1"/>
  <c r="E147" s="1"/>
  <c r="F112" a="1"/>
  <c r="F112" s="1"/>
  <c r="G112" s="1"/>
  <c r="F76" a="1"/>
  <c r="F76" s="1"/>
  <c r="G76" s="1"/>
  <c r="F13" a="1"/>
  <c r="F13" s="1"/>
  <c r="G13" s="1"/>
  <c r="B74" a="1"/>
  <c r="B74" s="1"/>
  <c r="C74" s="1"/>
  <c r="F58" a="1"/>
  <c r="F58" s="1"/>
  <c r="G58" s="1"/>
  <c r="D146" a="1"/>
  <c r="D146" s="1"/>
  <c r="E146" s="1"/>
  <c r="D55" a="1"/>
  <c r="D55" s="1"/>
  <c r="E55" s="1"/>
  <c r="F65" a="1"/>
  <c r="F65" s="1"/>
  <c r="G65" s="1"/>
  <c r="D7" a="1"/>
  <c r="D7" s="1"/>
  <c r="E7" s="1"/>
  <c r="D88" a="1"/>
  <c r="D88" s="1"/>
  <c r="E88" s="1"/>
  <c r="B128" a="1"/>
  <c r="B128" s="1"/>
  <c r="C128" s="1"/>
  <c r="F95" a="1"/>
  <c r="F95" s="1"/>
  <c r="G95" s="1"/>
  <c r="F15" a="1"/>
  <c r="F15" s="1"/>
  <c r="G15" s="1"/>
  <c r="F40" a="1"/>
  <c r="F40" s="1"/>
  <c r="G40" s="1"/>
  <c r="D2" a="1"/>
  <c r="D2" s="1"/>
  <c r="E2" s="1"/>
  <c r="D18" a="1"/>
  <c r="D18" s="1"/>
  <c r="E18" s="1"/>
  <c r="F124" a="1"/>
  <c r="F124" s="1"/>
  <c r="G124" s="1"/>
  <c r="F39" a="1"/>
  <c r="F39" s="1"/>
  <c r="G39" s="1"/>
  <c r="D30" a="1"/>
  <c r="D30" s="1"/>
  <c r="E30" s="1"/>
  <c r="B77" a="1"/>
  <c r="B77" s="1"/>
  <c r="C77" s="1"/>
  <c r="B8" a="1"/>
  <c r="B8" s="1"/>
  <c r="C8" s="1"/>
  <c r="B29" a="1"/>
  <c r="B29" s="1"/>
  <c r="C29" s="1"/>
  <c r="D56" a="1"/>
  <c r="D56" s="1"/>
  <c r="E56" s="1"/>
  <c r="B144" a="1"/>
  <c r="B144" s="1"/>
  <c r="C144" s="1"/>
  <c r="F136" a="1"/>
  <c r="F136" s="1"/>
  <c r="G136" s="1"/>
  <c r="D50" a="1"/>
  <c r="D50" s="1"/>
  <c r="E50" s="1"/>
  <c r="F11" a="1"/>
  <c r="F11" s="1"/>
  <c r="B75" a="1"/>
  <c r="B75" s="1"/>
  <c r="C75" s="1"/>
  <c r="F47" a="1"/>
  <c r="F47" s="1"/>
  <c r="G47" s="1"/>
  <c r="F91" a="1"/>
  <c r="F91" s="1"/>
  <c r="G91" s="1"/>
  <c r="D83" a="1"/>
  <c r="D83" s="1"/>
  <c r="E83" s="1"/>
  <c r="D127" a="1"/>
  <c r="D127" s="1"/>
  <c r="E127" s="1"/>
  <c r="F28" a="1"/>
  <c r="F28" s="1"/>
  <c r="G28" s="1"/>
  <c r="B40" a="1"/>
  <c r="B40" s="1"/>
  <c r="B85" a="1"/>
  <c r="B85" s="1"/>
  <c r="C85" s="1"/>
  <c r="F104" a="1"/>
  <c r="F104" s="1"/>
  <c r="G104" s="1"/>
  <c r="D149" a="1"/>
  <c r="D149" s="1"/>
  <c r="E149" s="1"/>
  <c r="F75" a="1"/>
  <c r="F75" s="1"/>
  <c r="G75" s="1"/>
  <c r="F87" a="1"/>
  <c r="F87" s="1"/>
  <c r="G87" s="1"/>
  <c r="B19" a="1"/>
  <c r="B19" s="1"/>
  <c r="C19" s="1"/>
  <c r="F90" a="1"/>
  <c r="F90" s="1"/>
  <c r="G90" s="1"/>
  <c r="D105" a="1"/>
  <c r="D105" s="1"/>
  <c r="E105" s="1"/>
  <c r="D29" a="1"/>
  <c r="D29" s="1"/>
  <c r="E29" s="1"/>
  <c r="F77" a="1"/>
  <c r="F77" s="1"/>
  <c r="G77" s="1"/>
  <c r="D23" a="1"/>
  <c r="D23" s="1"/>
  <c r="E23" s="1"/>
  <c r="F141" a="1"/>
  <c r="F141" s="1"/>
  <c r="G141" s="1"/>
  <c r="D54" a="1"/>
  <c r="D54" s="1"/>
  <c r="E54" s="1"/>
  <c r="D35" a="1"/>
  <c r="D35" s="1"/>
  <c r="E35" s="1"/>
  <c r="B51" a="1"/>
  <c r="B51" s="1"/>
  <c r="C51" s="1"/>
  <c r="F79" a="1"/>
  <c r="F79" s="1"/>
  <c r="G79" s="1"/>
  <c r="D71" a="1"/>
  <c r="D71" s="1"/>
  <c r="E71" s="1"/>
  <c r="D20" a="1"/>
  <c r="D20" s="1"/>
  <c r="E20" s="1"/>
  <c r="D114" a="1"/>
  <c r="D114" s="1"/>
  <c r="E114" s="1"/>
  <c r="F131" a="1"/>
  <c r="F131" s="1"/>
  <c r="G131" s="1"/>
  <c r="F98" a="1"/>
  <c r="F98" s="1"/>
  <c r="G98" s="1"/>
  <c r="D143" a="1"/>
  <c r="D143" s="1"/>
  <c r="E143" s="1"/>
  <c r="F88" a="1"/>
  <c r="F88" s="1"/>
  <c r="G88" s="1"/>
  <c r="F22" a="1"/>
  <c r="F22" s="1"/>
  <c r="G22" s="1"/>
  <c r="D119" a="1"/>
  <c r="D119" s="1"/>
  <c r="E119" s="1"/>
  <c r="B43" a="1"/>
  <c r="B43" s="1"/>
  <c r="C43" s="1"/>
  <c r="F33" a="1"/>
  <c r="F33" s="1"/>
  <c r="G33" s="1"/>
  <c r="B64" a="1"/>
  <c r="B64" s="1"/>
  <c r="C64" s="1"/>
  <c r="F7" a="1"/>
  <c r="F7" s="1"/>
  <c r="G7" s="1"/>
  <c r="D134" a="1"/>
  <c r="D134" s="1"/>
  <c r="E134" s="1"/>
  <c r="D101" a="1"/>
  <c r="D101" s="1"/>
  <c r="E101" s="1"/>
  <c r="D65" a="1"/>
  <c r="D65" s="1"/>
  <c r="E65" s="1"/>
  <c r="B10" a="1"/>
  <c r="B10" s="1"/>
  <c r="F48" a="1"/>
  <c r="F48" s="1"/>
  <c r="G48" s="1"/>
  <c r="F27" a="1"/>
  <c r="F27" s="1"/>
  <c r="G27" s="1"/>
  <c r="B67" a="1"/>
  <c r="B67" s="1"/>
  <c r="C67" s="1"/>
  <c r="F56" a="1"/>
  <c r="F56" s="1"/>
  <c r="G56" s="1"/>
  <c r="D47" a="1"/>
  <c r="D47" s="1"/>
  <c r="E47" s="1"/>
  <c r="D82" a="1"/>
  <c r="D82" s="1"/>
  <c r="E82" s="1"/>
  <c r="F59" a="1"/>
  <c r="F59" s="1"/>
  <c r="G59" s="1"/>
  <c r="F85" a="1"/>
  <c r="F85" s="1"/>
  <c r="G85" s="1"/>
  <c r="D102" a="1"/>
  <c r="D102" s="1"/>
  <c r="E102" s="1"/>
  <c r="F144" a="1"/>
  <c r="F144" s="1"/>
  <c r="G144" s="1"/>
  <c r="F24" a="1"/>
  <c r="F24" s="1"/>
  <c r="G24" s="1"/>
  <c r="B42" a="1"/>
  <c r="B42" s="1"/>
  <c r="C42" s="1"/>
  <c r="F96" a="1"/>
  <c r="F96" s="1"/>
  <c r="G96" s="1"/>
  <c r="D69" a="1"/>
  <c r="D69" s="1"/>
  <c r="E69" s="1"/>
  <c r="D130" a="1"/>
  <c r="D130" s="1"/>
  <c r="E130" s="1"/>
  <c r="B9" a="1"/>
  <c r="B9" s="1"/>
  <c r="C9" s="1"/>
  <c r="D76" a="1"/>
  <c r="D76" s="1"/>
  <c r="E76" s="1"/>
  <c r="D91" a="1"/>
  <c r="D91" s="1"/>
  <c r="E91" s="1"/>
  <c r="D22" a="1"/>
  <c r="D22" s="1"/>
  <c r="E22" s="1"/>
  <c r="D70" a="1"/>
  <c r="D70" s="1"/>
  <c r="E70" s="1"/>
  <c r="F70" a="1"/>
  <c r="F70" s="1"/>
  <c r="G70" s="1"/>
  <c r="D25" a="1"/>
  <c r="D25" s="1"/>
  <c r="E25" s="1"/>
  <c r="B11" a="1"/>
  <c r="B11" s="1"/>
  <c r="C11" s="1"/>
  <c r="D121" a="1"/>
  <c r="D121" s="1"/>
  <c r="E121" s="1"/>
  <c r="D98" a="1"/>
  <c r="D98" s="1"/>
  <c r="E98" s="1"/>
  <c r="B73" a="1"/>
  <c r="B73" s="1"/>
  <c r="C73" s="1"/>
  <c r="D39" a="1"/>
  <c r="D39" s="1"/>
  <c r="E39" s="1"/>
  <c r="D67" a="1"/>
  <c r="D67" s="1"/>
  <c r="E67" s="1"/>
  <c r="B112" a="1"/>
  <c r="B112" s="1"/>
  <c r="C112" s="1"/>
  <c r="D24" a="1"/>
  <c r="D24" s="1"/>
  <c r="E24" s="1"/>
  <c r="F127" a="1"/>
  <c r="F127" s="1"/>
  <c r="G127" s="1"/>
  <c r="B35" a="1"/>
  <c r="B35" s="1"/>
  <c r="F29" a="1"/>
  <c r="F29" s="1"/>
  <c r="G29" s="1"/>
  <c r="D129" a="1"/>
  <c r="D129" s="1"/>
  <c r="E129" s="1"/>
  <c r="D44" a="1"/>
  <c r="D44" s="1"/>
  <c r="E44" s="1"/>
  <c r="F57" a="1"/>
  <c r="F57" s="1"/>
  <c r="G57" s="1"/>
  <c r="B113" a="1"/>
  <c r="B113" s="1"/>
  <c r="C113" s="1"/>
  <c r="B82" a="1"/>
  <c r="B82" s="1"/>
  <c r="C82" s="1"/>
  <c r="B28" a="1"/>
  <c r="B28" s="1"/>
  <c r="C28" s="1"/>
  <c r="D46" a="1"/>
  <c r="D46" s="1"/>
  <c r="E46" s="1"/>
  <c r="F23" a="1"/>
  <c r="F23" s="1"/>
  <c r="G23" s="1"/>
  <c r="B69" a="1"/>
  <c r="B69" s="1"/>
  <c r="C69" s="1"/>
  <c r="B107" a="1"/>
  <c r="B107" s="1"/>
  <c r="C107" s="1"/>
  <c r="B13" a="1"/>
  <c r="B13" s="1"/>
  <c r="C13" s="1"/>
  <c r="F21" a="1"/>
  <c r="F21" s="1"/>
  <c r="B70" a="1"/>
  <c r="B70" s="1"/>
  <c r="C70" s="1"/>
  <c r="B102" a="1"/>
  <c r="B102" s="1"/>
  <c r="C102" s="1"/>
  <c r="D4" a="1"/>
  <c r="D4" s="1"/>
  <c r="E4" s="1"/>
  <c r="D63" a="1"/>
  <c r="D63" s="1"/>
  <c r="E63" s="1"/>
  <c r="F73" a="1"/>
  <c r="F73" s="1"/>
  <c r="G73" s="1"/>
  <c r="D12" a="1"/>
  <c r="D12" s="1"/>
  <c r="E12" s="1"/>
  <c r="B97" a="1"/>
  <c r="B97" s="1"/>
  <c r="C97" s="1"/>
  <c r="B131" a="1"/>
  <c r="B131" s="1"/>
  <c r="C131" s="1"/>
  <c r="B90" a="1"/>
  <c r="B90" s="1"/>
  <c r="C90" s="1"/>
  <c r="B86" a="1"/>
  <c r="B86" s="1"/>
  <c r="C86" s="1"/>
  <c r="B92" a="1"/>
  <c r="B92" s="1"/>
  <c r="C92" s="1"/>
  <c r="B134" a="1"/>
  <c r="B134" s="1"/>
  <c r="C134" s="1"/>
  <c r="D84" a="1"/>
  <c r="D84" s="1"/>
  <c r="E84" s="1"/>
  <c r="D19" a="1"/>
  <c r="D19" s="1"/>
  <c r="E19" s="1"/>
  <c r="D33" a="1"/>
  <c r="D33" s="1"/>
  <c r="E33" s="1"/>
  <c r="B129" a="1"/>
  <c r="B129" s="1"/>
  <c r="C129" s="1"/>
  <c r="F36" a="1"/>
  <c r="F36" s="1"/>
  <c r="B36" a="1"/>
  <c r="B36" s="1"/>
  <c r="C36" s="1"/>
  <c r="B81" a="1"/>
  <c r="B81" s="1"/>
  <c r="C81" s="1"/>
  <c r="B123" a="1"/>
  <c r="B123" s="1"/>
  <c r="C123" s="1"/>
  <c r="F5" a="1"/>
  <c r="F5" s="1"/>
  <c r="G5" s="1"/>
  <c r="B78" a="1"/>
  <c r="B78" s="1"/>
  <c r="C78" s="1"/>
  <c r="F4" a="1"/>
  <c r="F4" s="1"/>
  <c r="G4" s="1"/>
  <c r="F55" a="1"/>
  <c r="F55" s="1"/>
  <c r="G55" s="1"/>
  <c r="B54" a="1"/>
  <c r="B54" s="1"/>
  <c r="C54" s="1"/>
  <c r="F52" a="1"/>
  <c r="F52" s="1"/>
  <c r="G52" s="1"/>
  <c r="B34" a="1"/>
  <c r="B34" s="1"/>
  <c r="C34" s="1"/>
  <c r="D97" a="1"/>
  <c r="D97" s="1"/>
  <c r="E97" s="1"/>
  <c r="D21" a="1"/>
  <c r="D21" s="1"/>
  <c r="E21" s="1"/>
  <c r="B4" a="1"/>
  <c r="B4" s="1"/>
  <c r="C4" s="1"/>
  <c r="B21" a="1"/>
  <c r="B21" s="1"/>
  <c r="C21" s="1"/>
  <c r="D64" a="1"/>
  <c r="D64" s="1"/>
  <c r="E64" s="1"/>
  <c r="B140" a="1"/>
  <c r="B140" s="1"/>
  <c r="C140" s="1"/>
  <c r="F61" a="1"/>
  <c r="F61" s="1"/>
  <c r="G61" s="1"/>
  <c r="B120" a="1"/>
  <c r="B120" s="1"/>
  <c r="C120" s="1"/>
  <c r="B87" a="1"/>
  <c r="B87" s="1"/>
  <c r="C87" s="1"/>
  <c r="F16" a="1"/>
  <c r="F16" s="1"/>
  <c r="B46" a="1"/>
  <c r="B46" s="1"/>
  <c r="C46" s="1"/>
  <c r="B53" a="1"/>
  <c r="B53" s="1"/>
  <c r="C53" s="1"/>
  <c r="B91" a="1"/>
  <c r="B91" s="1"/>
  <c r="C91" s="1"/>
  <c r="B45" a="1"/>
  <c r="B45" s="1"/>
  <c r="D66" a="1"/>
  <c r="D66" s="1"/>
  <c r="E66" s="1"/>
  <c r="F37" a="1"/>
  <c r="F37" s="1"/>
  <c r="G37" s="1"/>
  <c r="B62" a="1"/>
  <c r="B62" s="1"/>
  <c r="C62" s="1"/>
  <c r="D3" a="1"/>
  <c r="D3" s="1"/>
  <c r="E3" s="1"/>
  <c r="D79" a="1"/>
  <c r="D79" s="1"/>
  <c r="E79" s="1"/>
  <c r="D28" a="1"/>
  <c r="D28" s="1"/>
  <c r="E28" s="1"/>
  <c r="B50" a="1"/>
  <c r="B50" s="1"/>
  <c r="C50" s="1"/>
  <c r="D5" a="1"/>
  <c r="D5" s="1"/>
  <c r="E5" s="1"/>
  <c r="B16" a="1"/>
  <c r="B16" s="1"/>
  <c r="C16" s="1"/>
  <c r="B66" a="1"/>
  <c r="B66" s="1"/>
  <c r="C66" s="1"/>
  <c r="F53" a="1"/>
  <c r="F53" s="1"/>
  <c r="G53" s="1"/>
  <c r="B124" a="1"/>
  <c r="B124" s="1"/>
  <c r="C124" s="1"/>
  <c r="B88" a="1"/>
  <c r="B88" s="1"/>
  <c r="C88" s="1"/>
  <c r="F103" a="1"/>
  <c r="F103" s="1"/>
  <c r="G103" s="1"/>
  <c r="F31" a="1"/>
  <c r="F31" s="1"/>
  <c r="B65" a="1"/>
  <c r="B65" s="1"/>
  <c r="C65" s="1"/>
  <c r="B30" a="1"/>
  <c r="B30" s="1"/>
  <c r="F8" a="1"/>
  <c r="F8" s="1"/>
  <c r="G8" s="1"/>
  <c r="F25" a="1"/>
  <c r="F25" s="1"/>
  <c r="G25" s="1"/>
  <c r="B68" a="1"/>
  <c r="B68" s="1"/>
  <c r="C68" s="1"/>
  <c r="D145" a="1"/>
  <c r="D145" s="1"/>
  <c r="E145" s="1"/>
  <c r="D16" a="1"/>
  <c r="D16" s="1"/>
  <c r="E16" s="1"/>
  <c r="D59" a="1"/>
  <c r="D59" s="1"/>
  <c r="E59" s="1"/>
  <c r="F69" a="1"/>
  <c r="F69" s="1"/>
  <c r="G69" s="1"/>
  <c r="B116" a="1"/>
  <c r="B116" s="1"/>
  <c r="C116" s="1"/>
  <c r="B84" a="1"/>
  <c r="B84" s="1"/>
  <c r="C84" s="1"/>
  <c r="B18" a="1"/>
  <c r="B18" s="1"/>
  <c r="C18" s="1"/>
  <c r="D113" a="1"/>
  <c r="D113" s="1"/>
  <c r="E113" s="1"/>
  <c r="D27" a="1"/>
  <c r="D27" s="1"/>
  <c r="E27" s="1"/>
  <c r="D37" a="1"/>
  <c r="D37" s="1"/>
  <c r="E37" s="1"/>
  <c r="B5" a="1"/>
  <c r="B5" s="1"/>
  <c r="C5" s="1"/>
  <c r="D80" a="1"/>
  <c r="D80" s="1"/>
  <c r="E80" s="1"/>
  <c r="B132" a="1"/>
  <c r="B132" s="1"/>
  <c r="C132" s="1"/>
  <c r="B104" a="1"/>
  <c r="B104" s="1"/>
  <c r="C104" s="1"/>
  <c r="B79" a="1"/>
  <c r="B79" s="1"/>
  <c r="C79" s="1"/>
  <c r="F32" a="1"/>
  <c r="F32" s="1"/>
  <c r="G32" s="1"/>
  <c r="B38" a="1"/>
  <c r="B38" s="1"/>
  <c r="C38" s="1"/>
  <c r="F9" a="1"/>
  <c r="F9" s="1"/>
  <c r="G9" s="1"/>
  <c r="B76" a="1"/>
  <c r="B76" s="1"/>
  <c r="C76" s="1"/>
  <c r="B136" a="1"/>
  <c r="B136" s="1"/>
  <c r="C136" s="1"/>
  <c r="F89" a="1"/>
  <c r="F89" s="1"/>
  <c r="G89" s="1"/>
  <c r="F63" a="1"/>
  <c r="F63" s="1"/>
  <c r="G63" s="1"/>
  <c r="B52" a="1"/>
  <c r="B52" s="1"/>
  <c r="C52" s="1"/>
  <c r="B100" a="1"/>
  <c r="B100" s="1"/>
  <c r="C100" s="1"/>
  <c r="B150" a="1"/>
  <c r="B150" s="1"/>
  <c r="C150" s="1"/>
  <c r="B17" a="1"/>
  <c r="B17" s="1"/>
  <c r="C17" s="1"/>
  <c r="D68" a="1"/>
  <c r="D68" s="1"/>
  <c r="E68" s="1"/>
  <c r="D17" a="1"/>
  <c r="D17" s="1"/>
  <c r="E17" s="1"/>
  <c r="B6" a="1"/>
  <c r="B6" s="1"/>
  <c r="B145" a="1"/>
  <c r="B145" s="1"/>
  <c r="C145" s="1"/>
  <c r="F72" a="1"/>
  <c r="F72" s="1"/>
  <c r="G72" s="1"/>
  <c r="F20" a="1"/>
  <c r="F20" s="1"/>
  <c r="G20" s="1"/>
  <c r="B44" a="1"/>
  <c r="B44" s="1"/>
  <c r="C44" s="1"/>
  <c r="B139" a="1"/>
  <c r="B139" s="1"/>
  <c r="C139" s="1"/>
  <c r="B133" a="1"/>
  <c r="B133" s="1"/>
  <c r="C133" s="1"/>
  <c r="B22" a="1"/>
  <c r="B22" s="1"/>
  <c r="C22" s="1"/>
  <c r="D74" a="1"/>
  <c r="D74" s="1"/>
  <c r="E74" s="1"/>
  <c r="F41" a="1"/>
  <c r="F41" s="1"/>
  <c r="B60" a="1"/>
  <c r="B60" s="1"/>
  <c r="C60" s="1"/>
  <c r="D51" a="1"/>
  <c r="D51" s="1"/>
  <c r="E51" s="1"/>
  <c r="D32" a="1"/>
  <c r="D32" s="1"/>
  <c r="E32" s="1"/>
  <c r="D75" a="1"/>
  <c r="D75" s="1"/>
  <c r="E75" s="1"/>
  <c r="B108" a="1"/>
  <c r="B108" s="1"/>
  <c r="C108" s="1"/>
  <c r="F71" a="1"/>
  <c r="F71" s="1"/>
  <c r="G71" s="1"/>
  <c r="F135" a="1"/>
  <c r="F135" s="1"/>
  <c r="G135" s="1"/>
  <c r="B33" a="1"/>
  <c r="B33" s="1"/>
  <c r="C33" s="1"/>
  <c r="D52" a="1"/>
  <c r="D52" s="1"/>
  <c r="E52" s="1"/>
  <c r="B14" a="1"/>
  <c r="B14" s="1"/>
  <c r="C14" s="1"/>
  <c r="B148" a="1"/>
  <c r="B148" s="1"/>
  <c r="C148" s="1"/>
  <c r="B89" a="1"/>
  <c r="B89" s="1"/>
  <c r="C89" s="1"/>
  <c r="B143" a="1"/>
  <c r="B143" s="1"/>
  <c r="C143" s="1"/>
  <c r="B119" a="1"/>
  <c r="B119" s="1"/>
  <c r="C119" s="1"/>
  <c r="B142" a="1"/>
  <c r="B142" s="1"/>
  <c r="C142" s="1"/>
  <c r="B95" a="1"/>
  <c r="B95" s="1"/>
  <c r="C95" s="1"/>
  <c r="B94" a="1"/>
  <c r="B94" s="1"/>
  <c r="C94" s="1"/>
  <c r="B130" a="1"/>
  <c r="B130" s="1"/>
  <c r="C130" s="1"/>
  <c r="B106" a="1"/>
  <c r="B106" s="1"/>
  <c r="C106" s="1"/>
  <c r="B115" a="1"/>
  <c r="B115" s="1"/>
  <c r="C115" s="1"/>
  <c r="B111" a="1"/>
  <c r="B111" s="1"/>
  <c r="C111" s="1"/>
  <c r="B110" a="1"/>
  <c r="B110" s="1"/>
  <c r="C110" s="1"/>
  <c r="B141" a="1"/>
  <c r="B141" s="1"/>
  <c r="C141" s="1"/>
  <c r="B117" a="1"/>
  <c r="B117" s="1"/>
  <c r="C117" s="1"/>
  <c r="B137" a="1"/>
  <c r="B137" s="1"/>
  <c r="C137" s="1"/>
  <c r="B93" a="1"/>
  <c r="B93" s="1"/>
  <c r="C93" s="1"/>
  <c r="B151" a="1"/>
  <c r="B151" s="1"/>
  <c r="C151" s="1"/>
  <c r="B127" a="1"/>
  <c r="B127" s="1"/>
  <c r="C127" s="1"/>
  <c r="B12" a="1"/>
  <c r="B12" s="1"/>
  <c r="C12" s="1"/>
  <c r="B37" a="1"/>
  <c r="B37" s="1"/>
  <c r="C37" s="1"/>
  <c r="D48" a="1"/>
  <c r="D48" s="1"/>
  <c r="E48" s="1"/>
  <c r="B118" a="1"/>
  <c r="B118" s="1"/>
  <c r="C118" s="1"/>
  <c r="B101" a="1"/>
  <c r="B101" s="1"/>
  <c r="C101" s="1"/>
  <c r="B105" a="1"/>
  <c r="B105" s="1"/>
  <c r="C105" s="1"/>
  <c r="B138" a="1"/>
  <c r="B138" s="1"/>
  <c r="C138" s="1"/>
  <c r="B114" a="1"/>
  <c r="B114" s="1"/>
  <c r="C114" s="1"/>
  <c r="B126" a="1"/>
  <c r="B126" s="1"/>
  <c r="C126" s="1"/>
  <c r="B149" a="1"/>
  <c r="B149" s="1"/>
  <c r="C149" s="1"/>
  <c r="B125" a="1"/>
  <c r="B125" s="1"/>
  <c r="C125" s="1"/>
  <c r="B122" a="1"/>
  <c r="B122" s="1"/>
  <c r="C122" s="1"/>
  <c r="B147" a="1"/>
  <c r="B147" s="1"/>
  <c r="C147" s="1"/>
  <c r="K126"/>
  <c r="M126"/>
  <c r="L126"/>
  <c r="K105"/>
  <c r="L105"/>
  <c r="M105"/>
  <c r="K80"/>
  <c r="L80"/>
  <c r="M80"/>
  <c r="K14"/>
  <c r="L14"/>
  <c r="M14"/>
  <c r="K111"/>
  <c r="L111"/>
  <c r="M111"/>
  <c r="K113"/>
  <c r="L113"/>
  <c r="M113"/>
  <c r="K122"/>
  <c r="M122"/>
  <c r="L122"/>
  <c r="K54"/>
  <c r="M54"/>
  <c r="L54"/>
  <c r="K82"/>
  <c r="M82"/>
  <c r="L82"/>
  <c r="K94"/>
  <c r="M94"/>
  <c r="L94"/>
  <c r="K138"/>
  <c r="M138"/>
  <c r="L138"/>
  <c r="K38"/>
  <c r="M38"/>
  <c r="L38"/>
  <c r="K106"/>
  <c r="M106"/>
  <c r="L106"/>
  <c r="K145"/>
  <c r="L145"/>
  <c r="M145"/>
  <c r="K84"/>
  <c r="L84"/>
  <c r="M84"/>
  <c r="K83"/>
  <c r="L83"/>
  <c r="M83"/>
  <c r="K100"/>
  <c r="L100"/>
  <c r="M100"/>
  <c r="K140"/>
  <c r="L140"/>
  <c r="M140"/>
  <c r="K107"/>
  <c r="L107"/>
  <c r="M107"/>
  <c r="K10"/>
  <c r="L10"/>
  <c r="M10"/>
  <c r="K86"/>
  <c r="M86"/>
  <c r="L86"/>
  <c r="AP40" i="26"/>
  <c r="AX40" s="1"/>
  <c r="AP38"/>
  <c r="G6" i="23"/>
  <c r="K51"/>
  <c r="L51"/>
  <c r="M51"/>
  <c r="K125"/>
  <c r="L125"/>
  <c r="M125"/>
  <c r="K129"/>
  <c r="L129"/>
  <c r="M129"/>
  <c r="K66"/>
  <c r="M66"/>
  <c r="L66"/>
  <c r="K109"/>
  <c r="L109"/>
  <c r="M109"/>
  <c r="K139"/>
  <c r="L139"/>
  <c r="M139"/>
  <c r="K34"/>
  <c r="L34"/>
  <c r="M34"/>
  <c r="K110"/>
  <c r="M110"/>
  <c r="L110"/>
  <c r="K134"/>
  <c r="M134"/>
  <c r="L134"/>
  <c r="K118"/>
  <c r="M118"/>
  <c r="L118"/>
  <c r="K35"/>
  <c r="M35"/>
  <c r="L35"/>
  <c r="K62"/>
  <c r="M62"/>
  <c r="L62"/>
  <c r="K97"/>
  <c r="L97"/>
  <c r="M97"/>
  <c r="K3"/>
  <c r="L3"/>
  <c r="M3"/>
  <c r="K130"/>
  <c r="M130"/>
  <c r="L130"/>
  <c r="K115"/>
  <c r="L115"/>
  <c r="M115"/>
  <c r="K101"/>
  <c r="L101"/>
  <c r="M101"/>
  <c r="K42"/>
  <c r="M42"/>
  <c r="L42"/>
  <c r="K132"/>
  <c r="L132"/>
  <c r="M132"/>
  <c r="K99"/>
  <c r="L99"/>
  <c r="M99"/>
  <c r="K147"/>
  <c r="L147"/>
  <c r="M147"/>
  <c r="K137"/>
  <c r="L137"/>
  <c r="M137"/>
  <c r="K114"/>
  <c r="M114"/>
  <c r="L114"/>
  <c r="K121"/>
  <c r="L121"/>
  <c r="M121"/>
  <c r="K148"/>
  <c r="L148"/>
  <c r="M148"/>
  <c r="AP105" i="26"/>
  <c r="AP103"/>
  <c r="G26" i="23"/>
  <c r="K143"/>
  <c r="L143"/>
  <c r="M143"/>
  <c r="J151" i="21"/>
  <c r="J149"/>
  <c r="J147"/>
  <c r="J145"/>
  <c r="J143"/>
  <c r="J141"/>
  <c r="J139"/>
  <c r="J137"/>
  <c r="J135"/>
  <c r="J133"/>
  <c r="J131"/>
  <c r="J129"/>
  <c r="J127"/>
  <c r="J125"/>
  <c r="J123"/>
  <c r="J121"/>
  <c r="J119"/>
  <c r="J117"/>
  <c r="J115"/>
  <c r="J113"/>
  <c r="J111"/>
  <c r="J109"/>
  <c r="J107"/>
  <c r="J105"/>
  <c r="J103"/>
  <c r="J101"/>
  <c r="J99"/>
  <c r="J97"/>
  <c r="J95"/>
  <c r="J93"/>
  <c r="J91"/>
  <c r="J89"/>
  <c r="J87"/>
  <c r="J85"/>
  <c r="J83"/>
  <c r="J81"/>
  <c r="J79"/>
  <c r="J77"/>
  <c r="J75"/>
  <c r="J73"/>
  <c r="J71"/>
  <c r="J69"/>
  <c r="J67"/>
  <c r="J65"/>
  <c r="J63"/>
  <c r="J61"/>
  <c r="J59"/>
  <c r="J57"/>
  <c r="J55"/>
  <c r="J53"/>
  <c r="J51"/>
  <c r="J49"/>
  <c r="J47"/>
  <c r="J45"/>
  <c r="J43"/>
  <c r="J41"/>
  <c r="J39"/>
  <c r="J37"/>
  <c r="J35"/>
  <c r="J33"/>
  <c r="J31"/>
  <c r="J29"/>
  <c r="J27"/>
  <c r="J25"/>
  <c r="J23"/>
  <c r="J21"/>
  <c r="J19"/>
  <c r="J17"/>
  <c r="J15"/>
  <c r="J13"/>
  <c r="J11"/>
  <c r="J9"/>
  <c r="J7"/>
  <c r="J150"/>
  <c r="J148"/>
  <c r="J146"/>
  <c r="J144"/>
  <c r="J142"/>
  <c r="J140"/>
  <c r="J138"/>
  <c r="J136"/>
  <c r="J134"/>
  <c r="J132"/>
  <c r="J130"/>
  <c r="J128"/>
  <c r="J126"/>
  <c r="J124"/>
  <c r="J122"/>
  <c r="J120"/>
  <c r="J118"/>
  <c r="J116"/>
  <c r="J114"/>
  <c r="J112"/>
  <c r="J110"/>
  <c r="J108"/>
  <c r="J106"/>
  <c r="J104"/>
  <c r="J102"/>
  <c r="J100"/>
  <c r="J98"/>
  <c r="J96"/>
  <c r="J94"/>
  <c r="J92"/>
  <c r="J90"/>
  <c r="J88"/>
  <c r="J86"/>
  <c r="J84"/>
  <c r="J82"/>
  <c r="J80"/>
  <c r="J78"/>
  <c r="J76"/>
  <c r="J74"/>
  <c r="J72"/>
  <c r="J70"/>
  <c r="J68"/>
  <c r="J66"/>
  <c r="J64"/>
  <c r="J62"/>
  <c r="J60"/>
  <c r="J58"/>
  <c r="J56"/>
  <c r="J54"/>
  <c r="J52"/>
  <c r="J50"/>
  <c r="J48"/>
  <c r="J46"/>
  <c r="J44"/>
  <c r="J42"/>
  <c r="J40"/>
  <c r="J5"/>
  <c r="J3"/>
  <c r="J38"/>
  <c r="J36"/>
  <c r="J34"/>
  <c r="J32"/>
  <c r="J30"/>
  <c r="J28"/>
  <c r="J26"/>
  <c r="J24"/>
  <c r="J22"/>
  <c r="J20"/>
  <c r="J18"/>
  <c r="J16"/>
  <c r="J14"/>
  <c r="J12"/>
  <c r="J10"/>
  <c r="J8"/>
  <c r="J6"/>
  <c r="J4"/>
  <c r="J2"/>
  <c r="J151" i="20"/>
  <c r="J147"/>
  <c r="J75"/>
  <c r="J73"/>
  <c r="J71"/>
  <c r="J69"/>
  <c r="J67"/>
  <c r="J65"/>
  <c r="J63"/>
  <c r="J61"/>
  <c r="J59"/>
  <c r="J57"/>
  <c r="J55"/>
  <c r="J53"/>
  <c r="J51"/>
  <c r="J49"/>
  <c r="J47"/>
  <c r="J45"/>
  <c r="J43"/>
  <c r="J41"/>
  <c r="J39"/>
  <c r="J37"/>
  <c r="J35"/>
  <c r="J33"/>
  <c r="J31"/>
  <c r="J29"/>
  <c r="J27"/>
  <c r="J25"/>
  <c r="J23"/>
  <c r="J21"/>
  <c r="J19"/>
  <c r="J17"/>
  <c r="J15"/>
  <c r="J13"/>
  <c r="J11"/>
  <c r="J9"/>
  <c r="J7"/>
  <c r="J5"/>
  <c r="J3"/>
  <c r="J150"/>
  <c r="J148"/>
  <c r="J146"/>
  <c r="J74"/>
  <c r="J72"/>
  <c r="J70"/>
  <c r="J68"/>
  <c r="J66"/>
  <c r="J64"/>
  <c r="J62"/>
  <c r="J60"/>
  <c r="J58"/>
  <c r="J56"/>
  <c r="J54"/>
  <c r="J52"/>
  <c r="J50"/>
  <c r="J48"/>
  <c r="J46"/>
  <c r="J44"/>
  <c r="J42"/>
  <c r="J40"/>
  <c r="J38"/>
  <c r="J36"/>
  <c r="J34"/>
  <c r="J32"/>
  <c r="J30"/>
  <c r="J28"/>
  <c r="J149"/>
  <c r="J145"/>
  <c r="J143"/>
  <c r="J141"/>
  <c r="J139"/>
  <c r="J137"/>
  <c r="J135"/>
  <c r="J133"/>
  <c r="J131"/>
  <c r="J129"/>
  <c r="J127"/>
  <c r="J125"/>
  <c r="J123"/>
  <c r="J121"/>
  <c r="J119"/>
  <c r="J117"/>
  <c r="J115"/>
  <c r="J113"/>
  <c r="J111"/>
  <c r="J109"/>
  <c r="J107"/>
  <c r="J105"/>
  <c r="J103"/>
  <c r="J101"/>
  <c r="J99"/>
  <c r="J97"/>
  <c r="J95"/>
  <c r="J93"/>
  <c r="J91"/>
  <c r="J89"/>
  <c r="J87"/>
  <c r="J85"/>
  <c r="J83"/>
  <c r="J81"/>
  <c r="J79"/>
  <c r="J77"/>
  <c r="J144"/>
  <c r="J142"/>
  <c r="J140"/>
  <c r="J138"/>
  <c r="J136"/>
  <c r="J134"/>
  <c r="J132"/>
  <c r="J130"/>
  <c r="J128"/>
  <c r="J126"/>
  <c r="J124"/>
  <c r="J122"/>
  <c r="J120"/>
  <c r="J118"/>
  <c r="J116"/>
  <c r="J114"/>
  <c r="J112"/>
  <c r="J110"/>
  <c r="J108"/>
  <c r="J106"/>
  <c r="J104"/>
  <c r="J102"/>
  <c r="J100"/>
  <c r="J98"/>
  <c r="J96"/>
  <c r="J94"/>
  <c r="J92"/>
  <c r="J90"/>
  <c r="J88"/>
  <c r="J86"/>
  <c r="J84"/>
  <c r="J82"/>
  <c r="J80"/>
  <c r="J78"/>
  <c r="J76"/>
  <c r="J24"/>
  <c r="J20"/>
  <c r="J18"/>
  <c r="J16"/>
  <c r="J14"/>
  <c r="J12"/>
  <c r="J10"/>
  <c r="J8"/>
  <c r="J6"/>
  <c r="J4"/>
  <c r="J26"/>
  <c r="J22"/>
  <c r="J2"/>
  <c r="K50" i="23"/>
  <c r="M50"/>
  <c r="L50"/>
  <c r="K67"/>
  <c r="L67"/>
  <c r="M67"/>
  <c r="K150"/>
  <c r="M150"/>
  <c r="L150"/>
  <c r="K117"/>
  <c r="L117"/>
  <c r="M117"/>
  <c r="K102"/>
  <c r="M102"/>
  <c r="L102"/>
  <c r="K19"/>
  <c r="L19"/>
  <c r="M19"/>
  <c r="K149"/>
  <c r="L149"/>
  <c r="M149"/>
  <c r="K146"/>
  <c r="M146"/>
  <c r="L146"/>
  <c r="K142"/>
  <c r="M142"/>
  <c r="L142"/>
  <c r="K116"/>
  <c r="L116"/>
  <c r="M116"/>
  <c r="K92"/>
  <c r="L92"/>
  <c r="M92"/>
  <c r="K93"/>
  <c r="L93"/>
  <c r="M93"/>
  <c r="AW57" i="26"/>
  <c r="C15" i="23"/>
  <c r="K133"/>
  <c r="L133"/>
  <c r="M133"/>
  <c r="K64"/>
  <c r="L64"/>
  <c r="M64"/>
  <c r="K46"/>
  <c r="M46"/>
  <c r="L46"/>
  <c r="K120"/>
  <c r="L120"/>
  <c r="M120"/>
  <c r="AP19" i="26"/>
  <c r="G2" i="23"/>
  <c r="K43"/>
  <c r="L43"/>
  <c r="M43"/>
  <c r="K78"/>
  <c r="M78"/>
  <c r="L78"/>
  <c r="K151" i="21"/>
  <c r="K147"/>
  <c r="K145"/>
  <c r="K143"/>
  <c r="K141"/>
  <c r="K139"/>
  <c r="K137"/>
  <c r="K135"/>
  <c r="K133"/>
  <c r="K131"/>
  <c r="K129"/>
  <c r="K127"/>
  <c r="K125"/>
  <c r="K123"/>
  <c r="K121"/>
  <c r="K119"/>
  <c r="K117"/>
  <c r="K115"/>
  <c r="K113"/>
  <c r="K111"/>
  <c r="K109"/>
  <c r="K107"/>
  <c r="K105"/>
  <c r="K103"/>
  <c r="K101"/>
  <c r="K99"/>
  <c r="K97"/>
  <c r="K95"/>
  <c r="K93"/>
  <c r="K91"/>
  <c r="K89"/>
  <c r="K87"/>
  <c r="K85"/>
  <c r="K83"/>
  <c r="K81"/>
  <c r="K79"/>
  <c r="K77"/>
  <c r="K75"/>
  <c r="K73"/>
  <c r="K71"/>
  <c r="K69"/>
  <c r="K67"/>
  <c r="K65"/>
  <c r="K63"/>
  <c r="K61"/>
  <c r="K59"/>
  <c r="K57"/>
  <c r="K55"/>
  <c r="K53"/>
  <c r="K51"/>
  <c r="K49"/>
  <c r="K47"/>
  <c r="K45"/>
  <c r="K43"/>
  <c r="K41"/>
  <c r="K149"/>
  <c r="K39"/>
  <c r="K37"/>
  <c r="K35"/>
  <c r="K33"/>
  <c r="K31"/>
  <c r="K29"/>
  <c r="K27"/>
  <c r="K25"/>
  <c r="K23"/>
  <c r="K21"/>
  <c r="K19"/>
  <c r="K17"/>
  <c r="K15"/>
  <c r="K13"/>
  <c r="K11"/>
  <c r="K9"/>
  <c r="K7"/>
  <c r="K150"/>
  <c r="K148"/>
  <c r="K146"/>
  <c r="K144"/>
  <c r="K142"/>
  <c r="K140"/>
  <c r="K138"/>
  <c r="K136"/>
  <c r="K134"/>
  <c r="K132"/>
  <c r="K130"/>
  <c r="K128"/>
  <c r="K126"/>
  <c r="K124"/>
  <c r="K122"/>
  <c r="K120"/>
  <c r="K118"/>
  <c r="K116"/>
  <c r="K114"/>
  <c r="K112"/>
  <c r="K110"/>
  <c r="K108"/>
  <c r="K106"/>
  <c r="K104"/>
  <c r="K102"/>
  <c r="K100"/>
  <c r="K98"/>
  <c r="K96"/>
  <c r="K94"/>
  <c r="K92"/>
  <c r="K90"/>
  <c r="K88"/>
  <c r="K86"/>
  <c r="K84"/>
  <c r="K82"/>
  <c r="K80"/>
  <c r="K78"/>
  <c r="K76"/>
  <c r="K74"/>
  <c r="K72"/>
  <c r="K70"/>
  <c r="K68"/>
  <c r="K66"/>
  <c r="K64"/>
  <c r="K62"/>
  <c r="K60"/>
  <c r="K58"/>
  <c r="K56"/>
  <c r="K54"/>
  <c r="K52"/>
  <c r="K50"/>
  <c r="K48"/>
  <c r="K46"/>
  <c r="K44"/>
  <c r="K42"/>
  <c r="K40"/>
  <c r="K5"/>
  <c r="K3"/>
  <c r="K38"/>
  <c r="K36"/>
  <c r="K34"/>
  <c r="K32"/>
  <c r="K30"/>
  <c r="K28"/>
  <c r="K26"/>
  <c r="K24"/>
  <c r="K22"/>
  <c r="K20"/>
  <c r="K18"/>
  <c r="K16"/>
  <c r="K14"/>
  <c r="K12"/>
  <c r="K10"/>
  <c r="K8"/>
  <c r="K6"/>
  <c r="K4"/>
  <c r="K151" i="20"/>
  <c r="K149"/>
  <c r="K147"/>
  <c r="K75"/>
  <c r="K73"/>
  <c r="K71"/>
  <c r="K69"/>
  <c r="K67"/>
  <c r="K65"/>
  <c r="K63"/>
  <c r="K61"/>
  <c r="K59"/>
  <c r="K57"/>
  <c r="K55"/>
  <c r="K53"/>
  <c r="K51"/>
  <c r="K49"/>
  <c r="K47"/>
  <c r="K45"/>
  <c r="K43"/>
  <c r="K41"/>
  <c r="K37"/>
  <c r="K35"/>
  <c r="K33"/>
  <c r="K31"/>
  <c r="K29"/>
  <c r="K27"/>
  <c r="K25"/>
  <c r="K23"/>
  <c r="K21"/>
  <c r="K19"/>
  <c r="K17"/>
  <c r="K15"/>
  <c r="K13"/>
  <c r="K11"/>
  <c r="K9"/>
  <c r="K7"/>
  <c r="K5"/>
  <c r="K3"/>
  <c r="K150"/>
  <c r="K148"/>
  <c r="K74"/>
  <c r="K72"/>
  <c r="K70"/>
  <c r="K68"/>
  <c r="K66"/>
  <c r="K64"/>
  <c r="K62"/>
  <c r="K60"/>
  <c r="K58"/>
  <c r="K56"/>
  <c r="K54"/>
  <c r="K52"/>
  <c r="K50"/>
  <c r="K48"/>
  <c r="K46"/>
  <c r="K44"/>
  <c r="K42"/>
  <c r="K40"/>
  <c r="K38"/>
  <c r="K36"/>
  <c r="K34"/>
  <c r="K32"/>
  <c r="K30"/>
  <c r="K2" i="21"/>
  <c r="K145" i="20"/>
  <c r="K143"/>
  <c r="K141"/>
  <c r="K139"/>
  <c r="K137"/>
  <c r="K135"/>
  <c r="K133"/>
  <c r="K131"/>
  <c r="K129"/>
  <c r="K127"/>
  <c r="K125"/>
  <c r="K123"/>
  <c r="K121"/>
  <c r="K119"/>
  <c r="K117"/>
  <c r="K115"/>
  <c r="K113"/>
  <c r="K111"/>
  <c r="K109"/>
  <c r="K107"/>
  <c r="K105"/>
  <c r="K103"/>
  <c r="K101"/>
  <c r="K99"/>
  <c r="K97"/>
  <c r="K95"/>
  <c r="K93"/>
  <c r="K91"/>
  <c r="K89"/>
  <c r="K87"/>
  <c r="K85"/>
  <c r="K83"/>
  <c r="K81"/>
  <c r="K79"/>
  <c r="K77"/>
  <c r="K39"/>
  <c r="K146"/>
  <c r="K144"/>
  <c r="K142"/>
  <c r="K140"/>
  <c r="K138"/>
  <c r="K136"/>
  <c r="K134"/>
  <c r="K132"/>
  <c r="K130"/>
  <c r="K128"/>
  <c r="K126"/>
  <c r="K124"/>
  <c r="K122"/>
  <c r="K120"/>
  <c r="K118"/>
  <c r="K116"/>
  <c r="K114"/>
  <c r="K112"/>
  <c r="K110"/>
  <c r="K108"/>
  <c r="K106"/>
  <c r="K104"/>
  <c r="K102"/>
  <c r="K100"/>
  <c r="K98"/>
  <c r="K96"/>
  <c r="K94"/>
  <c r="K92"/>
  <c r="K90"/>
  <c r="K88"/>
  <c r="K86"/>
  <c r="K84"/>
  <c r="K82"/>
  <c r="K80"/>
  <c r="K78"/>
  <c r="K76"/>
  <c r="K28"/>
  <c r="K24"/>
  <c r="K20"/>
  <c r="K18"/>
  <c r="K16"/>
  <c r="K14"/>
  <c r="K12"/>
  <c r="K10"/>
  <c r="K8"/>
  <c r="K6"/>
  <c r="K4"/>
  <c r="K26"/>
  <c r="K22"/>
  <c r="K2"/>
  <c r="K68" i="23"/>
  <c r="L68"/>
  <c r="M68"/>
  <c r="K60"/>
  <c r="L60"/>
  <c r="M60"/>
  <c r="K17"/>
  <c r="L17"/>
  <c r="M17"/>
  <c r="K30"/>
  <c r="L30"/>
  <c r="M30"/>
  <c r="K49"/>
  <c r="L49"/>
  <c r="M49"/>
  <c r="K44"/>
  <c r="L44"/>
  <c r="M44"/>
  <c r="K81"/>
  <c r="L81"/>
  <c r="M81"/>
  <c r="K74"/>
  <c r="M74"/>
  <c r="L74"/>
  <c r="K151"/>
  <c r="L151"/>
  <c r="M151"/>
  <c r="AW89" i="26"/>
  <c r="C25" i="23"/>
  <c r="K12"/>
  <c r="L12"/>
  <c r="M12"/>
  <c r="K128"/>
  <c r="L128"/>
  <c r="M128"/>
  <c r="K45"/>
  <c r="L45"/>
  <c r="M45"/>
  <c r="K123"/>
  <c r="L123"/>
  <c r="M123"/>
  <c r="K18"/>
  <c r="M18"/>
  <c r="L18"/>
  <c r="K119"/>
  <c r="L119"/>
  <c r="M119"/>
  <c r="C20"/>
  <c r="AW74" i="26"/>
  <c r="K108" i="23"/>
  <c r="L108"/>
  <c r="M108"/>
  <c r="K112"/>
  <c r="L112"/>
  <c r="M112"/>
  <c r="K76"/>
  <c r="L76"/>
  <c r="M76"/>
  <c r="K13"/>
  <c r="L13"/>
  <c r="M13"/>
  <c r="K58"/>
  <c r="M58"/>
  <c r="L58"/>
  <c r="K65"/>
  <c r="L65"/>
  <c r="M65"/>
  <c r="Q149" i="21"/>
  <c r="Q39"/>
  <c r="Q37"/>
  <c r="Q35"/>
  <c r="Q33"/>
  <c r="Q31"/>
  <c r="Q29"/>
  <c r="Q27"/>
  <c r="Q25"/>
  <c r="Q23"/>
  <c r="Q21"/>
  <c r="Q19"/>
  <c r="Q17"/>
  <c r="Q15"/>
  <c r="Q13"/>
  <c r="Q11"/>
  <c r="Q9"/>
  <c r="Q7"/>
  <c r="Q151"/>
  <c r="Q147"/>
  <c r="Q145"/>
  <c r="Q143"/>
  <c r="Q141"/>
  <c r="Q139"/>
  <c r="Q137"/>
  <c r="Q135"/>
  <c r="Q133"/>
  <c r="Q131"/>
  <c r="Q129"/>
  <c r="Q127"/>
  <c r="Q125"/>
  <c r="Q123"/>
  <c r="Q121"/>
  <c r="Q119"/>
  <c r="Q117"/>
  <c r="Q115"/>
  <c r="Q113"/>
  <c r="Q111"/>
  <c r="Q109"/>
  <c r="Q107"/>
  <c r="Q105"/>
  <c r="Q103"/>
  <c r="Q101"/>
  <c r="Q99"/>
  <c r="Q97"/>
  <c r="Q95"/>
  <c r="Q93"/>
  <c r="Q91"/>
  <c r="Q89"/>
  <c r="Q87"/>
  <c r="Q85"/>
  <c r="Q83"/>
  <c r="Q81"/>
  <c r="Q79"/>
  <c r="Q77"/>
  <c r="Q75"/>
  <c r="Q73"/>
  <c r="Q71"/>
  <c r="Q69"/>
  <c r="Q67"/>
  <c r="Q65"/>
  <c r="Q63"/>
  <c r="Q61"/>
  <c r="Q59"/>
  <c r="Q57"/>
  <c r="Q55"/>
  <c r="Q53"/>
  <c r="Q51"/>
  <c r="Q49"/>
  <c r="Q47"/>
  <c r="Q45"/>
  <c r="Q43"/>
  <c r="Q41"/>
  <c r="Q5"/>
  <c r="Q3"/>
  <c r="Q38"/>
  <c r="Q36"/>
  <c r="Q34"/>
  <c r="Q32"/>
  <c r="Q30"/>
  <c r="Q28"/>
  <c r="Q26"/>
  <c r="Q24"/>
  <c r="Q22"/>
  <c r="Q20"/>
  <c r="Q150"/>
  <c r="Q148"/>
  <c r="Q146"/>
  <c r="Q144"/>
  <c r="Q142"/>
  <c r="Q140"/>
  <c r="Q138"/>
  <c r="Q136"/>
  <c r="Q134"/>
  <c r="Q132"/>
  <c r="Q130"/>
  <c r="Q128"/>
  <c r="Q126"/>
  <c r="Q124"/>
  <c r="Q122"/>
  <c r="Q120"/>
  <c r="Q118"/>
  <c r="Q116"/>
  <c r="Q114"/>
  <c r="Q112"/>
  <c r="Q110"/>
  <c r="Q108"/>
  <c r="Q106"/>
  <c r="Q104"/>
  <c r="Q102"/>
  <c r="Q100"/>
  <c r="Q98"/>
  <c r="Q96"/>
  <c r="Q94"/>
  <c r="Q92"/>
  <c r="Q90"/>
  <c r="Q88"/>
  <c r="Q86"/>
  <c r="Q84"/>
  <c r="Q82"/>
  <c r="Q80"/>
  <c r="Q78"/>
  <c r="Q76"/>
  <c r="Q74"/>
  <c r="Q72"/>
  <c r="Q70"/>
  <c r="Q68"/>
  <c r="Q66"/>
  <c r="Q64"/>
  <c r="Q62"/>
  <c r="Q60"/>
  <c r="Q58"/>
  <c r="Q56"/>
  <c r="Q54"/>
  <c r="Q52"/>
  <c r="Q50"/>
  <c r="Q48"/>
  <c r="Q46"/>
  <c r="Q44"/>
  <c r="Q42"/>
  <c r="Q40"/>
  <c r="Q18"/>
  <c r="Q14"/>
  <c r="Q10"/>
  <c r="Q2"/>
  <c r="Q147" i="20"/>
  <c r="Q145"/>
  <c r="Q143"/>
  <c r="Q141"/>
  <c r="Q139"/>
  <c r="Q137"/>
  <c r="Q135"/>
  <c r="Q133"/>
  <c r="Q131"/>
  <c r="Q129"/>
  <c r="Q127"/>
  <c r="Q125"/>
  <c r="Q123"/>
  <c r="Q121"/>
  <c r="Q119"/>
  <c r="Q117"/>
  <c r="Q115"/>
  <c r="Q113"/>
  <c r="Q111"/>
  <c r="Q109"/>
  <c r="Q107"/>
  <c r="Q105"/>
  <c r="Q103"/>
  <c r="Q101"/>
  <c r="Q99"/>
  <c r="Q97"/>
  <c r="Q95"/>
  <c r="Q93"/>
  <c r="Q91"/>
  <c r="Q89"/>
  <c r="Q87"/>
  <c r="Q85"/>
  <c r="Q83"/>
  <c r="Q81"/>
  <c r="Q79"/>
  <c r="Q77"/>
  <c r="Q144"/>
  <c r="Q142"/>
  <c r="Q140"/>
  <c r="Q138"/>
  <c r="Q136"/>
  <c r="Q134"/>
  <c r="Q132"/>
  <c r="Q130"/>
  <c r="Q128"/>
  <c r="Q126"/>
  <c r="Q124"/>
  <c r="Q122"/>
  <c r="Q120"/>
  <c r="Q118"/>
  <c r="Q116"/>
  <c r="Q114"/>
  <c r="Q112"/>
  <c r="Q110"/>
  <c r="Q108"/>
  <c r="Q106"/>
  <c r="Q104"/>
  <c r="Q102"/>
  <c r="Q100"/>
  <c r="Q98"/>
  <c r="Q96"/>
  <c r="Q94"/>
  <c r="Q92"/>
  <c r="Q90"/>
  <c r="Q88"/>
  <c r="Q86"/>
  <c r="Q84"/>
  <c r="Q82"/>
  <c r="Q80"/>
  <c r="Q78"/>
  <c r="Q76"/>
  <c r="Q16" i="21"/>
  <c r="Q12"/>
  <c r="Q8"/>
  <c r="Q6"/>
  <c r="Q4"/>
  <c r="Q151" i="20"/>
  <c r="Q149"/>
  <c r="Q75"/>
  <c r="Q73"/>
  <c r="Q71"/>
  <c r="Q69"/>
  <c r="Q67"/>
  <c r="Q65"/>
  <c r="Q63"/>
  <c r="Q61"/>
  <c r="Q59"/>
  <c r="Q57"/>
  <c r="Q55"/>
  <c r="Q53"/>
  <c r="Q51"/>
  <c r="Q49"/>
  <c r="Q47"/>
  <c r="Q45"/>
  <c r="Q43"/>
  <c r="Q41"/>
  <c r="Q39"/>
  <c r="Q37"/>
  <c r="Q35"/>
  <c r="Q33"/>
  <c r="Q31"/>
  <c r="Q29"/>
  <c r="Q27"/>
  <c r="Q25"/>
  <c r="Q23"/>
  <c r="Q21"/>
  <c r="Q19"/>
  <c r="Q17"/>
  <c r="Q15"/>
  <c r="Q13"/>
  <c r="Q11"/>
  <c r="Q9"/>
  <c r="Q7"/>
  <c r="Q5"/>
  <c r="Q3"/>
  <c r="Q150"/>
  <c r="Q148"/>
  <c r="Q146"/>
  <c r="Q74"/>
  <c r="Q72"/>
  <c r="Q70"/>
  <c r="Q68"/>
  <c r="Q66"/>
  <c r="Q64"/>
  <c r="Q62"/>
  <c r="Q60"/>
  <c r="Q58"/>
  <c r="Q56"/>
  <c r="Q54"/>
  <c r="Q52"/>
  <c r="Q50"/>
  <c r="Q48"/>
  <c r="Q46"/>
  <c r="Q44"/>
  <c r="Q42"/>
  <c r="Q40"/>
  <c r="Q38"/>
  <c r="Q36"/>
  <c r="Q34"/>
  <c r="Q32"/>
  <c r="Q30"/>
  <c r="Q28"/>
  <c r="Q26"/>
  <c r="Q24"/>
  <c r="Q22"/>
  <c r="Q20"/>
  <c r="Q18"/>
  <c r="Q16"/>
  <c r="Q14"/>
  <c r="Q12"/>
  <c r="Q10"/>
  <c r="Q8"/>
  <c r="Q6"/>
  <c r="Q4"/>
  <c r="Q2"/>
  <c r="K95" i="23"/>
  <c r="L95"/>
  <c r="M95"/>
  <c r="K15"/>
  <c r="M15"/>
  <c r="L15"/>
  <c r="K40"/>
  <c r="L40"/>
  <c r="M40"/>
  <c r="K124"/>
  <c r="L124"/>
  <c r="M124"/>
  <c r="K39"/>
  <c r="L39"/>
  <c r="M39"/>
  <c r="G151" i="21"/>
  <c r="G149"/>
  <c r="G147"/>
  <c r="G145"/>
  <c r="G143"/>
  <c r="G141"/>
  <c r="G139"/>
  <c r="G137"/>
  <c r="G135"/>
  <c r="G133"/>
  <c r="G131"/>
  <c r="G129"/>
  <c r="G127"/>
  <c r="G125"/>
  <c r="G123"/>
  <c r="G121"/>
  <c r="G119"/>
  <c r="G117"/>
  <c r="G115"/>
  <c r="G113"/>
  <c r="G111"/>
  <c r="G109"/>
  <c r="G107"/>
  <c r="G105"/>
  <c r="G103"/>
  <c r="G101"/>
  <c r="G99"/>
  <c r="G97"/>
  <c r="G95"/>
  <c r="G93"/>
  <c r="G91"/>
  <c r="G89"/>
  <c r="G87"/>
  <c r="G85"/>
  <c r="G83"/>
  <c r="G81"/>
  <c r="G79"/>
  <c r="G77"/>
  <c r="G75"/>
  <c r="G73"/>
  <c r="G71"/>
  <c r="G69"/>
  <c r="G67"/>
  <c r="G65"/>
  <c r="G63"/>
  <c r="G61"/>
  <c r="G59"/>
  <c r="G57"/>
  <c r="G55"/>
  <c r="G53"/>
  <c r="G51"/>
  <c r="G49"/>
  <c r="G47"/>
  <c r="G45"/>
  <c r="G43"/>
  <c r="G41"/>
  <c r="G39"/>
  <c r="G37"/>
  <c r="G35"/>
  <c r="G33"/>
  <c r="G31"/>
  <c r="G29"/>
  <c r="G27"/>
  <c r="G25"/>
  <c r="G23"/>
  <c r="G21"/>
  <c r="G19"/>
  <c r="G17"/>
  <c r="G15"/>
  <c r="G13"/>
  <c r="G11"/>
  <c r="G9"/>
  <c r="G7"/>
  <c r="G150"/>
  <c r="G148"/>
  <c r="G146"/>
  <c r="G144"/>
  <c r="G142"/>
  <c r="G140"/>
  <c r="G138"/>
  <c r="G136"/>
  <c r="G134"/>
  <c r="G132"/>
  <c r="G130"/>
  <c r="G128"/>
  <c r="G126"/>
  <c r="G124"/>
  <c r="G122"/>
  <c r="G120"/>
  <c r="G118"/>
  <c r="G116"/>
  <c r="G114"/>
  <c r="G112"/>
  <c r="G110"/>
  <c r="G108"/>
  <c r="G106"/>
  <c r="G104"/>
  <c r="G102"/>
  <c r="G100"/>
  <c r="G98"/>
  <c r="G96"/>
  <c r="G94"/>
  <c r="G92"/>
  <c r="G90"/>
  <c r="G88"/>
  <c r="G86"/>
  <c r="G84"/>
  <c r="G82"/>
  <c r="G80"/>
  <c r="G78"/>
  <c r="G76"/>
  <c r="G74"/>
  <c r="G72"/>
  <c r="G70"/>
  <c r="G68"/>
  <c r="G66"/>
  <c r="G64"/>
  <c r="G62"/>
  <c r="G60"/>
  <c r="G58"/>
  <c r="G56"/>
  <c r="G54"/>
  <c r="G52"/>
  <c r="G50"/>
  <c r="G48"/>
  <c r="G46"/>
  <c r="G44"/>
  <c r="G42"/>
  <c r="G40"/>
  <c r="G5"/>
  <c r="G3"/>
  <c r="G38"/>
  <c r="G36"/>
  <c r="G34"/>
  <c r="G32"/>
  <c r="G30"/>
  <c r="G28"/>
  <c r="G26"/>
  <c r="G24"/>
  <c r="G22"/>
  <c r="G20"/>
  <c r="G18"/>
  <c r="G16"/>
  <c r="G14"/>
  <c r="G12"/>
  <c r="G10"/>
  <c r="G8"/>
  <c r="G6"/>
  <c r="G4"/>
  <c r="G151" i="20"/>
  <c r="G149"/>
  <c r="G75"/>
  <c r="G73"/>
  <c r="G71"/>
  <c r="G69"/>
  <c r="G67"/>
  <c r="G65"/>
  <c r="G63"/>
  <c r="G61"/>
  <c r="G59"/>
  <c r="G57"/>
  <c r="G55"/>
  <c r="G53"/>
  <c r="G51"/>
  <c r="G49"/>
  <c r="G47"/>
  <c r="G45"/>
  <c r="G43"/>
  <c r="G41"/>
  <c r="G37"/>
  <c r="G35"/>
  <c r="G33"/>
  <c r="G31"/>
  <c r="G29"/>
  <c r="G27"/>
  <c r="G25"/>
  <c r="G23"/>
  <c r="G21"/>
  <c r="G19"/>
  <c r="G17"/>
  <c r="G15"/>
  <c r="G13"/>
  <c r="G11"/>
  <c r="G9"/>
  <c r="G7"/>
  <c r="G5"/>
  <c r="G3"/>
  <c r="G150"/>
  <c r="G74"/>
  <c r="G72"/>
  <c r="G70"/>
  <c r="G68"/>
  <c r="G66"/>
  <c r="G64"/>
  <c r="G62"/>
  <c r="G60"/>
  <c r="G58"/>
  <c r="G56"/>
  <c r="G54"/>
  <c r="G52"/>
  <c r="G50"/>
  <c r="G48"/>
  <c r="G46"/>
  <c r="G44"/>
  <c r="G42"/>
  <c r="G40"/>
  <c r="G38"/>
  <c r="G36"/>
  <c r="G34"/>
  <c r="G32"/>
  <c r="G30"/>
  <c r="G2" i="21"/>
  <c r="G147" i="20"/>
  <c r="G145"/>
  <c r="G143"/>
  <c r="G141"/>
  <c r="G139"/>
  <c r="G137"/>
  <c r="G135"/>
  <c r="G133"/>
  <c r="G131"/>
  <c r="G129"/>
  <c r="G127"/>
  <c r="G125"/>
  <c r="G123"/>
  <c r="G121"/>
  <c r="G119"/>
  <c r="G117"/>
  <c r="G115"/>
  <c r="G113"/>
  <c r="G111"/>
  <c r="G109"/>
  <c r="G107"/>
  <c r="G105"/>
  <c r="G103"/>
  <c r="G101"/>
  <c r="G99"/>
  <c r="G97"/>
  <c r="G95"/>
  <c r="G93"/>
  <c r="G91"/>
  <c r="G89"/>
  <c r="G87"/>
  <c r="G85"/>
  <c r="G83"/>
  <c r="G81"/>
  <c r="G79"/>
  <c r="G77"/>
  <c r="G39"/>
  <c r="G148"/>
  <c r="G146"/>
  <c r="G144"/>
  <c r="G142"/>
  <c r="G140"/>
  <c r="G138"/>
  <c r="G136"/>
  <c r="G134"/>
  <c r="G132"/>
  <c r="G130"/>
  <c r="G128"/>
  <c r="G126"/>
  <c r="G124"/>
  <c r="G122"/>
  <c r="G120"/>
  <c r="G118"/>
  <c r="G116"/>
  <c r="G114"/>
  <c r="G112"/>
  <c r="G110"/>
  <c r="G108"/>
  <c r="G106"/>
  <c r="G104"/>
  <c r="G102"/>
  <c r="G100"/>
  <c r="G98"/>
  <c r="G96"/>
  <c r="G94"/>
  <c r="G92"/>
  <c r="G90"/>
  <c r="G88"/>
  <c r="G86"/>
  <c r="G84"/>
  <c r="G82"/>
  <c r="G80"/>
  <c r="G78"/>
  <c r="G76"/>
  <c r="G26"/>
  <c r="G22"/>
  <c r="G20"/>
  <c r="G18"/>
  <c r="G16"/>
  <c r="G14"/>
  <c r="G12"/>
  <c r="G10"/>
  <c r="G8"/>
  <c r="G6"/>
  <c r="G28"/>
  <c r="G24"/>
  <c r="G2"/>
  <c r="G4"/>
  <c r="K136" i="23"/>
  <c r="L136"/>
  <c r="M136"/>
  <c r="AP54" i="26"/>
  <c r="G11" i="23"/>
  <c r="K47"/>
  <c r="L47"/>
  <c r="M47"/>
  <c r="K91"/>
  <c r="L91"/>
  <c r="M91"/>
  <c r="K28"/>
  <c r="L28"/>
  <c r="M28"/>
  <c r="AW139" i="26"/>
  <c r="C40" i="23"/>
  <c r="K104"/>
  <c r="L104"/>
  <c r="M104"/>
  <c r="K75"/>
  <c r="L75"/>
  <c r="M75"/>
  <c r="K87"/>
  <c r="L87"/>
  <c r="M87"/>
  <c r="K90"/>
  <c r="M90"/>
  <c r="L90"/>
  <c r="K77"/>
  <c r="L77"/>
  <c r="M77"/>
  <c r="K141"/>
  <c r="L141"/>
  <c r="M141"/>
  <c r="E37" i="21"/>
  <c r="E35"/>
  <c r="E33"/>
  <c r="E31"/>
  <c r="E29"/>
  <c r="E27"/>
  <c r="E25"/>
  <c r="E23"/>
  <c r="E21"/>
  <c r="E19"/>
  <c r="E17"/>
  <c r="E15"/>
  <c r="E13"/>
  <c r="E11"/>
  <c r="E9"/>
  <c r="E7"/>
  <c r="E151"/>
  <c r="E149"/>
  <c r="E147"/>
  <c r="E145"/>
  <c r="E143"/>
  <c r="E141"/>
  <c r="E139"/>
  <c r="E137"/>
  <c r="E135"/>
  <c r="E133"/>
  <c r="E131"/>
  <c r="E129"/>
  <c r="E127"/>
  <c r="E125"/>
  <c r="E123"/>
  <c r="E121"/>
  <c r="E119"/>
  <c r="E117"/>
  <c r="E115"/>
  <c r="E113"/>
  <c r="E111"/>
  <c r="E109"/>
  <c r="E107"/>
  <c r="E105"/>
  <c r="E103"/>
  <c r="E101"/>
  <c r="E99"/>
  <c r="E97"/>
  <c r="E95"/>
  <c r="E93"/>
  <c r="E91"/>
  <c r="E89"/>
  <c r="E87"/>
  <c r="E85"/>
  <c r="E83"/>
  <c r="E81"/>
  <c r="E79"/>
  <c r="E77"/>
  <c r="E75"/>
  <c r="E73"/>
  <c r="E71"/>
  <c r="E69"/>
  <c r="E67"/>
  <c r="E65"/>
  <c r="E63"/>
  <c r="E61"/>
  <c r="E59"/>
  <c r="E57"/>
  <c r="E55"/>
  <c r="E53"/>
  <c r="E51"/>
  <c r="E49"/>
  <c r="E47"/>
  <c r="E45"/>
  <c r="E43"/>
  <c r="E41"/>
  <c r="E39"/>
  <c r="E5"/>
  <c r="E3"/>
  <c r="E38"/>
  <c r="E36"/>
  <c r="E34"/>
  <c r="E32"/>
  <c r="E30"/>
  <c r="E28"/>
  <c r="E26"/>
  <c r="E24"/>
  <c r="E22"/>
  <c r="E20"/>
  <c r="E18"/>
  <c r="E150"/>
  <c r="E148"/>
  <c r="E146"/>
  <c r="E144"/>
  <c r="E142"/>
  <c r="E140"/>
  <c r="E138"/>
  <c r="E136"/>
  <c r="E134"/>
  <c r="E132"/>
  <c r="E130"/>
  <c r="E128"/>
  <c r="E126"/>
  <c r="E124"/>
  <c r="E122"/>
  <c r="E120"/>
  <c r="E118"/>
  <c r="E116"/>
  <c r="E114"/>
  <c r="E112"/>
  <c r="E110"/>
  <c r="E108"/>
  <c r="E106"/>
  <c r="E104"/>
  <c r="E102"/>
  <c r="E100"/>
  <c r="E98"/>
  <c r="E96"/>
  <c r="E94"/>
  <c r="E92"/>
  <c r="E90"/>
  <c r="E88"/>
  <c r="E86"/>
  <c r="E84"/>
  <c r="E82"/>
  <c r="E80"/>
  <c r="E78"/>
  <c r="E76"/>
  <c r="E74"/>
  <c r="E72"/>
  <c r="E70"/>
  <c r="E68"/>
  <c r="E66"/>
  <c r="E64"/>
  <c r="E62"/>
  <c r="E60"/>
  <c r="E58"/>
  <c r="E56"/>
  <c r="E54"/>
  <c r="E52"/>
  <c r="E50"/>
  <c r="E48"/>
  <c r="E46"/>
  <c r="E44"/>
  <c r="E42"/>
  <c r="E40"/>
  <c r="E16"/>
  <c r="E12"/>
  <c r="E145" i="20"/>
  <c r="E143"/>
  <c r="E141"/>
  <c r="E139"/>
  <c r="E137"/>
  <c r="E135"/>
  <c r="E133"/>
  <c r="E131"/>
  <c r="E129"/>
  <c r="E127"/>
  <c r="E125"/>
  <c r="E123"/>
  <c r="E121"/>
  <c r="E119"/>
  <c r="E117"/>
  <c r="E115"/>
  <c r="E113"/>
  <c r="E111"/>
  <c r="E109"/>
  <c r="E107"/>
  <c r="E105"/>
  <c r="E103"/>
  <c r="E101"/>
  <c r="E99"/>
  <c r="E97"/>
  <c r="E95"/>
  <c r="E93"/>
  <c r="E91"/>
  <c r="E89"/>
  <c r="E87"/>
  <c r="E85"/>
  <c r="E83"/>
  <c r="E81"/>
  <c r="E79"/>
  <c r="E77"/>
  <c r="E39"/>
  <c r="E148"/>
  <c r="E146"/>
  <c r="E144"/>
  <c r="E142"/>
  <c r="E140"/>
  <c r="E138"/>
  <c r="E136"/>
  <c r="E134"/>
  <c r="E132"/>
  <c r="E130"/>
  <c r="E128"/>
  <c r="E126"/>
  <c r="E124"/>
  <c r="E122"/>
  <c r="E120"/>
  <c r="E118"/>
  <c r="E116"/>
  <c r="E114"/>
  <c r="E112"/>
  <c r="E110"/>
  <c r="E108"/>
  <c r="E106"/>
  <c r="E104"/>
  <c r="E102"/>
  <c r="E100"/>
  <c r="E98"/>
  <c r="E96"/>
  <c r="E94"/>
  <c r="E92"/>
  <c r="E90"/>
  <c r="E88"/>
  <c r="E86"/>
  <c r="E84"/>
  <c r="E82"/>
  <c r="E80"/>
  <c r="E78"/>
  <c r="E76"/>
  <c r="E14" i="21"/>
  <c r="E10"/>
  <c r="E8"/>
  <c r="E6"/>
  <c r="E4"/>
  <c r="E2"/>
  <c r="E151" i="20"/>
  <c r="E149"/>
  <c r="E147"/>
  <c r="E75"/>
  <c r="E73"/>
  <c r="E71"/>
  <c r="E69"/>
  <c r="E67"/>
  <c r="E65"/>
  <c r="E63"/>
  <c r="E61"/>
  <c r="E59"/>
  <c r="E57"/>
  <c r="E55"/>
  <c r="E53"/>
  <c r="E51"/>
  <c r="E49"/>
  <c r="E47"/>
  <c r="E45"/>
  <c r="E43"/>
  <c r="E41"/>
  <c r="E37"/>
  <c r="E35"/>
  <c r="E33"/>
  <c r="E31"/>
  <c r="E29"/>
  <c r="E27"/>
  <c r="E25"/>
  <c r="E23"/>
  <c r="E21"/>
  <c r="E19"/>
  <c r="E17"/>
  <c r="E15"/>
  <c r="E13"/>
  <c r="E11"/>
  <c r="E9"/>
  <c r="E7"/>
  <c r="E5"/>
  <c r="E3"/>
  <c r="E150"/>
  <c r="E74"/>
  <c r="E72"/>
  <c r="E70"/>
  <c r="E68"/>
  <c r="E66"/>
  <c r="E64"/>
  <c r="E62"/>
  <c r="E60"/>
  <c r="E58"/>
  <c r="E56"/>
  <c r="E54"/>
  <c r="E52"/>
  <c r="E50"/>
  <c r="E48"/>
  <c r="E46"/>
  <c r="E44"/>
  <c r="E42"/>
  <c r="E40"/>
  <c r="E38"/>
  <c r="E36"/>
  <c r="E34"/>
  <c r="E32"/>
  <c r="E30"/>
  <c r="E28"/>
  <c r="E26"/>
  <c r="E24"/>
  <c r="E22"/>
  <c r="E20"/>
  <c r="E18"/>
  <c r="E16"/>
  <c r="E14"/>
  <c r="E12"/>
  <c r="E10"/>
  <c r="E8"/>
  <c r="E6"/>
  <c r="E4"/>
  <c r="E2"/>
  <c r="F151" i="21"/>
  <c r="F147"/>
  <c r="F145"/>
  <c r="F143"/>
  <c r="F141"/>
  <c r="F139"/>
  <c r="F137"/>
  <c r="F135"/>
  <c r="F133"/>
  <c r="F131"/>
  <c r="F129"/>
  <c r="F127"/>
  <c r="F125"/>
  <c r="F123"/>
  <c r="F121"/>
  <c r="F119"/>
  <c r="F117"/>
  <c r="F115"/>
  <c r="F113"/>
  <c r="F111"/>
  <c r="F109"/>
  <c r="F107"/>
  <c r="F105"/>
  <c r="F103"/>
  <c r="F101"/>
  <c r="F99"/>
  <c r="F97"/>
  <c r="F95"/>
  <c r="F93"/>
  <c r="F91"/>
  <c r="F89"/>
  <c r="F87"/>
  <c r="F85"/>
  <c r="F83"/>
  <c r="F81"/>
  <c r="F79"/>
  <c r="F77"/>
  <c r="F75"/>
  <c r="F73"/>
  <c r="F71"/>
  <c r="F69"/>
  <c r="F67"/>
  <c r="F65"/>
  <c r="F63"/>
  <c r="F61"/>
  <c r="F59"/>
  <c r="F57"/>
  <c r="F55"/>
  <c r="F53"/>
  <c r="F51"/>
  <c r="F49"/>
  <c r="F47"/>
  <c r="F45"/>
  <c r="F43"/>
  <c r="F41"/>
  <c r="F149"/>
  <c r="F39"/>
  <c r="F37"/>
  <c r="F35"/>
  <c r="F33"/>
  <c r="F31"/>
  <c r="F29"/>
  <c r="F27"/>
  <c r="F25"/>
  <c r="F23"/>
  <c r="F21"/>
  <c r="F19"/>
  <c r="F17"/>
  <c r="F15"/>
  <c r="F13"/>
  <c r="F11"/>
  <c r="F9"/>
  <c r="F7"/>
  <c r="F5"/>
  <c r="F150"/>
  <c r="F148"/>
  <c r="F146"/>
  <c r="F144"/>
  <c r="F142"/>
  <c r="F140"/>
  <c r="F138"/>
  <c r="F136"/>
  <c r="F134"/>
  <c r="F132"/>
  <c r="F130"/>
  <c r="F128"/>
  <c r="F126"/>
  <c r="F124"/>
  <c r="F122"/>
  <c r="F120"/>
  <c r="F118"/>
  <c r="F116"/>
  <c r="F114"/>
  <c r="F112"/>
  <c r="F110"/>
  <c r="F108"/>
  <c r="F106"/>
  <c r="F104"/>
  <c r="F102"/>
  <c r="F100"/>
  <c r="F98"/>
  <c r="F96"/>
  <c r="F94"/>
  <c r="F92"/>
  <c r="F90"/>
  <c r="F88"/>
  <c r="F86"/>
  <c r="F84"/>
  <c r="F82"/>
  <c r="F80"/>
  <c r="F78"/>
  <c r="F76"/>
  <c r="F74"/>
  <c r="F72"/>
  <c r="F70"/>
  <c r="F68"/>
  <c r="F66"/>
  <c r="F64"/>
  <c r="F62"/>
  <c r="F60"/>
  <c r="F58"/>
  <c r="F56"/>
  <c r="F54"/>
  <c r="F52"/>
  <c r="F50"/>
  <c r="F48"/>
  <c r="F46"/>
  <c r="F44"/>
  <c r="F42"/>
  <c r="F40"/>
  <c r="F3"/>
  <c r="F38"/>
  <c r="F36"/>
  <c r="F34"/>
  <c r="F32"/>
  <c r="F30"/>
  <c r="F28"/>
  <c r="F26"/>
  <c r="F24"/>
  <c r="F22"/>
  <c r="F20"/>
  <c r="F18"/>
  <c r="F16"/>
  <c r="F14"/>
  <c r="F12"/>
  <c r="F10"/>
  <c r="F8"/>
  <c r="F6"/>
  <c r="F4"/>
  <c r="F2"/>
  <c r="F151" i="20"/>
  <c r="F149"/>
  <c r="F147"/>
  <c r="F75"/>
  <c r="F73"/>
  <c r="F71"/>
  <c r="F69"/>
  <c r="F67"/>
  <c r="F65"/>
  <c r="F63"/>
  <c r="F61"/>
  <c r="F59"/>
  <c r="F57"/>
  <c r="F55"/>
  <c r="F53"/>
  <c r="F51"/>
  <c r="F49"/>
  <c r="F47"/>
  <c r="F45"/>
  <c r="F43"/>
  <c r="F41"/>
  <c r="F39"/>
  <c r="F37"/>
  <c r="F35"/>
  <c r="F33"/>
  <c r="F31"/>
  <c r="F29"/>
  <c r="F27"/>
  <c r="F25"/>
  <c r="F23"/>
  <c r="F21"/>
  <c r="F19"/>
  <c r="F17"/>
  <c r="F15"/>
  <c r="F13"/>
  <c r="F11"/>
  <c r="F9"/>
  <c r="F7"/>
  <c r="F5"/>
  <c r="F3"/>
  <c r="F150"/>
  <c r="F148"/>
  <c r="F146"/>
  <c r="F74"/>
  <c r="F72"/>
  <c r="F70"/>
  <c r="F68"/>
  <c r="F66"/>
  <c r="F64"/>
  <c r="F62"/>
  <c r="F60"/>
  <c r="F58"/>
  <c r="F56"/>
  <c r="F54"/>
  <c r="F52"/>
  <c r="F50"/>
  <c r="F48"/>
  <c r="F46"/>
  <c r="F44"/>
  <c r="F42"/>
  <c r="F40"/>
  <c r="F38"/>
  <c r="F36"/>
  <c r="F34"/>
  <c r="F32"/>
  <c r="F30"/>
  <c r="F28"/>
  <c r="F145"/>
  <c r="F143"/>
  <c r="F141"/>
  <c r="F139"/>
  <c r="F137"/>
  <c r="F135"/>
  <c r="F133"/>
  <c r="F131"/>
  <c r="F129"/>
  <c r="F127"/>
  <c r="F125"/>
  <c r="F123"/>
  <c r="F121"/>
  <c r="F119"/>
  <c r="F117"/>
  <c r="F115"/>
  <c r="F113"/>
  <c r="F111"/>
  <c r="F109"/>
  <c r="F107"/>
  <c r="F105"/>
  <c r="F103"/>
  <c r="F101"/>
  <c r="F99"/>
  <c r="F97"/>
  <c r="F95"/>
  <c r="F93"/>
  <c r="F91"/>
  <c r="F89"/>
  <c r="F87"/>
  <c r="F85"/>
  <c r="F83"/>
  <c r="F81"/>
  <c r="F79"/>
  <c r="F77"/>
  <c r="F144"/>
  <c r="F142"/>
  <c r="F140"/>
  <c r="F138"/>
  <c r="F136"/>
  <c r="F134"/>
  <c r="F132"/>
  <c r="F130"/>
  <c r="F128"/>
  <c r="F126"/>
  <c r="F124"/>
  <c r="F122"/>
  <c r="F120"/>
  <c r="F118"/>
  <c r="F116"/>
  <c r="F114"/>
  <c r="F112"/>
  <c r="F110"/>
  <c r="F108"/>
  <c r="F106"/>
  <c r="F104"/>
  <c r="F102"/>
  <c r="F100"/>
  <c r="F98"/>
  <c r="F96"/>
  <c r="F94"/>
  <c r="F92"/>
  <c r="F90"/>
  <c r="F88"/>
  <c r="F86"/>
  <c r="F84"/>
  <c r="F82"/>
  <c r="F80"/>
  <c r="F78"/>
  <c r="F76"/>
  <c r="F26"/>
  <c r="F22"/>
  <c r="F18"/>
  <c r="F16"/>
  <c r="F14"/>
  <c r="F12"/>
  <c r="F10"/>
  <c r="F8"/>
  <c r="F6"/>
  <c r="F4"/>
  <c r="F2"/>
  <c r="F24"/>
  <c r="F20"/>
  <c r="K79" i="23"/>
  <c r="L79"/>
  <c r="M79"/>
  <c r="L39" i="21"/>
  <c r="L37"/>
  <c r="L35"/>
  <c r="L33"/>
  <c r="L31"/>
  <c r="L29"/>
  <c r="L27"/>
  <c r="L25"/>
  <c r="L23"/>
  <c r="L21"/>
  <c r="L19"/>
  <c r="L17"/>
  <c r="L15"/>
  <c r="L13"/>
  <c r="L11"/>
  <c r="L9"/>
  <c r="L7"/>
  <c r="L151"/>
  <c r="L149"/>
  <c r="L147"/>
  <c r="L145"/>
  <c r="L143"/>
  <c r="L141"/>
  <c r="L139"/>
  <c r="L137"/>
  <c r="L135"/>
  <c r="L133"/>
  <c r="L131"/>
  <c r="L129"/>
  <c r="L127"/>
  <c r="L125"/>
  <c r="L123"/>
  <c r="L121"/>
  <c r="L119"/>
  <c r="L117"/>
  <c r="L115"/>
  <c r="L113"/>
  <c r="L111"/>
  <c r="L109"/>
  <c r="L107"/>
  <c r="L105"/>
  <c r="L103"/>
  <c r="L101"/>
  <c r="L99"/>
  <c r="L97"/>
  <c r="L95"/>
  <c r="L93"/>
  <c r="L91"/>
  <c r="L89"/>
  <c r="L87"/>
  <c r="L85"/>
  <c r="L83"/>
  <c r="L81"/>
  <c r="L79"/>
  <c r="L77"/>
  <c r="L75"/>
  <c r="L73"/>
  <c r="L71"/>
  <c r="L69"/>
  <c r="L67"/>
  <c r="L65"/>
  <c r="L63"/>
  <c r="L61"/>
  <c r="L59"/>
  <c r="L57"/>
  <c r="L55"/>
  <c r="L53"/>
  <c r="L51"/>
  <c r="L49"/>
  <c r="L47"/>
  <c r="L45"/>
  <c r="L43"/>
  <c r="L41"/>
  <c r="L5"/>
  <c r="L3"/>
  <c r="L38"/>
  <c r="L36"/>
  <c r="L34"/>
  <c r="L32"/>
  <c r="L30"/>
  <c r="L28"/>
  <c r="L26"/>
  <c r="L24"/>
  <c r="L22"/>
  <c r="L20"/>
  <c r="L18"/>
  <c r="L150"/>
  <c r="L148"/>
  <c r="L146"/>
  <c r="L144"/>
  <c r="L142"/>
  <c r="L140"/>
  <c r="L138"/>
  <c r="L136"/>
  <c r="L134"/>
  <c r="L132"/>
  <c r="L130"/>
  <c r="L128"/>
  <c r="L126"/>
  <c r="L124"/>
  <c r="L122"/>
  <c r="L120"/>
  <c r="L118"/>
  <c r="L116"/>
  <c r="L114"/>
  <c r="L112"/>
  <c r="L110"/>
  <c r="L108"/>
  <c r="L106"/>
  <c r="L104"/>
  <c r="L102"/>
  <c r="L100"/>
  <c r="L98"/>
  <c r="L96"/>
  <c r="L94"/>
  <c r="L92"/>
  <c r="L90"/>
  <c r="L88"/>
  <c r="L86"/>
  <c r="L84"/>
  <c r="L82"/>
  <c r="L80"/>
  <c r="L78"/>
  <c r="L76"/>
  <c r="L74"/>
  <c r="L72"/>
  <c r="L70"/>
  <c r="L68"/>
  <c r="L66"/>
  <c r="L64"/>
  <c r="L62"/>
  <c r="L60"/>
  <c r="L58"/>
  <c r="L56"/>
  <c r="L54"/>
  <c r="L52"/>
  <c r="L50"/>
  <c r="L48"/>
  <c r="L46"/>
  <c r="L44"/>
  <c r="L42"/>
  <c r="L40"/>
  <c r="L16"/>
  <c r="L12"/>
  <c r="L149" i="20"/>
  <c r="L145"/>
  <c r="L143"/>
  <c r="L141"/>
  <c r="L139"/>
  <c r="L137"/>
  <c r="L135"/>
  <c r="L133"/>
  <c r="L131"/>
  <c r="L129"/>
  <c r="L127"/>
  <c r="L125"/>
  <c r="L123"/>
  <c r="L121"/>
  <c r="L119"/>
  <c r="L117"/>
  <c r="L115"/>
  <c r="L113"/>
  <c r="L111"/>
  <c r="L109"/>
  <c r="L107"/>
  <c r="L105"/>
  <c r="L103"/>
  <c r="L101"/>
  <c r="L99"/>
  <c r="L97"/>
  <c r="L95"/>
  <c r="L93"/>
  <c r="L91"/>
  <c r="L89"/>
  <c r="L87"/>
  <c r="L85"/>
  <c r="L83"/>
  <c r="L81"/>
  <c r="L79"/>
  <c r="L77"/>
  <c r="L39"/>
  <c r="L144"/>
  <c r="L142"/>
  <c r="L140"/>
  <c r="L138"/>
  <c r="L136"/>
  <c r="L134"/>
  <c r="L132"/>
  <c r="L130"/>
  <c r="L128"/>
  <c r="L126"/>
  <c r="L124"/>
  <c r="L122"/>
  <c r="L120"/>
  <c r="L118"/>
  <c r="L116"/>
  <c r="L114"/>
  <c r="L112"/>
  <c r="L110"/>
  <c r="L108"/>
  <c r="L106"/>
  <c r="L104"/>
  <c r="L102"/>
  <c r="L100"/>
  <c r="L98"/>
  <c r="L96"/>
  <c r="L94"/>
  <c r="L92"/>
  <c r="L90"/>
  <c r="L88"/>
  <c r="L86"/>
  <c r="L84"/>
  <c r="L82"/>
  <c r="L80"/>
  <c r="L78"/>
  <c r="L76"/>
  <c r="L14" i="21"/>
  <c r="L10"/>
  <c r="L8"/>
  <c r="L6"/>
  <c r="L4"/>
  <c r="L2"/>
  <c r="L151" i="20"/>
  <c r="L147"/>
  <c r="L75"/>
  <c r="L73"/>
  <c r="L71"/>
  <c r="L69"/>
  <c r="L67"/>
  <c r="L65"/>
  <c r="L63"/>
  <c r="L61"/>
  <c r="L59"/>
  <c r="L57"/>
  <c r="L55"/>
  <c r="L53"/>
  <c r="L51"/>
  <c r="L49"/>
  <c r="L47"/>
  <c r="L45"/>
  <c r="L43"/>
  <c r="L41"/>
  <c r="L37"/>
  <c r="L35"/>
  <c r="L33"/>
  <c r="L31"/>
  <c r="L29"/>
  <c r="L27"/>
  <c r="L25"/>
  <c r="L23"/>
  <c r="L21"/>
  <c r="L19"/>
  <c r="L17"/>
  <c r="L15"/>
  <c r="L13"/>
  <c r="L11"/>
  <c r="L9"/>
  <c r="L7"/>
  <c r="L5"/>
  <c r="L3"/>
  <c r="L150"/>
  <c r="L148"/>
  <c r="L146"/>
  <c r="L74"/>
  <c r="L72"/>
  <c r="L70"/>
  <c r="L68"/>
  <c r="L66"/>
  <c r="L64"/>
  <c r="L62"/>
  <c r="L60"/>
  <c r="L58"/>
  <c r="L56"/>
  <c r="L54"/>
  <c r="L52"/>
  <c r="L50"/>
  <c r="L48"/>
  <c r="L46"/>
  <c r="L44"/>
  <c r="L42"/>
  <c r="L40"/>
  <c r="L38"/>
  <c r="L36"/>
  <c r="L34"/>
  <c r="L32"/>
  <c r="L30"/>
  <c r="L28"/>
  <c r="L26"/>
  <c r="L24"/>
  <c r="L22"/>
  <c r="L20"/>
  <c r="L18"/>
  <c r="L16"/>
  <c r="L14"/>
  <c r="L12"/>
  <c r="L10"/>
  <c r="L8"/>
  <c r="L6"/>
  <c r="L4"/>
  <c r="L2"/>
  <c r="K131" i="23"/>
  <c r="L131"/>
  <c r="M131"/>
  <c r="K98"/>
  <c r="M98"/>
  <c r="L98"/>
  <c r="K88"/>
  <c r="L88"/>
  <c r="M88"/>
  <c r="K22"/>
  <c r="M22"/>
  <c r="L22"/>
  <c r="O151" i="21"/>
  <c r="O147"/>
  <c r="O145"/>
  <c r="O143"/>
  <c r="O141"/>
  <c r="O139"/>
  <c r="O137"/>
  <c r="O135"/>
  <c r="O133"/>
  <c r="O131"/>
  <c r="O129"/>
  <c r="O127"/>
  <c r="O125"/>
  <c r="O123"/>
  <c r="O121"/>
  <c r="O119"/>
  <c r="O117"/>
  <c r="O115"/>
  <c r="O113"/>
  <c r="O111"/>
  <c r="O109"/>
  <c r="O107"/>
  <c r="O105"/>
  <c r="O103"/>
  <c r="O101"/>
  <c r="O99"/>
  <c r="O97"/>
  <c r="O95"/>
  <c r="O93"/>
  <c r="O91"/>
  <c r="O89"/>
  <c r="O87"/>
  <c r="O85"/>
  <c r="O83"/>
  <c r="O81"/>
  <c r="O79"/>
  <c r="O77"/>
  <c r="O75"/>
  <c r="O73"/>
  <c r="O71"/>
  <c r="O69"/>
  <c r="O67"/>
  <c r="O65"/>
  <c r="O63"/>
  <c r="O61"/>
  <c r="O59"/>
  <c r="O57"/>
  <c r="O55"/>
  <c r="O53"/>
  <c r="O51"/>
  <c r="O49"/>
  <c r="O47"/>
  <c r="O45"/>
  <c r="O43"/>
  <c r="O41"/>
  <c r="O149"/>
  <c r="O39"/>
  <c r="O37"/>
  <c r="O35"/>
  <c r="O33"/>
  <c r="O31"/>
  <c r="O29"/>
  <c r="O27"/>
  <c r="O25"/>
  <c r="O23"/>
  <c r="O21"/>
  <c r="O19"/>
  <c r="O17"/>
  <c r="O15"/>
  <c r="O13"/>
  <c r="O11"/>
  <c r="O9"/>
  <c r="O150"/>
  <c r="O148"/>
  <c r="O146"/>
  <c r="O144"/>
  <c r="O142"/>
  <c r="O140"/>
  <c r="O138"/>
  <c r="O136"/>
  <c r="O134"/>
  <c r="O132"/>
  <c r="O130"/>
  <c r="O128"/>
  <c r="O126"/>
  <c r="O124"/>
  <c r="O122"/>
  <c r="O120"/>
  <c r="O118"/>
  <c r="O116"/>
  <c r="O114"/>
  <c r="O112"/>
  <c r="O110"/>
  <c r="O108"/>
  <c r="O106"/>
  <c r="O104"/>
  <c r="O102"/>
  <c r="O100"/>
  <c r="O98"/>
  <c r="O96"/>
  <c r="O94"/>
  <c r="O92"/>
  <c r="O90"/>
  <c r="O88"/>
  <c r="O86"/>
  <c r="O84"/>
  <c r="O82"/>
  <c r="O80"/>
  <c r="O78"/>
  <c r="O76"/>
  <c r="O74"/>
  <c r="O72"/>
  <c r="O70"/>
  <c r="O68"/>
  <c r="O66"/>
  <c r="O64"/>
  <c r="O62"/>
  <c r="O60"/>
  <c r="O58"/>
  <c r="O56"/>
  <c r="O54"/>
  <c r="O52"/>
  <c r="O50"/>
  <c r="O48"/>
  <c r="O46"/>
  <c r="O44"/>
  <c r="O42"/>
  <c r="O40"/>
  <c r="O7"/>
  <c r="O5"/>
  <c r="O3"/>
  <c r="O38"/>
  <c r="O36"/>
  <c r="O34"/>
  <c r="O32"/>
  <c r="O30"/>
  <c r="O28"/>
  <c r="O26"/>
  <c r="O24"/>
  <c r="O22"/>
  <c r="O20"/>
  <c r="O18"/>
  <c r="O16"/>
  <c r="O14"/>
  <c r="O12"/>
  <c r="O10"/>
  <c r="O8"/>
  <c r="O6"/>
  <c r="O4"/>
  <c r="O151" i="20"/>
  <c r="O149"/>
  <c r="O75"/>
  <c r="O73"/>
  <c r="O71"/>
  <c r="O69"/>
  <c r="O67"/>
  <c r="O65"/>
  <c r="O63"/>
  <c r="O61"/>
  <c r="O59"/>
  <c r="O57"/>
  <c r="O55"/>
  <c r="O53"/>
  <c r="O51"/>
  <c r="O49"/>
  <c r="O47"/>
  <c r="O45"/>
  <c r="O43"/>
  <c r="O41"/>
  <c r="O39"/>
  <c r="O37"/>
  <c r="O35"/>
  <c r="O33"/>
  <c r="O31"/>
  <c r="O29"/>
  <c r="O27"/>
  <c r="O25"/>
  <c r="O23"/>
  <c r="O21"/>
  <c r="O19"/>
  <c r="O17"/>
  <c r="O15"/>
  <c r="O13"/>
  <c r="O11"/>
  <c r="O9"/>
  <c r="O7"/>
  <c r="O5"/>
  <c r="O3"/>
  <c r="O150"/>
  <c r="O146"/>
  <c r="O74"/>
  <c r="O72"/>
  <c r="O70"/>
  <c r="O68"/>
  <c r="O66"/>
  <c r="O64"/>
  <c r="O62"/>
  <c r="O60"/>
  <c r="O58"/>
  <c r="O56"/>
  <c r="O54"/>
  <c r="O52"/>
  <c r="O50"/>
  <c r="O48"/>
  <c r="O46"/>
  <c r="O44"/>
  <c r="O42"/>
  <c r="O40"/>
  <c r="O38"/>
  <c r="O36"/>
  <c r="O34"/>
  <c r="O32"/>
  <c r="O30"/>
  <c r="O2" i="21"/>
  <c r="O147" i="20"/>
  <c r="O145"/>
  <c r="O143"/>
  <c r="O141"/>
  <c r="O139"/>
  <c r="O137"/>
  <c r="O135"/>
  <c r="O133"/>
  <c r="O131"/>
  <c r="O129"/>
  <c r="O127"/>
  <c r="O125"/>
  <c r="O123"/>
  <c r="O121"/>
  <c r="O119"/>
  <c r="O117"/>
  <c r="O115"/>
  <c r="O113"/>
  <c r="O111"/>
  <c r="O109"/>
  <c r="O107"/>
  <c r="O105"/>
  <c r="O103"/>
  <c r="O101"/>
  <c r="O99"/>
  <c r="O97"/>
  <c r="O95"/>
  <c r="O93"/>
  <c r="O91"/>
  <c r="O89"/>
  <c r="O87"/>
  <c r="O85"/>
  <c r="O83"/>
  <c r="O81"/>
  <c r="O79"/>
  <c r="O77"/>
  <c r="O148"/>
  <c r="O144"/>
  <c r="O142"/>
  <c r="O140"/>
  <c r="O138"/>
  <c r="O136"/>
  <c r="O134"/>
  <c r="O132"/>
  <c r="O130"/>
  <c r="O128"/>
  <c r="O126"/>
  <c r="O124"/>
  <c r="O122"/>
  <c r="O120"/>
  <c r="O118"/>
  <c r="O116"/>
  <c r="O114"/>
  <c r="O112"/>
  <c r="O110"/>
  <c r="O108"/>
  <c r="O106"/>
  <c r="O104"/>
  <c r="O102"/>
  <c r="O100"/>
  <c r="O98"/>
  <c r="O96"/>
  <c r="O94"/>
  <c r="O92"/>
  <c r="O90"/>
  <c r="O88"/>
  <c r="O86"/>
  <c r="O84"/>
  <c r="O82"/>
  <c r="O80"/>
  <c r="O78"/>
  <c r="O76"/>
  <c r="O26"/>
  <c r="O22"/>
  <c r="O20"/>
  <c r="O18"/>
  <c r="O16"/>
  <c r="O14"/>
  <c r="O12"/>
  <c r="O10"/>
  <c r="O8"/>
  <c r="O6"/>
  <c r="O28"/>
  <c r="O24"/>
  <c r="O2"/>
  <c r="O4"/>
  <c r="K33" i="23"/>
  <c r="L33"/>
  <c r="M33"/>
  <c r="K7"/>
  <c r="M7"/>
  <c r="L7"/>
  <c r="AW41" i="26"/>
  <c r="C10" i="23"/>
  <c r="K48"/>
  <c r="L48"/>
  <c r="M48"/>
  <c r="K27"/>
  <c r="M27"/>
  <c r="L27"/>
  <c r="K56"/>
  <c r="L56"/>
  <c r="M56"/>
  <c r="K59"/>
  <c r="L59"/>
  <c r="M59"/>
  <c r="K85"/>
  <c r="L85"/>
  <c r="M85"/>
  <c r="K144"/>
  <c r="L144"/>
  <c r="M144"/>
  <c r="K24"/>
  <c r="L24"/>
  <c r="M24"/>
  <c r="P37" i="21"/>
  <c r="P35"/>
  <c r="P33"/>
  <c r="P31"/>
  <c r="P29"/>
  <c r="P27"/>
  <c r="P25"/>
  <c r="P23"/>
  <c r="P21"/>
  <c r="P19"/>
  <c r="P17"/>
  <c r="P15"/>
  <c r="P13"/>
  <c r="P11"/>
  <c r="P9"/>
  <c r="P7"/>
  <c r="P151"/>
  <c r="P149"/>
  <c r="P147"/>
  <c r="P145"/>
  <c r="P143"/>
  <c r="P141"/>
  <c r="P139"/>
  <c r="P137"/>
  <c r="P135"/>
  <c r="P133"/>
  <c r="P131"/>
  <c r="P129"/>
  <c r="P127"/>
  <c r="P125"/>
  <c r="P123"/>
  <c r="P121"/>
  <c r="P119"/>
  <c r="P117"/>
  <c r="P115"/>
  <c r="P113"/>
  <c r="P111"/>
  <c r="P109"/>
  <c r="P107"/>
  <c r="P105"/>
  <c r="P103"/>
  <c r="P101"/>
  <c r="P99"/>
  <c r="P97"/>
  <c r="P95"/>
  <c r="P93"/>
  <c r="P91"/>
  <c r="P89"/>
  <c r="P87"/>
  <c r="P85"/>
  <c r="P83"/>
  <c r="P81"/>
  <c r="P79"/>
  <c r="P77"/>
  <c r="P75"/>
  <c r="P73"/>
  <c r="P71"/>
  <c r="P69"/>
  <c r="P67"/>
  <c r="P65"/>
  <c r="P63"/>
  <c r="P61"/>
  <c r="P59"/>
  <c r="P57"/>
  <c r="P55"/>
  <c r="P53"/>
  <c r="P51"/>
  <c r="P49"/>
  <c r="P47"/>
  <c r="P45"/>
  <c r="P43"/>
  <c r="P41"/>
  <c r="P39"/>
  <c r="P5"/>
  <c r="P3"/>
  <c r="P38"/>
  <c r="P36"/>
  <c r="P34"/>
  <c r="P32"/>
  <c r="P30"/>
  <c r="P28"/>
  <c r="P26"/>
  <c r="P24"/>
  <c r="P22"/>
  <c r="P20"/>
  <c r="P18"/>
  <c r="P150"/>
  <c r="P148"/>
  <c r="P146"/>
  <c r="P144"/>
  <c r="P142"/>
  <c r="P140"/>
  <c r="P138"/>
  <c r="P136"/>
  <c r="P134"/>
  <c r="P132"/>
  <c r="P130"/>
  <c r="P128"/>
  <c r="P126"/>
  <c r="P124"/>
  <c r="P122"/>
  <c r="P120"/>
  <c r="P118"/>
  <c r="P116"/>
  <c r="P114"/>
  <c r="P112"/>
  <c r="P110"/>
  <c r="P108"/>
  <c r="P106"/>
  <c r="P104"/>
  <c r="P102"/>
  <c r="P100"/>
  <c r="P98"/>
  <c r="P96"/>
  <c r="P94"/>
  <c r="P92"/>
  <c r="P90"/>
  <c r="P88"/>
  <c r="P86"/>
  <c r="P84"/>
  <c r="P82"/>
  <c r="P80"/>
  <c r="P78"/>
  <c r="P76"/>
  <c r="P74"/>
  <c r="P72"/>
  <c r="P70"/>
  <c r="P68"/>
  <c r="P66"/>
  <c r="P64"/>
  <c r="P62"/>
  <c r="P60"/>
  <c r="P58"/>
  <c r="P56"/>
  <c r="P54"/>
  <c r="P52"/>
  <c r="P50"/>
  <c r="P48"/>
  <c r="P46"/>
  <c r="P44"/>
  <c r="P42"/>
  <c r="P40"/>
  <c r="P14"/>
  <c r="P10"/>
  <c r="P149" i="20"/>
  <c r="P145"/>
  <c r="P143"/>
  <c r="P141"/>
  <c r="P139"/>
  <c r="P137"/>
  <c r="P135"/>
  <c r="P133"/>
  <c r="P131"/>
  <c r="P129"/>
  <c r="P127"/>
  <c r="P125"/>
  <c r="P123"/>
  <c r="P121"/>
  <c r="P119"/>
  <c r="P117"/>
  <c r="P115"/>
  <c r="P113"/>
  <c r="P111"/>
  <c r="P109"/>
  <c r="P107"/>
  <c r="P105"/>
  <c r="P103"/>
  <c r="P101"/>
  <c r="P99"/>
  <c r="P97"/>
  <c r="P95"/>
  <c r="P93"/>
  <c r="P91"/>
  <c r="P89"/>
  <c r="P87"/>
  <c r="P85"/>
  <c r="P83"/>
  <c r="P81"/>
  <c r="P79"/>
  <c r="P77"/>
  <c r="P39"/>
  <c r="P144"/>
  <c r="P142"/>
  <c r="P140"/>
  <c r="P138"/>
  <c r="P136"/>
  <c r="P134"/>
  <c r="P132"/>
  <c r="P130"/>
  <c r="P128"/>
  <c r="P126"/>
  <c r="P124"/>
  <c r="P122"/>
  <c r="P120"/>
  <c r="P118"/>
  <c r="P116"/>
  <c r="P114"/>
  <c r="P112"/>
  <c r="P110"/>
  <c r="P108"/>
  <c r="P106"/>
  <c r="P104"/>
  <c r="P102"/>
  <c r="P100"/>
  <c r="P98"/>
  <c r="P96"/>
  <c r="P94"/>
  <c r="P92"/>
  <c r="P90"/>
  <c r="P88"/>
  <c r="P86"/>
  <c r="P84"/>
  <c r="P82"/>
  <c r="P80"/>
  <c r="P78"/>
  <c r="P76"/>
  <c r="P16" i="21"/>
  <c r="P12"/>
  <c r="P8"/>
  <c r="P6"/>
  <c r="P4"/>
  <c r="P2"/>
  <c r="P151" i="20"/>
  <c r="P147"/>
  <c r="P75"/>
  <c r="P73"/>
  <c r="P71"/>
  <c r="P69"/>
  <c r="P67"/>
  <c r="P65"/>
  <c r="P63"/>
  <c r="P61"/>
  <c r="P59"/>
  <c r="P57"/>
  <c r="P55"/>
  <c r="P53"/>
  <c r="P51"/>
  <c r="P49"/>
  <c r="P47"/>
  <c r="P45"/>
  <c r="P43"/>
  <c r="P41"/>
  <c r="P37"/>
  <c r="P35"/>
  <c r="P33"/>
  <c r="P31"/>
  <c r="P29"/>
  <c r="P27"/>
  <c r="P25"/>
  <c r="P23"/>
  <c r="P21"/>
  <c r="P19"/>
  <c r="P17"/>
  <c r="P15"/>
  <c r="P13"/>
  <c r="P11"/>
  <c r="P9"/>
  <c r="P7"/>
  <c r="P5"/>
  <c r="P3"/>
  <c r="P150"/>
  <c r="P148"/>
  <c r="P146"/>
  <c r="P74"/>
  <c r="P72"/>
  <c r="P70"/>
  <c r="P68"/>
  <c r="P66"/>
  <c r="P64"/>
  <c r="P62"/>
  <c r="P60"/>
  <c r="P58"/>
  <c r="P56"/>
  <c r="P54"/>
  <c r="P52"/>
  <c r="P50"/>
  <c r="P48"/>
  <c r="P46"/>
  <c r="P44"/>
  <c r="P42"/>
  <c r="P40"/>
  <c r="P38"/>
  <c r="P36"/>
  <c r="P34"/>
  <c r="P32"/>
  <c r="P30"/>
  <c r="P28"/>
  <c r="P26"/>
  <c r="P24"/>
  <c r="P22"/>
  <c r="P20"/>
  <c r="P18"/>
  <c r="P16"/>
  <c r="P14"/>
  <c r="P12"/>
  <c r="P10"/>
  <c r="P8"/>
  <c r="P6"/>
  <c r="P4"/>
  <c r="P2"/>
  <c r="K96" i="23"/>
  <c r="L96"/>
  <c r="M96"/>
  <c r="I149" i="21"/>
  <c r="I37"/>
  <c r="I35"/>
  <c r="I33"/>
  <c r="I31"/>
  <c r="I29"/>
  <c r="I27"/>
  <c r="I25"/>
  <c r="I23"/>
  <c r="I21"/>
  <c r="I19"/>
  <c r="I17"/>
  <c r="I15"/>
  <c r="I13"/>
  <c r="I11"/>
  <c r="I9"/>
  <c r="I7"/>
  <c r="I151"/>
  <c r="I147"/>
  <c r="I145"/>
  <c r="I143"/>
  <c r="I141"/>
  <c r="I139"/>
  <c r="I137"/>
  <c r="I135"/>
  <c r="I133"/>
  <c r="I131"/>
  <c r="I129"/>
  <c r="I127"/>
  <c r="I125"/>
  <c r="I123"/>
  <c r="I121"/>
  <c r="I119"/>
  <c r="I117"/>
  <c r="I115"/>
  <c r="I113"/>
  <c r="I111"/>
  <c r="I109"/>
  <c r="I107"/>
  <c r="I105"/>
  <c r="I103"/>
  <c r="I101"/>
  <c r="I99"/>
  <c r="I97"/>
  <c r="I95"/>
  <c r="I93"/>
  <c r="I91"/>
  <c r="I89"/>
  <c r="I87"/>
  <c r="I85"/>
  <c r="I83"/>
  <c r="I81"/>
  <c r="I79"/>
  <c r="I77"/>
  <c r="I75"/>
  <c r="I73"/>
  <c r="I71"/>
  <c r="I69"/>
  <c r="I67"/>
  <c r="I65"/>
  <c r="I63"/>
  <c r="I61"/>
  <c r="I59"/>
  <c r="I57"/>
  <c r="I55"/>
  <c r="I53"/>
  <c r="I51"/>
  <c r="I49"/>
  <c r="I47"/>
  <c r="I45"/>
  <c r="I43"/>
  <c r="I41"/>
  <c r="I39"/>
  <c r="I5"/>
  <c r="I3"/>
  <c r="I38"/>
  <c r="I36"/>
  <c r="I34"/>
  <c r="I32"/>
  <c r="I30"/>
  <c r="I28"/>
  <c r="I26"/>
  <c r="I24"/>
  <c r="I22"/>
  <c r="I20"/>
  <c r="I18"/>
  <c r="I150"/>
  <c r="I148"/>
  <c r="I146"/>
  <c r="I144"/>
  <c r="I142"/>
  <c r="I140"/>
  <c r="I138"/>
  <c r="I136"/>
  <c r="I134"/>
  <c r="I132"/>
  <c r="I130"/>
  <c r="I128"/>
  <c r="I126"/>
  <c r="I124"/>
  <c r="I122"/>
  <c r="I120"/>
  <c r="I118"/>
  <c r="I116"/>
  <c r="I114"/>
  <c r="I112"/>
  <c r="I110"/>
  <c r="I108"/>
  <c r="I106"/>
  <c r="I104"/>
  <c r="I102"/>
  <c r="I100"/>
  <c r="I98"/>
  <c r="I96"/>
  <c r="I94"/>
  <c r="I92"/>
  <c r="I90"/>
  <c r="I88"/>
  <c r="I86"/>
  <c r="I84"/>
  <c r="I82"/>
  <c r="I80"/>
  <c r="I78"/>
  <c r="I76"/>
  <c r="I74"/>
  <c r="I72"/>
  <c r="I70"/>
  <c r="I68"/>
  <c r="I66"/>
  <c r="I64"/>
  <c r="I62"/>
  <c r="I60"/>
  <c r="I58"/>
  <c r="I56"/>
  <c r="I54"/>
  <c r="I52"/>
  <c r="I50"/>
  <c r="I48"/>
  <c r="I46"/>
  <c r="I44"/>
  <c r="I42"/>
  <c r="I40"/>
  <c r="I14"/>
  <c r="I10"/>
  <c r="I2"/>
  <c r="I147" i="20"/>
  <c r="I145"/>
  <c r="I143"/>
  <c r="I141"/>
  <c r="I139"/>
  <c r="I137"/>
  <c r="I135"/>
  <c r="I133"/>
  <c r="I131"/>
  <c r="I129"/>
  <c r="I127"/>
  <c r="I125"/>
  <c r="I123"/>
  <c r="I121"/>
  <c r="I119"/>
  <c r="I117"/>
  <c r="I115"/>
  <c r="I113"/>
  <c r="I111"/>
  <c r="I109"/>
  <c r="I107"/>
  <c r="I105"/>
  <c r="I103"/>
  <c r="I101"/>
  <c r="I99"/>
  <c r="I97"/>
  <c r="I95"/>
  <c r="I93"/>
  <c r="I91"/>
  <c r="I89"/>
  <c r="I87"/>
  <c r="I85"/>
  <c r="I83"/>
  <c r="I81"/>
  <c r="I79"/>
  <c r="I77"/>
  <c r="I39"/>
  <c r="I144"/>
  <c r="I142"/>
  <c r="I140"/>
  <c r="I138"/>
  <c r="I136"/>
  <c r="I134"/>
  <c r="I132"/>
  <c r="I130"/>
  <c r="I128"/>
  <c r="I126"/>
  <c r="I124"/>
  <c r="I122"/>
  <c r="I120"/>
  <c r="I118"/>
  <c r="I116"/>
  <c r="I114"/>
  <c r="I112"/>
  <c r="I110"/>
  <c r="I108"/>
  <c r="I106"/>
  <c r="I104"/>
  <c r="I102"/>
  <c r="I100"/>
  <c r="I98"/>
  <c r="I96"/>
  <c r="I94"/>
  <c r="I92"/>
  <c r="I90"/>
  <c r="I88"/>
  <c r="I86"/>
  <c r="I84"/>
  <c r="I82"/>
  <c r="I80"/>
  <c r="I78"/>
  <c r="I76"/>
  <c r="I16" i="21"/>
  <c r="I12"/>
  <c r="I8"/>
  <c r="I6"/>
  <c r="I4"/>
  <c r="I151" i="20"/>
  <c r="I149"/>
  <c r="I75"/>
  <c r="I73"/>
  <c r="I71"/>
  <c r="I69"/>
  <c r="I67"/>
  <c r="I65"/>
  <c r="I63"/>
  <c r="I61"/>
  <c r="I59"/>
  <c r="I57"/>
  <c r="I55"/>
  <c r="I53"/>
  <c r="I51"/>
  <c r="I49"/>
  <c r="I47"/>
  <c r="I45"/>
  <c r="I43"/>
  <c r="I41"/>
  <c r="I37"/>
  <c r="I35"/>
  <c r="I33"/>
  <c r="I31"/>
  <c r="I29"/>
  <c r="I27"/>
  <c r="I25"/>
  <c r="I23"/>
  <c r="I21"/>
  <c r="I19"/>
  <c r="I17"/>
  <c r="I15"/>
  <c r="I13"/>
  <c r="I11"/>
  <c r="I9"/>
  <c r="I7"/>
  <c r="I5"/>
  <c r="I3"/>
  <c r="I150"/>
  <c r="I148"/>
  <c r="I146"/>
  <c r="I74"/>
  <c r="I72"/>
  <c r="I70"/>
  <c r="I68"/>
  <c r="I66"/>
  <c r="I64"/>
  <c r="I62"/>
  <c r="I60"/>
  <c r="I58"/>
  <c r="I56"/>
  <c r="I54"/>
  <c r="I52"/>
  <c r="I50"/>
  <c r="I48"/>
  <c r="I46"/>
  <c r="I44"/>
  <c r="I42"/>
  <c r="I40"/>
  <c r="I38"/>
  <c r="I36"/>
  <c r="I34"/>
  <c r="I32"/>
  <c r="I30"/>
  <c r="I28"/>
  <c r="I26"/>
  <c r="I24"/>
  <c r="I22"/>
  <c r="I20"/>
  <c r="I18"/>
  <c r="I16"/>
  <c r="I14"/>
  <c r="I12"/>
  <c r="I10"/>
  <c r="I8"/>
  <c r="I6"/>
  <c r="I4"/>
  <c r="I2"/>
  <c r="K70" i="23"/>
  <c r="M70"/>
  <c r="L70"/>
  <c r="K127"/>
  <c r="L127"/>
  <c r="M127"/>
  <c r="AW123" i="26"/>
  <c r="C35" i="23"/>
  <c r="K29"/>
  <c r="L29"/>
  <c r="M29"/>
  <c r="K57"/>
  <c r="L57"/>
  <c r="M57"/>
  <c r="K23"/>
  <c r="L23"/>
  <c r="M23"/>
  <c r="AP88" i="26"/>
  <c r="AX88" s="1"/>
  <c r="AP86"/>
  <c r="G21" i="23"/>
  <c r="K73"/>
  <c r="L73"/>
  <c r="M73"/>
  <c r="H39" i="21"/>
  <c r="H37"/>
  <c r="H35"/>
  <c r="H33"/>
  <c r="H31"/>
  <c r="H29"/>
  <c r="H27"/>
  <c r="H25"/>
  <c r="H23"/>
  <c r="H21"/>
  <c r="H19"/>
  <c r="H17"/>
  <c r="H15"/>
  <c r="H13"/>
  <c r="H11"/>
  <c r="H9"/>
  <c r="H7"/>
  <c r="H5"/>
  <c r="H151"/>
  <c r="H149"/>
  <c r="H147"/>
  <c r="H145"/>
  <c r="H143"/>
  <c r="H141"/>
  <c r="H139"/>
  <c r="H137"/>
  <c r="H135"/>
  <c r="H133"/>
  <c r="H131"/>
  <c r="H129"/>
  <c r="H127"/>
  <c r="H125"/>
  <c r="H123"/>
  <c r="H121"/>
  <c r="H119"/>
  <c r="H117"/>
  <c r="H115"/>
  <c r="H113"/>
  <c r="H111"/>
  <c r="H109"/>
  <c r="H107"/>
  <c r="H105"/>
  <c r="H103"/>
  <c r="H101"/>
  <c r="H99"/>
  <c r="H97"/>
  <c r="H95"/>
  <c r="H93"/>
  <c r="H91"/>
  <c r="H89"/>
  <c r="H87"/>
  <c r="H85"/>
  <c r="H83"/>
  <c r="H81"/>
  <c r="H79"/>
  <c r="H77"/>
  <c r="H75"/>
  <c r="H73"/>
  <c r="H71"/>
  <c r="H69"/>
  <c r="H67"/>
  <c r="H65"/>
  <c r="H63"/>
  <c r="H61"/>
  <c r="H59"/>
  <c r="H57"/>
  <c r="H55"/>
  <c r="H53"/>
  <c r="H51"/>
  <c r="H49"/>
  <c r="H47"/>
  <c r="H45"/>
  <c r="H43"/>
  <c r="H41"/>
  <c r="H3"/>
  <c r="H38"/>
  <c r="H36"/>
  <c r="H34"/>
  <c r="H32"/>
  <c r="H30"/>
  <c r="H28"/>
  <c r="H26"/>
  <c r="H24"/>
  <c r="H22"/>
  <c r="H20"/>
  <c r="H18"/>
  <c r="H150"/>
  <c r="H148"/>
  <c r="H146"/>
  <c r="H144"/>
  <c r="H142"/>
  <c r="H140"/>
  <c r="H138"/>
  <c r="H136"/>
  <c r="H134"/>
  <c r="H132"/>
  <c r="H130"/>
  <c r="H128"/>
  <c r="H126"/>
  <c r="H124"/>
  <c r="H122"/>
  <c r="H120"/>
  <c r="H118"/>
  <c r="H116"/>
  <c r="H114"/>
  <c r="H112"/>
  <c r="H110"/>
  <c r="H108"/>
  <c r="H106"/>
  <c r="H104"/>
  <c r="H102"/>
  <c r="H100"/>
  <c r="H98"/>
  <c r="H96"/>
  <c r="H94"/>
  <c r="H92"/>
  <c r="H90"/>
  <c r="H88"/>
  <c r="H86"/>
  <c r="H84"/>
  <c r="H82"/>
  <c r="H80"/>
  <c r="H78"/>
  <c r="H76"/>
  <c r="H74"/>
  <c r="H72"/>
  <c r="H70"/>
  <c r="H68"/>
  <c r="H66"/>
  <c r="H64"/>
  <c r="H62"/>
  <c r="H60"/>
  <c r="H58"/>
  <c r="H56"/>
  <c r="H54"/>
  <c r="H52"/>
  <c r="H50"/>
  <c r="H48"/>
  <c r="H46"/>
  <c r="H44"/>
  <c r="H42"/>
  <c r="H40"/>
  <c r="H14"/>
  <c r="H10"/>
  <c r="H149" i="20"/>
  <c r="H145"/>
  <c r="H143"/>
  <c r="H141"/>
  <c r="H139"/>
  <c r="H137"/>
  <c r="H135"/>
  <c r="H133"/>
  <c r="H131"/>
  <c r="H129"/>
  <c r="H127"/>
  <c r="H125"/>
  <c r="H123"/>
  <c r="H121"/>
  <c r="H119"/>
  <c r="H117"/>
  <c r="H115"/>
  <c r="H113"/>
  <c r="H111"/>
  <c r="H109"/>
  <c r="H107"/>
  <c r="H105"/>
  <c r="H103"/>
  <c r="H101"/>
  <c r="H99"/>
  <c r="H97"/>
  <c r="H95"/>
  <c r="H93"/>
  <c r="H91"/>
  <c r="H89"/>
  <c r="H87"/>
  <c r="H85"/>
  <c r="H83"/>
  <c r="H81"/>
  <c r="H79"/>
  <c r="H77"/>
  <c r="H144"/>
  <c r="H142"/>
  <c r="H140"/>
  <c r="H138"/>
  <c r="H136"/>
  <c r="H134"/>
  <c r="H132"/>
  <c r="H130"/>
  <c r="H128"/>
  <c r="H126"/>
  <c r="H124"/>
  <c r="H122"/>
  <c r="H120"/>
  <c r="H118"/>
  <c r="H116"/>
  <c r="H114"/>
  <c r="H112"/>
  <c r="H110"/>
  <c r="H108"/>
  <c r="H106"/>
  <c r="H104"/>
  <c r="H102"/>
  <c r="H100"/>
  <c r="H98"/>
  <c r="H96"/>
  <c r="H94"/>
  <c r="H92"/>
  <c r="H90"/>
  <c r="H88"/>
  <c r="H86"/>
  <c r="H84"/>
  <c r="H82"/>
  <c r="H80"/>
  <c r="H78"/>
  <c r="H76"/>
  <c r="H16" i="21"/>
  <c r="H12"/>
  <c r="H8"/>
  <c r="H6"/>
  <c r="H4"/>
  <c r="H2"/>
  <c r="H151" i="20"/>
  <c r="H147"/>
  <c r="H75"/>
  <c r="H73"/>
  <c r="H71"/>
  <c r="H69"/>
  <c r="H67"/>
  <c r="H65"/>
  <c r="H63"/>
  <c r="H61"/>
  <c r="H59"/>
  <c r="H57"/>
  <c r="H55"/>
  <c r="H53"/>
  <c r="H51"/>
  <c r="H49"/>
  <c r="H47"/>
  <c r="H45"/>
  <c r="H43"/>
  <c r="H41"/>
  <c r="H39"/>
  <c r="H37"/>
  <c r="H35"/>
  <c r="H33"/>
  <c r="H31"/>
  <c r="H29"/>
  <c r="H27"/>
  <c r="H25"/>
  <c r="H23"/>
  <c r="H21"/>
  <c r="H19"/>
  <c r="H17"/>
  <c r="H15"/>
  <c r="H13"/>
  <c r="H11"/>
  <c r="H9"/>
  <c r="H7"/>
  <c r="H5"/>
  <c r="H3"/>
  <c r="H150"/>
  <c r="H148"/>
  <c r="H146"/>
  <c r="H74"/>
  <c r="H72"/>
  <c r="H70"/>
  <c r="H68"/>
  <c r="H66"/>
  <c r="H64"/>
  <c r="H62"/>
  <c r="H60"/>
  <c r="H58"/>
  <c r="H56"/>
  <c r="H54"/>
  <c r="H52"/>
  <c r="H50"/>
  <c r="H48"/>
  <c r="H46"/>
  <c r="H44"/>
  <c r="H42"/>
  <c r="H40"/>
  <c r="H38"/>
  <c r="H36"/>
  <c r="H34"/>
  <c r="H32"/>
  <c r="H30"/>
  <c r="H28"/>
  <c r="H26"/>
  <c r="H24"/>
  <c r="H22"/>
  <c r="H20"/>
  <c r="H18"/>
  <c r="H16"/>
  <c r="H14"/>
  <c r="H12"/>
  <c r="H10"/>
  <c r="H8"/>
  <c r="H6"/>
  <c r="H4"/>
  <c r="H2"/>
  <c r="AP136" i="26"/>
  <c r="G36" i="23"/>
  <c r="K5"/>
  <c r="L5"/>
  <c r="M5"/>
  <c r="K4"/>
  <c r="L4"/>
  <c r="M4"/>
  <c r="M149" i="21"/>
  <c r="M39"/>
  <c r="M37"/>
  <c r="M35"/>
  <c r="M33"/>
  <c r="M31"/>
  <c r="M29"/>
  <c r="M27"/>
  <c r="M25"/>
  <c r="M23"/>
  <c r="M21"/>
  <c r="M19"/>
  <c r="M17"/>
  <c r="M15"/>
  <c r="M13"/>
  <c r="M11"/>
  <c r="M9"/>
  <c r="M7"/>
  <c r="M151"/>
  <c r="M147"/>
  <c r="M145"/>
  <c r="M143"/>
  <c r="M141"/>
  <c r="M139"/>
  <c r="M137"/>
  <c r="M135"/>
  <c r="M133"/>
  <c r="M131"/>
  <c r="M129"/>
  <c r="M127"/>
  <c r="M125"/>
  <c r="M123"/>
  <c r="M121"/>
  <c r="M119"/>
  <c r="M117"/>
  <c r="M115"/>
  <c r="M113"/>
  <c r="M111"/>
  <c r="M109"/>
  <c r="M107"/>
  <c r="M105"/>
  <c r="M103"/>
  <c r="M101"/>
  <c r="M99"/>
  <c r="M97"/>
  <c r="M95"/>
  <c r="M93"/>
  <c r="M91"/>
  <c r="M89"/>
  <c r="M87"/>
  <c r="M85"/>
  <c r="M83"/>
  <c r="M81"/>
  <c r="M79"/>
  <c r="M77"/>
  <c r="M75"/>
  <c r="M73"/>
  <c r="M71"/>
  <c r="M69"/>
  <c r="M67"/>
  <c r="M65"/>
  <c r="M63"/>
  <c r="M61"/>
  <c r="M59"/>
  <c r="M57"/>
  <c r="M55"/>
  <c r="M53"/>
  <c r="M51"/>
  <c r="M49"/>
  <c r="M47"/>
  <c r="M45"/>
  <c r="M43"/>
  <c r="M41"/>
  <c r="M5"/>
  <c r="M3"/>
  <c r="M38"/>
  <c r="M36"/>
  <c r="M34"/>
  <c r="M32"/>
  <c r="M30"/>
  <c r="M28"/>
  <c r="M26"/>
  <c r="M24"/>
  <c r="M22"/>
  <c r="M20"/>
  <c r="M150"/>
  <c r="M148"/>
  <c r="M146"/>
  <c r="M144"/>
  <c r="M142"/>
  <c r="M140"/>
  <c r="M138"/>
  <c r="M136"/>
  <c r="M134"/>
  <c r="M132"/>
  <c r="M130"/>
  <c r="M128"/>
  <c r="M126"/>
  <c r="M124"/>
  <c r="M122"/>
  <c r="M120"/>
  <c r="M118"/>
  <c r="M116"/>
  <c r="M114"/>
  <c r="M112"/>
  <c r="M110"/>
  <c r="M108"/>
  <c r="M106"/>
  <c r="M104"/>
  <c r="M102"/>
  <c r="M100"/>
  <c r="M98"/>
  <c r="M96"/>
  <c r="M94"/>
  <c r="M92"/>
  <c r="M90"/>
  <c r="M88"/>
  <c r="M86"/>
  <c r="M84"/>
  <c r="M82"/>
  <c r="M80"/>
  <c r="M78"/>
  <c r="M76"/>
  <c r="M74"/>
  <c r="M72"/>
  <c r="M70"/>
  <c r="M68"/>
  <c r="M66"/>
  <c r="M64"/>
  <c r="M62"/>
  <c r="M60"/>
  <c r="M58"/>
  <c r="M56"/>
  <c r="M54"/>
  <c r="M52"/>
  <c r="M50"/>
  <c r="M48"/>
  <c r="M46"/>
  <c r="M44"/>
  <c r="M42"/>
  <c r="M40"/>
  <c r="M16"/>
  <c r="M12"/>
  <c r="M2"/>
  <c r="M145" i="20"/>
  <c r="M143"/>
  <c r="M141"/>
  <c r="M139"/>
  <c r="M137"/>
  <c r="M135"/>
  <c r="M133"/>
  <c r="M131"/>
  <c r="M129"/>
  <c r="M127"/>
  <c r="M125"/>
  <c r="M123"/>
  <c r="M121"/>
  <c r="M119"/>
  <c r="M117"/>
  <c r="M115"/>
  <c r="M113"/>
  <c r="M111"/>
  <c r="M109"/>
  <c r="M107"/>
  <c r="M105"/>
  <c r="M103"/>
  <c r="M101"/>
  <c r="M99"/>
  <c r="M97"/>
  <c r="M95"/>
  <c r="M93"/>
  <c r="M91"/>
  <c r="M89"/>
  <c r="M87"/>
  <c r="M85"/>
  <c r="M83"/>
  <c r="M81"/>
  <c r="M79"/>
  <c r="M77"/>
  <c r="M148"/>
  <c r="M146"/>
  <c r="M144"/>
  <c r="M142"/>
  <c r="M140"/>
  <c r="M138"/>
  <c r="M136"/>
  <c r="M134"/>
  <c r="M132"/>
  <c r="M130"/>
  <c r="M128"/>
  <c r="M126"/>
  <c r="M124"/>
  <c r="M122"/>
  <c r="M120"/>
  <c r="M118"/>
  <c r="M116"/>
  <c r="M114"/>
  <c r="M112"/>
  <c r="M110"/>
  <c r="M108"/>
  <c r="M106"/>
  <c r="M104"/>
  <c r="M102"/>
  <c r="M100"/>
  <c r="M98"/>
  <c r="M96"/>
  <c r="M94"/>
  <c r="M92"/>
  <c r="M90"/>
  <c r="M88"/>
  <c r="M86"/>
  <c r="M84"/>
  <c r="M82"/>
  <c r="M80"/>
  <c r="M78"/>
  <c r="M76"/>
  <c r="M18" i="21"/>
  <c r="M14"/>
  <c r="M10"/>
  <c r="M8"/>
  <c r="M6"/>
  <c r="M4"/>
  <c r="M151" i="20"/>
  <c r="M149"/>
  <c r="M147"/>
  <c r="M75"/>
  <c r="M73"/>
  <c r="M71"/>
  <c r="M69"/>
  <c r="M67"/>
  <c r="M65"/>
  <c r="M63"/>
  <c r="M61"/>
  <c r="M59"/>
  <c r="M57"/>
  <c r="M55"/>
  <c r="M53"/>
  <c r="M51"/>
  <c r="M49"/>
  <c r="M47"/>
  <c r="M45"/>
  <c r="M43"/>
  <c r="M41"/>
  <c r="M39"/>
  <c r="M37"/>
  <c r="M35"/>
  <c r="M33"/>
  <c r="M31"/>
  <c r="M29"/>
  <c r="M27"/>
  <c r="M25"/>
  <c r="M23"/>
  <c r="M21"/>
  <c r="M19"/>
  <c r="M17"/>
  <c r="M15"/>
  <c r="M13"/>
  <c r="M11"/>
  <c r="M9"/>
  <c r="M7"/>
  <c r="M5"/>
  <c r="M3"/>
  <c r="M150"/>
  <c r="M74"/>
  <c r="M72"/>
  <c r="M70"/>
  <c r="M68"/>
  <c r="M66"/>
  <c r="M64"/>
  <c r="M62"/>
  <c r="M60"/>
  <c r="M58"/>
  <c r="M56"/>
  <c r="M54"/>
  <c r="M52"/>
  <c r="M50"/>
  <c r="M48"/>
  <c r="M46"/>
  <c r="M44"/>
  <c r="M42"/>
  <c r="M40"/>
  <c r="M38"/>
  <c r="M36"/>
  <c r="M34"/>
  <c r="M32"/>
  <c r="M30"/>
  <c r="M28"/>
  <c r="M26"/>
  <c r="M24"/>
  <c r="M22"/>
  <c r="M2"/>
  <c r="M20"/>
  <c r="M18"/>
  <c r="M16"/>
  <c r="M14"/>
  <c r="M12"/>
  <c r="M10"/>
  <c r="M8"/>
  <c r="M6"/>
  <c r="M4"/>
  <c r="K55" i="23"/>
  <c r="L55"/>
  <c r="M55"/>
  <c r="K52"/>
  <c r="L52"/>
  <c r="M52"/>
  <c r="K61"/>
  <c r="L61"/>
  <c r="M61"/>
  <c r="AP72" i="26"/>
  <c r="G16" i="23"/>
  <c r="AW156" i="26"/>
  <c r="C45" i="23"/>
  <c r="K37"/>
  <c r="L37"/>
  <c r="M37"/>
  <c r="K53"/>
  <c r="L53"/>
  <c r="M53"/>
  <c r="K103"/>
  <c r="L103"/>
  <c r="M103"/>
  <c r="AP119" i="26"/>
  <c r="G31" i="23"/>
  <c r="AP121" i="26"/>
  <c r="C30" i="23"/>
  <c r="AW106" i="26"/>
  <c r="K8" i="23"/>
  <c r="L8"/>
  <c r="M8"/>
  <c r="K25"/>
  <c r="L25"/>
  <c r="M25"/>
  <c r="R151" i="21"/>
  <c r="R149"/>
  <c r="R147"/>
  <c r="R145"/>
  <c r="R143"/>
  <c r="R141"/>
  <c r="R139"/>
  <c r="R137"/>
  <c r="R135"/>
  <c r="R133"/>
  <c r="R131"/>
  <c r="R129"/>
  <c r="R127"/>
  <c r="R125"/>
  <c r="R123"/>
  <c r="R121"/>
  <c r="R119"/>
  <c r="R117"/>
  <c r="R115"/>
  <c r="R113"/>
  <c r="R111"/>
  <c r="R109"/>
  <c r="R107"/>
  <c r="R105"/>
  <c r="R103"/>
  <c r="R101"/>
  <c r="R99"/>
  <c r="R97"/>
  <c r="R95"/>
  <c r="R93"/>
  <c r="R91"/>
  <c r="R89"/>
  <c r="R87"/>
  <c r="R85"/>
  <c r="R83"/>
  <c r="R81"/>
  <c r="R79"/>
  <c r="R77"/>
  <c r="R75"/>
  <c r="R73"/>
  <c r="R71"/>
  <c r="R69"/>
  <c r="R67"/>
  <c r="R65"/>
  <c r="R63"/>
  <c r="R61"/>
  <c r="R59"/>
  <c r="R57"/>
  <c r="R55"/>
  <c r="R53"/>
  <c r="R51"/>
  <c r="R49"/>
  <c r="R47"/>
  <c r="R45"/>
  <c r="R43"/>
  <c r="R41"/>
  <c r="R39"/>
  <c r="R37"/>
  <c r="R35"/>
  <c r="R33"/>
  <c r="R31"/>
  <c r="R29"/>
  <c r="R27"/>
  <c r="R25"/>
  <c r="R23"/>
  <c r="R21"/>
  <c r="R19"/>
  <c r="R17"/>
  <c r="R15"/>
  <c r="R13"/>
  <c r="R11"/>
  <c r="R9"/>
  <c r="R7"/>
  <c r="R150"/>
  <c r="R148"/>
  <c r="R146"/>
  <c r="R144"/>
  <c r="R142"/>
  <c r="R140"/>
  <c r="R138"/>
  <c r="R136"/>
  <c r="R134"/>
  <c r="R132"/>
  <c r="R130"/>
  <c r="R128"/>
  <c r="R126"/>
  <c r="R124"/>
  <c r="R122"/>
  <c r="R120"/>
  <c r="R118"/>
  <c r="R116"/>
  <c r="R114"/>
  <c r="R112"/>
  <c r="R110"/>
  <c r="R108"/>
  <c r="R106"/>
  <c r="R104"/>
  <c r="R102"/>
  <c r="R100"/>
  <c r="R98"/>
  <c r="R96"/>
  <c r="R94"/>
  <c r="R92"/>
  <c r="R90"/>
  <c r="R88"/>
  <c r="R86"/>
  <c r="R84"/>
  <c r="R82"/>
  <c r="R80"/>
  <c r="R78"/>
  <c r="R76"/>
  <c r="R74"/>
  <c r="R72"/>
  <c r="R70"/>
  <c r="R68"/>
  <c r="R66"/>
  <c r="R64"/>
  <c r="R62"/>
  <c r="R60"/>
  <c r="R58"/>
  <c r="R56"/>
  <c r="R54"/>
  <c r="R52"/>
  <c r="R50"/>
  <c r="R48"/>
  <c r="R46"/>
  <c r="R44"/>
  <c r="R42"/>
  <c r="R40"/>
  <c r="R5"/>
  <c r="R3"/>
  <c r="R38"/>
  <c r="R36"/>
  <c r="R34"/>
  <c r="R32"/>
  <c r="R30"/>
  <c r="R28"/>
  <c r="R26"/>
  <c r="R24"/>
  <c r="R22"/>
  <c r="R20"/>
  <c r="R18"/>
  <c r="R16"/>
  <c r="R14"/>
  <c r="R12"/>
  <c r="R10"/>
  <c r="R8"/>
  <c r="R6"/>
  <c r="R4"/>
  <c r="R2"/>
  <c r="R151" i="20"/>
  <c r="R147"/>
  <c r="R75"/>
  <c r="R73"/>
  <c r="R71"/>
  <c r="R69"/>
  <c r="R67"/>
  <c r="R65"/>
  <c r="R63"/>
  <c r="R61"/>
  <c r="R59"/>
  <c r="R57"/>
  <c r="R55"/>
  <c r="R53"/>
  <c r="R51"/>
  <c r="R49"/>
  <c r="R47"/>
  <c r="R45"/>
  <c r="R43"/>
  <c r="R41"/>
  <c r="R37"/>
  <c r="R35"/>
  <c r="R33"/>
  <c r="R31"/>
  <c r="R29"/>
  <c r="R27"/>
  <c r="R25"/>
  <c r="R23"/>
  <c r="R21"/>
  <c r="R19"/>
  <c r="R17"/>
  <c r="R15"/>
  <c r="R13"/>
  <c r="R11"/>
  <c r="R9"/>
  <c r="R7"/>
  <c r="R5"/>
  <c r="R3"/>
  <c r="R150"/>
  <c r="R148"/>
  <c r="R146"/>
  <c r="R74"/>
  <c r="R72"/>
  <c r="R70"/>
  <c r="R68"/>
  <c r="R66"/>
  <c r="R64"/>
  <c r="R62"/>
  <c r="R60"/>
  <c r="R58"/>
  <c r="R56"/>
  <c r="R54"/>
  <c r="R52"/>
  <c r="R50"/>
  <c r="R48"/>
  <c r="R46"/>
  <c r="R44"/>
  <c r="R42"/>
  <c r="R40"/>
  <c r="R38"/>
  <c r="R36"/>
  <c r="R34"/>
  <c r="R32"/>
  <c r="R30"/>
  <c r="R149"/>
  <c r="R145"/>
  <c r="R143"/>
  <c r="R141"/>
  <c r="R139"/>
  <c r="R137"/>
  <c r="R135"/>
  <c r="R133"/>
  <c r="R131"/>
  <c r="R129"/>
  <c r="R127"/>
  <c r="R125"/>
  <c r="R123"/>
  <c r="R121"/>
  <c r="R119"/>
  <c r="R117"/>
  <c r="R115"/>
  <c r="R113"/>
  <c r="R111"/>
  <c r="R109"/>
  <c r="R107"/>
  <c r="R105"/>
  <c r="R103"/>
  <c r="R101"/>
  <c r="R99"/>
  <c r="R97"/>
  <c r="R95"/>
  <c r="R93"/>
  <c r="R91"/>
  <c r="R89"/>
  <c r="R87"/>
  <c r="R85"/>
  <c r="R83"/>
  <c r="R81"/>
  <c r="R79"/>
  <c r="R77"/>
  <c r="R39"/>
  <c r="R144"/>
  <c r="R142"/>
  <c r="R140"/>
  <c r="R138"/>
  <c r="R136"/>
  <c r="R134"/>
  <c r="R132"/>
  <c r="R130"/>
  <c r="R128"/>
  <c r="R126"/>
  <c r="R124"/>
  <c r="R122"/>
  <c r="R120"/>
  <c r="R118"/>
  <c r="R116"/>
  <c r="R114"/>
  <c r="R112"/>
  <c r="R110"/>
  <c r="R108"/>
  <c r="R106"/>
  <c r="R104"/>
  <c r="R102"/>
  <c r="R100"/>
  <c r="R98"/>
  <c r="R96"/>
  <c r="R94"/>
  <c r="R92"/>
  <c r="R90"/>
  <c r="R88"/>
  <c r="R86"/>
  <c r="R84"/>
  <c r="R82"/>
  <c r="R80"/>
  <c r="R78"/>
  <c r="R76"/>
  <c r="R28"/>
  <c r="R24"/>
  <c r="R20"/>
  <c r="R18"/>
  <c r="R16"/>
  <c r="R14"/>
  <c r="R12"/>
  <c r="R10"/>
  <c r="R8"/>
  <c r="R6"/>
  <c r="R4"/>
  <c r="R26"/>
  <c r="R22"/>
  <c r="R2"/>
  <c r="N151" i="21"/>
  <c r="N149"/>
  <c r="N147"/>
  <c r="N145"/>
  <c r="N143"/>
  <c r="N141"/>
  <c r="N139"/>
  <c r="N137"/>
  <c r="N135"/>
  <c r="N133"/>
  <c r="N131"/>
  <c r="N129"/>
  <c r="N127"/>
  <c r="N125"/>
  <c r="N123"/>
  <c r="N121"/>
  <c r="N119"/>
  <c r="N117"/>
  <c r="N115"/>
  <c r="N113"/>
  <c r="N111"/>
  <c r="N109"/>
  <c r="N107"/>
  <c r="N105"/>
  <c r="N103"/>
  <c r="N101"/>
  <c r="N99"/>
  <c r="N97"/>
  <c r="N95"/>
  <c r="N93"/>
  <c r="N91"/>
  <c r="N89"/>
  <c r="N87"/>
  <c r="N85"/>
  <c r="N83"/>
  <c r="N81"/>
  <c r="N79"/>
  <c r="N77"/>
  <c r="N75"/>
  <c r="N73"/>
  <c r="N71"/>
  <c r="N69"/>
  <c r="N67"/>
  <c r="N65"/>
  <c r="N63"/>
  <c r="N61"/>
  <c r="N59"/>
  <c r="N57"/>
  <c r="N55"/>
  <c r="N53"/>
  <c r="N51"/>
  <c r="N49"/>
  <c r="N47"/>
  <c r="N45"/>
  <c r="N43"/>
  <c r="N41"/>
  <c r="N39"/>
  <c r="N37"/>
  <c r="N35"/>
  <c r="N33"/>
  <c r="N31"/>
  <c r="N29"/>
  <c r="N27"/>
  <c r="N25"/>
  <c r="N23"/>
  <c r="N21"/>
  <c r="N19"/>
  <c r="N17"/>
  <c r="N15"/>
  <c r="N13"/>
  <c r="N11"/>
  <c r="N9"/>
  <c r="N7"/>
  <c r="N150"/>
  <c r="N148"/>
  <c r="N146"/>
  <c r="N144"/>
  <c r="N142"/>
  <c r="N140"/>
  <c r="N138"/>
  <c r="N136"/>
  <c r="N134"/>
  <c r="N132"/>
  <c r="N130"/>
  <c r="N128"/>
  <c r="N126"/>
  <c r="N124"/>
  <c r="N122"/>
  <c r="N120"/>
  <c r="N118"/>
  <c r="N116"/>
  <c r="N114"/>
  <c r="N112"/>
  <c r="N110"/>
  <c r="N108"/>
  <c r="N106"/>
  <c r="N104"/>
  <c r="N102"/>
  <c r="N100"/>
  <c r="N98"/>
  <c r="N96"/>
  <c r="N94"/>
  <c r="N92"/>
  <c r="N90"/>
  <c r="N88"/>
  <c r="N86"/>
  <c r="N84"/>
  <c r="N82"/>
  <c r="N80"/>
  <c r="N78"/>
  <c r="N76"/>
  <c r="N74"/>
  <c r="N72"/>
  <c r="N70"/>
  <c r="N68"/>
  <c r="N66"/>
  <c r="N64"/>
  <c r="N62"/>
  <c r="N60"/>
  <c r="N58"/>
  <c r="N56"/>
  <c r="N54"/>
  <c r="N52"/>
  <c r="N50"/>
  <c r="N48"/>
  <c r="N46"/>
  <c r="N44"/>
  <c r="N42"/>
  <c r="N40"/>
  <c r="N5"/>
  <c r="N3"/>
  <c r="N38"/>
  <c r="N36"/>
  <c r="N34"/>
  <c r="N32"/>
  <c r="N30"/>
  <c r="N28"/>
  <c r="N26"/>
  <c r="N24"/>
  <c r="N22"/>
  <c r="N20"/>
  <c r="N18"/>
  <c r="N16"/>
  <c r="N14"/>
  <c r="N12"/>
  <c r="N10"/>
  <c r="N8"/>
  <c r="N6"/>
  <c r="N4"/>
  <c r="N2"/>
  <c r="N151" i="20"/>
  <c r="N147"/>
  <c r="N75"/>
  <c r="N73"/>
  <c r="N71"/>
  <c r="N69"/>
  <c r="N67"/>
  <c r="N65"/>
  <c r="N63"/>
  <c r="N61"/>
  <c r="N59"/>
  <c r="N57"/>
  <c r="N55"/>
  <c r="N53"/>
  <c r="N51"/>
  <c r="N49"/>
  <c r="N47"/>
  <c r="N45"/>
  <c r="N43"/>
  <c r="N41"/>
  <c r="N37"/>
  <c r="N35"/>
  <c r="N33"/>
  <c r="N31"/>
  <c r="N29"/>
  <c r="N27"/>
  <c r="N25"/>
  <c r="N23"/>
  <c r="N21"/>
  <c r="N19"/>
  <c r="N17"/>
  <c r="N15"/>
  <c r="N13"/>
  <c r="N11"/>
  <c r="N9"/>
  <c r="N7"/>
  <c r="N5"/>
  <c r="N3"/>
  <c r="N150"/>
  <c r="N148"/>
  <c r="N146"/>
  <c r="N74"/>
  <c r="N72"/>
  <c r="N70"/>
  <c r="N68"/>
  <c r="N66"/>
  <c r="N64"/>
  <c r="N62"/>
  <c r="N60"/>
  <c r="N58"/>
  <c r="N56"/>
  <c r="N54"/>
  <c r="N52"/>
  <c r="N50"/>
  <c r="N48"/>
  <c r="N46"/>
  <c r="N44"/>
  <c r="N42"/>
  <c r="N40"/>
  <c r="N38"/>
  <c r="N36"/>
  <c r="N34"/>
  <c r="N32"/>
  <c r="N30"/>
  <c r="N149"/>
  <c r="N145"/>
  <c r="N143"/>
  <c r="N141"/>
  <c r="N139"/>
  <c r="N137"/>
  <c r="N135"/>
  <c r="N133"/>
  <c r="N131"/>
  <c r="N129"/>
  <c r="N127"/>
  <c r="N125"/>
  <c r="N123"/>
  <c r="N121"/>
  <c r="N119"/>
  <c r="N117"/>
  <c r="N115"/>
  <c r="N113"/>
  <c r="N111"/>
  <c r="N109"/>
  <c r="N107"/>
  <c r="N105"/>
  <c r="N103"/>
  <c r="N101"/>
  <c r="N99"/>
  <c r="N97"/>
  <c r="N95"/>
  <c r="N93"/>
  <c r="N91"/>
  <c r="N89"/>
  <c r="N87"/>
  <c r="N85"/>
  <c r="N83"/>
  <c r="N81"/>
  <c r="N79"/>
  <c r="N77"/>
  <c r="N39"/>
  <c r="N144"/>
  <c r="N142"/>
  <c r="N140"/>
  <c r="N138"/>
  <c r="N136"/>
  <c r="N134"/>
  <c r="N132"/>
  <c r="N130"/>
  <c r="N128"/>
  <c r="N126"/>
  <c r="N124"/>
  <c r="N122"/>
  <c r="N120"/>
  <c r="N118"/>
  <c r="N116"/>
  <c r="N114"/>
  <c r="N112"/>
  <c r="N110"/>
  <c r="N108"/>
  <c r="N106"/>
  <c r="N104"/>
  <c r="N102"/>
  <c r="N100"/>
  <c r="N98"/>
  <c r="N96"/>
  <c r="N94"/>
  <c r="N92"/>
  <c r="N90"/>
  <c r="N88"/>
  <c r="N86"/>
  <c r="N84"/>
  <c r="N82"/>
  <c r="N80"/>
  <c r="N78"/>
  <c r="N76"/>
  <c r="N26"/>
  <c r="N22"/>
  <c r="N20"/>
  <c r="N18"/>
  <c r="N16"/>
  <c r="N14"/>
  <c r="N12"/>
  <c r="N10"/>
  <c r="N8"/>
  <c r="N6"/>
  <c r="N4"/>
  <c r="N2"/>
  <c r="N28"/>
  <c r="N24"/>
  <c r="K69" i="23"/>
  <c r="L69"/>
  <c r="M69"/>
  <c r="K32"/>
  <c r="L32"/>
  <c r="M32"/>
  <c r="K9"/>
  <c r="L9"/>
  <c r="M9"/>
  <c r="K89"/>
  <c r="L89"/>
  <c r="M89"/>
  <c r="K63"/>
  <c r="L63"/>
  <c r="M63"/>
  <c r="AW21" i="26"/>
  <c r="C6" i="23"/>
  <c r="AW22" i="26"/>
  <c r="K72" i="23"/>
  <c r="L72"/>
  <c r="M72"/>
  <c r="K20"/>
  <c r="L20"/>
  <c r="M20"/>
  <c r="AP153" i="26"/>
  <c r="G41" i="23"/>
  <c r="AP155" i="26"/>
  <c r="K71" i="23"/>
  <c r="L71"/>
  <c r="M71"/>
  <c r="K135"/>
  <c r="L135"/>
  <c r="M135"/>
  <c r="B98" a="1"/>
  <c r="B98" s="1"/>
  <c r="C98" s="1"/>
  <c r="B99" a="1"/>
  <c r="B99" s="1"/>
  <c r="C99" s="1"/>
  <c r="B135" a="1"/>
  <c r="B135" s="1"/>
  <c r="C135" s="1"/>
  <c r="B109" a="1"/>
  <c r="B109" s="1"/>
  <c r="C109" s="1"/>
  <c r="B121" a="1"/>
  <c r="B121" s="1"/>
  <c r="C121" s="1"/>
  <c r="B146" a="1"/>
  <c r="B146" s="1"/>
  <c r="C146" s="1"/>
  <c r="B103" a="1"/>
  <c r="B103" s="1"/>
  <c r="C103" s="1"/>
  <c r="O69" i="3"/>
  <c r="AB69" s="1"/>
  <c r="O161"/>
  <c r="AB161" s="1"/>
  <c r="O127"/>
  <c r="AC127" s="1"/>
  <c r="O158"/>
  <c r="AB158" s="1"/>
  <c r="O128"/>
  <c r="AC128" s="1"/>
  <c r="O159"/>
  <c r="AB159" s="1"/>
  <c r="O131"/>
  <c r="O132" s="1"/>
  <c r="O129"/>
  <c r="O130" s="1"/>
  <c r="AB128"/>
  <c r="O125"/>
  <c r="AC125" s="1"/>
  <c r="O73"/>
  <c r="AC73" s="1"/>
  <c r="O75"/>
  <c r="AB75" s="1"/>
  <c r="O152"/>
  <c r="O12"/>
  <c r="O103"/>
  <c r="O15"/>
  <c r="AB15" s="1"/>
  <c r="O80"/>
  <c r="O13"/>
  <c r="O31"/>
  <c r="O149"/>
  <c r="AB149" s="1"/>
  <c r="O32"/>
  <c r="O29"/>
  <c r="O123"/>
  <c r="AC123" s="1"/>
  <c r="O7"/>
  <c r="O126"/>
  <c r="O44"/>
  <c r="O52"/>
  <c r="O78"/>
  <c r="O9"/>
  <c r="O74"/>
  <c r="O26"/>
  <c r="O35"/>
  <c r="O60"/>
  <c r="O11"/>
  <c r="AB11" s="1"/>
  <c r="O112"/>
  <c r="AC112" s="1"/>
  <c r="O118"/>
  <c r="AC118" s="1"/>
  <c r="O68"/>
  <c r="AB68" s="1"/>
  <c r="O49"/>
  <c r="AB49" s="1"/>
  <c r="AC9"/>
  <c r="O55"/>
  <c r="O10"/>
  <c r="O21"/>
  <c r="O46"/>
  <c r="AC11"/>
  <c r="O25"/>
  <c r="O124"/>
  <c r="AB124" s="1"/>
  <c r="O135"/>
  <c r="AC49"/>
  <c r="O41"/>
  <c r="O87"/>
  <c r="O110"/>
  <c r="O57"/>
  <c r="AC57" s="1"/>
  <c r="O59"/>
  <c r="O23"/>
  <c r="O56"/>
  <c r="AC56" s="1"/>
  <c r="O143"/>
  <c r="O72"/>
  <c r="O89"/>
  <c r="O106"/>
  <c r="O4"/>
  <c r="AC4" s="1"/>
  <c r="O30"/>
  <c r="AB78"/>
  <c r="O50"/>
  <c r="AC12"/>
  <c r="O37"/>
  <c r="O147"/>
  <c r="O148" s="1"/>
  <c r="O84"/>
  <c r="AB84" s="1"/>
  <c r="O96"/>
  <c r="O58"/>
  <c r="O76"/>
  <c r="O36"/>
  <c r="O114"/>
  <c r="AB114" s="1"/>
  <c r="O28"/>
  <c r="O61"/>
  <c r="O139"/>
  <c r="AC139" s="1"/>
  <c r="AC13"/>
  <c r="O42"/>
  <c r="O27"/>
  <c r="O54"/>
  <c r="AB54" s="1"/>
  <c r="O24"/>
  <c r="O66"/>
  <c r="O122"/>
  <c r="O82"/>
  <c r="AC106"/>
  <c r="AC15"/>
  <c r="O38"/>
  <c r="O43"/>
  <c r="O17"/>
  <c r="AB17" s="1"/>
  <c r="O33"/>
  <c r="O39"/>
  <c r="O107"/>
  <c r="AB4"/>
  <c r="O45"/>
  <c r="O34"/>
  <c r="O40"/>
  <c r="O47"/>
  <c r="O2"/>
  <c r="AB2" s="1"/>
  <c r="AB13"/>
  <c r="B145" i="13"/>
  <c r="C145" s="1"/>
  <c r="B134"/>
  <c r="C134" s="1"/>
  <c r="B151"/>
  <c r="C151" s="1"/>
  <c r="B128"/>
  <c r="C128" s="1"/>
  <c r="B124"/>
  <c r="C124" s="1"/>
  <c r="B121"/>
  <c r="C121" s="1"/>
  <c r="B117"/>
  <c r="C117" s="1"/>
  <c r="B113"/>
  <c r="C113" s="1"/>
  <c r="B144"/>
  <c r="C144" s="1"/>
  <c r="B139"/>
  <c r="C139" s="1"/>
  <c r="B135"/>
  <c r="C135" s="1"/>
  <c r="B147"/>
  <c r="C147" s="1"/>
  <c r="B142"/>
  <c r="C142" s="1"/>
  <c r="B137"/>
  <c r="C137" s="1"/>
  <c r="B132"/>
  <c r="C132" s="1"/>
  <c r="B119"/>
  <c r="C119" s="1"/>
  <c r="B115"/>
  <c r="C115" s="1"/>
  <c r="B111"/>
  <c r="C111" s="1"/>
  <c r="B104"/>
  <c r="C104" s="1"/>
  <c r="B103"/>
  <c r="C103" s="1"/>
  <c r="B141"/>
  <c r="C141" s="1"/>
  <c r="B138"/>
  <c r="C138" s="1"/>
  <c r="B127"/>
  <c r="C127" s="1"/>
  <c r="B122"/>
  <c r="C122" s="1"/>
  <c r="B118"/>
  <c r="C118" s="1"/>
  <c r="B114"/>
  <c r="C114" s="1"/>
  <c r="B110"/>
  <c r="C110" s="1"/>
  <c r="B102"/>
  <c r="C102" s="1"/>
  <c r="B109"/>
  <c r="C109" s="1"/>
  <c r="B101"/>
  <c r="C101" s="1"/>
  <c r="B150"/>
  <c r="C150" s="1"/>
  <c r="B136"/>
  <c r="C136" s="1"/>
  <c r="B133"/>
  <c r="C133" s="1"/>
  <c r="B108"/>
  <c r="C108" s="1"/>
  <c r="B107"/>
  <c r="C107" s="1"/>
  <c r="B148"/>
  <c r="C148" s="1"/>
  <c r="B131"/>
  <c r="C131" s="1"/>
  <c r="B125"/>
  <c r="C125" s="1"/>
  <c r="B149"/>
  <c r="C149" s="1"/>
  <c r="B130"/>
  <c r="C130" s="1"/>
  <c r="B123"/>
  <c r="C123" s="1"/>
  <c r="B120"/>
  <c r="C120" s="1"/>
  <c r="B116"/>
  <c r="C116" s="1"/>
  <c r="B112"/>
  <c r="C112" s="1"/>
  <c r="B106"/>
  <c r="C106" s="1"/>
  <c r="B2"/>
  <c r="C2" s="1"/>
  <c r="B105"/>
  <c r="C105" s="1"/>
  <c r="B146"/>
  <c r="C146" s="1"/>
  <c r="B143"/>
  <c r="C143" s="1"/>
  <c r="B140"/>
  <c r="C140" s="1"/>
  <c r="B129"/>
  <c r="C129" s="1"/>
  <c r="B126"/>
  <c r="C126" s="1"/>
  <c r="B97"/>
  <c r="C97" s="1"/>
  <c r="B93"/>
  <c r="C93" s="1"/>
  <c r="B89"/>
  <c r="C89" s="1"/>
  <c r="B85"/>
  <c r="C85" s="1"/>
  <c r="B81"/>
  <c r="C81" s="1"/>
  <c r="B77"/>
  <c r="C77" s="1"/>
  <c r="B73"/>
  <c r="C73" s="1"/>
  <c r="B69"/>
  <c r="C69" s="1"/>
  <c r="B65"/>
  <c r="C65" s="1"/>
  <c r="B61"/>
  <c r="C61" s="1"/>
  <c r="B57"/>
  <c r="C57" s="1"/>
  <c r="B53"/>
  <c r="C53" s="1"/>
  <c r="B49"/>
  <c r="C49" s="1"/>
  <c r="B45"/>
  <c r="C45" s="1"/>
  <c r="B41"/>
  <c r="C41" s="1"/>
  <c r="B37"/>
  <c r="C37" s="1"/>
  <c r="B33"/>
  <c r="C33" s="1"/>
  <c r="B29"/>
  <c r="C29" s="1"/>
  <c r="B25"/>
  <c r="C25" s="1"/>
  <c r="B21"/>
  <c r="C21" s="1"/>
  <c r="B17"/>
  <c r="C17" s="1"/>
  <c r="B13"/>
  <c r="C13" s="1"/>
  <c r="B9"/>
  <c r="C9" s="1"/>
  <c r="B5"/>
  <c r="C5" s="1"/>
  <c r="B100"/>
  <c r="C100" s="1"/>
  <c r="B96"/>
  <c r="C96" s="1"/>
  <c r="B92"/>
  <c r="C92" s="1"/>
  <c r="B88"/>
  <c r="C88" s="1"/>
  <c r="B84"/>
  <c r="C84" s="1"/>
  <c r="B80"/>
  <c r="C80" s="1"/>
  <c r="B76"/>
  <c r="C76" s="1"/>
  <c r="B72"/>
  <c r="C72" s="1"/>
  <c r="B68"/>
  <c r="C68" s="1"/>
  <c r="B64"/>
  <c r="C64" s="1"/>
  <c r="B60"/>
  <c r="C60" s="1"/>
  <c r="B56"/>
  <c r="C56" s="1"/>
  <c r="B52"/>
  <c r="C52" s="1"/>
  <c r="B48"/>
  <c r="C48" s="1"/>
  <c r="B44"/>
  <c r="C44" s="1"/>
  <c r="B40"/>
  <c r="C40" s="1"/>
  <c r="B36"/>
  <c r="C36" s="1"/>
  <c r="B32"/>
  <c r="C32" s="1"/>
  <c r="B28"/>
  <c r="C28" s="1"/>
  <c r="B24"/>
  <c r="C24" s="1"/>
  <c r="B20"/>
  <c r="C20" s="1"/>
  <c r="B16"/>
  <c r="C16" s="1"/>
  <c r="B12"/>
  <c r="C12" s="1"/>
  <c r="B8"/>
  <c r="C8" s="1"/>
  <c r="B4"/>
  <c r="C4" s="1"/>
  <c r="B99"/>
  <c r="C99" s="1"/>
  <c r="B95"/>
  <c r="C95" s="1"/>
  <c r="B91"/>
  <c r="C91" s="1"/>
  <c r="B87"/>
  <c r="C87" s="1"/>
  <c r="B83"/>
  <c r="C83" s="1"/>
  <c r="B79"/>
  <c r="C79" s="1"/>
  <c r="B75"/>
  <c r="C75" s="1"/>
  <c r="B71"/>
  <c r="C71" s="1"/>
  <c r="B67"/>
  <c r="C67" s="1"/>
  <c r="B63"/>
  <c r="C63" s="1"/>
  <c r="B59"/>
  <c r="C59" s="1"/>
  <c r="B55"/>
  <c r="C55" s="1"/>
  <c r="B51"/>
  <c r="C51" s="1"/>
  <c r="B47"/>
  <c r="C47" s="1"/>
  <c r="B43"/>
  <c r="C43" s="1"/>
  <c r="B39"/>
  <c r="C39" s="1"/>
  <c r="B35"/>
  <c r="C35" s="1"/>
  <c r="B31"/>
  <c r="C31" s="1"/>
  <c r="B27"/>
  <c r="C27" s="1"/>
  <c r="B23"/>
  <c r="C23" s="1"/>
  <c r="B19"/>
  <c r="C19" s="1"/>
  <c r="B15"/>
  <c r="C15" s="1"/>
  <c r="B11"/>
  <c r="C11" s="1"/>
  <c r="B7"/>
  <c r="C7" s="1"/>
  <c r="B3"/>
  <c r="C3" s="1"/>
  <c r="B98"/>
  <c r="C98" s="1"/>
  <c r="B94"/>
  <c r="C94" s="1"/>
  <c r="B90"/>
  <c r="C90" s="1"/>
  <c r="B86"/>
  <c r="C86" s="1"/>
  <c r="B82"/>
  <c r="C82" s="1"/>
  <c r="B78"/>
  <c r="C78" s="1"/>
  <c r="B74"/>
  <c r="C74" s="1"/>
  <c r="B70"/>
  <c r="C70" s="1"/>
  <c r="B66"/>
  <c r="C66" s="1"/>
  <c r="B62"/>
  <c r="C62" s="1"/>
  <c r="B58"/>
  <c r="C58" s="1"/>
  <c r="B54"/>
  <c r="C54" s="1"/>
  <c r="B50"/>
  <c r="C50" s="1"/>
  <c r="B46"/>
  <c r="C46" s="1"/>
  <c r="B42"/>
  <c r="C42" s="1"/>
  <c r="B38"/>
  <c r="C38" s="1"/>
  <c r="B34"/>
  <c r="C34" s="1"/>
  <c r="B30"/>
  <c r="C30" s="1"/>
  <c r="B26"/>
  <c r="C26" s="1"/>
  <c r="B22"/>
  <c r="C22" s="1"/>
  <c r="B18"/>
  <c r="C18" s="1"/>
  <c r="B14"/>
  <c r="C14" s="1"/>
  <c r="B10"/>
  <c r="C10" s="1"/>
  <c r="B6"/>
  <c r="C6" s="1"/>
  <c r="D3"/>
  <c r="D4"/>
  <c r="L4" s="1"/>
  <c r="D5"/>
  <c r="D6"/>
  <c r="D7"/>
  <c r="D9"/>
  <c r="D11"/>
  <c r="D12"/>
  <c r="D13"/>
  <c r="D14"/>
  <c r="D15"/>
  <c r="D17"/>
  <c r="D19"/>
  <c r="D20"/>
  <c r="F20" s="1"/>
  <c r="D21"/>
  <c r="D22"/>
  <c r="D23"/>
  <c r="D25"/>
  <c r="D27"/>
  <c r="D28"/>
  <c r="D29"/>
  <c r="D30"/>
  <c r="D31"/>
  <c r="D33"/>
  <c r="D35"/>
  <c r="D36"/>
  <c r="D37"/>
  <c r="D38"/>
  <c r="D39"/>
  <c r="D41"/>
  <c r="D43"/>
  <c r="D44"/>
  <c r="D45"/>
  <c r="D46"/>
  <c r="L46" s="1"/>
  <c r="D47"/>
  <c r="D49"/>
  <c r="D51"/>
  <c r="D52"/>
  <c r="D53"/>
  <c r="D54"/>
  <c r="D55"/>
  <c r="D57"/>
  <c r="D59"/>
  <c r="D60"/>
  <c r="D61"/>
  <c r="D62"/>
  <c r="L62" s="1"/>
  <c r="D63"/>
  <c r="D65"/>
  <c r="D67"/>
  <c r="D68"/>
  <c r="D69"/>
  <c r="D70"/>
  <c r="D71"/>
  <c r="D73"/>
  <c r="D75"/>
  <c r="D76"/>
  <c r="D77"/>
  <c r="D78"/>
  <c r="D79"/>
  <c r="D81"/>
  <c r="D83"/>
  <c r="D84"/>
  <c r="D85"/>
  <c r="D86"/>
  <c r="L86" s="1"/>
  <c r="D87"/>
  <c r="D89"/>
  <c r="D91"/>
  <c r="D92"/>
  <c r="D93"/>
  <c r="D94"/>
  <c r="D95"/>
  <c r="D97"/>
  <c r="D99"/>
  <c r="D100"/>
  <c r="D101"/>
  <c r="D102"/>
  <c r="D103"/>
  <c r="D105"/>
  <c r="D107"/>
  <c r="D109"/>
  <c r="D111"/>
  <c r="D112"/>
  <c r="D113"/>
  <c r="D114"/>
  <c r="D115"/>
  <c r="D117"/>
  <c r="D119"/>
  <c r="D120"/>
  <c r="D121"/>
  <c r="D122"/>
  <c r="D123"/>
  <c r="D124"/>
  <c r="F124" s="1"/>
  <c r="H124" i="23" s="1" a="1"/>
  <c r="H124" s="1"/>
  <c r="D125" i="13"/>
  <c r="D126"/>
  <c r="D127"/>
  <c r="D129"/>
  <c r="D131"/>
  <c r="D133"/>
  <c r="D135"/>
  <c r="D137"/>
  <c r="D138"/>
  <c r="D139"/>
  <c r="D140"/>
  <c r="F140" s="1"/>
  <c r="H140" i="23" s="1" a="1"/>
  <c r="H140" s="1"/>
  <c r="D141" i="13"/>
  <c r="D143"/>
  <c r="D145"/>
  <c r="D146"/>
  <c r="D147"/>
  <c r="D149"/>
  <c r="D150"/>
  <c r="L150" s="1"/>
  <c r="D151"/>
  <c r="F4"/>
  <c r="H4" i="23" s="1" a="1"/>
  <c r="H4" s="1"/>
  <c r="P3" i="22"/>
  <c r="P4"/>
  <c r="P5"/>
  <c r="P6"/>
  <c r="P7"/>
  <c r="P8"/>
  <c r="P9"/>
  <c r="P10"/>
  <c r="P11"/>
  <c r="P12"/>
  <c r="P13"/>
  <c r="P14"/>
  <c r="P15"/>
  <c r="P16"/>
  <c r="P17"/>
  <c r="P18"/>
  <c r="P19"/>
  <c r="P20"/>
  <c r="P21"/>
  <c r="P23"/>
  <c r="P25"/>
  <c r="P27"/>
  <c r="P29"/>
  <c r="P22"/>
  <c r="P24"/>
  <c r="P26"/>
  <c r="P28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9"/>
  <c r="P71"/>
  <c r="P73"/>
  <c r="P75"/>
  <c r="P77"/>
  <c r="P79"/>
  <c r="P81"/>
  <c r="P83"/>
  <c r="P85"/>
  <c r="P87"/>
  <c r="P89"/>
  <c r="P91"/>
  <c r="P93"/>
  <c r="P95"/>
  <c r="P97"/>
  <c r="P99"/>
  <c r="P101"/>
  <c r="P103"/>
  <c r="P105"/>
  <c r="P107"/>
  <c r="P109"/>
  <c r="P111"/>
  <c r="P113"/>
  <c r="P115"/>
  <c r="P117"/>
  <c r="P119"/>
  <c r="P121"/>
  <c r="P123"/>
  <c r="P125"/>
  <c r="P127"/>
  <c r="P129"/>
  <c r="P131"/>
  <c r="P133"/>
  <c r="P135"/>
  <c r="P137"/>
  <c r="P2"/>
  <c r="P68"/>
  <c r="P72"/>
  <c r="P76"/>
  <c r="P80"/>
  <c r="P84"/>
  <c r="P88"/>
  <c r="P92"/>
  <c r="P96"/>
  <c r="P100"/>
  <c r="P104"/>
  <c r="P108"/>
  <c r="P112"/>
  <c r="P116"/>
  <c r="P120"/>
  <c r="P124"/>
  <c r="P128"/>
  <c r="P132"/>
  <c r="P136"/>
  <c r="P138"/>
  <c r="P140"/>
  <c r="P142"/>
  <c r="P144"/>
  <c r="P146"/>
  <c r="P148"/>
  <c r="P150"/>
  <c r="P70"/>
  <c r="P74"/>
  <c r="P78"/>
  <c r="P82"/>
  <c r="P86"/>
  <c r="P90"/>
  <c r="P94"/>
  <c r="P98"/>
  <c r="P102"/>
  <c r="P106"/>
  <c r="P110"/>
  <c r="P114"/>
  <c r="P118"/>
  <c r="P122"/>
  <c r="P126"/>
  <c r="P130"/>
  <c r="P134"/>
  <c r="P139"/>
  <c r="P141"/>
  <c r="P143"/>
  <c r="P145"/>
  <c r="P147"/>
  <c r="P149"/>
  <c r="P151"/>
  <c r="L3"/>
  <c r="L4"/>
  <c r="L5"/>
  <c r="L6"/>
  <c r="L7"/>
  <c r="L8"/>
  <c r="L9"/>
  <c r="L10"/>
  <c r="L11"/>
  <c r="L12"/>
  <c r="L13"/>
  <c r="L14"/>
  <c r="L15"/>
  <c r="L16"/>
  <c r="L17"/>
  <c r="L18"/>
  <c r="L19"/>
  <c r="L20"/>
  <c r="L21"/>
  <c r="L23"/>
  <c r="L25"/>
  <c r="L27"/>
  <c r="L29"/>
  <c r="L22"/>
  <c r="L24"/>
  <c r="L26"/>
  <c r="L28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9"/>
  <c r="L71"/>
  <c r="L73"/>
  <c r="L75"/>
  <c r="L77"/>
  <c r="L79"/>
  <c r="L81"/>
  <c r="L83"/>
  <c r="L85"/>
  <c r="L87"/>
  <c r="L89"/>
  <c r="L91"/>
  <c r="L93"/>
  <c r="L95"/>
  <c r="L97"/>
  <c r="L99"/>
  <c r="L101"/>
  <c r="L103"/>
  <c r="L105"/>
  <c r="L107"/>
  <c r="L109"/>
  <c r="L111"/>
  <c r="L113"/>
  <c r="L115"/>
  <c r="L117"/>
  <c r="L119"/>
  <c r="L121"/>
  <c r="L123"/>
  <c r="L125"/>
  <c r="L127"/>
  <c r="L129"/>
  <c r="L131"/>
  <c r="L133"/>
  <c r="L135"/>
  <c r="L137"/>
  <c r="L2"/>
  <c r="L70"/>
  <c r="L74"/>
  <c r="L78"/>
  <c r="L82"/>
  <c r="L86"/>
  <c r="L90"/>
  <c r="L94"/>
  <c r="L98"/>
  <c r="L102"/>
  <c r="L106"/>
  <c r="L110"/>
  <c r="L114"/>
  <c r="L118"/>
  <c r="L122"/>
  <c r="L126"/>
  <c r="L130"/>
  <c r="L134"/>
  <c r="L138"/>
  <c r="L140"/>
  <c r="L142"/>
  <c r="L144"/>
  <c r="L146"/>
  <c r="L148"/>
  <c r="L150"/>
  <c r="L68"/>
  <c r="L72"/>
  <c r="L76"/>
  <c r="L80"/>
  <c r="L84"/>
  <c r="L88"/>
  <c r="L92"/>
  <c r="L96"/>
  <c r="L100"/>
  <c r="L104"/>
  <c r="L108"/>
  <c r="L112"/>
  <c r="L116"/>
  <c r="L120"/>
  <c r="L124"/>
  <c r="L128"/>
  <c r="L132"/>
  <c r="L136"/>
  <c r="L139"/>
  <c r="L141"/>
  <c r="L143"/>
  <c r="L145"/>
  <c r="L147"/>
  <c r="L149"/>
  <c r="L151"/>
  <c r="Q3" i="19"/>
  <c r="Q4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19"/>
  <c r="Q121"/>
  <c r="Q122"/>
  <c r="Q125"/>
  <c r="Q127"/>
  <c r="Q128"/>
  <c r="Q130"/>
  <c r="Q132"/>
  <c r="Q135"/>
  <c r="Q137"/>
  <c r="Q139"/>
  <c r="Q140"/>
  <c r="Q142"/>
  <c r="Q144"/>
  <c r="Q145"/>
  <c r="Q147"/>
  <c r="Q149"/>
  <c r="Q150"/>
  <c r="Q2"/>
  <c r="Q105"/>
  <c r="Q106"/>
  <c r="Q107"/>
  <c r="Q108"/>
  <c r="Q109"/>
  <c r="Q110"/>
  <c r="Q111"/>
  <c r="Q112"/>
  <c r="Q113"/>
  <c r="Q114"/>
  <c r="Q115"/>
  <c r="Q116"/>
  <c r="Q117"/>
  <c r="Q118"/>
  <c r="Q120"/>
  <c r="Q123"/>
  <c r="Q124"/>
  <c r="Q126"/>
  <c r="Q129"/>
  <c r="Q131"/>
  <c r="Q133"/>
  <c r="Q134"/>
  <c r="Q136"/>
  <c r="Q138"/>
  <c r="Q141"/>
  <c r="Q143"/>
  <c r="Q146"/>
  <c r="Q148"/>
  <c r="Q151"/>
  <c r="I3" i="22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5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64"/>
  <c r="I138"/>
  <c r="I139"/>
  <c r="I140"/>
  <c r="I141"/>
  <c r="I142"/>
  <c r="I143"/>
  <c r="I144"/>
  <c r="I145"/>
  <c r="I146"/>
  <c r="I147"/>
  <c r="I148"/>
  <c r="I149"/>
  <c r="I150"/>
  <c r="I151"/>
  <c r="I2"/>
  <c r="I66"/>
  <c r="O3" i="19"/>
  <c r="O4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18"/>
  <c r="O120"/>
  <c r="O123"/>
  <c r="O124"/>
  <c r="O126"/>
  <c r="O129"/>
  <c r="O131"/>
  <c r="O133"/>
  <c r="O134"/>
  <c r="O136"/>
  <c r="O138"/>
  <c r="O141"/>
  <c r="O143"/>
  <c r="O145"/>
  <c r="O146"/>
  <c r="O148"/>
  <c r="O150"/>
  <c r="O151"/>
  <c r="O105"/>
  <c r="O106"/>
  <c r="O107"/>
  <c r="O108"/>
  <c r="O109"/>
  <c r="O110"/>
  <c r="O111"/>
  <c r="O112"/>
  <c r="O113"/>
  <c r="O114"/>
  <c r="O115"/>
  <c r="O116"/>
  <c r="O117"/>
  <c r="O119"/>
  <c r="O121"/>
  <c r="O122"/>
  <c r="O125"/>
  <c r="O127"/>
  <c r="O128"/>
  <c r="O130"/>
  <c r="O132"/>
  <c r="O135"/>
  <c r="O137"/>
  <c r="O139"/>
  <c r="O140"/>
  <c r="O142"/>
  <c r="O144"/>
  <c r="O147"/>
  <c r="O149"/>
  <c r="O2"/>
  <c r="M3"/>
  <c r="M4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19"/>
  <c r="M121"/>
  <c r="M122"/>
  <c r="M124"/>
  <c r="M125"/>
  <c r="M127"/>
  <c r="M128"/>
  <c r="M130"/>
  <c r="M132"/>
  <c r="M135"/>
  <c r="M137"/>
  <c r="M139"/>
  <c r="M140"/>
  <c r="M142"/>
  <c r="M144"/>
  <c r="M147"/>
  <c r="M149"/>
  <c r="M2"/>
  <c r="M105"/>
  <c r="M106"/>
  <c r="M107"/>
  <c r="M108"/>
  <c r="M109"/>
  <c r="M110"/>
  <c r="M111"/>
  <c r="M112"/>
  <c r="M113"/>
  <c r="M114"/>
  <c r="M115"/>
  <c r="M116"/>
  <c r="M117"/>
  <c r="M118"/>
  <c r="M120"/>
  <c r="M123"/>
  <c r="M126"/>
  <c r="M129"/>
  <c r="M131"/>
  <c r="M133"/>
  <c r="M134"/>
  <c r="M136"/>
  <c r="M138"/>
  <c r="M141"/>
  <c r="M143"/>
  <c r="M145"/>
  <c r="M146"/>
  <c r="M148"/>
  <c r="M150"/>
  <c r="M151"/>
  <c r="K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16"/>
  <c r="K120"/>
  <c r="K123"/>
  <c r="K126"/>
  <c r="K129"/>
  <c r="K131"/>
  <c r="K133"/>
  <c r="K134"/>
  <c r="K136"/>
  <c r="K138"/>
  <c r="K140"/>
  <c r="K141"/>
  <c r="K143"/>
  <c r="K145"/>
  <c r="K146"/>
  <c r="K148"/>
  <c r="K150"/>
  <c r="K151"/>
  <c r="K106"/>
  <c r="K107"/>
  <c r="K108"/>
  <c r="K109"/>
  <c r="K110"/>
  <c r="K111"/>
  <c r="K112"/>
  <c r="K113"/>
  <c r="K114"/>
  <c r="K115"/>
  <c r="K117"/>
  <c r="K118"/>
  <c r="K119"/>
  <c r="K121"/>
  <c r="K122"/>
  <c r="K124"/>
  <c r="K125"/>
  <c r="K127"/>
  <c r="K128"/>
  <c r="K130"/>
  <c r="K132"/>
  <c r="K135"/>
  <c r="K137"/>
  <c r="K139"/>
  <c r="K142"/>
  <c r="K144"/>
  <c r="K147"/>
  <c r="K149"/>
  <c r="K2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19"/>
  <c r="I121"/>
  <c r="I122"/>
  <c r="I124"/>
  <c r="I125"/>
  <c r="I127"/>
  <c r="I128"/>
  <c r="I130"/>
  <c r="I132"/>
  <c r="I135"/>
  <c r="I137"/>
  <c r="I139"/>
  <c r="I142"/>
  <c r="I144"/>
  <c r="I147"/>
  <c r="I149"/>
  <c r="I2"/>
  <c r="I106"/>
  <c r="I107"/>
  <c r="I108"/>
  <c r="I109"/>
  <c r="I110"/>
  <c r="I111"/>
  <c r="I112"/>
  <c r="I113"/>
  <c r="I114"/>
  <c r="I115"/>
  <c r="I116"/>
  <c r="I117"/>
  <c r="I118"/>
  <c r="I120"/>
  <c r="I123"/>
  <c r="I126"/>
  <c r="I129"/>
  <c r="I131"/>
  <c r="I133"/>
  <c r="I134"/>
  <c r="I136"/>
  <c r="I138"/>
  <c r="I140"/>
  <c r="I141"/>
  <c r="I143"/>
  <c r="I145"/>
  <c r="I146"/>
  <c r="I148"/>
  <c r="I150"/>
  <c r="I151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2"/>
  <c r="G120"/>
  <c r="G122"/>
  <c r="G123"/>
  <c r="G126"/>
  <c r="G129"/>
  <c r="G131"/>
  <c r="G133"/>
  <c r="G134"/>
  <c r="G136"/>
  <c r="G138"/>
  <c r="G140"/>
  <c r="G141"/>
  <c r="G143"/>
  <c r="G145"/>
  <c r="G146"/>
  <c r="G148"/>
  <c r="G150"/>
  <c r="G151"/>
  <c r="G106"/>
  <c r="G107"/>
  <c r="G108"/>
  <c r="G109"/>
  <c r="G110"/>
  <c r="G111"/>
  <c r="G112"/>
  <c r="G113"/>
  <c r="G114"/>
  <c r="G115"/>
  <c r="G116"/>
  <c r="G117"/>
  <c r="G118"/>
  <c r="G119"/>
  <c r="G121"/>
  <c r="G124"/>
  <c r="G125"/>
  <c r="G127"/>
  <c r="G128"/>
  <c r="G130"/>
  <c r="G132"/>
  <c r="G135"/>
  <c r="G137"/>
  <c r="G139"/>
  <c r="G142"/>
  <c r="G144"/>
  <c r="G147"/>
  <c r="G149"/>
  <c r="E2" i="24"/>
  <c r="D3" s="1"/>
  <c r="D4" s="1"/>
  <c r="D5" s="1"/>
  <c r="D6" s="1"/>
  <c r="D7" s="1"/>
  <c r="D8" s="1"/>
  <c r="D9" s="1"/>
  <c r="D10" s="1"/>
  <c r="D11" s="1"/>
  <c r="D12" s="1"/>
  <c r="D13" s="1"/>
  <c r="D14" s="1"/>
  <c r="D15" s="1"/>
  <c r="D16" s="1"/>
  <c r="E3" i="22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5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66"/>
  <c r="E138"/>
  <c r="E139"/>
  <c r="E140"/>
  <c r="E141"/>
  <c r="E142"/>
  <c r="E143"/>
  <c r="E144"/>
  <c r="E145"/>
  <c r="E146"/>
  <c r="E147"/>
  <c r="E148"/>
  <c r="E149"/>
  <c r="E150"/>
  <c r="E151"/>
  <c r="E64"/>
  <c r="E2"/>
  <c r="E3" i="19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2"/>
  <c r="E119"/>
  <c r="E121"/>
  <c r="E124"/>
  <c r="E125"/>
  <c r="E127"/>
  <c r="E128"/>
  <c r="E130"/>
  <c r="E132"/>
  <c r="E134"/>
  <c r="E135"/>
  <c r="E137"/>
  <c r="E139"/>
  <c r="E142"/>
  <c r="E144"/>
  <c r="E147"/>
  <c r="E149"/>
  <c r="E106"/>
  <c r="E107"/>
  <c r="E108"/>
  <c r="E109"/>
  <c r="E110"/>
  <c r="E111"/>
  <c r="E112"/>
  <c r="E113"/>
  <c r="E114"/>
  <c r="E115"/>
  <c r="E116"/>
  <c r="E117"/>
  <c r="E118"/>
  <c r="E120"/>
  <c r="E122"/>
  <c r="E123"/>
  <c r="E126"/>
  <c r="E129"/>
  <c r="E131"/>
  <c r="E133"/>
  <c r="E136"/>
  <c r="E138"/>
  <c r="E140"/>
  <c r="E141"/>
  <c r="E143"/>
  <c r="E145"/>
  <c r="E146"/>
  <c r="E148"/>
  <c r="E150"/>
  <c r="E151"/>
  <c r="E3" i="24"/>
  <c r="O3" i="22"/>
  <c r="O4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4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63"/>
  <c r="O138"/>
  <c r="O139"/>
  <c r="O140"/>
  <c r="O141"/>
  <c r="O142"/>
  <c r="O143"/>
  <c r="O144"/>
  <c r="O145"/>
  <c r="O146"/>
  <c r="O147"/>
  <c r="O148"/>
  <c r="O149"/>
  <c r="O150"/>
  <c r="O151"/>
  <c r="O65"/>
  <c r="O2"/>
  <c r="K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4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65"/>
  <c r="K138"/>
  <c r="K139"/>
  <c r="K140"/>
  <c r="K141"/>
  <c r="K142"/>
  <c r="K143"/>
  <c r="K144"/>
  <c r="K145"/>
  <c r="K146"/>
  <c r="K147"/>
  <c r="K148"/>
  <c r="K149"/>
  <c r="K150"/>
  <c r="K151"/>
  <c r="K63"/>
  <c r="K2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3"/>
  <c r="H25"/>
  <c r="H27"/>
  <c r="H29"/>
  <c r="H22"/>
  <c r="H24"/>
  <c r="H26"/>
  <c r="H28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9"/>
  <c r="H71"/>
  <c r="H73"/>
  <c r="H75"/>
  <c r="H77"/>
  <c r="H79"/>
  <c r="H81"/>
  <c r="H83"/>
  <c r="H85"/>
  <c r="H87"/>
  <c r="H89"/>
  <c r="H91"/>
  <c r="H93"/>
  <c r="H95"/>
  <c r="H97"/>
  <c r="H99"/>
  <c r="H101"/>
  <c r="H103"/>
  <c r="H105"/>
  <c r="H107"/>
  <c r="H109"/>
  <c r="H111"/>
  <c r="H113"/>
  <c r="H115"/>
  <c r="H117"/>
  <c r="H119"/>
  <c r="H121"/>
  <c r="H123"/>
  <c r="H125"/>
  <c r="H127"/>
  <c r="H129"/>
  <c r="H131"/>
  <c r="H133"/>
  <c r="H135"/>
  <c r="H137"/>
  <c r="H2"/>
  <c r="H68"/>
  <c r="H72"/>
  <c r="H76"/>
  <c r="H80"/>
  <c r="H84"/>
  <c r="H88"/>
  <c r="H92"/>
  <c r="H96"/>
  <c r="H100"/>
  <c r="H104"/>
  <c r="H108"/>
  <c r="H112"/>
  <c r="H116"/>
  <c r="H120"/>
  <c r="H124"/>
  <c r="H128"/>
  <c r="H132"/>
  <c r="H136"/>
  <c r="H138"/>
  <c r="H140"/>
  <c r="H142"/>
  <c r="H144"/>
  <c r="H146"/>
  <c r="H148"/>
  <c r="H150"/>
  <c r="H70"/>
  <c r="H74"/>
  <c r="H78"/>
  <c r="H82"/>
  <c r="H86"/>
  <c r="H90"/>
  <c r="H94"/>
  <c r="H98"/>
  <c r="H102"/>
  <c r="H106"/>
  <c r="H110"/>
  <c r="H114"/>
  <c r="H118"/>
  <c r="H122"/>
  <c r="H126"/>
  <c r="H130"/>
  <c r="H134"/>
  <c r="H139"/>
  <c r="H141"/>
  <c r="H143"/>
  <c r="H145"/>
  <c r="H147"/>
  <c r="H149"/>
  <c r="H151"/>
  <c r="E13" i="24"/>
  <c r="E9"/>
  <c r="E5"/>
  <c r="R3" i="22"/>
  <c r="R4"/>
  <c r="R5"/>
  <c r="R6"/>
  <c r="R7"/>
  <c r="R8"/>
  <c r="R9"/>
  <c r="R10"/>
  <c r="R11"/>
  <c r="R12"/>
  <c r="R13"/>
  <c r="R14"/>
  <c r="R15"/>
  <c r="R16"/>
  <c r="R17"/>
  <c r="R18"/>
  <c r="R19"/>
  <c r="R20"/>
  <c r="R22"/>
  <c r="R24"/>
  <c r="R26"/>
  <c r="R28"/>
  <c r="R21"/>
  <c r="R23"/>
  <c r="R25"/>
  <c r="R27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8"/>
  <c r="R70"/>
  <c r="R72"/>
  <c r="R74"/>
  <c r="R76"/>
  <c r="R78"/>
  <c r="R80"/>
  <c r="R82"/>
  <c r="R84"/>
  <c r="R86"/>
  <c r="R88"/>
  <c r="R90"/>
  <c r="R92"/>
  <c r="R94"/>
  <c r="R96"/>
  <c r="R98"/>
  <c r="R100"/>
  <c r="R102"/>
  <c r="R104"/>
  <c r="R106"/>
  <c r="R108"/>
  <c r="R110"/>
  <c r="R112"/>
  <c r="R114"/>
  <c r="R116"/>
  <c r="R118"/>
  <c r="R120"/>
  <c r="R122"/>
  <c r="R124"/>
  <c r="R126"/>
  <c r="R128"/>
  <c r="R130"/>
  <c r="R132"/>
  <c r="R134"/>
  <c r="R136"/>
  <c r="R2"/>
  <c r="R69"/>
  <c r="R73"/>
  <c r="R77"/>
  <c r="R81"/>
  <c r="R85"/>
  <c r="R89"/>
  <c r="R93"/>
  <c r="R97"/>
  <c r="R101"/>
  <c r="R105"/>
  <c r="R109"/>
  <c r="R113"/>
  <c r="R117"/>
  <c r="R121"/>
  <c r="R125"/>
  <c r="R129"/>
  <c r="R133"/>
  <c r="R137"/>
  <c r="R139"/>
  <c r="R141"/>
  <c r="R143"/>
  <c r="R145"/>
  <c r="R147"/>
  <c r="R149"/>
  <c r="R151"/>
  <c r="R67"/>
  <c r="R71"/>
  <c r="R75"/>
  <c r="R79"/>
  <c r="R83"/>
  <c r="R87"/>
  <c r="R91"/>
  <c r="R95"/>
  <c r="R99"/>
  <c r="R103"/>
  <c r="R107"/>
  <c r="R111"/>
  <c r="R115"/>
  <c r="R119"/>
  <c r="R123"/>
  <c r="R127"/>
  <c r="R131"/>
  <c r="R135"/>
  <c r="R138"/>
  <c r="R140"/>
  <c r="R142"/>
  <c r="R144"/>
  <c r="R146"/>
  <c r="R148"/>
  <c r="R150"/>
  <c r="N3"/>
  <c r="N4"/>
  <c r="N5"/>
  <c r="N6"/>
  <c r="N7"/>
  <c r="N8"/>
  <c r="N9"/>
  <c r="N10"/>
  <c r="N11"/>
  <c r="N12"/>
  <c r="N13"/>
  <c r="N14"/>
  <c r="N15"/>
  <c r="N16"/>
  <c r="N17"/>
  <c r="N18"/>
  <c r="N19"/>
  <c r="N20"/>
  <c r="N22"/>
  <c r="N24"/>
  <c r="N26"/>
  <c r="N28"/>
  <c r="N21"/>
  <c r="N23"/>
  <c r="N25"/>
  <c r="N27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8"/>
  <c r="N70"/>
  <c r="N72"/>
  <c r="N74"/>
  <c r="N76"/>
  <c r="N78"/>
  <c r="N80"/>
  <c r="N82"/>
  <c r="N84"/>
  <c r="N86"/>
  <c r="N88"/>
  <c r="N90"/>
  <c r="N92"/>
  <c r="N94"/>
  <c r="N96"/>
  <c r="N98"/>
  <c r="N100"/>
  <c r="N102"/>
  <c r="N104"/>
  <c r="N106"/>
  <c r="N108"/>
  <c r="N110"/>
  <c r="N112"/>
  <c r="N114"/>
  <c r="N116"/>
  <c r="N118"/>
  <c r="N120"/>
  <c r="N122"/>
  <c r="N124"/>
  <c r="N126"/>
  <c r="N128"/>
  <c r="N130"/>
  <c r="N132"/>
  <c r="N134"/>
  <c r="N136"/>
  <c r="N2"/>
  <c r="N67"/>
  <c r="N71"/>
  <c r="N75"/>
  <c r="N79"/>
  <c r="N83"/>
  <c r="N87"/>
  <c r="N91"/>
  <c r="N95"/>
  <c r="N99"/>
  <c r="N103"/>
  <c r="N107"/>
  <c r="N111"/>
  <c r="N115"/>
  <c r="N119"/>
  <c r="N123"/>
  <c r="N127"/>
  <c r="N131"/>
  <c r="N135"/>
  <c r="N139"/>
  <c r="N141"/>
  <c r="N143"/>
  <c r="N145"/>
  <c r="N147"/>
  <c r="N149"/>
  <c r="N151"/>
  <c r="N69"/>
  <c r="N73"/>
  <c r="N77"/>
  <c r="N81"/>
  <c r="N85"/>
  <c r="N89"/>
  <c r="N93"/>
  <c r="N97"/>
  <c r="N101"/>
  <c r="N105"/>
  <c r="N109"/>
  <c r="N113"/>
  <c r="N117"/>
  <c r="N121"/>
  <c r="N125"/>
  <c r="N129"/>
  <c r="N133"/>
  <c r="N137"/>
  <c r="N138"/>
  <c r="N140"/>
  <c r="N142"/>
  <c r="N144"/>
  <c r="N146"/>
  <c r="N148"/>
  <c r="N150"/>
  <c r="R3" i="19"/>
  <c r="R4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6"/>
  <c r="R98"/>
  <c r="R100"/>
  <c r="R102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2"/>
  <c r="R95"/>
  <c r="R97"/>
  <c r="R99"/>
  <c r="R101"/>
  <c r="R103"/>
  <c r="P3"/>
  <c r="P4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7"/>
  <c r="P99"/>
  <c r="P101"/>
  <c r="P103"/>
  <c r="P105"/>
  <c r="P106"/>
  <c r="P107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44"/>
  <c r="P145"/>
  <c r="P146"/>
  <c r="P147"/>
  <c r="P148"/>
  <c r="P149"/>
  <c r="P150"/>
  <c r="P151"/>
  <c r="P2"/>
  <c r="P96"/>
  <c r="P98"/>
  <c r="P100"/>
  <c r="P102"/>
  <c r="P104"/>
  <c r="N3"/>
  <c r="N4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6"/>
  <c r="N98"/>
  <c r="N100"/>
  <c r="N102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2"/>
  <c r="N95"/>
  <c r="N97"/>
  <c r="N99"/>
  <c r="N101"/>
  <c r="N103"/>
  <c r="L3"/>
  <c r="L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7"/>
  <c r="L99"/>
  <c r="L101"/>
  <c r="L103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2"/>
  <c r="L96"/>
  <c r="L98"/>
  <c r="L100"/>
  <c r="L102"/>
  <c r="L104"/>
  <c r="E16" i="24"/>
  <c r="G3" i="22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4"/>
  <c r="G66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63"/>
  <c r="G67"/>
  <c r="G138"/>
  <c r="G139"/>
  <c r="G140"/>
  <c r="G141"/>
  <c r="G142"/>
  <c r="G143"/>
  <c r="G144"/>
  <c r="G145"/>
  <c r="G146"/>
  <c r="G147"/>
  <c r="G148"/>
  <c r="G149"/>
  <c r="G150"/>
  <c r="G151"/>
  <c r="G65"/>
  <c r="G2"/>
  <c r="J3" i="19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6"/>
  <c r="J98"/>
  <c r="J100"/>
  <c r="J102"/>
  <c r="J104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2"/>
  <c r="J95"/>
  <c r="J97"/>
  <c r="J99"/>
  <c r="J101"/>
  <c r="J103"/>
  <c r="J105"/>
  <c r="E12" i="24"/>
  <c r="E8"/>
  <c r="H3" i="19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7"/>
  <c r="H99"/>
  <c r="H101"/>
  <c r="H103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2"/>
  <c r="H96"/>
  <c r="H98"/>
  <c r="H100"/>
  <c r="H102"/>
  <c r="H104"/>
  <c r="E4" i="24"/>
  <c r="F3" i="19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8"/>
  <c r="F100"/>
  <c r="F102"/>
  <c r="F104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97"/>
  <c r="F99"/>
  <c r="F101"/>
  <c r="F103"/>
  <c r="F105"/>
  <c r="F2"/>
  <c r="Q3" i="22"/>
  <c r="Q4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3"/>
  <c r="Q65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64"/>
  <c r="Q138"/>
  <c r="Q139"/>
  <c r="Q140"/>
  <c r="Q141"/>
  <c r="Q142"/>
  <c r="Q143"/>
  <c r="Q144"/>
  <c r="Q145"/>
  <c r="Q146"/>
  <c r="Q147"/>
  <c r="Q148"/>
  <c r="Q149"/>
  <c r="Q150"/>
  <c r="Q151"/>
  <c r="Q62"/>
  <c r="Q66"/>
  <c r="Q2"/>
  <c r="M3"/>
  <c r="M4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3"/>
  <c r="M65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62"/>
  <c r="M66"/>
  <c r="M138"/>
  <c r="M139"/>
  <c r="M140"/>
  <c r="M141"/>
  <c r="M142"/>
  <c r="M143"/>
  <c r="M144"/>
  <c r="M145"/>
  <c r="M146"/>
  <c r="M147"/>
  <c r="M148"/>
  <c r="M149"/>
  <c r="M150"/>
  <c r="M151"/>
  <c r="M64"/>
  <c r="M2"/>
  <c r="J3"/>
  <c r="J4"/>
  <c r="J5"/>
  <c r="J6"/>
  <c r="J7"/>
  <c r="J8"/>
  <c r="J9"/>
  <c r="J10"/>
  <c r="J11"/>
  <c r="J12"/>
  <c r="J13"/>
  <c r="J14"/>
  <c r="J15"/>
  <c r="J16"/>
  <c r="J17"/>
  <c r="J18"/>
  <c r="J19"/>
  <c r="J20"/>
  <c r="J22"/>
  <c r="J24"/>
  <c r="J26"/>
  <c r="J28"/>
  <c r="J21"/>
  <c r="J23"/>
  <c r="J25"/>
  <c r="J27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8"/>
  <c r="J70"/>
  <c r="J72"/>
  <c r="J74"/>
  <c r="J76"/>
  <c r="J78"/>
  <c r="J80"/>
  <c r="J82"/>
  <c r="J84"/>
  <c r="J86"/>
  <c r="J88"/>
  <c r="J90"/>
  <c r="J92"/>
  <c r="J94"/>
  <c r="J96"/>
  <c r="J98"/>
  <c r="J100"/>
  <c r="J102"/>
  <c r="J104"/>
  <c r="J106"/>
  <c r="J108"/>
  <c r="J110"/>
  <c r="J112"/>
  <c r="J114"/>
  <c r="J116"/>
  <c r="J118"/>
  <c r="J120"/>
  <c r="J122"/>
  <c r="J124"/>
  <c r="J126"/>
  <c r="J128"/>
  <c r="J130"/>
  <c r="J132"/>
  <c r="J134"/>
  <c r="J136"/>
  <c r="J2"/>
  <c r="J69"/>
  <c r="J73"/>
  <c r="J77"/>
  <c r="J81"/>
  <c r="J85"/>
  <c r="J89"/>
  <c r="J93"/>
  <c r="J97"/>
  <c r="J101"/>
  <c r="J105"/>
  <c r="J109"/>
  <c r="J113"/>
  <c r="J117"/>
  <c r="J121"/>
  <c r="J125"/>
  <c r="J129"/>
  <c r="J133"/>
  <c r="J137"/>
  <c r="J139"/>
  <c r="J141"/>
  <c r="J143"/>
  <c r="J145"/>
  <c r="J147"/>
  <c r="J149"/>
  <c r="J151"/>
  <c r="J67"/>
  <c r="J71"/>
  <c r="J75"/>
  <c r="J79"/>
  <c r="J83"/>
  <c r="J87"/>
  <c r="J91"/>
  <c r="J95"/>
  <c r="J99"/>
  <c r="J103"/>
  <c r="J107"/>
  <c r="J111"/>
  <c r="J115"/>
  <c r="J119"/>
  <c r="J123"/>
  <c r="J127"/>
  <c r="J131"/>
  <c r="J135"/>
  <c r="J138"/>
  <c r="J140"/>
  <c r="J142"/>
  <c r="J144"/>
  <c r="J146"/>
  <c r="J148"/>
  <c r="J150"/>
  <c r="E15" i="24"/>
  <c r="E11"/>
  <c r="E7"/>
  <c r="F3" i="22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4"/>
  <c r="F26"/>
  <c r="F28"/>
  <c r="F30"/>
  <c r="F23"/>
  <c r="F25"/>
  <c r="F27"/>
  <c r="F29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70"/>
  <c r="F72"/>
  <c r="F74"/>
  <c r="F76"/>
  <c r="F78"/>
  <c r="F80"/>
  <c r="F82"/>
  <c r="F84"/>
  <c r="F86"/>
  <c r="F88"/>
  <c r="F90"/>
  <c r="F92"/>
  <c r="F94"/>
  <c r="F96"/>
  <c r="F98"/>
  <c r="F100"/>
  <c r="F102"/>
  <c r="F104"/>
  <c r="F106"/>
  <c r="F108"/>
  <c r="F110"/>
  <c r="F112"/>
  <c r="F114"/>
  <c r="F116"/>
  <c r="F118"/>
  <c r="F120"/>
  <c r="F122"/>
  <c r="F124"/>
  <c r="F126"/>
  <c r="F128"/>
  <c r="F130"/>
  <c r="F132"/>
  <c r="F134"/>
  <c r="F136"/>
  <c r="F2"/>
  <c r="F71"/>
  <c r="F75"/>
  <c r="F79"/>
  <c r="F83"/>
  <c r="F87"/>
  <c r="F91"/>
  <c r="F95"/>
  <c r="F99"/>
  <c r="F103"/>
  <c r="F107"/>
  <c r="F111"/>
  <c r="F115"/>
  <c r="F119"/>
  <c r="F123"/>
  <c r="F127"/>
  <c r="F131"/>
  <c r="F135"/>
  <c r="F139"/>
  <c r="F141"/>
  <c r="F143"/>
  <c r="F145"/>
  <c r="F147"/>
  <c r="F149"/>
  <c r="F151"/>
  <c r="F69"/>
  <c r="F73"/>
  <c r="F77"/>
  <c r="F81"/>
  <c r="F85"/>
  <c r="F89"/>
  <c r="F93"/>
  <c r="F97"/>
  <c r="F101"/>
  <c r="F105"/>
  <c r="F109"/>
  <c r="F113"/>
  <c r="F117"/>
  <c r="F121"/>
  <c r="F125"/>
  <c r="F129"/>
  <c r="F133"/>
  <c r="F137"/>
  <c r="F138"/>
  <c r="F140"/>
  <c r="F142"/>
  <c r="F144"/>
  <c r="F146"/>
  <c r="F148"/>
  <c r="F150"/>
  <c r="L92" i="13"/>
  <c r="F92"/>
  <c r="F44"/>
  <c r="H44" i="23" s="1" a="1"/>
  <c r="H44" s="1"/>
  <c r="L44" i="13"/>
  <c r="J4"/>
  <c r="G4"/>
  <c r="H4"/>
  <c r="F46"/>
  <c r="H46" i="23" s="1" a="1"/>
  <c r="H46" s="1"/>
  <c r="L124" i="13"/>
  <c r="L20"/>
  <c r="F94"/>
  <c r="H94" i="23" s="1" a="1"/>
  <c r="H94" s="1"/>
  <c r="L94" i="13"/>
  <c r="F6"/>
  <c r="L6"/>
  <c r="F150"/>
  <c r="H150" i="23" s="1" a="1"/>
  <c r="H150" s="1"/>
  <c r="F62" i="13"/>
  <c r="L140"/>
  <c r="C55" i="24"/>
  <c r="N6" i="14"/>
  <c r="O6" s="1"/>
  <c r="P6" s="1"/>
  <c r="D2" i="13"/>
  <c r="C6" i="7"/>
  <c r="V6"/>
  <c r="R6"/>
  <c r="N6"/>
  <c r="J6"/>
  <c r="F6"/>
  <c r="Y6"/>
  <c r="U6"/>
  <c r="Q6"/>
  <c r="M6"/>
  <c r="I6"/>
  <c r="E6"/>
  <c r="X6"/>
  <c r="T6"/>
  <c r="P6"/>
  <c r="L6"/>
  <c r="H6"/>
  <c r="D6"/>
  <c r="W6"/>
  <c r="S6"/>
  <c r="O6"/>
  <c r="K6"/>
  <c r="G6"/>
  <c r="Z6"/>
  <c r="C48" i="16"/>
  <c r="C4"/>
  <c r="C23"/>
  <c r="C3"/>
  <c r="C11"/>
  <c r="C24"/>
  <c r="C32"/>
  <c r="C47"/>
  <c r="AB127" i="3" l="1"/>
  <c r="AB56"/>
  <c r="AC68"/>
  <c r="AC131"/>
  <c r="AC69"/>
  <c r="W162"/>
  <c r="W141"/>
  <c r="H62" i="23" a="1"/>
  <c r="H62" s="1"/>
  <c r="AG26" i="26"/>
  <c r="AI26" s="1"/>
  <c r="AG28"/>
  <c r="AI28" s="1"/>
  <c r="AG34"/>
  <c r="AI34" s="1"/>
  <c r="AG38"/>
  <c r="AI38" s="1"/>
  <c r="AG40"/>
  <c r="AI40" s="1"/>
  <c r="AG44"/>
  <c r="AI44" s="1"/>
  <c r="W129" i="3"/>
  <c r="AG25" i="26"/>
  <c r="AI25" s="1"/>
  <c r="AG27"/>
  <c r="AI27" s="1"/>
  <c r="AG29"/>
  <c r="AI29" s="1"/>
  <c r="AG33"/>
  <c r="AI33" s="1"/>
  <c r="AG45"/>
  <c r="AI45" s="1"/>
  <c r="W122" i="3"/>
  <c r="H6" i="23" a="1"/>
  <c r="H6" s="1"/>
  <c r="W142" i="3"/>
  <c r="H92" i="23" a="1"/>
  <c r="H92" s="1"/>
  <c r="W139" i="3"/>
  <c r="H20" i="23" a="1"/>
  <c r="H20" s="1"/>
  <c r="L41"/>
  <c r="K41"/>
  <c r="M41"/>
  <c r="K31"/>
  <c r="M31"/>
  <c r="L31"/>
  <c r="L16"/>
  <c r="K16"/>
  <c r="M16"/>
  <c r="L36"/>
  <c r="K36"/>
  <c r="M36"/>
  <c r="L21"/>
  <c r="K21"/>
  <c r="M21"/>
  <c r="K11"/>
  <c r="M11"/>
  <c r="L11"/>
  <c r="L2"/>
  <c r="K2"/>
  <c r="M2"/>
  <c r="L26"/>
  <c r="K26"/>
  <c r="M26"/>
  <c r="L6"/>
  <c r="K6"/>
  <c r="M6"/>
  <c r="AB131" i="3"/>
  <c r="O71"/>
  <c r="AA69"/>
  <c r="Z69"/>
  <c r="F86" i="13"/>
  <c r="H86" i="23" s="1" a="1"/>
  <c r="H86" s="1"/>
  <c r="AC149" i="3"/>
  <c r="F63" i="13"/>
  <c r="H63" i="23" s="1" a="1"/>
  <c r="H63" s="1"/>
  <c r="AB129" i="3"/>
  <c r="O150"/>
  <c r="O151" s="1"/>
  <c r="AA151" s="1"/>
  <c r="F79" i="13"/>
  <c r="H79" i="23" s="1" a="1"/>
  <c r="H79" s="1"/>
  <c r="F67" i="13"/>
  <c r="L63"/>
  <c r="AC158" i="3"/>
  <c r="AC161"/>
  <c r="F81" i="13"/>
  <c r="H81" i="23" s="1" a="1"/>
  <c r="H81" s="1"/>
  <c r="AB125" i="3"/>
  <c r="AC159"/>
  <c r="L67" i="13"/>
  <c r="L79"/>
  <c r="Z47" i="3"/>
  <c r="AA47"/>
  <c r="Z40"/>
  <c r="AA40"/>
  <c r="Z34"/>
  <c r="AA34"/>
  <c r="Z45"/>
  <c r="AA45"/>
  <c r="Z39"/>
  <c r="AA39"/>
  <c r="Z33"/>
  <c r="AA33"/>
  <c r="Z43"/>
  <c r="AA43"/>
  <c r="Z38"/>
  <c r="AA38"/>
  <c r="AC82"/>
  <c r="Z82"/>
  <c r="AA82"/>
  <c r="AC66"/>
  <c r="Z66"/>
  <c r="AA66"/>
  <c r="Z24"/>
  <c r="AA24"/>
  <c r="Z54"/>
  <c r="AA54"/>
  <c r="Z27"/>
  <c r="AA27"/>
  <c r="Z42"/>
  <c r="AA42"/>
  <c r="Z61"/>
  <c r="AA61"/>
  <c r="Z28"/>
  <c r="AA28"/>
  <c r="Z36"/>
  <c r="AA36"/>
  <c r="Z76"/>
  <c r="AA76"/>
  <c r="Z58"/>
  <c r="AA58"/>
  <c r="Z84"/>
  <c r="AA84"/>
  <c r="Z37"/>
  <c r="AA37"/>
  <c r="AB50"/>
  <c r="Z50"/>
  <c r="AA50"/>
  <c r="Z30"/>
  <c r="AA30"/>
  <c r="Z89"/>
  <c r="AA89"/>
  <c r="AC72"/>
  <c r="Z72"/>
  <c r="AA72"/>
  <c r="Z56"/>
  <c r="AA56"/>
  <c r="Z23"/>
  <c r="AA23"/>
  <c r="Z59"/>
  <c r="AA59"/>
  <c r="AB57"/>
  <c r="Z57"/>
  <c r="AA57"/>
  <c r="Z87"/>
  <c r="AA87"/>
  <c r="Z41"/>
  <c r="AA41"/>
  <c r="Z25"/>
  <c r="AA25"/>
  <c r="Z46"/>
  <c r="AA46"/>
  <c r="AC21"/>
  <c r="Z21"/>
  <c r="AA21"/>
  <c r="Z55"/>
  <c r="AA55"/>
  <c r="Z49"/>
  <c r="AA49"/>
  <c r="Z68"/>
  <c r="AA68"/>
  <c r="Z60"/>
  <c r="AA60"/>
  <c r="Z35"/>
  <c r="AA35"/>
  <c r="Z26"/>
  <c r="AA26"/>
  <c r="Z74"/>
  <c r="AA74"/>
  <c r="Z78"/>
  <c r="AA78"/>
  <c r="AC52"/>
  <c r="Z52"/>
  <c r="AA52"/>
  <c r="Z44"/>
  <c r="AA44"/>
  <c r="Z29"/>
  <c r="AA29"/>
  <c r="Z32"/>
  <c r="AA32"/>
  <c r="Z31"/>
  <c r="AA31"/>
  <c r="Z80"/>
  <c r="AA80"/>
  <c r="Z75"/>
  <c r="AA75"/>
  <c r="Z73"/>
  <c r="AA73"/>
  <c r="Z125"/>
  <c r="AA125"/>
  <c r="O160"/>
  <c r="AA159"/>
  <c r="Z159"/>
  <c r="Z128"/>
  <c r="AA128"/>
  <c r="AA158"/>
  <c r="Z158"/>
  <c r="Z127"/>
  <c r="AA127"/>
  <c r="O162"/>
  <c r="AA161"/>
  <c r="Z161"/>
  <c r="D17" i="24"/>
  <c r="E17" s="1"/>
  <c r="D18" s="1"/>
  <c r="D19" s="1"/>
  <c r="D20" s="1"/>
  <c r="D21" s="1"/>
  <c r="E10"/>
  <c r="E6"/>
  <c r="E14"/>
  <c r="AB112" i="3"/>
  <c r="AA152"/>
  <c r="AC152"/>
  <c r="Z152"/>
  <c r="AB152"/>
  <c r="AB139"/>
  <c r="AC129"/>
  <c r="AB72"/>
  <c r="L109" i="13"/>
  <c r="F109"/>
  <c r="H109" i="23" s="1" a="1"/>
  <c r="H109" s="1"/>
  <c r="F97" i="13"/>
  <c r="H97" i="23" s="1" a="1"/>
  <c r="H97" s="1"/>
  <c r="L97" i="13"/>
  <c r="L113"/>
  <c r="F113"/>
  <c r="H113" i="23" s="1" a="1"/>
  <c r="H113" s="1"/>
  <c r="W11" i="3"/>
  <c r="W6"/>
  <c r="W81"/>
  <c r="AA107"/>
  <c r="Z107"/>
  <c r="O108"/>
  <c r="Z122"/>
  <c r="AA122"/>
  <c r="AA148"/>
  <c r="Z148"/>
  <c r="O62"/>
  <c r="O85"/>
  <c r="AA147"/>
  <c r="Z147"/>
  <c r="O90"/>
  <c r="AA143"/>
  <c r="Z143"/>
  <c r="O144"/>
  <c r="O88"/>
  <c r="AA135"/>
  <c r="Z135"/>
  <c r="O136"/>
  <c r="Z10"/>
  <c r="AA10"/>
  <c r="AA118"/>
  <c r="Z118"/>
  <c r="O119"/>
  <c r="Z9"/>
  <c r="AA9"/>
  <c r="O79"/>
  <c r="Z126"/>
  <c r="AA126"/>
  <c r="Z7"/>
  <c r="AA7"/>
  <c r="O8"/>
  <c r="Z13"/>
  <c r="AA13"/>
  <c r="O14"/>
  <c r="O81"/>
  <c r="Z15"/>
  <c r="AA15"/>
  <c r="O16"/>
  <c r="AA12"/>
  <c r="Z12"/>
  <c r="O153"/>
  <c r="W13"/>
  <c r="W58"/>
  <c r="W79"/>
  <c r="W85"/>
  <c r="Z2"/>
  <c r="AA2"/>
  <c r="O3"/>
  <c r="Z17"/>
  <c r="AA17"/>
  <c r="O18"/>
  <c r="Z131"/>
  <c r="AA131"/>
  <c r="O83"/>
  <c r="O67"/>
  <c r="Z129"/>
  <c r="AA129"/>
  <c r="Z139"/>
  <c r="AA139"/>
  <c r="O140"/>
  <c r="AA114"/>
  <c r="Z114"/>
  <c r="O115"/>
  <c r="O77"/>
  <c r="Z96"/>
  <c r="AA96"/>
  <c r="O97"/>
  <c r="O51"/>
  <c r="Z4"/>
  <c r="AA4"/>
  <c r="O5"/>
  <c r="AA106"/>
  <c r="Z106"/>
  <c r="AA110"/>
  <c r="Z110"/>
  <c r="O111"/>
  <c r="Z124"/>
  <c r="AA124"/>
  <c r="O22"/>
  <c r="O70"/>
  <c r="AA112"/>
  <c r="Z112"/>
  <c r="O113"/>
  <c r="Z11"/>
  <c r="AA11"/>
  <c r="O53"/>
  <c r="Z123"/>
  <c r="AA123"/>
  <c r="AA149"/>
  <c r="Z149"/>
  <c r="Z103"/>
  <c r="O104"/>
  <c r="AA103"/>
  <c r="L93" i="13"/>
  <c r="L81"/>
  <c r="F105"/>
  <c r="H105" i="23" s="1" a="1"/>
  <c r="H105" s="1"/>
  <c r="L127" i="13"/>
  <c r="AB122" i="3"/>
  <c r="AC143"/>
  <c r="AC122"/>
  <c r="AB135"/>
  <c r="AB58"/>
  <c r="AC135"/>
  <c r="AB143"/>
  <c r="AB61"/>
  <c r="AB7"/>
  <c r="AB151"/>
  <c r="AC74"/>
  <c r="AB87"/>
  <c r="AC126"/>
  <c r="G86" i="13"/>
  <c r="D148"/>
  <c r="D144"/>
  <c r="D142"/>
  <c r="D136"/>
  <c r="D134"/>
  <c r="F134" s="1"/>
  <c r="H134" i="23" s="1" a="1"/>
  <c r="H134" s="1"/>
  <c r="D132" i="13"/>
  <c r="D130"/>
  <c r="D128"/>
  <c r="D118"/>
  <c r="D116"/>
  <c r="D110"/>
  <c r="D108"/>
  <c r="D106"/>
  <c r="D104"/>
  <c r="L104" s="1"/>
  <c r="D98"/>
  <c r="F98" s="1"/>
  <c r="H98" i="23" s="1" a="1"/>
  <c r="H98" s="1"/>
  <c r="D96" i="13"/>
  <c r="D90"/>
  <c r="F90" s="1"/>
  <c r="H90" i="23" s="1" a="1"/>
  <c r="H90" s="1"/>
  <c r="D88" i="13"/>
  <c r="D82"/>
  <c r="D80"/>
  <c r="D74"/>
  <c r="D72"/>
  <c r="D66"/>
  <c r="D64"/>
  <c r="D58"/>
  <c r="D56"/>
  <c r="D50"/>
  <c r="L50" s="1"/>
  <c r="D48"/>
  <c r="D42"/>
  <c r="D40"/>
  <c r="D34"/>
  <c r="D32"/>
  <c r="D26"/>
  <c r="D24"/>
  <c r="D18"/>
  <c r="D16"/>
  <c r="D10"/>
  <c r="D8"/>
  <c r="F87"/>
  <c r="H87" i="23" s="1" a="1"/>
  <c r="H87" s="1"/>
  <c r="F149" i="13"/>
  <c r="H149" i="23" s="1" a="1"/>
  <c r="H149" s="1"/>
  <c r="L103" i="13"/>
  <c r="AB148" i="3"/>
  <c r="AC10"/>
  <c r="AC54"/>
  <c r="AC80"/>
  <c r="AC78"/>
  <c r="AC114"/>
  <c r="AC55"/>
  <c r="AB118"/>
  <c r="AB66"/>
  <c r="AC59"/>
  <c r="AC147"/>
  <c r="AC61"/>
  <c r="AB59"/>
  <c r="AC2"/>
  <c r="AC17"/>
  <c r="AB55"/>
  <c r="AC148"/>
  <c r="AC87"/>
  <c r="AB76"/>
  <c r="AB21"/>
  <c r="AC75"/>
  <c r="AB82"/>
  <c r="AC7"/>
  <c r="AB10"/>
  <c r="AB106"/>
  <c r="AC76"/>
  <c r="AB52"/>
  <c r="AB9"/>
  <c r="AB110"/>
  <c r="AB60"/>
  <c r="AC84"/>
  <c r="AC110"/>
  <c r="AC60"/>
  <c r="AB12"/>
  <c r="AC50"/>
  <c r="AB147"/>
  <c r="AC58"/>
  <c r="AB80"/>
  <c r="AB126"/>
  <c r="AB123"/>
  <c r="AB74"/>
  <c r="AB73"/>
  <c r="AC151"/>
  <c r="AC124"/>
  <c r="L149" i="13"/>
  <c r="F127"/>
  <c r="H127" i="23" s="1" a="1"/>
  <c r="H127" s="1"/>
  <c r="L105" i="13"/>
  <c r="F103"/>
  <c r="H103" i="23" s="1" a="1"/>
  <c r="H103" s="1"/>
  <c r="L87" i="13"/>
  <c r="L59"/>
  <c r="L35"/>
  <c r="F43"/>
  <c r="H43" i="23" s="1" a="1"/>
  <c r="H43" s="1"/>
  <c r="F83" i="13"/>
  <c r="L95"/>
  <c r="L25"/>
  <c r="F41"/>
  <c r="L57"/>
  <c r="L131"/>
  <c r="L107"/>
  <c r="L147"/>
  <c r="L139"/>
  <c r="F145"/>
  <c r="H145" i="23" s="1" a="1"/>
  <c r="H145" s="1"/>
  <c r="G134" i="13"/>
  <c r="H124"/>
  <c r="H20"/>
  <c r="F7"/>
  <c r="H7" i="23" s="1" a="1"/>
  <c r="H7" s="1"/>
  <c r="L31" i="13"/>
  <c r="L39"/>
  <c r="F47"/>
  <c r="H47" i="23" s="1" a="1"/>
  <c r="H47" s="1"/>
  <c r="L55" i="13"/>
  <c r="F99"/>
  <c r="H99" i="23" s="1" a="1"/>
  <c r="H99" s="1"/>
  <c r="F45" i="13"/>
  <c r="F61"/>
  <c r="L129"/>
  <c r="L115"/>
  <c r="N7" i="14"/>
  <c r="N8" s="1"/>
  <c r="F73" i="13"/>
  <c r="H73" i="23" s="1" a="1"/>
  <c r="H73" s="1"/>
  <c r="L73" i="13"/>
  <c r="L111"/>
  <c r="F111"/>
  <c r="H111" i="23" s="1" a="1"/>
  <c r="H111" s="1"/>
  <c r="L51" i="13"/>
  <c r="F51"/>
  <c r="H51" i="23" s="1" a="1"/>
  <c r="H51" s="1"/>
  <c r="F21" i="13"/>
  <c r="L21"/>
  <c r="L29"/>
  <c r="F29"/>
  <c r="H29" i="23" s="1" a="1"/>
  <c r="H29" s="1"/>
  <c r="F77" i="13"/>
  <c r="H77" i="23" s="1" a="1"/>
  <c r="H77" s="1"/>
  <c r="L77" i="13"/>
  <c r="F89"/>
  <c r="L89"/>
  <c r="F121"/>
  <c r="H121" i="23" s="1" a="1"/>
  <c r="H121" s="1"/>
  <c r="L121" i="13"/>
  <c r="F147"/>
  <c r="H147" i="23" s="1" a="1"/>
  <c r="H147" s="1"/>
  <c r="L145" i="13"/>
  <c r="F139"/>
  <c r="H139" i="23" s="1" a="1"/>
  <c r="H139" s="1"/>
  <c r="F131" i="13"/>
  <c r="H131" i="23" s="1" a="1"/>
  <c r="H131" s="1"/>
  <c r="F129" i="13"/>
  <c r="H129" i="23" s="1" a="1"/>
  <c r="H129" s="1"/>
  <c r="F115" i="13"/>
  <c r="H115" i="23" s="1" a="1"/>
  <c r="H115" s="1"/>
  <c r="F107" i="13"/>
  <c r="H107" i="23" s="1" a="1"/>
  <c r="H107" s="1"/>
  <c r="L99" i="13"/>
  <c r="F95"/>
  <c r="H95" i="23" s="1" a="1"/>
  <c r="H95" s="1"/>
  <c r="L83" i="13"/>
  <c r="L61"/>
  <c r="F57"/>
  <c r="F55"/>
  <c r="H55" i="23" s="1" a="1"/>
  <c r="H55" s="1"/>
  <c r="L47" i="13"/>
  <c r="L45"/>
  <c r="L43"/>
  <c r="L41"/>
  <c r="F39"/>
  <c r="H39" i="23" s="1" a="1"/>
  <c r="H39" s="1"/>
  <c r="F35" i="13"/>
  <c r="H35" i="23" s="1" a="1"/>
  <c r="H35" s="1"/>
  <c r="F31" i="13"/>
  <c r="F25"/>
  <c r="L7"/>
  <c r="G103"/>
  <c r="H103"/>
  <c r="J103"/>
  <c r="G67"/>
  <c r="J67"/>
  <c r="H67"/>
  <c r="F93"/>
  <c r="H93" i="23" s="1" a="1"/>
  <c r="H93" s="1"/>
  <c r="F59" i="13"/>
  <c r="H59" i="23" s="1" a="1"/>
  <c r="H59" s="1"/>
  <c r="J21" i="13"/>
  <c r="H51"/>
  <c r="J51"/>
  <c r="G51"/>
  <c r="J89"/>
  <c r="G43"/>
  <c r="J43"/>
  <c r="J97"/>
  <c r="G97"/>
  <c r="J73"/>
  <c r="G73"/>
  <c r="J41"/>
  <c r="G41"/>
  <c r="H99"/>
  <c r="G99"/>
  <c r="J99"/>
  <c r="L144"/>
  <c r="F144"/>
  <c r="H144" i="23" s="1" a="1"/>
  <c r="H144" s="1"/>
  <c r="G140" i="13"/>
  <c r="J140"/>
  <c r="F137"/>
  <c r="H137" i="23" s="1" a="1"/>
  <c r="H137" s="1"/>
  <c r="L137" i="13"/>
  <c r="F130"/>
  <c r="H130" i="23" s="1" a="1"/>
  <c r="H130" s="1"/>
  <c r="L130" i="13"/>
  <c r="L128"/>
  <c r="F128"/>
  <c r="H128" i="23" s="1" a="1"/>
  <c r="H128" s="1"/>
  <c r="F125" i="13"/>
  <c r="H125" i="23" s="1" a="1"/>
  <c r="H125" s="1"/>
  <c r="L125" i="13"/>
  <c r="L123"/>
  <c r="F123"/>
  <c r="H123" i="23" s="1" a="1"/>
  <c r="H123" s="1"/>
  <c r="F122" i="13"/>
  <c r="H122" i="23" s="1" a="1"/>
  <c r="H122" s="1"/>
  <c r="L122" i="13"/>
  <c r="F117"/>
  <c r="H117" i="23" s="1" a="1"/>
  <c r="H117" s="1"/>
  <c r="L117" i="13"/>
  <c r="F116"/>
  <c r="H116" i="23" s="1" a="1"/>
  <c r="H116" s="1"/>
  <c r="L116" i="13"/>
  <c r="F112"/>
  <c r="H112" i="23" s="1" a="1"/>
  <c r="H112" s="1"/>
  <c r="L112" i="13"/>
  <c r="L106"/>
  <c r="F106"/>
  <c r="H106" i="23" s="1" a="1"/>
  <c r="H106" s="1"/>
  <c r="F101" i="13"/>
  <c r="H101" i="23" s="1" a="1"/>
  <c r="H101" s="1"/>
  <c r="L101" i="13"/>
  <c r="F100"/>
  <c r="H100" i="23" s="1" a="1"/>
  <c r="H100" s="1"/>
  <c r="L100" i="13"/>
  <c r="F96"/>
  <c r="H96" i="23" s="1" a="1"/>
  <c r="H96" s="1"/>
  <c r="L96" i="13"/>
  <c r="F91"/>
  <c r="L91"/>
  <c r="F85"/>
  <c r="H85" i="23" s="1" a="1"/>
  <c r="H85" s="1"/>
  <c r="L85" i="13"/>
  <c r="F84"/>
  <c r="H84" i="23" s="1" a="1"/>
  <c r="H84" s="1"/>
  <c r="L84" i="13"/>
  <c r="L82"/>
  <c r="F82"/>
  <c r="F69"/>
  <c r="H69" i="23" s="1" a="1"/>
  <c r="H69" s="1"/>
  <c r="L69" i="13"/>
  <c r="F68"/>
  <c r="H68" i="23" s="1" a="1"/>
  <c r="H68" s="1"/>
  <c r="L68" i="13"/>
  <c r="L58"/>
  <c r="F58"/>
  <c r="H58" i="23" s="1" a="1"/>
  <c r="H58" s="1"/>
  <c r="L56" i="13"/>
  <c r="F56"/>
  <c r="F49"/>
  <c r="H49" i="23" s="1" a="1"/>
  <c r="H49" s="1"/>
  <c r="L49" i="13"/>
  <c r="L48"/>
  <c r="F48"/>
  <c r="H48" i="23" s="1" a="1"/>
  <c r="H48" s="1"/>
  <c r="L40" i="13"/>
  <c r="F40"/>
  <c r="H40" i="23" s="1" a="1"/>
  <c r="H40" s="1"/>
  <c r="F37" i="13"/>
  <c r="H37" i="23" s="1" a="1"/>
  <c r="H37" s="1"/>
  <c r="L37" i="13"/>
  <c r="F36"/>
  <c r="L36"/>
  <c r="F32"/>
  <c r="L32"/>
  <c r="L30"/>
  <c r="F30"/>
  <c r="H30" i="23" s="1" a="1"/>
  <c r="H30" s="1"/>
  <c r="F28" i="13"/>
  <c r="L28"/>
  <c r="F27"/>
  <c r="L27"/>
  <c r="F26"/>
  <c r="L26"/>
  <c r="L18"/>
  <c r="F18"/>
  <c r="F17"/>
  <c r="H17" i="23" s="1" a="1"/>
  <c r="H17" s="1"/>
  <c r="L17" i="13"/>
  <c r="F16"/>
  <c r="L16"/>
  <c r="F11"/>
  <c r="L11"/>
  <c r="F10"/>
  <c r="H10" i="23" s="1" a="1"/>
  <c r="H10" s="1"/>
  <c r="L10" i="13"/>
  <c r="F9"/>
  <c r="L9"/>
  <c r="F8"/>
  <c r="L8"/>
  <c r="F5"/>
  <c r="H5" i="23" s="1" a="1"/>
  <c r="H5" s="1"/>
  <c r="L5" i="13"/>
  <c r="F3"/>
  <c r="H3" i="23" s="1" a="1"/>
  <c r="H3" s="1"/>
  <c r="L3" i="13"/>
  <c r="H73"/>
  <c r="H41"/>
  <c r="G35"/>
  <c r="J35"/>
  <c r="H39"/>
  <c r="J39"/>
  <c r="G39"/>
  <c r="J95"/>
  <c r="G95"/>
  <c r="G59"/>
  <c r="J59"/>
  <c r="J129"/>
  <c r="G129"/>
  <c r="J25"/>
  <c r="G25"/>
  <c r="H131"/>
  <c r="G131"/>
  <c r="J147"/>
  <c r="G147"/>
  <c r="G107"/>
  <c r="J107"/>
  <c r="F151"/>
  <c r="H151" i="23" s="1" a="1"/>
  <c r="H151" s="1"/>
  <c r="L151" i="13"/>
  <c r="L148"/>
  <c r="F148"/>
  <c r="H148" i="23" s="1" a="1"/>
  <c r="H148" s="1"/>
  <c r="F146" i="13"/>
  <c r="H146" i="23" s="1" a="1"/>
  <c r="H146" s="1"/>
  <c r="L146" i="13"/>
  <c r="L143"/>
  <c r="F143"/>
  <c r="H143" i="23" s="1" a="1"/>
  <c r="H143" s="1"/>
  <c r="F141" i="13"/>
  <c r="H141" i="23" s="1" a="1"/>
  <c r="H141" s="1"/>
  <c r="L141" i="13"/>
  <c r="F138"/>
  <c r="H138" i="23" s="1" a="1"/>
  <c r="H138" s="1"/>
  <c r="L138" i="13"/>
  <c r="F136"/>
  <c r="H136" i="23" s="1" a="1"/>
  <c r="H136" s="1"/>
  <c r="L136" i="13"/>
  <c r="L135"/>
  <c r="F135"/>
  <c r="H135" i="23" s="1" a="1"/>
  <c r="H135" s="1"/>
  <c r="F133" i="13"/>
  <c r="H133" i="23" s="1" a="1"/>
  <c r="H133" s="1"/>
  <c r="L133" i="13"/>
  <c r="L132"/>
  <c r="F132"/>
  <c r="H132" i="23" s="1" a="1"/>
  <c r="H132" s="1"/>
  <c r="L126" i="13"/>
  <c r="F126"/>
  <c r="H126" i="23" s="1" a="1"/>
  <c r="H126" s="1"/>
  <c r="G124" i="13"/>
  <c r="J124"/>
  <c r="F120"/>
  <c r="H120" i="23" s="1" a="1"/>
  <c r="H120" s="1"/>
  <c r="L120" i="13"/>
  <c r="F119"/>
  <c r="H119" i="23" s="1" a="1"/>
  <c r="H119" s="1"/>
  <c r="L119" i="13"/>
  <c r="L114"/>
  <c r="F114"/>
  <c r="H114" i="23" s="1" a="1"/>
  <c r="H114" s="1"/>
  <c r="F108" i="13"/>
  <c r="H108" i="23" s="1" a="1"/>
  <c r="H108" s="1"/>
  <c r="L108" i="13"/>
  <c r="F102"/>
  <c r="H102" i="23" s="1" a="1"/>
  <c r="H102" s="1"/>
  <c r="L102" i="13"/>
  <c r="L80"/>
  <c r="F80"/>
  <c r="H80" i="23" s="1" a="1"/>
  <c r="H80" s="1"/>
  <c r="L78" i="13"/>
  <c r="F78"/>
  <c r="H78" i="23" s="1" a="1"/>
  <c r="H78" s="1"/>
  <c r="L76" i="13"/>
  <c r="F76"/>
  <c r="H76" i="23" s="1" a="1"/>
  <c r="H76" s="1"/>
  <c r="L75" i="13"/>
  <c r="F75"/>
  <c r="H75" i="23" s="1" a="1"/>
  <c r="H75" s="1"/>
  <c r="F74" i="13"/>
  <c r="H74" i="23" s="1" a="1"/>
  <c r="H74" s="1"/>
  <c r="L74" i="13"/>
  <c r="F71"/>
  <c r="H71" i="23" s="1" a="1"/>
  <c r="H71" s="1"/>
  <c r="L71" i="13"/>
  <c r="F70"/>
  <c r="H70" i="23" s="1" a="1"/>
  <c r="H70" s="1"/>
  <c r="L70" i="13"/>
  <c r="F65"/>
  <c r="H65" i="23" s="1" a="1"/>
  <c r="H65" s="1"/>
  <c r="L65" i="13"/>
  <c r="L64"/>
  <c r="F64"/>
  <c r="H64" i="23" s="1" a="1"/>
  <c r="H64" s="1"/>
  <c r="L60" i="13"/>
  <c r="F60"/>
  <c r="H60" i="23" s="1" a="1"/>
  <c r="H60" s="1"/>
  <c r="F54" i="13"/>
  <c r="H54" i="23" s="1" a="1"/>
  <c r="H54" s="1"/>
  <c r="L54" i="13"/>
  <c r="F53"/>
  <c r="H53" i="23" s="1" a="1"/>
  <c r="H53" s="1"/>
  <c r="L53" i="13"/>
  <c r="F52"/>
  <c r="L52"/>
  <c r="L42"/>
  <c r="F42"/>
  <c r="L38"/>
  <c r="F38"/>
  <c r="F33"/>
  <c r="L33"/>
  <c r="F23"/>
  <c r="H23" i="23" s="1" a="1"/>
  <c r="H23" s="1"/>
  <c r="L23" i="13"/>
  <c r="L22"/>
  <c r="F22"/>
  <c r="G20"/>
  <c r="J20"/>
  <c r="L19"/>
  <c r="F19"/>
  <c r="L15"/>
  <c r="F15"/>
  <c r="L14"/>
  <c r="F14"/>
  <c r="F13"/>
  <c r="L13"/>
  <c r="F12"/>
  <c r="H12" i="23" s="1" a="1"/>
  <c r="H12" s="1"/>
  <c r="L12" i="13"/>
  <c r="H140"/>
  <c r="H129"/>
  <c r="H97"/>
  <c r="H59"/>
  <c r="H43"/>
  <c r="H35"/>
  <c r="H21"/>
  <c r="H31"/>
  <c r="G31"/>
  <c r="J31"/>
  <c r="H57"/>
  <c r="G57"/>
  <c r="J57"/>
  <c r="H79"/>
  <c r="G79"/>
  <c r="J79"/>
  <c r="J127"/>
  <c r="H127"/>
  <c r="G127"/>
  <c r="J115"/>
  <c r="H115"/>
  <c r="G115"/>
  <c r="G7"/>
  <c r="J7"/>
  <c r="H7"/>
  <c r="J63"/>
  <c r="G63"/>
  <c r="H63"/>
  <c r="J83"/>
  <c r="H83"/>
  <c r="G83"/>
  <c r="J105"/>
  <c r="G105"/>
  <c r="H105"/>
  <c r="G139"/>
  <c r="J139"/>
  <c r="H139"/>
  <c r="G87"/>
  <c r="J87"/>
  <c r="H87"/>
  <c r="J55"/>
  <c r="H55"/>
  <c r="G55"/>
  <c r="H90"/>
  <c r="G90"/>
  <c r="J90"/>
  <c r="H47"/>
  <c r="J47"/>
  <c r="G47"/>
  <c r="J45"/>
  <c r="G45"/>
  <c r="H45"/>
  <c r="J109"/>
  <c r="G109"/>
  <c r="H109"/>
  <c r="J113"/>
  <c r="G113"/>
  <c r="H113"/>
  <c r="H81"/>
  <c r="J81"/>
  <c r="G81"/>
  <c r="J46"/>
  <c r="G46"/>
  <c r="H46"/>
  <c r="J92"/>
  <c r="H92"/>
  <c r="G92"/>
  <c r="E18" i="24"/>
  <c r="H29" i="13"/>
  <c r="J29"/>
  <c r="G29"/>
  <c r="H61"/>
  <c r="J61"/>
  <c r="G61"/>
  <c r="H149"/>
  <c r="J149"/>
  <c r="G149"/>
  <c r="H145"/>
  <c r="J145"/>
  <c r="G145"/>
  <c r="J62"/>
  <c r="G62"/>
  <c r="H62"/>
  <c r="H150"/>
  <c r="J150"/>
  <c r="G150"/>
  <c r="H6"/>
  <c r="J6"/>
  <c r="G6"/>
  <c r="J94"/>
  <c r="G94"/>
  <c r="H94"/>
  <c r="H44"/>
  <c r="J44"/>
  <c r="G44"/>
  <c r="J98"/>
  <c r="G98"/>
  <c r="H98"/>
  <c r="C56" i="24"/>
  <c r="F2" i="13"/>
  <c r="L2"/>
  <c r="P47" i="16"/>
  <c r="R50"/>
  <c r="C46"/>
  <c r="T3"/>
  <c r="P48"/>
  <c r="T48"/>
  <c r="N44"/>
  <c r="R48"/>
  <c r="H4"/>
  <c r="R4"/>
  <c r="H23"/>
  <c r="H3"/>
  <c r="P32"/>
  <c r="P44"/>
  <c r="P4"/>
  <c r="N11"/>
  <c r="P50"/>
  <c r="N4"/>
  <c r="R32"/>
  <c r="N24"/>
  <c r="P11"/>
  <c r="H32"/>
  <c r="H47"/>
  <c r="V50"/>
  <c r="H46"/>
  <c r="H24"/>
  <c r="R24"/>
  <c r="N3"/>
  <c r="R3"/>
  <c r="H50"/>
  <c r="T47"/>
  <c r="V47"/>
  <c r="V4"/>
  <c r="V11"/>
  <c r="V23"/>
  <c r="T32"/>
  <c r="C44"/>
  <c r="V24"/>
  <c r="V44"/>
  <c r="V48"/>
  <c r="V32"/>
  <c r="N32"/>
  <c r="P3"/>
  <c r="H11"/>
  <c r="R46"/>
  <c r="T4"/>
  <c r="V3"/>
  <c r="T46"/>
  <c r="P46"/>
  <c r="N23"/>
  <c r="P23"/>
  <c r="N46"/>
  <c r="N47"/>
  <c r="H48"/>
  <c r="R11"/>
  <c r="H44"/>
  <c r="R47"/>
  <c r="V46"/>
  <c r="T11"/>
  <c r="T44"/>
  <c r="N50"/>
  <c r="R44"/>
  <c r="N48"/>
  <c r="T23"/>
  <c r="R23"/>
  <c r="C50"/>
  <c r="T50"/>
  <c r="P24"/>
  <c r="T24"/>
  <c r="AG14" i="26" l="1"/>
  <c r="AI14" s="1"/>
  <c r="AG24"/>
  <c r="AI24" s="1"/>
  <c r="AG13"/>
  <c r="AI13" s="1"/>
  <c r="AG19"/>
  <c r="AI19" s="1"/>
  <c r="H2" i="23" a="1"/>
  <c r="H2" s="1"/>
  <c r="W159" i="3"/>
  <c r="W147"/>
  <c r="H13" i="23" a="1"/>
  <c r="H13" s="1"/>
  <c r="W130" i="3"/>
  <c r="H14" i="23" a="1"/>
  <c r="H14" s="1"/>
  <c r="W153" i="3"/>
  <c r="H15" i="23" a="1"/>
  <c r="H15" s="1"/>
  <c r="W54" i="3"/>
  <c r="H19" i="23" a="1"/>
  <c r="H19" s="1"/>
  <c r="W160" i="3"/>
  <c r="W132"/>
  <c r="H22" i="23" a="1"/>
  <c r="H22" s="1"/>
  <c r="W136" i="3"/>
  <c r="H33" i="23" a="1"/>
  <c r="H33" s="1"/>
  <c r="W133" i="3"/>
  <c r="H38" i="23" a="1"/>
  <c r="H38" s="1"/>
  <c r="W157" i="3"/>
  <c r="W161"/>
  <c r="W140"/>
  <c r="W156"/>
  <c r="H42" i="23" a="1"/>
  <c r="H42" s="1"/>
  <c r="W53" i="3"/>
  <c r="H52" i="23" a="1"/>
  <c r="H52" s="1"/>
  <c r="W144" i="3"/>
  <c r="H8" i="23" a="1"/>
  <c r="H8" s="1"/>
  <c r="W158" i="3"/>
  <c r="H9" i="23" a="1"/>
  <c r="H9" s="1"/>
  <c r="W131" i="3"/>
  <c r="AG46" i="26"/>
  <c r="AI46" s="1"/>
  <c r="AG50"/>
  <c r="AI50" s="1"/>
  <c r="AG54"/>
  <c r="AI54" s="1"/>
  <c r="AG56"/>
  <c r="AI56" s="1"/>
  <c r="AG60"/>
  <c r="AI60" s="1"/>
  <c r="AG51"/>
  <c r="AI51" s="1"/>
  <c r="AG59"/>
  <c r="AI59" s="1"/>
  <c r="W143" i="3"/>
  <c r="H11" i="23" a="1"/>
  <c r="H11" s="1"/>
  <c r="AG62" i="26"/>
  <c r="AI62" s="1"/>
  <c r="AG64"/>
  <c r="AI64" s="1"/>
  <c r="AG68"/>
  <c r="AI68" s="1"/>
  <c r="AG72"/>
  <c r="AI72" s="1"/>
  <c r="AG76"/>
  <c r="AI76" s="1"/>
  <c r="AG61"/>
  <c r="AI61" s="1"/>
  <c r="AG63"/>
  <c r="AI63" s="1"/>
  <c r="AG69"/>
  <c r="AI69" s="1"/>
  <c r="W135" i="3"/>
  <c r="H16" i="23" a="1"/>
  <c r="H16" s="1"/>
  <c r="W152" i="3"/>
  <c r="H18" i="23" a="1"/>
  <c r="H18" s="1"/>
  <c r="AG92" i="26"/>
  <c r="AI92" s="1"/>
  <c r="AG98"/>
  <c r="AI98" s="1"/>
  <c r="AG102"/>
  <c r="AI102" s="1"/>
  <c r="W155" i="3"/>
  <c r="W146"/>
  <c r="AG93" i="26"/>
  <c r="AI93" s="1"/>
  <c r="AG97"/>
  <c r="AI97" s="1"/>
  <c r="AG99"/>
  <c r="AI99" s="1"/>
  <c r="AG103"/>
  <c r="AI103" s="1"/>
  <c r="AG105"/>
  <c r="AI105" s="1"/>
  <c r="H26" i="23" a="1"/>
  <c r="H26" s="1"/>
  <c r="W4" i="3"/>
  <c r="H27" i="23" a="1"/>
  <c r="H27" s="1"/>
  <c r="W148" i="3"/>
  <c r="H28" i="23" a="1"/>
  <c r="H28" s="1"/>
  <c r="W145" i="3"/>
  <c r="H32" i="23" a="1"/>
  <c r="H32" s="1"/>
  <c r="AG128" i="26"/>
  <c r="AI128" s="1"/>
  <c r="AG132"/>
  <c r="AI132" s="1"/>
  <c r="AG136"/>
  <c r="AI136" s="1"/>
  <c r="AG138"/>
  <c r="AI138" s="1"/>
  <c r="AG127"/>
  <c r="AI127" s="1"/>
  <c r="AG133"/>
  <c r="AI133" s="1"/>
  <c r="AG141"/>
  <c r="AI141" s="1"/>
  <c r="H36" i="23" a="1"/>
  <c r="H36" s="1"/>
  <c r="W137" i="3"/>
  <c r="H56" i="23" a="1"/>
  <c r="H56" s="1"/>
  <c r="W163" i="3"/>
  <c r="W151"/>
  <c r="H82" i="23" a="1"/>
  <c r="H82" s="1"/>
  <c r="W83" i="3"/>
  <c r="H91" i="23" a="1"/>
  <c r="H91" s="1"/>
  <c r="W154" i="3"/>
  <c r="H25" i="23" a="1"/>
  <c r="H25" s="1"/>
  <c r="AG108" i="26"/>
  <c r="AI108" s="1"/>
  <c r="AG110"/>
  <c r="AI110" s="1"/>
  <c r="AG116"/>
  <c r="AI116" s="1"/>
  <c r="AG122"/>
  <c r="AI122" s="1"/>
  <c r="AG126"/>
  <c r="AI126" s="1"/>
  <c r="AG109"/>
  <c r="AI109" s="1"/>
  <c r="AG111"/>
  <c r="AI111" s="1"/>
  <c r="AG115"/>
  <c r="AI115" s="1"/>
  <c r="AG119"/>
  <c r="AI119" s="1"/>
  <c r="AG121"/>
  <c r="AI121" s="1"/>
  <c r="W149" i="3"/>
  <c r="H31" i="23" a="1"/>
  <c r="H31" s="1"/>
  <c r="W134" i="3"/>
  <c r="H57" i="23" a="1"/>
  <c r="H57" s="1"/>
  <c r="W22" i="3"/>
  <c r="H89" i="23" a="1"/>
  <c r="H89" s="1"/>
  <c r="AG78" i="26"/>
  <c r="AI78" s="1"/>
  <c r="AG82"/>
  <c r="AI82" s="1"/>
  <c r="AG86"/>
  <c r="AI86" s="1"/>
  <c r="AG88"/>
  <c r="AI88" s="1"/>
  <c r="AG77"/>
  <c r="AI77" s="1"/>
  <c r="AG83"/>
  <c r="AI83" s="1"/>
  <c r="AG91"/>
  <c r="AI91" s="1"/>
  <c r="H21" i="23" a="1"/>
  <c r="H21" s="1"/>
  <c r="W8" i="3"/>
  <c r="H61" i="23" a="1"/>
  <c r="H61" s="1"/>
  <c r="W55" i="3"/>
  <c r="H45" i="23" a="1"/>
  <c r="H45" s="1"/>
  <c r="AG142" i="26"/>
  <c r="AI142" s="1"/>
  <c r="AG144"/>
  <c r="AI144" s="1"/>
  <c r="AG148"/>
  <c r="AI148" s="1"/>
  <c r="AG152"/>
  <c r="AI152" s="1"/>
  <c r="AG143"/>
  <c r="AI143" s="1"/>
  <c r="AG149"/>
  <c r="AI149" s="1"/>
  <c r="AG153"/>
  <c r="AI153" s="1"/>
  <c r="AG155"/>
  <c r="AI155" s="1"/>
  <c r="H41" i="23" a="1"/>
  <c r="H41" s="1"/>
  <c r="W138" i="3"/>
  <c r="H83" i="23" a="1"/>
  <c r="H83" s="1"/>
  <c r="W150" i="3"/>
  <c r="H67" i="23" a="1"/>
  <c r="H67" s="1"/>
  <c r="AT40" i="26"/>
  <c r="AD40"/>
  <c r="AE40"/>
  <c r="AD39"/>
  <c r="AT39"/>
  <c r="AE39"/>
  <c r="AT38"/>
  <c r="AD38"/>
  <c r="AE38"/>
  <c r="AT105"/>
  <c r="AE105"/>
  <c r="AD105"/>
  <c r="AT104"/>
  <c r="AE104"/>
  <c r="AD104"/>
  <c r="AT103"/>
  <c r="AD103"/>
  <c r="AE103"/>
  <c r="AT20"/>
  <c r="AD20"/>
  <c r="AE20"/>
  <c r="AT19"/>
  <c r="AD19"/>
  <c r="AE19"/>
  <c r="AT54"/>
  <c r="AE54"/>
  <c r="AD54"/>
  <c r="AT55"/>
  <c r="AD55"/>
  <c r="AE55"/>
  <c r="AT88"/>
  <c r="AE88"/>
  <c r="AD88"/>
  <c r="AE87"/>
  <c r="AT87"/>
  <c r="AD87"/>
  <c r="AT86"/>
  <c r="AE86"/>
  <c r="AD86"/>
  <c r="AE137"/>
  <c r="AT137"/>
  <c r="AD137"/>
  <c r="AT136"/>
  <c r="AE136"/>
  <c r="AD136"/>
  <c r="AD73"/>
  <c r="AT73"/>
  <c r="AE73"/>
  <c r="AT72"/>
  <c r="AE72"/>
  <c r="AD72"/>
  <c r="AT119"/>
  <c r="AE119"/>
  <c r="AD119"/>
  <c r="AT121"/>
  <c r="AE121"/>
  <c r="AD121"/>
  <c r="AT120"/>
  <c r="AD120"/>
  <c r="AE120"/>
  <c r="AT155"/>
  <c r="AD155"/>
  <c r="AE155"/>
  <c r="AE154"/>
  <c r="AT154"/>
  <c r="AD154"/>
  <c r="AT153"/>
  <c r="AE153"/>
  <c r="AD153"/>
  <c r="G21" i="13"/>
  <c r="Z71" i="3"/>
  <c r="AA71"/>
  <c r="AB71"/>
  <c r="AC71"/>
  <c r="H86" i="13"/>
  <c r="J86"/>
  <c r="W19" i="3"/>
  <c r="G89" i="13"/>
  <c r="H89"/>
  <c r="AA150" i="3"/>
  <c r="Z151"/>
  <c r="AC150"/>
  <c r="AB150"/>
  <c r="Z150"/>
  <c r="AC160"/>
  <c r="AB160"/>
  <c r="AC162"/>
  <c r="AB162"/>
  <c r="H107" i="13"/>
  <c r="Z53" i="3"/>
  <c r="AA53"/>
  <c r="Z70"/>
  <c r="AA70"/>
  <c r="Z22"/>
  <c r="AA22"/>
  <c r="Z51"/>
  <c r="AA51"/>
  <c r="Z77"/>
  <c r="AA77"/>
  <c r="Z67"/>
  <c r="AA67"/>
  <c r="Z83"/>
  <c r="AA83"/>
  <c r="Z81"/>
  <c r="AA81"/>
  <c r="Z79"/>
  <c r="AA79"/>
  <c r="Z88"/>
  <c r="AA88"/>
  <c r="Z90"/>
  <c r="AA90"/>
  <c r="Z85"/>
  <c r="AA85"/>
  <c r="Z62"/>
  <c r="AA62"/>
  <c r="O163"/>
  <c r="AA162"/>
  <c r="Z162"/>
  <c r="AA160"/>
  <c r="Z160"/>
  <c r="AA153"/>
  <c r="AC153"/>
  <c r="Z153"/>
  <c r="AB153"/>
  <c r="O7" i="14"/>
  <c r="P7" s="1"/>
  <c r="W16" i="3"/>
  <c r="W57"/>
  <c r="W59"/>
  <c r="W60"/>
  <c r="W2"/>
  <c r="W15"/>
  <c r="W50"/>
  <c r="W3"/>
  <c r="W14"/>
  <c r="W86"/>
  <c r="W21"/>
  <c r="W88"/>
  <c r="W87"/>
  <c r="W20"/>
  <c r="W7"/>
  <c r="W23"/>
  <c r="W56"/>
  <c r="L24" i="13"/>
  <c r="F24"/>
  <c r="H24" i="23" s="1" a="1"/>
  <c r="H24" s="1"/>
  <c r="L72" i="13"/>
  <c r="F72"/>
  <c r="H72" i="23" s="1" a="1"/>
  <c r="H72" s="1"/>
  <c r="L88" i="13"/>
  <c r="F88"/>
  <c r="H88" i="23" s="1" a="1"/>
  <c r="H88" s="1"/>
  <c r="AA113" i="3"/>
  <c r="Z113"/>
  <c r="AC113"/>
  <c r="AB113"/>
  <c r="AC22"/>
  <c r="AB22"/>
  <c r="Z5"/>
  <c r="AA5"/>
  <c r="O6"/>
  <c r="AC5"/>
  <c r="AB5"/>
  <c r="AA97"/>
  <c r="Z97"/>
  <c r="O98"/>
  <c r="AA115"/>
  <c r="Z115"/>
  <c r="O116"/>
  <c r="AB115"/>
  <c r="AC115"/>
  <c r="AA130"/>
  <c r="Z130"/>
  <c r="AC130"/>
  <c r="AB130"/>
  <c r="AB83"/>
  <c r="AC83"/>
  <c r="Z18"/>
  <c r="AA18"/>
  <c r="O19"/>
  <c r="AB18"/>
  <c r="AC18"/>
  <c r="O154"/>
  <c r="AB81"/>
  <c r="AC81"/>
  <c r="Z8"/>
  <c r="AA8"/>
  <c r="AC8"/>
  <c r="AB8"/>
  <c r="Z119"/>
  <c r="AA119"/>
  <c r="O120"/>
  <c r="AB119"/>
  <c r="AC119"/>
  <c r="AC88"/>
  <c r="AB88"/>
  <c r="O91"/>
  <c r="O63"/>
  <c r="AB62"/>
  <c r="AC62"/>
  <c r="L134" i="13"/>
  <c r="L98"/>
  <c r="F50"/>
  <c r="H50" i="23" s="1" a="1"/>
  <c r="H50" s="1"/>
  <c r="W10" i="3"/>
  <c r="W49"/>
  <c r="W78"/>
  <c r="W84"/>
  <c r="W5"/>
  <c r="W51"/>
  <c r="W18"/>
  <c r="W52"/>
  <c r="W12"/>
  <c r="L34" i="13"/>
  <c r="F34"/>
  <c r="H34" i="23" s="1" a="1"/>
  <c r="H34" s="1"/>
  <c r="L66" i="13"/>
  <c r="F66"/>
  <c r="H66" i="23" s="1" a="1"/>
  <c r="H66" s="1"/>
  <c r="L110" i="13"/>
  <c r="F110"/>
  <c r="H110" i="23" s="1" a="1"/>
  <c r="H110" s="1"/>
  <c r="L118" i="13"/>
  <c r="F118"/>
  <c r="H118" i="23" s="1" a="1"/>
  <c r="H118" s="1"/>
  <c r="H134" i="13"/>
  <c r="J134"/>
  <c r="F142"/>
  <c r="H142" i="23" s="1" a="1"/>
  <c r="H142" s="1"/>
  <c r="L142" i="13"/>
  <c r="Z104" i="3"/>
  <c r="AA104"/>
  <c r="O105"/>
  <c r="AB53"/>
  <c r="AC53"/>
  <c r="AB70"/>
  <c r="AC70"/>
  <c r="Z111"/>
  <c r="AA111"/>
  <c r="AB111"/>
  <c r="AC111"/>
  <c r="AC51"/>
  <c r="AB51"/>
  <c r="AB77"/>
  <c r="AC77"/>
  <c r="Z140"/>
  <c r="AA140"/>
  <c r="O141"/>
  <c r="AB140"/>
  <c r="AC140"/>
  <c r="AB67"/>
  <c r="AC67"/>
  <c r="Z132"/>
  <c r="AA132"/>
  <c r="O133"/>
  <c r="AB132"/>
  <c r="AC132"/>
  <c r="Z3"/>
  <c r="AA3"/>
  <c r="AB3"/>
  <c r="AC3"/>
  <c r="AA16"/>
  <c r="Z16"/>
  <c r="AC16"/>
  <c r="AB16"/>
  <c r="AA14"/>
  <c r="Z14"/>
  <c r="AC14"/>
  <c r="AB14"/>
  <c r="AB79"/>
  <c r="AC79"/>
  <c r="AA136"/>
  <c r="Z136"/>
  <c r="O137"/>
  <c r="AC136"/>
  <c r="AB136"/>
  <c r="Z144"/>
  <c r="AA144"/>
  <c r="O145"/>
  <c r="AC144"/>
  <c r="AB144"/>
  <c r="O86"/>
  <c r="AC85"/>
  <c r="AB85"/>
  <c r="AA108"/>
  <c r="Z108"/>
  <c r="O109"/>
  <c r="F104" i="13"/>
  <c r="H104" i="23" s="1" a="1"/>
  <c r="H104" s="1"/>
  <c r="L90" i="13"/>
  <c r="J131"/>
  <c r="H25"/>
  <c r="H95"/>
  <c r="H147"/>
  <c r="J121"/>
  <c r="G121"/>
  <c r="H121"/>
  <c r="J77"/>
  <c r="H77"/>
  <c r="G77"/>
  <c r="G111"/>
  <c r="J111"/>
  <c r="H111"/>
  <c r="J93"/>
  <c r="H93"/>
  <c r="G93"/>
  <c r="J14"/>
  <c r="H14"/>
  <c r="G14"/>
  <c r="J15"/>
  <c r="G15"/>
  <c r="H15"/>
  <c r="G19"/>
  <c r="J19"/>
  <c r="H19"/>
  <c r="J22"/>
  <c r="G22"/>
  <c r="H22"/>
  <c r="J38"/>
  <c r="G38"/>
  <c r="H38"/>
  <c r="H42"/>
  <c r="G42"/>
  <c r="J42"/>
  <c r="G60"/>
  <c r="J60"/>
  <c r="H60"/>
  <c r="J64"/>
  <c r="G64"/>
  <c r="H64"/>
  <c r="G75"/>
  <c r="J75"/>
  <c r="H75"/>
  <c r="G76"/>
  <c r="J76"/>
  <c r="H76"/>
  <c r="J78"/>
  <c r="G78"/>
  <c r="H78"/>
  <c r="J80"/>
  <c r="G80"/>
  <c r="H80"/>
  <c r="J114"/>
  <c r="G114"/>
  <c r="H114"/>
  <c r="G126"/>
  <c r="J126"/>
  <c r="H126"/>
  <c r="J132"/>
  <c r="G132"/>
  <c r="H132"/>
  <c r="J135"/>
  <c r="G135"/>
  <c r="H135"/>
  <c r="H143"/>
  <c r="J143"/>
  <c r="G143"/>
  <c r="J148"/>
  <c r="G148"/>
  <c r="H148"/>
  <c r="J3"/>
  <c r="H3"/>
  <c r="G3"/>
  <c r="J5"/>
  <c r="G5"/>
  <c r="H5"/>
  <c r="G8"/>
  <c r="J8"/>
  <c r="H8"/>
  <c r="G9"/>
  <c r="J9"/>
  <c r="H9"/>
  <c r="G10"/>
  <c r="J10"/>
  <c r="H10"/>
  <c r="J11"/>
  <c r="H11"/>
  <c r="G11"/>
  <c r="G16"/>
  <c r="J16"/>
  <c r="H16"/>
  <c r="G17"/>
  <c r="J17"/>
  <c r="H17"/>
  <c r="J26"/>
  <c r="G26"/>
  <c r="H26"/>
  <c r="G27"/>
  <c r="J27"/>
  <c r="H27"/>
  <c r="J28"/>
  <c r="G28"/>
  <c r="H28"/>
  <c r="G32"/>
  <c r="J32"/>
  <c r="H32"/>
  <c r="G36"/>
  <c r="J36"/>
  <c r="H36"/>
  <c r="H37"/>
  <c r="G37"/>
  <c r="J37"/>
  <c r="J49"/>
  <c r="G49"/>
  <c r="H49"/>
  <c r="G68"/>
  <c r="J68"/>
  <c r="H68"/>
  <c r="H69"/>
  <c r="J69"/>
  <c r="G69"/>
  <c r="J84"/>
  <c r="G84"/>
  <c r="H84"/>
  <c r="J85"/>
  <c r="G85"/>
  <c r="H85"/>
  <c r="G91"/>
  <c r="J91"/>
  <c r="H91"/>
  <c r="J96"/>
  <c r="G96"/>
  <c r="H96"/>
  <c r="G100"/>
  <c r="J100"/>
  <c r="H100"/>
  <c r="H101"/>
  <c r="G101"/>
  <c r="J101"/>
  <c r="G112"/>
  <c r="J112"/>
  <c r="H112"/>
  <c r="J116"/>
  <c r="G116"/>
  <c r="H116"/>
  <c r="J117"/>
  <c r="G117"/>
  <c r="H117"/>
  <c r="G122"/>
  <c r="J122"/>
  <c r="H122"/>
  <c r="J125"/>
  <c r="G125"/>
  <c r="H125"/>
  <c r="G130"/>
  <c r="J130"/>
  <c r="H130"/>
  <c r="J137"/>
  <c r="G137"/>
  <c r="H137"/>
  <c r="J12"/>
  <c r="H12"/>
  <c r="G12"/>
  <c r="J13"/>
  <c r="G13"/>
  <c r="H13"/>
  <c r="G23"/>
  <c r="J23"/>
  <c r="H23"/>
  <c r="J33"/>
  <c r="G33"/>
  <c r="H33"/>
  <c r="J52"/>
  <c r="G52"/>
  <c r="H52"/>
  <c r="J53"/>
  <c r="G53"/>
  <c r="H53"/>
  <c r="G54"/>
  <c r="J54"/>
  <c r="H54"/>
  <c r="J65"/>
  <c r="G65"/>
  <c r="H65"/>
  <c r="J70"/>
  <c r="G70"/>
  <c r="H70"/>
  <c r="H71"/>
  <c r="G71"/>
  <c r="J71"/>
  <c r="G74"/>
  <c r="J74"/>
  <c r="H74"/>
  <c r="J102"/>
  <c r="G102"/>
  <c r="H102"/>
  <c r="J108"/>
  <c r="G108"/>
  <c r="H108"/>
  <c r="J119"/>
  <c r="G119"/>
  <c r="H119"/>
  <c r="G120"/>
  <c r="J120"/>
  <c r="H120"/>
  <c r="H133"/>
  <c r="G133"/>
  <c r="J133"/>
  <c r="G136"/>
  <c r="J136"/>
  <c r="H136"/>
  <c r="J138"/>
  <c r="G138"/>
  <c r="H138"/>
  <c r="J141"/>
  <c r="G141"/>
  <c r="H141"/>
  <c r="J146"/>
  <c r="G146"/>
  <c r="H146"/>
  <c r="J151"/>
  <c r="G151"/>
  <c r="H151"/>
  <c r="H18"/>
  <c r="G18"/>
  <c r="J18"/>
  <c r="J30"/>
  <c r="G30"/>
  <c r="H30"/>
  <c r="H40"/>
  <c r="G40"/>
  <c r="J40"/>
  <c r="J48"/>
  <c r="G48"/>
  <c r="H48"/>
  <c r="J56"/>
  <c r="H56"/>
  <c r="G56"/>
  <c r="J58"/>
  <c r="H58"/>
  <c r="G58"/>
  <c r="G82"/>
  <c r="J82"/>
  <c r="H82"/>
  <c r="H106"/>
  <c r="G106"/>
  <c r="J106"/>
  <c r="H123"/>
  <c r="G123"/>
  <c r="J123"/>
  <c r="J128"/>
  <c r="G128"/>
  <c r="H128"/>
  <c r="J144"/>
  <c r="G144"/>
  <c r="H144"/>
  <c r="E19" i="24"/>
  <c r="C57"/>
  <c r="N9" i="14"/>
  <c r="O8"/>
  <c r="P8" s="1"/>
  <c r="J2" i="13"/>
  <c r="G2"/>
  <c r="H2"/>
  <c r="V18" i="16"/>
  <c r="C37"/>
  <c r="C45"/>
  <c r="P26"/>
  <c r="I18"/>
  <c r="I26"/>
  <c r="C18"/>
  <c r="V13"/>
  <c r="I24"/>
  <c r="H26"/>
  <c r="N37"/>
  <c r="N26"/>
  <c r="I37"/>
  <c r="P37"/>
  <c r="I32"/>
  <c r="N18"/>
  <c r="C13"/>
  <c r="T18"/>
  <c r="R37"/>
  <c r="H37"/>
  <c r="P34"/>
  <c r="V45"/>
  <c r="T26"/>
  <c r="R18"/>
  <c r="H18"/>
  <c r="P13"/>
  <c r="I34"/>
  <c r="I46"/>
  <c r="C34"/>
  <c r="I23"/>
  <c r="I4"/>
  <c r="H13"/>
  <c r="T37"/>
  <c r="I50"/>
  <c r="R13"/>
  <c r="P45"/>
  <c r="I48"/>
  <c r="N34"/>
  <c r="I13"/>
  <c r="T34"/>
  <c r="R45"/>
  <c r="H45"/>
  <c r="V34"/>
  <c r="I45"/>
  <c r="T13"/>
  <c r="V26"/>
  <c r="H34"/>
  <c r="I11"/>
  <c r="R34"/>
  <c r="I47"/>
  <c r="C26"/>
  <c r="R26"/>
  <c r="N45"/>
  <c r="N13"/>
  <c r="T45"/>
  <c r="I44"/>
  <c r="I3"/>
  <c r="P18"/>
  <c r="V37"/>
  <c r="AC163" i="3" l="1"/>
  <c r="AB163"/>
  <c r="Z86"/>
  <c r="AA86"/>
  <c r="Z63"/>
  <c r="AA63"/>
  <c r="Z91"/>
  <c r="AA91"/>
  <c r="AA163"/>
  <c r="Z163"/>
  <c r="AA154"/>
  <c r="AC154"/>
  <c r="Z154"/>
  <c r="AB154"/>
  <c r="AA109"/>
  <c r="Z109"/>
  <c r="Z145"/>
  <c r="AA145"/>
  <c r="O146"/>
  <c r="AB145"/>
  <c r="AC145"/>
  <c r="Z133"/>
  <c r="AA133"/>
  <c r="O134"/>
  <c r="AC133"/>
  <c r="AB133"/>
  <c r="Z105"/>
  <c r="AA105"/>
  <c r="J142" i="13"/>
  <c r="H142"/>
  <c r="G142"/>
  <c r="W82" i="3"/>
  <c r="J66" i="13"/>
  <c r="H66"/>
  <c r="G66"/>
  <c r="W80" i="3"/>
  <c r="G34" i="13"/>
  <c r="J34"/>
  <c r="H34"/>
  <c r="O64" i="3"/>
  <c r="AB63"/>
  <c r="AC63"/>
  <c r="Z120"/>
  <c r="AA120"/>
  <c r="O121"/>
  <c r="AC120"/>
  <c r="AB120"/>
  <c r="O155"/>
  <c r="Z19"/>
  <c r="AA19"/>
  <c r="O20"/>
  <c r="AC19"/>
  <c r="AB19"/>
  <c r="AA98"/>
  <c r="Z98"/>
  <c r="O99"/>
  <c r="H88" i="13"/>
  <c r="G88"/>
  <c r="J88"/>
  <c r="W9" i="3"/>
  <c r="J72" i="13"/>
  <c r="H72"/>
  <c r="G72"/>
  <c r="W17" i="3"/>
  <c r="H24" i="13"/>
  <c r="G24"/>
  <c r="J24"/>
  <c r="J104"/>
  <c r="G104"/>
  <c r="H104"/>
  <c r="AB86" i="3"/>
  <c r="AC86"/>
  <c r="Z137"/>
  <c r="AA137"/>
  <c r="O138"/>
  <c r="AC137"/>
  <c r="AB137"/>
  <c r="AA141"/>
  <c r="Z141"/>
  <c r="O142"/>
  <c r="AB141"/>
  <c r="AC141"/>
  <c r="J118" i="13"/>
  <c r="H118"/>
  <c r="G118"/>
  <c r="J110"/>
  <c r="H110"/>
  <c r="G110"/>
  <c r="G50"/>
  <c r="J50"/>
  <c r="H50"/>
  <c r="O92" i="3"/>
  <c r="Z116"/>
  <c r="AA116"/>
  <c r="O117"/>
  <c r="AB116"/>
  <c r="AC116"/>
  <c r="Z6"/>
  <c r="AA6"/>
  <c r="AB6"/>
  <c r="AC6"/>
  <c r="E20" i="24"/>
  <c r="C58"/>
  <c r="O9" i="14"/>
  <c r="P9" s="1"/>
  <c r="N10"/>
  <c r="Z92" i="3" l="1"/>
  <c r="AA92"/>
  <c r="Z64"/>
  <c r="AA64"/>
  <c r="AA155"/>
  <c r="AC155"/>
  <c r="Z155"/>
  <c r="AB155"/>
  <c r="AA117"/>
  <c r="Z117"/>
  <c r="AC117"/>
  <c r="AB117"/>
  <c r="AA142"/>
  <c r="Z142"/>
  <c r="AB142"/>
  <c r="AC142"/>
  <c r="AA99"/>
  <c r="Z99"/>
  <c r="O100"/>
  <c r="O156"/>
  <c r="O157" s="1"/>
  <c r="O65"/>
  <c r="AB64"/>
  <c r="AC64"/>
  <c r="Z146"/>
  <c r="AA146"/>
  <c r="AC146"/>
  <c r="AB146"/>
  <c r="O93"/>
  <c r="AA138"/>
  <c r="Z138"/>
  <c r="AC138"/>
  <c r="AB138"/>
  <c r="Z20"/>
  <c r="AA20"/>
  <c r="AC20"/>
  <c r="AB20"/>
  <c r="Z121"/>
  <c r="AA121"/>
  <c r="AB121"/>
  <c r="AC121"/>
  <c r="Z134"/>
  <c r="AA134"/>
  <c r="AB134"/>
  <c r="AC134"/>
  <c r="E21" i="24"/>
  <c r="D22" s="1"/>
  <c r="D23" s="1"/>
  <c r="D24" s="1"/>
  <c r="D25" s="1"/>
  <c r="D26" s="1"/>
  <c r="C59"/>
  <c r="N11" i="14"/>
  <c r="O10"/>
  <c r="P10" s="1"/>
  <c r="Z93" i="3" l="1"/>
  <c r="AA93"/>
  <c r="Z65"/>
  <c r="AA65"/>
  <c r="AA156"/>
  <c r="AC156"/>
  <c r="Z156"/>
  <c r="AB156"/>
  <c r="AB65"/>
  <c r="AC65"/>
  <c r="AA100"/>
  <c r="Z100"/>
  <c r="O101"/>
  <c r="O94"/>
  <c r="O95" s="1"/>
  <c r="E22" i="24"/>
  <c r="C60"/>
  <c r="N12" i="14"/>
  <c r="O11"/>
  <c r="P11" s="1"/>
  <c r="AA157" i="3" l="1"/>
  <c r="AC157"/>
  <c r="Z157"/>
  <c r="AB157"/>
  <c r="Z101"/>
  <c r="AA101"/>
  <c r="E23" i="24"/>
  <c r="C61"/>
  <c r="N13" i="14"/>
  <c r="O12"/>
  <c r="P12" s="1"/>
  <c r="E24" i="24" l="1"/>
  <c r="C62"/>
  <c r="N14" i="14"/>
  <c r="O13"/>
  <c r="P13" s="1"/>
  <c r="E25" i="24" l="1"/>
  <c r="C63"/>
  <c r="O14" i="14"/>
  <c r="P14" s="1"/>
  <c r="N15"/>
  <c r="E26" i="24" l="1"/>
  <c r="D27" s="1"/>
  <c r="D28" s="1"/>
  <c r="D29" s="1"/>
  <c r="D30" s="1"/>
  <c r="D31" s="1"/>
  <c r="C64"/>
  <c r="O15" i="14"/>
  <c r="P15" s="1"/>
  <c r="N16"/>
  <c r="E27" i="24" l="1"/>
  <c r="E28"/>
  <c r="C65"/>
  <c r="N17" i="14"/>
  <c r="O16"/>
  <c r="P16" s="1"/>
  <c r="E29" i="24" l="1"/>
  <c r="C66"/>
  <c r="O17" i="14"/>
  <c r="P17" s="1"/>
  <c r="N18"/>
  <c r="E30" i="24" l="1"/>
  <c r="C67"/>
  <c r="O18" i="14"/>
  <c r="P18" s="1"/>
  <c r="N19"/>
  <c r="E31" i="24" l="1"/>
  <c r="C68"/>
  <c r="N20" i="14"/>
  <c r="O19"/>
  <c r="P19" s="1"/>
  <c r="D32" i="24" l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C69"/>
  <c r="O20" i="14"/>
  <c r="P20" s="1"/>
  <c r="N21"/>
  <c r="E33" i="24" l="1"/>
  <c r="E32"/>
  <c r="E34"/>
  <c r="C70"/>
  <c r="N22" i="14"/>
  <c r="O21"/>
  <c r="P21" s="1"/>
  <c r="E35" i="24" l="1"/>
  <c r="C71"/>
  <c r="O22" i="14"/>
  <c r="P22" s="1"/>
  <c r="N23"/>
  <c r="E36" i="24" l="1"/>
  <c r="C72"/>
  <c r="N24" i="14"/>
  <c r="O23"/>
  <c r="P23" s="1"/>
  <c r="E37" i="24" l="1"/>
  <c r="C73"/>
  <c r="O24" i="14"/>
  <c r="P24" s="1"/>
  <c r="N25"/>
  <c r="E38" i="24" l="1"/>
  <c r="C74"/>
  <c r="N26" i="14"/>
  <c r="O25"/>
  <c r="P25" s="1"/>
  <c r="E39" i="24" l="1"/>
  <c r="C75"/>
  <c r="O26" i="14"/>
  <c r="P26" s="1"/>
  <c r="N27"/>
  <c r="E40" i="24" l="1"/>
  <c r="C76"/>
  <c r="N28" i="14"/>
  <c r="O27"/>
  <c r="P27" s="1"/>
  <c r="E41" i="24" l="1"/>
  <c r="C77"/>
  <c r="O28" i="14"/>
  <c r="P28" s="1"/>
  <c r="N29"/>
  <c r="E42" i="24" l="1"/>
  <c r="C78"/>
  <c r="N30" i="14"/>
  <c r="O29"/>
  <c r="P29" s="1"/>
  <c r="E43" i="24" l="1"/>
  <c r="C79"/>
  <c r="O30" i="14"/>
  <c r="P30" s="1"/>
  <c r="N31"/>
  <c r="E44" i="24" l="1"/>
  <c r="C80"/>
  <c r="N32" i="14"/>
  <c r="O31"/>
  <c r="P31" s="1"/>
  <c r="E45" i="24" l="1"/>
  <c r="C81"/>
  <c r="N33" i="14"/>
  <c r="O32"/>
  <c r="P32" s="1"/>
  <c r="E46" i="24" l="1"/>
  <c r="C82"/>
  <c r="N34" i="14"/>
  <c r="O33"/>
  <c r="P33" s="1"/>
  <c r="E47" i="24" l="1"/>
  <c r="C83"/>
  <c r="N35" i="14"/>
  <c r="O34"/>
  <c r="P34" s="1"/>
  <c r="E48" i="24" l="1"/>
  <c r="C84"/>
  <c r="N36" i="14"/>
  <c r="O35"/>
  <c r="P35" s="1"/>
  <c r="V41" i="16"/>
  <c r="Q19"/>
  <c r="G41"/>
  <c r="O27"/>
  <c r="K33"/>
  <c r="M43"/>
  <c r="D18"/>
  <c r="S26"/>
  <c r="K10"/>
  <c r="D13"/>
  <c r="P21"/>
  <c r="S24"/>
  <c r="I10"/>
  <c r="Q22"/>
  <c r="L7"/>
  <c r="I2"/>
  <c r="F24"/>
  <c r="S36"/>
  <c r="I27"/>
  <c r="H51"/>
  <c r="B50"/>
  <c r="G48"/>
  <c r="Q23"/>
  <c r="F41"/>
  <c r="N5"/>
  <c r="U3"/>
  <c r="G46"/>
  <c r="U11"/>
  <c r="D41"/>
  <c r="T51"/>
  <c r="M40"/>
  <c r="B7"/>
  <c r="E50"/>
  <c r="V14"/>
  <c r="B43"/>
  <c r="E22"/>
  <c r="M38"/>
  <c r="C22"/>
  <c r="T14"/>
  <c r="R22"/>
  <c r="H30"/>
  <c r="U14"/>
  <c r="U22"/>
  <c r="D9"/>
  <c r="G4"/>
  <c r="E27"/>
  <c r="C9"/>
  <c r="N28"/>
  <c r="C12"/>
  <c r="I28"/>
  <c r="J4"/>
  <c r="K4"/>
  <c r="R21"/>
  <c r="D26"/>
  <c r="E38"/>
  <c r="O30"/>
  <c r="G17"/>
  <c r="D7"/>
  <c r="C14"/>
  <c r="U23"/>
  <c r="D47"/>
  <c r="E28"/>
  <c r="M9"/>
  <c r="O6"/>
  <c r="F50"/>
  <c r="E17"/>
  <c r="B35"/>
  <c r="N27"/>
  <c r="O5"/>
  <c r="C40"/>
  <c r="M27"/>
  <c r="B2"/>
  <c r="E36"/>
  <c r="S2"/>
  <c r="M16"/>
  <c r="K39"/>
  <c r="M13"/>
  <c r="D17"/>
  <c r="P30"/>
  <c r="T10"/>
  <c r="E47"/>
  <c r="E6"/>
  <c r="K8"/>
  <c r="F35"/>
  <c r="N41"/>
  <c r="Q35"/>
  <c r="J41"/>
  <c r="D22"/>
  <c r="V39"/>
  <c r="O11"/>
  <c r="B39"/>
  <c r="Q50"/>
  <c r="U41"/>
  <c r="S17"/>
  <c r="O39"/>
  <c r="V43"/>
  <c r="N22"/>
  <c r="V10"/>
  <c r="B44"/>
  <c r="K19"/>
  <c r="L22"/>
  <c r="E31"/>
  <c r="I14"/>
  <c r="N17"/>
  <c r="V31"/>
  <c r="I33"/>
  <c r="R12"/>
  <c r="S30"/>
  <c r="E26"/>
  <c r="O22"/>
  <c r="U34"/>
  <c r="M3"/>
  <c r="J35"/>
  <c r="F17"/>
  <c r="B19"/>
  <c r="J39"/>
  <c r="S4"/>
  <c r="S51"/>
  <c r="T17"/>
  <c r="D32"/>
  <c r="L28"/>
  <c r="M25"/>
  <c r="M41"/>
  <c r="I40"/>
  <c r="S32"/>
  <c r="I36"/>
  <c r="S15"/>
  <c r="N36"/>
  <c r="U33"/>
  <c r="Q6"/>
  <c r="O9"/>
  <c r="F22"/>
  <c r="E14"/>
  <c r="J13"/>
  <c r="G10"/>
  <c r="L30"/>
  <c r="B11"/>
  <c r="H28"/>
  <c r="L8"/>
  <c r="M42"/>
  <c r="C31"/>
  <c r="T49"/>
  <c r="H33"/>
  <c r="K14"/>
  <c r="T25"/>
  <c r="Q12"/>
  <c r="G42"/>
  <c r="F49"/>
  <c r="U13"/>
  <c r="S18"/>
  <c r="T12"/>
  <c r="E8"/>
  <c r="Q27"/>
  <c r="O18"/>
  <c r="U36"/>
  <c r="Q38"/>
  <c r="I5"/>
  <c r="R20"/>
  <c r="J9"/>
  <c r="T9"/>
  <c r="N38"/>
  <c r="C35"/>
  <c r="N12"/>
  <c r="E16"/>
  <c r="K42"/>
  <c r="Q34"/>
  <c r="V19"/>
  <c r="B14"/>
  <c r="J46"/>
  <c r="M37"/>
  <c r="J17"/>
  <c r="B21"/>
  <c r="K40"/>
  <c r="U5"/>
  <c r="F51"/>
  <c r="C38"/>
  <c r="G14"/>
  <c r="U24"/>
  <c r="J27"/>
  <c r="U15"/>
  <c r="L51"/>
  <c r="P6"/>
  <c r="K45"/>
  <c r="F13"/>
  <c r="Q15"/>
  <c r="N29"/>
  <c r="Q13"/>
  <c r="D31"/>
  <c r="C19"/>
  <c r="G43"/>
  <c r="E46"/>
  <c r="F34"/>
  <c r="O49"/>
  <c r="F39"/>
  <c r="J21"/>
  <c r="P16"/>
  <c r="F48"/>
  <c r="H2"/>
  <c r="S14"/>
  <c r="M2"/>
  <c r="R49"/>
  <c r="L47"/>
  <c r="Q46"/>
  <c r="H41"/>
  <c r="K35"/>
  <c r="G36"/>
  <c r="Q10"/>
  <c r="F33"/>
  <c r="B13"/>
  <c r="R6"/>
  <c r="F40"/>
  <c r="H42"/>
  <c r="J10"/>
  <c r="K21"/>
  <c r="B4"/>
  <c r="H43"/>
  <c r="T29"/>
  <c r="O13"/>
  <c r="G25"/>
  <c r="G21"/>
  <c r="D14"/>
  <c r="O51"/>
  <c r="C15"/>
  <c r="F29"/>
  <c r="D12"/>
  <c r="R16"/>
  <c r="G34"/>
  <c r="I31"/>
  <c r="L6"/>
  <c r="T39"/>
  <c r="U50"/>
  <c r="D15"/>
  <c r="J7"/>
  <c r="O40"/>
  <c r="T27"/>
  <c r="G51"/>
  <c r="N10"/>
  <c r="N6"/>
  <c r="R42"/>
  <c r="T33"/>
  <c r="O38"/>
  <c r="Q45"/>
  <c r="C10"/>
  <c r="F27"/>
  <c r="J45"/>
  <c r="E34"/>
  <c r="P9"/>
  <c r="O28"/>
  <c r="K23"/>
  <c r="L33"/>
  <c r="S6"/>
  <c r="B47"/>
  <c r="S48"/>
  <c r="C6"/>
  <c r="G9"/>
  <c r="J51"/>
  <c r="R29"/>
  <c r="K2"/>
  <c r="I15"/>
  <c r="T5"/>
  <c r="E24"/>
  <c r="M10"/>
  <c r="M22"/>
  <c r="M48"/>
  <c r="J34"/>
  <c r="O23"/>
  <c r="M29"/>
  <c r="P31"/>
  <c r="Q41"/>
  <c r="K51"/>
  <c r="Q18"/>
  <c r="D28"/>
  <c r="V6"/>
  <c r="D36"/>
  <c r="T21"/>
  <c r="H25"/>
  <c r="T30"/>
  <c r="O24"/>
  <c r="C21"/>
  <c r="B27"/>
  <c r="G23"/>
  <c r="T19"/>
  <c r="K3"/>
  <c r="J25"/>
  <c r="L44"/>
  <c r="N7"/>
  <c r="Q4"/>
  <c r="U42"/>
  <c r="R43"/>
  <c r="L29"/>
  <c r="K38"/>
  <c r="V8"/>
  <c r="L43"/>
  <c r="J44"/>
  <c r="J5"/>
  <c r="G27"/>
  <c r="N42"/>
  <c r="S49"/>
  <c r="F7"/>
  <c r="S40"/>
  <c r="H17"/>
  <c r="F10"/>
  <c r="C42"/>
  <c r="V7"/>
  <c r="R35"/>
  <c r="L24"/>
  <c r="N51"/>
  <c r="M26"/>
  <c r="K22"/>
  <c r="T6"/>
  <c r="T16"/>
  <c r="V28"/>
  <c r="D50"/>
  <c r="B25"/>
  <c r="D27"/>
  <c r="S19"/>
  <c r="E40"/>
  <c r="T42"/>
  <c r="T41"/>
  <c r="C30"/>
  <c r="I20"/>
  <c r="H19"/>
  <c r="E12"/>
  <c r="M23"/>
  <c r="P38"/>
  <c r="J19"/>
  <c r="U31"/>
  <c r="G2"/>
  <c r="K32"/>
  <c r="D46"/>
  <c r="D38"/>
  <c r="L35"/>
  <c r="M4"/>
  <c r="H49"/>
  <c r="E45"/>
  <c r="S50"/>
  <c r="V16"/>
  <c r="B41"/>
  <c r="F12"/>
  <c r="P17"/>
  <c r="D10"/>
  <c r="K47"/>
  <c r="F20"/>
  <c r="R5"/>
  <c r="L19"/>
  <c r="M31"/>
  <c r="N40"/>
  <c r="F16"/>
  <c r="I25"/>
  <c r="Q47"/>
  <c r="F44"/>
  <c r="P41"/>
  <c r="M30"/>
  <c r="L46"/>
  <c r="D29"/>
  <c r="J32"/>
  <c r="F19"/>
  <c r="C33"/>
  <c r="P14"/>
  <c r="D5"/>
  <c r="P29"/>
  <c r="R15"/>
  <c r="V5"/>
  <c r="G6"/>
  <c r="U7"/>
  <c r="I49"/>
  <c r="E43"/>
  <c r="L3"/>
  <c r="O4"/>
  <c r="F3"/>
  <c r="P22"/>
  <c r="O50"/>
  <c r="E25"/>
  <c r="U17"/>
  <c r="R17"/>
  <c r="R36"/>
  <c r="V36"/>
  <c r="O26"/>
  <c r="G45"/>
  <c r="O12"/>
  <c r="K36"/>
  <c r="L38"/>
  <c r="O46"/>
  <c r="H35"/>
  <c r="H39"/>
  <c r="G49"/>
  <c r="I7"/>
  <c r="J20"/>
  <c r="K27"/>
  <c r="D35"/>
  <c r="E29"/>
  <c r="L27"/>
  <c r="Q37"/>
  <c r="Q48"/>
  <c r="P42"/>
  <c r="R31"/>
  <c r="V20"/>
  <c r="J29"/>
  <c r="K44"/>
  <c r="S3"/>
  <c r="K48"/>
  <c r="J14"/>
  <c r="D4"/>
  <c r="R25"/>
  <c r="U20"/>
  <c r="O42"/>
  <c r="E35"/>
  <c r="D43"/>
  <c r="E10"/>
  <c r="S10"/>
  <c r="K9"/>
  <c r="N31"/>
  <c r="S33"/>
  <c r="U49"/>
  <c r="H22"/>
  <c r="D11"/>
  <c r="H10"/>
  <c r="G32"/>
  <c r="J24"/>
  <c r="L12"/>
  <c r="J37"/>
  <c r="S37"/>
  <c r="C7"/>
  <c r="P8"/>
  <c r="F31"/>
  <c r="J42"/>
  <c r="C20"/>
  <c r="V33"/>
  <c r="N19"/>
  <c r="H16"/>
  <c r="S25"/>
  <c r="E9"/>
  <c r="R41"/>
  <c r="O3"/>
  <c r="I51"/>
  <c r="O41"/>
  <c r="S20"/>
  <c r="K25"/>
  <c r="V9"/>
  <c r="S35"/>
  <c r="G26"/>
  <c r="L21"/>
  <c r="G7"/>
  <c r="J26"/>
  <c r="R2"/>
  <c r="B30"/>
  <c r="B20"/>
  <c r="Q28"/>
  <c r="M45"/>
  <c r="H12"/>
  <c r="O8"/>
  <c r="E42"/>
  <c r="D24"/>
  <c r="F38"/>
  <c r="Q7"/>
  <c r="S11"/>
  <c r="F2"/>
  <c r="L40"/>
  <c r="S44"/>
  <c r="E41"/>
  <c r="M51"/>
  <c r="B36"/>
  <c r="E37"/>
  <c r="V29"/>
  <c r="P33"/>
  <c r="U40"/>
  <c r="M12"/>
  <c r="R19"/>
  <c r="G8"/>
  <c r="E51"/>
  <c r="V51"/>
  <c r="K18"/>
  <c r="H15"/>
  <c r="P5"/>
  <c r="J11"/>
  <c r="M46"/>
  <c r="B29"/>
  <c r="P19"/>
  <c r="L11"/>
  <c r="F5"/>
  <c r="U38"/>
  <c r="U18"/>
  <c r="D6"/>
  <c r="M18"/>
  <c r="H38"/>
  <c r="U4"/>
  <c r="B34"/>
  <c r="O37"/>
  <c r="I30"/>
  <c r="P15"/>
  <c r="L16"/>
  <c r="N43"/>
  <c r="B45"/>
  <c r="S27"/>
  <c r="G3"/>
  <c r="O15"/>
  <c r="N9"/>
  <c r="I22"/>
  <c r="G47"/>
  <c r="Q8"/>
  <c r="L42"/>
  <c r="K11"/>
  <c r="R28"/>
  <c r="J3"/>
  <c r="G28"/>
  <c r="U21"/>
  <c r="T35"/>
  <c r="T20"/>
  <c r="J28"/>
  <c r="V15"/>
  <c r="M8"/>
  <c r="P25"/>
  <c r="O29"/>
  <c r="M47"/>
  <c r="I8"/>
  <c r="B51"/>
  <c r="U28"/>
  <c r="O19"/>
  <c r="V27"/>
  <c r="B8"/>
  <c r="B32"/>
  <c r="D23"/>
  <c r="C41"/>
  <c r="C2"/>
  <c r="G31"/>
  <c r="M44"/>
  <c r="J40"/>
  <c r="Q25"/>
  <c r="N30"/>
  <c r="J36"/>
  <c r="U35"/>
  <c r="D37"/>
  <c r="U30"/>
  <c r="Q3"/>
  <c r="L18"/>
  <c r="M6"/>
  <c r="F15"/>
  <c r="O7"/>
  <c r="J43"/>
  <c r="B40"/>
  <c r="F43"/>
  <c r="M34"/>
  <c r="K34"/>
  <c r="B38"/>
  <c r="E32"/>
  <c r="T8"/>
  <c r="Q2"/>
  <c r="H6"/>
  <c r="R14"/>
  <c r="F21"/>
  <c r="J22"/>
  <c r="T38"/>
  <c r="V12"/>
  <c r="G11"/>
  <c r="E13"/>
  <c r="F42"/>
  <c r="V35"/>
  <c r="C43"/>
  <c r="G22"/>
  <c r="H21"/>
  <c r="B16"/>
  <c r="J47"/>
  <c r="I39"/>
  <c r="U46"/>
  <c r="U44"/>
  <c r="U6"/>
  <c r="F23"/>
  <c r="I17"/>
  <c r="U37"/>
  <c r="D25"/>
  <c r="V30"/>
  <c r="C29"/>
  <c r="I12"/>
  <c r="B48"/>
  <c r="U43"/>
  <c r="B3"/>
  <c r="Q26"/>
  <c r="G29"/>
  <c r="F11"/>
  <c r="T31"/>
  <c r="H5"/>
  <c r="L4"/>
  <c r="G40"/>
  <c r="Q42"/>
  <c r="E23"/>
  <c r="B31"/>
  <c r="P12"/>
  <c r="C16"/>
  <c r="H36"/>
  <c r="L31"/>
  <c r="F8"/>
  <c r="F37"/>
  <c r="D30"/>
  <c r="U27"/>
  <c r="K31"/>
  <c r="N8"/>
  <c r="F14"/>
  <c r="H8"/>
  <c r="F46"/>
  <c r="S12"/>
  <c r="N21"/>
  <c r="G15"/>
  <c r="O20"/>
  <c r="L23"/>
  <c r="K50"/>
  <c r="I19"/>
  <c r="D16"/>
  <c r="E30"/>
  <c r="H20"/>
  <c r="E18"/>
  <c r="Q24"/>
  <c r="O34"/>
  <c r="J16"/>
  <c r="C49"/>
  <c r="L15"/>
  <c r="V2"/>
  <c r="F32"/>
  <c r="K46"/>
  <c r="V21"/>
  <c r="J49"/>
  <c r="I6"/>
  <c r="O31"/>
  <c r="I42"/>
  <c r="U10"/>
  <c r="K24"/>
  <c r="S47"/>
  <c r="L10"/>
  <c r="B23"/>
  <c r="I35"/>
  <c r="J33"/>
  <c r="G39"/>
  <c r="O33"/>
  <c r="C17"/>
  <c r="S13"/>
  <c r="E48"/>
  <c r="Q33"/>
  <c r="S45"/>
  <c r="O43"/>
  <c r="K7"/>
  <c r="K20"/>
  <c r="C36"/>
  <c r="R27"/>
  <c r="Q30"/>
  <c r="B26"/>
  <c r="H31"/>
  <c r="Q16"/>
  <c r="D45"/>
  <c r="V42"/>
  <c r="J30"/>
  <c r="O25"/>
  <c r="O21"/>
  <c r="I41"/>
  <c r="L36"/>
  <c r="S43"/>
  <c r="G37"/>
  <c r="D21"/>
  <c r="P2"/>
  <c r="D20"/>
  <c r="T36"/>
  <c r="R38"/>
  <c r="N25"/>
  <c r="Q39"/>
  <c r="H14"/>
  <c r="K16"/>
  <c r="U19"/>
  <c r="S38"/>
  <c r="B18"/>
  <c r="O47"/>
  <c r="G13"/>
  <c r="P28"/>
  <c r="Q5"/>
  <c r="S5"/>
  <c r="H7"/>
  <c r="I38"/>
  <c r="K30"/>
  <c r="N20"/>
  <c r="Q40"/>
  <c r="M21"/>
  <c r="K26"/>
  <c r="Q43"/>
  <c r="U9"/>
  <c r="S8"/>
  <c r="M24"/>
  <c r="L20"/>
  <c r="S34"/>
  <c r="F18"/>
  <c r="E4"/>
  <c r="Q32"/>
  <c r="G35"/>
  <c r="S16"/>
  <c r="I29"/>
  <c r="E21"/>
  <c r="S7"/>
  <c r="E3"/>
  <c r="G50"/>
  <c r="L50"/>
  <c r="D48"/>
  <c r="G30"/>
  <c r="J38"/>
  <c r="P7"/>
  <c r="P43"/>
  <c r="M32"/>
  <c r="M7"/>
  <c r="J48"/>
  <c r="F25"/>
  <c r="Q9"/>
  <c r="M33"/>
  <c r="S23"/>
  <c r="D2"/>
  <c r="S28"/>
  <c r="F36"/>
  <c r="Q51"/>
  <c r="L9"/>
  <c r="V17"/>
  <c r="E5"/>
  <c r="U45"/>
  <c r="G33"/>
  <c r="S39"/>
  <c r="Q14"/>
  <c r="B37"/>
  <c r="M49"/>
  <c r="I21"/>
  <c r="M11"/>
  <c r="R33"/>
  <c r="J23"/>
  <c r="F45"/>
  <c r="L32"/>
  <c r="C5"/>
  <c r="M5"/>
  <c r="Q21"/>
  <c r="B46"/>
  <c r="T40"/>
  <c r="L41"/>
  <c r="F30"/>
  <c r="U16"/>
  <c r="D51"/>
  <c r="B49"/>
  <c r="C25"/>
  <c r="N49"/>
  <c r="R8"/>
  <c r="E39"/>
  <c r="E49"/>
  <c r="P51"/>
  <c r="M50"/>
  <c r="K41"/>
  <c r="D3"/>
  <c r="N33"/>
  <c r="U2"/>
  <c r="Q17"/>
  <c r="C51"/>
  <c r="L13"/>
  <c r="P27"/>
  <c r="Q11"/>
  <c r="Q29"/>
  <c r="F4"/>
  <c r="Q49"/>
  <c r="B15"/>
  <c r="K49"/>
  <c r="D40"/>
  <c r="V49"/>
  <c r="P36"/>
  <c r="S22"/>
  <c r="P49"/>
  <c r="S42"/>
  <c r="U39"/>
  <c r="I16"/>
  <c r="T22"/>
  <c r="L49"/>
  <c r="K6"/>
  <c r="G24"/>
  <c r="U47"/>
  <c r="G44"/>
  <c r="C27"/>
  <c r="R40"/>
  <c r="N14"/>
  <c r="H9"/>
  <c r="E20"/>
  <c r="U29"/>
  <c r="N39"/>
  <c r="N15"/>
  <c r="V25"/>
  <c r="N2"/>
  <c r="B22"/>
  <c r="E7"/>
  <c r="K5"/>
  <c r="M36"/>
  <c r="K12"/>
  <c r="I43"/>
  <c r="J6"/>
  <c r="G19"/>
  <c r="H27"/>
  <c r="O16"/>
  <c r="S41"/>
  <c r="P40"/>
  <c r="T15"/>
  <c r="J15"/>
  <c r="P39"/>
  <c r="F28"/>
  <c r="S9"/>
  <c r="M28"/>
  <c r="R7"/>
  <c r="P10"/>
  <c r="B28"/>
  <c r="P35"/>
  <c r="L5"/>
  <c r="O2"/>
  <c r="R10"/>
  <c r="D39"/>
  <c r="U12"/>
  <c r="S29"/>
  <c r="M17"/>
  <c r="G38"/>
  <c r="J18"/>
  <c r="E11"/>
  <c r="R51"/>
  <c r="G18"/>
  <c r="L34"/>
  <c r="Q36"/>
  <c r="O48"/>
  <c r="G16"/>
  <c r="F9"/>
  <c r="L37"/>
  <c r="O17"/>
  <c r="S31"/>
  <c r="C8"/>
  <c r="R9"/>
  <c r="E44"/>
  <c r="V22"/>
  <c r="M14"/>
  <c r="Q20"/>
  <c r="V38"/>
  <c r="E33"/>
  <c r="C28"/>
  <c r="O36"/>
  <c r="H29"/>
  <c r="L26"/>
  <c r="O45"/>
  <c r="U25"/>
  <c r="D44"/>
  <c r="O10"/>
  <c r="B10"/>
  <c r="C39"/>
  <c r="T28"/>
  <c r="T7"/>
  <c r="J50"/>
  <c r="K43"/>
  <c r="K15"/>
  <c r="F6"/>
  <c r="J12"/>
  <c r="L45"/>
  <c r="L2"/>
  <c r="O44"/>
  <c r="B17"/>
  <c r="V40"/>
  <c r="M15"/>
  <c r="G5"/>
  <c r="G20"/>
  <c r="L48"/>
  <c r="S21"/>
  <c r="K29"/>
  <c r="K28"/>
  <c r="L14"/>
  <c r="F47"/>
  <c r="D8"/>
  <c r="D42"/>
  <c r="F26"/>
  <c r="M19"/>
  <c r="E19"/>
  <c r="B42"/>
  <c r="B33"/>
  <c r="D34"/>
  <c r="U32"/>
  <c r="T2"/>
  <c r="Q44"/>
  <c r="J2"/>
  <c r="B12"/>
  <c r="U26"/>
  <c r="L17"/>
  <c r="M39"/>
  <c r="P20"/>
  <c r="K13"/>
  <c r="L39"/>
  <c r="L25"/>
  <c r="J31"/>
  <c r="S46"/>
  <c r="O32"/>
  <c r="T43"/>
  <c r="R30"/>
  <c r="B5"/>
  <c r="Q31"/>
  <c r="E2"/>
  <c r="O14"/>
  <c r="D19"/>
  <c r="B9"/>
  <c r="B6"/>
  <c r="D33"/>
  <c r="U48"/>
  <c r="D49"/>
  <c r="K37"/>
  <c r="B24"/>
  <c r="E15"/>
  <c r="I9"/>
  <c r="M20"/>
  <c r="G12"/>
  <c r="R39"/>
  <c r="U51"/>
  <c r="N16"/>
  <c r="U8"/>
  <c r="O35"/>
  <c r="M35"/>
  <c r="H40"/>
  <c r="K17"/>
  <c r="J8"/>
  <c r="N35"/>
  <c r="E49" i="24" l="1"/>
  <c r="C85"/>
  <c r="N37" i="14"/>
  <c r="O36"/>
  <c r="P36" s="1"/>
  <c r="E50" i="24" l="1"/>
  <c r="C86"/>
  <c r="N38" i="14"/>
  <c r="O37"/>
  <c r="P37" s="1"/>
  <c r="E52" i="24" l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E51"/>
  <c r="C87"/>
  <c r="O38" i="14"/>
  <c r="P38" s="1"/>
  <c r="N39"/>
  <c r="E53" i="24" l="1"/>
  <c r="C88"/>
  <c r="O39" i="14"/>
  <c r="P39" s="1"/>
  <c r="N40"/>
  <c r="E54" i="24" l="1"/>
  <c r="C89"/>
  <c r="O40" i="14"/>
  <c r="P40" s="1"/>
  <c r="N41"/>
  <c r="E55" i="24" l="1"/>
  <c r="C90"/>
  <c r="N42" i="14"/>
  <c r="O41"/>
  <c r="P41" s="1"/>
  <c r="E56" i="24" l="1"/>
  <c r="C91"/>
  <c r="O42" i="14"/>
  <c r="P42" s="1"/>
  <c r="N43"/>
  <c r="E57" i="24" l="1"/>
  <c r="C92"/>
  <c r="N44" i="14"/>
  <c r="O43"/>
  <c r="P43" s="1"/>
  <c r="E58" i="24" l="1"/>
  <c r="C93"/>
  <c r="O44" i="14"/>
  <c r="P44" s="1"/>
  <c r="N45"/>
  <c r="E59" i="24" l="1"/>
  <c r="C94"/>
  <c r="O45" i="14"/>
  <c r="P45" s="1"/>
  <c r="N46"/>
  <c r="E60" i="24" l="1"/>
  <c r="C95"/>
  <c r="O46" i="14"/>
  <c r="P46" s="1"/>
  <c r="N47"/>
  <c r="E61" i="24" l="1"/>
  <c r="C96"/>
  <c r="O47" i="14"/>
  <c r="P47" s="1"/>
  <c r="N48"/>
  <c r="E62" i="24" l="1"/>
  <c r="C97"/>
  <c r="O48" i="14"/>
  <c r="P48" s="1"/>
  <c r="N49"/>
  <c r="E63" i="24" l="1"/>
  <c r="C98"/>
  <c r="O49" i="14"/>
  <c r="P49" s="1"/>
  <c r="N50"/>
  <c r="E64" i="24" l="1"/>
  <c r="C99"/>
  <c r="N51" i="14"/>
  <c r="O50"/>
  <c r="P50" s="1"/>
  <c r="E65" i="24" l="1"/>
  <c r="C100"/>
  <c r="O51" i="14"/>
  <c r="P51" s="1"/>
  <c r="N52"/>
  <c r="E66" i="24" l="1"/>
  <c r="C101"/>
  <c r="O52" i="14"/>
  <c r="P52" s="1"/>
  <c r="N53"/>
  <c r="E67" i="24" l="1"/>
  <c r="C102"/>
  <c r="N54" i="14"/>
  <c r="O53"/>
  <c r="P53" s="1"/>
  <c r="E68" i="24" l="1"/>
  <c r="C103"/>
  <c r="N55" i="14"/>
  <c r="O54"/>
  <c r="P54" s="1"/>
  <c r="E69" i="24" l="1"/>
  <c r="C104"/>
  <c r="N56" i="14"/>
  <c r="O55"/>
  <c r="P55" s="1"/>
  <c r="E71" i="24" l="1"/>
  <c r="E70"/>
  <c r="C105"/>
  <c r="N57" i="14"/>
  <c r="O56"/>
  <c r="P56" s="1"/>
  <c r="D72" i="24" l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01" s="1"/>
  <c r="D102" s="1"/>
  <c r="D103" s="1"/>
  <c r="D104" s="1"/>
  <c r="D105" s="1"/>
  <c r="D106" s="1"/>
  <c r="D107" s="1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D130" s="1"/>
  <c r="D131" s="1"/>
  <c r="D132" s="1"/>
  <c r="D133" s="1"/>
  <c r="D134" s="1"/>
  <c r="D135" s="1"/>
  <c r="D136" s="1"/>
  <c r="D137" s="1"/>
  <c r="D138" s="1"/>
  <c r="D139" s="1"/>
  <c r="D140" s="1"/>
  <c r="D141" s="1"/>
  <c r="D142" s="1"/>
  <c r="D143" s="1"/>
  <c r="D144" s="1"/>
  <c r="D145" s="1"/>
  <c r="D146" s="1"/>
  <c r="D147" s="1"/>
  <c r="D148" s="1"/>
  <c r="D149" s="1"/>
  <c r="D150" s="1"/>
  <c r="D151" s="1"/>
  <c r="C106"/>
  <c r="O57" i="14"/>
  <c r="P57" s="1"/>
  <c r="N58"/>
  <c r="E73" i="24" l="1"/>
  <c r="E72"/>
  <c r="E74"/>
  <c r="C107"/>
  <c r="N59" i="14"/>
  <c r="O58"/>
  <c r="P58" s="1"/>
  <c r="E75" i="24" l="1"/>
  <c r="C108"/>
  <c r="N60" i="14"/>
  <c r="O59"/>
  <c r="P59" s="1"/>
  <c r="E76" i="24" l="1"/>
  <c r="C109"/>
  <c r="N61" i="14"/>
  <c r="O60"/>
  <c r="P60" s="1"/>
  <c r="E77" i="24" l="1"/>
  <c r="C110"/>
  <c r="O61" i="14"/>
  <c r="P61" s="1"/>
  <c r="N62"/>
  <c r="E78" i="24" l="1"/>
  <c r="C111"/>
  <c r="O62" i="14"/>
  <c r="P62" s="1"/>
  <c r="N63"/>
  <c r="E79" i="24" l="1"/>
  <c r="C112"/>
  <c r="O63" i="14"/>
  <c r="P63" s="1"/>
  <c r="N64"/>
  <c r="E80" i="24" l="1"/>
  <c r="C113"/>
  <c r="N65" i="14"/>
  <c r="O64"/>
  <c r="P64" s="1"/>
  <c r="E82" i="24" l="1"/>
  <c r="E81"/>
  <c r="C114"/>
  <c r="O65" i="14"/>
  <c r="P65" s="1"/>
  <c r="N66"/>
  <c r="E83" i="24" l="1"/>
  <c r="C115"/>
  <c r="N67" i="14"/>
  <c r="O66"/>
  <c r="P66" s="1"/>
  <c r="E84" i="24" l="1"/>
  <c r="C116"/>
  <c r="O67" i="14"/>
  <c r="P67" s="1"/>
  <c r="N68"/>
  <c r="E85" i="24" l="1"/>
  <c r="C117"/>
  <c r="O68" i="14"/>
  <c r="P68" s="1"/>
  <c r="N69"/>
  <c r="E86" i="24" l="1"/>
  <c r="C118"/>
  <c r="N70" i="14"/>
  <c r="O69"/>
  <c r="P69" s="1"/>
  <c r="E87" i="24" l="1"/>
  <c r="C119"/>
  <c r="N71" i="14"/>
  <c r="O70"/>
  <c r="P70" s="1"/>
  <c r="E88" i="24" l="1"/>
  <c r="C120"/>
  <c r="O71" i="14"/>
  <c r="P71" s="1"/>
  <c r="N72"/>
  <c r="E89" i="24" l="1"/>
  <c r="C121"/>
  <c r="N73" i="14"/>
  <c r="O72"/>
  <c r="P72" s="1"/>
  <c r="E90" i="24" l="1"/>
  <c r="C122"/>
  <c r="N74" i="14"/>
  <c r="O73"/>
  <c r="P73" s="1"/>
  <c r="E91" i="24" l="1"/>
  <c r="C123"/>
  <c r="O74" i="14"/>
  <c r="P74" s="1"/>
  <c r="N75"/>
  <c r="E92" i="24" l="1"/>
  <c r="C124"/>
  <c r="O75" i="14"/>
  <c r="P75" s="1"/>
  <c r="N76"/>
  <c r="E93" i="24" l="1"/>
  <c r="C125"/>
  <c r="N77" i="14"/>
  <c r="O76"/>
  <c r="P76" s="1"/>
  <c r="E94" i="24" l="1"/>
  <c r="C126"/>
  <c r="O77" i="14"/>
  <c r="P77" s="1"/>
  <c r="N78"/>
  <c r="E95" i="24" l="1"/>
  <c r="C127"/>
  <c r="O78" i="14"/>
  <c r="P78" s="1"/>
  <c r="N79"/>
  <c r="E96" i="24" l="1"/>
  <c r="C128"/>
  <c r="O79" i="14"/>
  <c r="P79" s="1"/>
  <c r="N80"/>
  <c r="E97" i="24" l="1"/>
  <c r="C129"/>
  <c r="N81" i="14"/>
  <c r="O80"/>
  <c r="P80" s="1"/>
  <c r="E98" i="24" l="1"/>
  <c r="C130"/>
  <c r="O81" i="14"/>
  <c r="P81" s="1"/>
  <c r="N82"/>
  <c r="E100" i="24" l="1"/>
  <c r="E99"/>
  <c r="C131"/>
  <c r="N83" i="14"/>
  <c r="O82"/>
  <c r="P82" s="1"/>
  <c r="E101" i="24" l="1"/>
  <c r="C132"/>
  <c r="N84" i="14"/>
  <c r="O83"/>
  <c r="P83" s="1"/>
  <c r="E102" i="24" l="1"/>
  <c r="C133"/>
  <c r="N85" i="14"/>
  <c r="O84"/>
  <c r="P84" s="1"/>
  <c r="E103" i="24" l="1"/>
  <c r="C134"/>
  <c r="O85" i="14"/>
  <c r="P85" s="1"/>
  <c r="N86"/>
  <c r="E104" i="24" l="1"/>
  <c r="C135"/>
  <c r="N87" i="14"/>
  <c r="O86"/>
  <c r="P86" s="1"/>
  <c r="E105" i="24" l="1"/>
  <c r="C136"/>
  <c r="N88" i="14"/>
  <c r="O87"/>
  <c r="P87" s="1"/>
  <c r="E106" i="24" l="1"/>
  <c r="C137"/>
  <c r="O88" i="14"/>
  <c r="P88" s="1"/>
  <c r="N89"/>
  <c r="E107" i="24" l="1"/>
  <c r="C138"/>
  <c r="N90" i="14"/>
  <c r="O89"/>
  <c r="P89" s="1"/>
  <c r="E108" i="24" l="1"/>
  <c r="C139"/>
  <c r="O90" i="14"/>
  <c r="P90" s="1"/>
  <c r="N91"/>
  <c r="E109" i="24" l="1"/>
  <c r="C140"/>
  <c r="N92" i="14"/>
  <c r="O91"/>
  <c r="P91" s="1"/>
  <c r="E110" i="24" l="1"/>
  <c r="C141"/>
  <c r="O92" i="14"/>
  <c r="P92" s="1"/>
  <c r="N93"/>
  <c r="E111" i="24" l="1"/>
  <c r="C142"/>
  <c r="N94" i="14"/>
  <c r="O93"/>
  <c r="P93" s="1"/>
  <c r="E112" i="24" l="1"/>
  <c r="C143"/>
  <c r="C144" s="1"/>
  <c r="C145" s="1"/>
  <c r="C146" s="1"/>
  <c r="C147" s="1"/>
  <c r="C148" s="1"/>
  <c r="C149" s="1"/>
  <c r="C150" s="1"/>
  <c r="C151" s="1"/>
  <c r="O94" i="14"/>
  <c r="P94" s="1"/>
  <c r="N95"/>
  <c r="E113" i="24" l="1"/>
  <c r="O95" i="14"/>
  <c r="P95" s="1"/>
  <c r="N96"/>
  <c r="E114" i="24" l="1"/>
  <c r="O96" i="14"/>
  <c r="P96" s="1"/>
  <c r="N97"/>
  <c r="E115" i="24" l="1"/>
  <c r="N98" i="14"/>
  <c r="O97"/>
  <c r="P97" s="1"/>
  <c r="E116" i="24" l="1"/>
  <c r="O98" i="14"/>
  <c r="P98" s="1"/>
  <c r="N99"/>
  <c r="E117" i="24" l="1"/>
  <c r="N100" i="14"/>
  <c r="O99"/>
  <c r="P99" s="1"/>
  <c r="E118" i="24" l="1"/>
  <c r="O100" i="14"/>
  <c r="P100" s="1"/>
  <c r="N101"/>
  <c r="E120" i="24" l="1"/>
  <c r="E119"/>
  <c r="N102" i="14"/>
  <c r="O101"/>
  <c r="P101" s="1"/>
  <c r="E121" i="24" l="1"/>
  <c r="O102" i="14"/>
  <c r="P102" s="1"/>
  <c r="N103"/>
  <c r="E122" i="24" l="1"/>
  <c r="N104" i="14"/>
  <c r="O103"/>
  <c r="P103" s="1"/>
  <c r="E123" i="24" l="1"/>
  <c r="N105" i="14"/>
  <c r="O104"/>
  <c r="P104" s="1"/>
  <c r="E124" i="24" l="1"/>
  <c r="N106" i="14"/>
  <c r="O105"/>
  <c r="P105" s="1"/>
  <c r="E125" i="24" l="1"/>
  <c r="O106" i="14"/>
  <c r="P106" s="1"/>
  <c r="N107"/>
  <c r="E126" i="24" l="1"/>
  <c r="N108" i="14"/>
  <c r="O107"/>
  <c r="P107" s="1"/>
  <c r="E127" i="24" l="1"/>
  <c r="O108" i="14"/>
  <c r="P108" s="1"/>
  <c r="N109"/>
  <c r="E128" i="24" l="1"/>
  <c r="N110" i="14"/>
  <c r="O109"/>
  <c r="P109" s="1"/>
  <c r="E129" i="24" l="1"/>
  <c r="O110" i="14"/>
  <c r="P110" s="1"/>
  <c r="N111"/>
  <c r="E130" i="24" l="1"/>
  <c r="N112" i="14"/>
  <c r="O111"/>
  <c r="P111" s="1"/>
  <c r="E131" i="24" l="1"/>
  <c r="O112" i="14"/>
  <c r="P112" s="1"/>
  <c r="N113"/>
  <c r="E132" i="24" l="1"/>
  <c r="O113" i="14"/>
  <c r="P113" s="1"/>
  <c r="N114"/>
  <c r="E133" i="24" l="1"/>
  <c r="O114" i="14"/>
  <c r="P114" s="1"/>
  <c r="N115"/>
  <c r="E134" i="24" l="1"/>
  <c r="N116" i="14"/>
  <c r="O115"/>
  <c r="P115" s="1"/>
  <c r="E135" i="24" l="1"/>
  <c r="O116" i="14"/>
  <c r="P116" s="1"/>
  <c r="N117"/>
  <c r="E136" i="24" l="1"/>
  <c r="N118" i="14"/>
  <c r="O117"/>
  <c r="P117" s="1"/>
  <c r="E137" i="24" l="1"/>
  <c r="O118" i="14"/>
  <c r="P118" s="1"/>
  <c r="N119"/>
  <c r="E139" i="24" l="1"/>
  <c r="E138"/>
  <c r="N120" i="14"/>
  <c r="O119"/>
  <c r="P119" s="1"/>
  <c r="E140" i="24" l="1"/>
  <c r="O120" i="14"/>
  <c r="P120" s="1"/>
  <c r="N121"/>
  <c r="E142" i="24" l="1"/>
  <c r="E141"/>
  <c r="N122" i="14"/>
  <c r="O121"/>
  <c r="P121" s="1"/>
  <c r="E143" i="24" l="1"/>
  <c r="O122" i="14"/>
  <c r="P122" s="1"/>
  <c r="N123"/>
  <c r="E144" i="24" l="1"/>
  <c r="O123" i="14"/>
  <c r="P123" s="1"/>
  <c r="N124"/>
  <c r="E145" i="24" l="1"/>
  <c r="O124" i="14"/>
  <c r="P124" s="1"/>
  <c r="N125"/>
  <c r="E146" i="24" l="1"/>
  <c r="O125" i="14"/>
  <c r="P125" s="1"/>
  <c r="N126"/>
  <c r="E147" i="24" l="1"/>
  <c r="O126" i="14"/>
  <c r="P126" s="1"/>
  <c r="N127"/>
  <c r="E148" i="24" l="1"/>
  <c r="O127" i="14"/>
  <c r="P127" s="1"/>
  <c r="N128"/>
  <c r="E149" i="24" l="1"/>
  <c r="O128" i="14"/>
  <c r="P128" s="1"/>
  <c r="N129"/>
  <c r="E151" i="24" l="1"/>
  <c r="E150"/>
  <c r="O129" i="14"/>
  <c r="P129" s="1"/>
  <c r="N130"/>
  <c r="O130" l="1"/>
  <c r="P130" s="1"/>
  <c r="N131"/>
  <c r="N132" l="1"/>
  <c r="O131"/>
  <c r="P131" s="1"/>
  <c r="O132" l="1"/>
  <c r="P132" s="1"/>
  <c r="N133"/>
  <c r="N134" l="1"/>
  <c r="O133"/>
  <c r="P133" s="1"/>
  <c r="N135" l="1"/>
  <c r="O134"/>
  <c r="P134" s="1"/>
  <c r="O135" l="1"/>
  <c r="P135" s="1"/>
  <c r="N136"/>
  <c r="O136" l="1"/>
  <c r="P136" s="1"/>
  <c r="N137"/>
  <c r="O137" l="1"/>
  <c r="P137" s="1"/>
  <c r="N138"/>
  <c r="O138" l="1"/>
  <c r="P138" s="1"/>
  <c r="N139"/>
  <c r="O139" l="1"/>
  <c r="P139" s="1"/>
  <c r="N140"/>
  <c r="N141" l="1"/>
  <c r="O140"/>
  <c r="P140" s="1"/>
  <c r="O141" l="1"/>
  <c r="P141" s="1"/>
  <c r="N142"/>
  <c r="N143" l="1"/>
  <c r="O142"/>
  <c r="P142" s="1"/>
  <c r="O143" l="1"/>
  <c r="P143" s="1"/>
  <c r="N144"/>
  <c r="O144" l="1"/>
  <c r="P144" s="1"/>
  <c r="N145"/>
  <c r="O145" l="1"/>
  <c r="P145" s="1"/>
  <c r="N146"/>
  <c r="N147" l="1"/>
  <c r="O146"/>
  <c r="P146" s="1"/>
  <c r="O147" l="1"/>
  <c r="P147" s="1"/>
  <c r="N148"/>
  <c r="O148" l="1"/>
  <c r="P148" s="1"/>
  <c r="N149"/>
  <c r="N150" l="1"/>
  <c r="O149"/>
  <c r="P149" s="1"/>
  <c r="O150" l="1"/>
  <c r="P150" s="1"/>
  <c r="N151"/>
  <c r="O151" l="1"/>
  <c r="P151" s="1"/>
  <c r="N152"/>
  <c r="O152" l="1"/>
  <c r="P152" s="1"/>
  <c r="N153"/>
  <c r="O153" l="1"/>
  <c r="P153" s="1"/>
  <c r="Q153" l="1"/>
  <c r="R153" s="1"/>
  <c r="Q5"/>
  <c r="R5" s="1"/>
  <c r="Q4"/>
  <c r="R4" s="1"/>
  <c r="Q6"/>
  <c r="R6" s="1"/>
  <c r="Q7"/>
  <c r="R7" s="1"/>
  <c r="Q8"/>
  <c r="R8" s="1"/>
  <c r="Q9"/>
  <c r="R9" s="1"/>
  <c r="Q10"/>
  <c r="R10" s="1"/>
  <c r="Q12"/>
  <c r="R12" s="1"/>
  <c r="Q11"/>
  <c r="R11" s="1"/>
  <c r="Q13"/>
  <c r="R13" s="1"/>
  <c r="Q14"/>
  <c r="R14" s="1"/>
  <c r="Q15"/>
  <c r="R15" s="1"/>
  <c r="Q16"/>
  <c r="R16" s="1"/>
  <c r="Q17"/>
  <c r="R17" s="1"/>
  <c r="Q18"/>
  <c r="R18" s="1"/>
  <c r="Q19"/>
  <c r="R19" s="1"/>
  <c r="Q20"/>
  <c r="R20" s="1"/>
  <c r="Q22"/>
  <c r="R22" s="1"/>
  <c r="Q21"/>
  <c r="R21" s="1"/>
  <c r="Q23"/>
  <c r="R23" s="1"/>
  <c r="Q24"/>
  <c r="R24" s="1"/>
  <c r="Q26"/>
  <c r="R26" s="1"/>
  <c r="Q25"/>
  <c r="R25" s="1"/>
  <c r="Q27"/>
  <c r="R27" s="1"/>
  <c r="Q28"/>
  <c r="R28" s="1"/>
  <c r="Q29"/>
  <c r="R29" s="1"/>
  <c r="Q30"/>
  <c r="R30" s="1"/>
  <c r="Q31"/>
  <c r="R31" s="1"/>
  <c r="Q32"/>
  <c r="R32" s="1"/>
  <c r="Q33"/>
  <c r="R33" s="1"/>
  <c r="Q34"/>
  <c r="R34" s="1"/>
  <c r="Q35"/>
  <c r="R35" s="1"/>
  <c r="Q36"/>
  <c r="R36" s="1"/>
  <c r="Q37"/>
  <c r="R37" s="1"/>
  <c r="Q38"/>
  <c r="R38" s="1"/>
  <c r="Q47"/>
  <c r="R47" s="1"/>
  <c r="Q48"/>
  <c r="R48" s="1"/>
  <c r="Q49"/>
  <c r="R49" s="1"/>
  <c r="Q50"/>
  <c r="R50" s="1"/>
  <c r="Q51"/>
  <c r="R51" s="1"/>
  <c r="Q52"/>
  <c r="R52" s="1"/>
  <c r="Q53"/>
  <c r="R53" s="1"/>
  <c r="Q54"/>
  <c r="R54" s="1"/>
  <c r="Q55"/>
  <c r="R55" s="1"/>
  <c r="Q56"/>
  <c r="R56" s="1"/>
  <c r="Q57"/>
  <c r="R57" s="1"/>
  <c r="Q58"/>
  <c r="R58" s="1"/>
  <c r="Q59"/>
  <c r="R59" s="1"/>
  <c r="Q39"/>
  <c r="R39" s="1"/>
  <c r="Q60"/>
  <c r="R60" s="1"/>
  <c r="Q61"/>
  <c r="R61" s="1"/>
  <c r="Q62"/>
  <c r="R62" s="1"/>
  <c r="Q63"/>
  <c r="R63" s="1"/>
  <c r="Q64"/>
  <c r="R64" s="1"/>
  <c r="Q65"/>
  <c r="R65" s="1"/>
  <c r="Q66"/>
  <c r="R66" s="1"/>
  <c r="Q67"/>
  <c r="R67" s="1"/>
  <c r="Q68"/>
  <c r="R68" s="1"/>
  <c r="Q69"/>
  <c r="R69" s="1"/>
  <c r="Q70"/>
  <c r="R70" s="1"/>
  <c r="Q71"/>
  <c r="R71" s="1"/>
  <c r="Q72"/>
  <c r="R72" s="1"/>
  <c r="Q40"/>
  <c r="R40" s="1"/>
  <c r="Q73"/>
  <c r="R73" s="1"/>
  <c r="Q74"/>
  <c r="R74" s="1"/>
  <c r="Q75"/>
  <c r="R75" s="1"/>
  <c r="Q76"/>
  <c r="R76" s="1"/>
  <c r="Q77"/>
  <c r="R77" s="1"/>
  <c r="Q78"/>
  <c r="R78" s="1"/>
  <c r="Q79"/>
  <c r="R79" s="1"/>
  <c r="Q80"/>
  <c r="R80" s="1"/>
  <c r="Q81"/>
  <c r="R81" s="1"/>
  <c r="Q82"/>
  <c r="R82" s="1"/>
  <c r="Q83"/>
  <c r="R83" s="1"/>
  <c r="Q84"/>
  <c r="R84" s="1"/>
  <c r="Q41"/>
  <c r="R41" s="1"/>
  <c r="Q85"/>
  <c r="R85" s="1"/>
  <c r="Q86"/>
  <c r="R86" s="1"/>
  <c r="Q87"/>
  <c r="R87" s="1"/>
  <c r="Q88"/>
  <c r="R88" s="1"/>
  <c r="Q89"/>
  <c r="R89" s="1"/>
  <c r="Q90"/>
  <c r="R90" s="1"/>
  <c r="Q91"/>
  <c r="R91" s="1"/>
  <c r="Q92"/>
  <c r="R92" s="1"/>
  <c r="Q93"/>
  <c r="R93" s="1"/>
  <c r="Q95"/>
  <c r="R95" s="1"/>
  <c r="Q94"/>
  <c r="R94" s="1"/>
  <c r="Q96"/>
  <c r="R96" s="1"/>
  <c r="Q42"/>
  <c r="R42" s="1"/>
  <c r="Q97"/>
  <c r="R97" s="1"/>
  <c r="Q98"/>
  <c r="R98" s="1"/>
  <c r="Q99"/>
  <c r="R99" s="1"/>
  <c r="Q100"/>
  <c r="R100" s="1"/>
  <c r="Q101"/>
  <c r="R101" s="1"/>
  <c r="Q102"/>
  <c r="R102" s="1"/>
  <c r="Q103"/>
  <c r="R103" s="1"/>
  <c r="Q104"/>
  <c r="R104" s="1"/>
  <c r="Q105"/>
  <c r="R105" s="1"/>
  <c r="Q106"/>
  <c r="R106" s="1"/>
  <c r="Q107"/>
  <c r="R107" s="1"/>
  <c r="Q108"/>
  <c r="R108" s="1"/>
  <c r="Q43"/>
  <c r="R43" s="1"/>
  <c r="Q109"/>
  <c r="R109" s="1"/>
  <c r="Q110"/>
  <c r="R110" s="1"/>
  <c r="Q111"/>
  <c r="R111" s="1"/>
  <c r="Q112"/>
  <c r="R112" s="1"/>
  <c r="Q113"/>
  <c r="R113" s="1"/>
  <c r="Q114"/>
  <c r="R114" s="1"/>
  <c r="Q115"/>
  <c r="R115" s="1"/>
  <c r="Q116"/>
  <c r="R116" s="1"/>
  <c r="Q117"/>
  <c r="R117" s="1"/>
  <c r="Q118"/>
  <c r="R118" s="1"/>
  <c r="Q119"/>
  <c r="R119" s="1"/>
  <c r="Q120"/>
  <c r="R120" s="1"/>
  <c r="Q121"/>
  <c r="R121" s="1"/>
  <c r="Q122"/>
  <c r="R122" s="1"/>
  <c r="Q44"/>
  <c r="R44" s="1"/>
  <c r="Q123"/>
  <c r="R123" s="1"/>
  <c r="Q124"/>
  <c r="R124" s="1"/>
  <c r="Q125"/>
  <c r="R125" s="1"/>
  <c r="Q126"/>
  <c r="R126" s="1"/>
  <c r="Q127"/>
  <c r="R127" s="1"/>
  <c r="Q128"/>
  <c r="R128" s="1"/>
  <c r="Q129"/>
  <c r="R129" s="1"/>
  <c r="Q130"/>
  <c r="R130" s="1"/>
  <c r="Q131"/>
  <c r="R131" s="1"/>
  <c r="Q132"/>
  <c r="R132" s="1"/>
  <c r="Q133"/>
  <c r="R133" s="1"/>
  <c r="Q134"/>
  <c r="R134" s="1"/>
  <c r="Q45"/>
  <c r="R45" s="1"/>
  <c r="Q135"/>
  <c r="R135" s="1"/>
  <c r="Q136"/>
  <c r="R136" s="1"/>
  <c r="Q137"/>
  <c r="R137" s="1"/>
  <c r="Q138"/>
  <c r="R138" s="1"/>
  <c r="Q139"/>
  <c r="R139" s="1"/>
  <c r="Q140"/>
  <c r="R140" s="1"/>
  <c r="Q141"/>
  <c r="R141" s="1"/>
  <c r="Q142"/>
  <c r="R142" s="1"/>
  <c r="Q143"/>
  <c r="R143" s="1"/>
  <c r="Q144"/>
  <c r="R144" s="1"/>
  <c r="Q145"/>
  <c r="R145" s="1"/>
  <c r="Q146"/>
  <c r="R146" s="1"/>
  <c r="Q147"/>
  <c r="R147" s="1"/>
  <c r="Q150"/>
  <c r="R150" s="1"/>
  <c r="Q151"/>
  <c r="R151" s="1"/>
  <c r="Q148"/>
  <c r="R148" s="1"/>
  <c r="Q152"/>
  <c r="R152" s="1"/>
  <c r="Q149"/>
  <c r="R149" s="1"/>
  <c r="Q46"/>
  <c r="R46" s="1"/>
  <c r="S38" l="1" a="1"/>
  <c r="S38" s="1"/>
  <c r="T38" s="1"/>
  <c r="S40" a="1"/>
  <c r="S40" s="1"/>
  <c r="T40" s="1"/>
  <c r="S42" a="1"/>
  <c r="S42" s="1"/>
  <c r="T42" s="1"/>
  <c r="S44" a="1"/>
  <c r="S44" s="1"/>
  <c r="T44" s="1"/>
  <c r="S46" a="1"/>
  <c r="S46" s="1"/>
  <c r="T46" s="1"/>
  <c r="S48" a="1"/>
  <c r="S48" s="1"/>
  <c r="T48" s="1"/>
  <c r="S50" a="1"/>
  <c r="S50" s="1"/>
  <c r="T50" s="1"/>
  <c r="S52" a="1"/>
  <c r="S52" s="1"/>
  <c r="T52" s="1"/>
  <c r="S54" a="1"/>
  <c r="S54" s="1"/>
  <c r="T54" s="1"/>
  <c r="S58" a="1"/>
  <c r="S58" s="1"/>
  <c r="T58" s="1"/>
  <c r="S61" a="1"/>
  <c r="S61" s="1"/>
  <c r="T61" s="1"/>
  <c r="S65" a="1"/>
  <c r="S65" s="1"/>
  <c r="T65" s="1"/>
  <c r="S69" a="1"/>
  <c r="S69" s="1"/>
  <c r="T69" s="1"/>
  <c r="S73" a="1"/>
  <c r="S73" s="1"/>
  <c r="T73" s="1"/>
  <c r="S57" a="1"/>
  <c r="S57" s="1"/>
  <c r="T57" s="1"/>
  <c r="S62" a="1"/>
  <c r="S62" s="1"/>
  <c r="T62" s="1"/>
  <c r="S66" a="1"/>
  <c r="S66" s="1"/>
  <c r="T66" s="1"/>
  <c r="S70" a="1"/>
  <c r="S70" s="1"/>
  <c r="T70" s="1"/>
  <c r="S107" a="1"/>
  <c r="S107" s="1"/>
  <c r="T107" s="1"/>
  <c r="S111" a="1"/>
  <c r="S111" s="1"/>
  <c r="T111" s="1"/>
  <c r="S115" a="1"/>
  <c r="S115" s="1"/>
  <c r="T115" s="1"/>
  <c r="S119" a="1"/>
  <c r="S119" s="1"/>
  <c r="T119" s="1"/>
  <c r="S123" a="1"/>
  <c r="S123" s="1"/>
  <c r="T123" s="1"/>
  <c r="S127" a="1"/>
  <c r="S127" s="1"/>
  <c r="T127" s="1"/>
  <c r="S131" a="1"/>
  <c r="S131" s="1"/>
  <c r="T131" s="1"/>
  <c r="S136" a="1"/>
  <c r="S136" s="1"/>
  <c r="T136" s="1"/>
  <c r="S140" a="1"/>
  <c r="S140" s="1"/>
  <c r="T140" s="1"/>
  <c r="S144" a="1"/>
  <c r="S144" s="1"/>
  <c r="T144" s="1"/>
  <c r="S147" a="1"/>
  <c r="S147" s="1"/>
  <c r="T147" s="1"/>
  <c r="S151" a="1"/>
  <c r="S151" s="1"/>
  <c r="T151" s="1"/>
  <c r="S74" a="1"/>
  <c r="S74" s="1"/>
  <c r="T74" s="1"/>
  <c r="S76" a="1"/>
  <c r="S76" s="1"/>
  <c r="T76" s="1"/>
  <c r="S78" a="1"/>
  <c r="S78" s="1"/>
  <c r="T78" s="1"/>
  <c r="S80" a="1"/>
  <c r="S80" s="1"/>
  <c r="T80" s="1"/>
  <c r="S82" a="1"/>
  <c r="S82" s="1"/>
  <c r="T82" s="1"/>
  <c r="S84" a="1"/>
  <c r="S84" s="1"/>
  <c r="T84" s="1"/>
  <c r="S86" a="1"/>
  <c r="S86" s="1"/>
  <c r="T86" s="1"/>
  <c r="S88" a="1"/>
  <c r="S88" s="1"/>
  <c r="T88" s="1"/>
  <c r="S90" a="1"/>
  <c r="S90" s="1"/>
  <c r="T90" s="1"/>
  <c r="S92" a="1"/>
  <c r="S92" s="1"/>
  <c r="T92" s="1"/>
  <c r="S94" a="1"/>
  <c r="S94" s="1"/>
  <c r="T94" s="1"/>
  <c r="S96" a="1"/>
  <c r="S96" s="1"/>
  <c r="T96" s="1"/>
  <c r="S98" a="1"/>
  <c r="S98" s="1"/>
  <c r="T98" s="1"/>
  <c r="S100" a="1"/>
  <c r="S100" s="1"/>
  <c r="T100" s="1"/>
  <c r="S102" a="1"/>
  <c r="S102" s="1"/>
  <c r="T102" s="1"/>
  <c r="S104" a="1"/>
  <c r="S104" s="1"/>
  <c r="T104" s="1"/>
  <c r="S106" a="1"/>
  <c r="S106" s="1"/>
  <c r="T106" s="1"/>
  <c r="S110" a="1"/>
  <c r="S110" s="1"/>
  <c r="T110" s="1"/>
  <c r="S114" a="1"/>
  <c r="S114" s="1"/>
  <c r="T114" s="1"/>
  <c r="S118" a="1"/>
  <c r="S118" s="1"/>
  <c r="T118" s="1"/>
  <c r="S122" a="1"/>
  <c r="S122" s="1"/>
  <c r="T122" s="1"/>
  <c r="S126" a="1"/>
  <c r="S126" s="1"/>
  <c r="T126" s="1"/>
  <c r="S130" a="1"/>
  <c r="S130" s="1"/>
  <c r="T130" s="1"/>
  <c r="S134" a="1"/>
  <c r="S134" s="1"/>
  <c r="T134" s="1"/>
  <c r="S137" a="1"/>
  <c r="S137" s="1"/>
  <c r="T137" s="1"/>
  <c r="S145" a="1"/>
  <c r="S145" s="1"/>
  <c r="T145" s="1"/>
  <c r="S31" a="1"/>
  <c r="S31" s="1"/>
  <c r="T31" s="1"/>
  <c r="S35" a="1"/>
  <c r="S35" s="1"/>
  <c r="T35" s="1"/>
  <c r="S8" a="1"/>
  <c r="S8" s="1"/>
  <c r="T8" s="1"/>
  <c r="S16" a="1"/>
  <c r="S16" s="1"/>
  <c r="T16" s="1"/>
  <c r="S24" a="1"/>
  <c r="S24" s="1"/>
  <c r="T24" s="1"/>
  <c r="S9" a="1"/>
  <c r="S9" s="1"/>
  <c r="T9" s="1"/>
  <c r="S25" a="1"/>
  <c r="S25" s="1"/>
  <c r="T25" s="1"/>
  <c r="S17" a="1"/>
  <c r="S17" s="1"/>
  <c r="T17" s="1"/>
  <c r="S4" a="1"/>
  <c r="S4" s="1"/>
  <c r="T4" s="1"/>
  <c r="S39" a="1"/>
  <c r="S39" s="1"/>
  <c r="T39" s="1"/>
  <c r="S41" a="1"/>
  <c r="S41" s="1"/>
  <c r="T41" s="1"/>
  <c r="S43" a="1"/>
  <c r="S43" s="1"/>
  <c r="T43" s="1"/>
  <c r="S45" a="1"/>
  <c r="S45" s="1"/>
  <c r="T45" s="1"/>
  <c r="S47" a="1"/>
  <c r="S47" s="1"/>
  <c r="T47" s="1"/>
  <c r="S49" a="1"/>
  <c r="S49" s="1"/>
  <c r="T49" s="1"/>
  <c r="S51" a="1"/>
  <c r="S51" s="1"/>
  <c r="T51" s="1"/>
  <c r="S53" a="1"/>
  <c r="S53" s="1"/>
  <c r="T53" s="1"/>
  <c r="S56" a="1"/>
  <c r="S56" s="1"/>
  <c r="T56" s="1"/>
  <c r="S59" a="1"/>
  <c r="S59" s="1"/>
  <c r="T59" s="1"/>
  <c r="S63" a="1"/>
  <c r="S63" s="1"/>
  <c r="T63" s="1"/>
  <c r="S67" a="1"/>
  <c r="S67" s="1"/>
  <c r="T67" s="1"/>
  <c r="S71" a="1"/>
  <c r="S71" s="1"/>
  <c r="T71" s="1"/>
  <c r="S55" a="1"/>
  <c r="S55" s="1"/>
  <c r="T55" s="1"/>
  <c r="S60" a="1"/>
  <c r="S60" s="1"/>
  <c r="T60" s="1"/>
  <c r="S64" a="1"/>
  <c r="S64" s="1"/>
  <c r="T64" s="1"/>
  <c r="S68" a="1"/>
  <c r="S68" s="1"/>
  <c r="T68" s="1"/>
  <c r="S72" a="1"/>
  <c r="S72" s="1"/>
  <c r="T72" s="1"/>
  <c r="S109" a="1"/>
  <c r="S109" s="1"/>
  <c r="T109" s="1"/>
  <c r="S113" a="1"/>
  <c r="S113" s="1"/>
  <c r="T113" s="1"/>
  <c r="S117" a="1"/>
  <c r="S117" s="1"/>
  <c r="T117" s="1"/>
  <c r="S121" a="1"/>
  <c r="S121" s="1"/>
  <c r="T121" s="1"/>
  <c r="S125" a="1"/>
  <c r="S125" s="1"/>
  <c r="T125" s="1"/>
  <c r="S129" a="1"/>
  <c r="S129" s="1"/>
  <c r="T129" s="1"/>
  <c r="S133" a="1"/>
  <c r="S133" s="1"/>
  <c r="T133" s="1"/>
  <c r="S138" a="1"/>
  <c r="S138" s="1"/>
  <c r="T138" s="1"/>
  <c r="S142" a="1"/>
  <c r="S142" s="1"/>
  <c r="T142" s="1"/>
  <c r="S146" a="1"/>
  <c r="S146" s="1"/>
  <c r="T146" s="1"/>
  <c r="S149" a="1"/>
  <c r="S149" s="1"/>
  <c r="T149" s="1"/>
  <c r="S153" a="1"/>
  <c r="S153" s="1"/>
  <c r="T153" s="1"/>
  <c r="S75" a="1"/>
  <c r="S75" s="1"/>
  <c r="T75" s="1"/>
  <c r="S77" a="1"/>
  <c r="S77" s="1"/>
  <c r="T77" s="1"/>
  <c r="S79" a="1"/>
  <c r="S79" s="1"/>
  <c r="T79" s="1"/>
  <c r="S81" a="1"/>
  <c r="S81" s="1"/>
  <c r="T81" s="1"/>
  <c r="S83" a="1"/>
  <c r="S83" s="1"/>
  <c r="T83" s="1"/>
  <c r="S85" a="1"/>
  <c r="S85" s="1"/>
  <c r="T85" s="1"/>
  <c r="S87" a="1"/>
  <c r="S87" s="1"/>
  <c r="T87" s="1"/>
  <c r="S89" a="1"/>
  <c r="S89" s="1"/>
  <c r="T89" s="1"/>
  <c r="S91" a="1"/>
  <c r="S91" s="1"/>
  <c r="T91" s="1"/>
  <c r="S93" a="1"/>
  <c r="S93" s="1"/>
  <c r="T93" s="1"/>
  <c r="S95" a="1"/>
  <c r="S95" s="1"/>
  <c r="T95" s="1"/>
  <c r="S97" a="1"/>
  <c r="S97" s="1"/>
  <c r="T97" s="1"/>
  <c r="S99" a="1"/>
  <c r="S99" s="1"/>
  <c r="T99" s="1"/>
  <c r="S101" a="1"/>
  <c r="S101" s="1"/>
  <c r="T101" s="1"/>
  <c r="S103" a="1"/>
  <c r="S103" s="1"/>
  <c r="T103" s="1"/>
  <c r="S105" a="1"/>
  <c r="S105" s="1"/>
  <c r="T105" s="1"/>
  <c r="S108" a="1"/>
  <c r="S108" s="1"/>
  <c r="T108" s="1"/>
  <c r="S112" a="1"/>
  <c r="S112" s="1"/>
  <c r="T112" s="1"/>
  <c r="S116" a="1"/>
  <c r="S116" s="1"/>
  <c r="T116" s="1"/>
  <c r="S120" a="1"/>
  <c r="S120" s="1"/>
  <c r="T120" s="1"/>
  <c r="S124" a="1"/>
  <c r="S124" s="1"/>
  <c r="T124" s="1"/>
  <c r="S128" a="1"/>
  <c r="S128" s="1"/>
  <c r="T128" s="1"/>
  <c r="S132" a="1"/>
  <c r="S132" s="1"/>
  <c r="T132" s="1"/>
  <c r="S135" a="1"/>
  <c r="S135" s="1"/>
  <c r="T135" s="1"/>
  <c r="S139" a="1"/>
  <c r="S139" s="1"/>
  <c r="T139" s="1"/>
  <c r="S143" a="1"/>
  <c r="S143" s="1"/>
  <c r="T143" s="1"/>
  <c r="S148" a="1"/>
  <c r="S148" s="1"/>
  <c r="T148" s="1"/>
  <c r="S152" a="1"/>
  <c r="S152" s="1"/>
  <c r="T152" s="1"/>
  <c r="S32" a="1"/>
  <c r="S32" s="1"/>
  <c r="T32" s="1"/>
  <c r="S34" a="1"/>
  <c r="S34" s="1"/>
  <c r="T34" s="1"/>
  <c r="S36" a="1"/>
  <c r="S36" s="1"/>
  <c r="T36" s="1"/>
  <c r="S5" a="1"/>
  <c r="S5" s="1"/>
  <c r="T5" s="1"/>
  <c r="S10" a="1"/>
  <c r="S10" s="1"/>
  <c r="T10" s="1"/>
  <c r="S14" a="1"/>
  <c r="S14" s="1"/>
  <c r="T14" s="1"/>
  <c r="S18" a="1"/>
  <c r="S18" s="1"/>
  <c r="T18" s="1"/>
  <c r="S22" a="1"/>
  <c r="S22" s="1"/>
  <c r="T22" s="1"/>
  <c r="S26" a="1"/>
  <c r="S26" s="1"/>
  <c r="T26" s="1"/>
  <c r="S30" a="1"/>
  <c r="S30" s="1"/>
  <c r="T30" s="1"/>
  <c r="S11" a="1"/>
  <c r="S11" s="1"/>
  <c r="T11" s="1"/>
  <c r="S21" a="1"/>
  <c r="S21" s="1"/>
  <c r="T21" s="1"/>
  <c r="S29" a="1"/>
  <c r="S29" s="1"/>
  <c r="T29" s="1"/>
  <c r="S13" a="1"/>
  <c r="S13" s="1"/>
  <c r="T13" s="1"/>
  <c r="S19" a="1"/>
  <c r="S19" s="1"/>
  <c r="T19" s="1"/>
  <c r="S27" a="1"/>
  <c r="S27" s="1"/>
  <c r="T27" s="1"/>
  <c r="S6" a="1"/>
  <c r="S6" s="1"/>
  <c r="T6" s="1"/>
  <c r="S141" a="1"/>
  <c r="S141" s="1"/>
  <c r="T141" s="1"/>
  <c r="S150" a="1"/>
  <c r="S150" s="1"/>
  <c r="T150" s="1"/>
  <c r="S33" a="1"/>
  <c r="S33" s="1"/>
  <c r="T33" s="1"/>
  <c r="S37" a="1"/>
  <c r="S37" s="1"/>
  <c r="T37" s="1"/>
  <c r="S12" a="1"/>
  <c r="S12" s="1"/>
  <c r="T12" s="1"/>
  <c r="S20" a="1"/>
  <c r="S20" s="1"/>
  <c r="T20" s="1"/>
  <c r="S28" a="1"/>
  <c r="S28" s="1"/>
  <c r="T28" s="1"/>
  <c r="S15" a="1"/>
  <c r="S15" s="1"/>
  <c r="T15" s="1"/>
  <c r="S7" a="1"/>
  <c r="S7" s="1"/>
  <c r="T7" s="1"/>
  <c r="S23" a="1"/>
  <c r="S23" s="1"/>
  <c r="T23" s="1"/>
  <c r="AH14" i="26"/>
  <c r="AH24"/>
  <c r="AH26"/>
  <c r="AH28"/>
  <c r="AH34"/>
  <c r="AH38"/>
  <c r="AH40"/>
  <c r="AH44"/>
  <c r="AH46"/>
  <c r="AH50"/>
  <c r="AH54"/>
  <c r="AH56"/>
  <c r="AH60"/>
  <c r="AH62"/>
  <c r="AH64"/>
  <c r="AH68"/>
  <c r="AH72"/>
  <c r="AH76"/>
  <c r="AH78"/>
  <c r="AH82"/>
  <c r="AH86"/>
  <c r="AH88"/>
  <c r="AH92"/>
  <c r="AH98"/>
  <c r="AH102"/>
  <c r="AH108"/>
  <c r="AH110"/>
  <c r="AH116"/>
  <c r="AH122"/>
  <c r="AH126"/>
  <c r="AH128"/>
  <c r="AH132"/>
  <c r="AH136"/>
  <c r="AH138"/>
  <c r="AH142"/>
  <c r="AH144"/>
  <c r="AH148"/>
  <c r="AH152"/>
  <c r="AH13"/>
  <c r="AH19"/>
  <c r="AH25"/>
  <c r="AH27"/>
  <c r="AH29"/>
  <c r="AH33"/>
  <c r="AH45"/>
  <c r="AH51"/>
  <c r="AH59"/>
  <c r="AH61"/>
  <c r="AH63"/>
  <c r="AH69"/>
  <c r="AH77"/>
  <c r="AH83"/>
  <c r="AH91"/>
  <c r="AH93"/>
  <c r="AH97"/>
  <c r="AH99"/>
  <c r="AH103"/>
  <c r="AH105"/>
  <c r="AH109"/>
  <c r="AH111"/>
  <c r="AH115"/>
  <c r="AH119"/>
  <c r="AH121"/>
  <c r="AH127"/>
  <c r="AH133"/>
  <c r="AH141"/>
  <c r="AH143"/>
  <c r="AH149"/>
  <c r="AH153"/>
  <c r="AH155"/>
</calcChain>
</file>

<file path=xl/comments1.xml><?xml version="1.0" encoding="utf-8"?>
<comments xmlns="http://schemas.openxmlformats.org/spreadsheetml/2006/main">
  <authors>
    <author>Karl Gluck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 xml:space="preserve">This DPS can be </t>
        </r>
        <r>
          <rPr>
            <b/>
            <i/>
            <sz val="8"/>
            <color indexed="81"/>
            <rFont val="Tahoma"/>
            <family val="2"/>
          </rPr>
          <t xml:space="preserve">doubled or halved </t>
        </r>
        <r>
          <rPr>
            <b/>
            <sz val="8"/>
            <color indexed="81"/>
            <rFont val="Tahoma"/>
            <family val="2"/>
          </rPr>
          <t>by stats!</t>
        </r>
      </text>
    </comment>
  </commentList>
</comments>
</file>

<file path=xl/comments2.xml><?xml version="1.0" encoding="utf-8"?>
<comments xmlns="http://schemas.openxmlformats.org/spreadsheetml/2006/main">
  <authors>
    <author>Karl Gluck</author>
  </authors>
  <commentList>
    <comment ref="N15" authorId="0">
      <text>
        <r>
          <rPr>
            <b/>
            <sz val="8"/>
            <color indexed="81"/>
            <rFont val="Tahoma"/>
            <family val="2"/>
          </rPr>
          <t>Karl Gluck:</t>
        </r>
        <r>
          <rPr>
            <sz val="8"/>
            <color indexed="81"/>
            <rFont val="Tahoma"/>
            <family val="2"/>
          </rPr>
          <t xml:space="preserve">
the rest of the regen comes from regen armors</t>
        </r>
      </text>
    </comment>
    <comment ref="N16" authorId="0">
      <text>
        <r>
          <rPr>
            <b/>
            <sz val="8"/>
            <color indexed="81"/>
            <rFont val="Tahoma"/>
            <family val="2"/>
          </rPr>
          <t>Karl Gluck:</t>
        </r>
        <r>
          <rPr>
            <sz val="8"/>
            <color indexed="81"/>
            <rFont val="Tahoma"/>
            <family val="2"/>
          </rPr>
          <t xml:space="preserve">
this is used because figs don't usually hit just 1 target; they are almost always hitting multiple targets, so the steal would become huge without this</t>
        </r>
      </text>
    </comment>
  </commentList>
</comments>
</file>

<file path=xl/sharedStrings.xml><?xml version="1.0" encoding="utf-8"?>
<sst xmlns="http://schemas.openxmlformats.org/spreadsheetml/2006/main" count="2774" uniqueCount="831">
  <si>
    <t>heal</t>
  </si>
  <si>
    <t>damage</t>
  </si>
  <si>
    <t>speed</t>
  </si>
  <si>
    <t>projectile</t>
  </si>
  <si>
    <t>Tueri</t>
  </si>
  <si>
    <t>small</t>
  </si>
  <si>
    <t>medium</t>
  </si>
  <si>
    <t>large</t>
  </si>
  <si>
    <t>Adept</t>
  </si>
  <si>
    <t>Hunter</t>
  </si>
  <si>
    <t>Warrior</t>
  </si>
  <si>
    <t>Paladin</t>
  </si>
  <si>
    <t>Leyshaper</t>
  </si>
  <si>
    <t>True Stat Value</t>
  </si>
  <si>
    <t>Boost Amount</t>
  </si>
  <si>
    <t>Stat</t>
  </si>
  <si>
    <t>Boosted Stat</t>
  </si>
  <si>
    <t>magic resist</t>
  </si>
  <si>
    <t>Human</t>
  </si>
  <si>
    <t>Geonan</t>
  </si>
  <si>
    <t>Lucan</t>
  </si>
  <si>
    <t>Volucris</t>
  </si>
  <si>
    <t>Dantalian</t>
  </si>
  <si>
    <t>class min</t>
  </si>
  <si>
    <t>class max</t>
  </si>
  <si>
    <t>race min</t>
  </si>
  <si>
    <t>race max</t>
  </si>
  <si>
    <t>base hp</t>
  </si>
  <si>
    <t>base mp</t>
  </si>
  <si>
    <t>hp</t>
  </si>
  <si>
    <t>mp</t>
  </si>
  <si>
    <t>movement</t>
  </si>
  <si>
    <t>action</t>
  </si>
  <si>
    <t>row, column of class hp</t>
  </si>
  <si>
    <t>row, column of class mp</t>
  </si>
  <si>
    <t>row, column of race hp</t>
  </si>
  <si>
    <t>row, column of race mp</t>
  </si>
  <si>
    <t>boosted con hp threshold</t>
  </si>
  <si>
    <t>below-threshold con hp multiplier</t>
  </si>
  <si>
    <t>above-threshold con hp multiplier</t>
  </si>
  <si>
    <t>below-threshold con hp base</t>
  </si>
  <si>
    <t>above-threshold con hp base</t>
  </si>
  <si>
    <t>below-threshold str hp base</t>
  </si>
  <si>
    <t>below-threshold str hp multiplier</t>
  </si>
  <si>
    <t>above-threshold str hp base</t>
  </si>
  <si>
    <t>above-threshold str hp multiplier</t>
  </si>
  <si>
    <t>boosted str hp threshold</t>
  </si>
  <si>
    <t>str</t>
  </si>
  <si>
    <t>agi</t>
  </si>
  <si>
    <t>con</t>
  </si>
  <si>
    <t>int</t>
  </si>
  <si>
    <t>wis</t>
  </si>
  <si>
    <t>level 1 maximums</t>
  </si>
  <si>
    <t>Level</t>
  </si>
  <si>
    <t>Min</t>
  </si>
  <si>
    <t>Max</t>
  </si>
  <si>
    <t>class-&gt;</t>
  </si>
  <si>
    <t>race-&gt;</t>
  </si>
  <si>
    <t>delete A1 to recalc</t>
  </si>
  <si>
    <t>boosted wis mp threshold</t>
  </si>
  <si>
    <t>below-threshold wis mp base</t>
  </si>
  <si>
    <t>below-threshold wis mp multiplier</t>
  </si>
  <si>
    <t>above-threshold wis mp base</t>
  </si>
  <si>
    <t>above-threshold wis mp multiplier</t>
  </si>
  <si>
    <t>boosted int mp threshold</t>
  </si>
  <si>
    <t>below-threshold int mp base</t>
  </si>
  <si>
    <t>below-threshold int mp multiplier</t>
  </si>
  <si>
    <t>above-threshold int mp base</t>
  </si>
  <si>
    <t>above-threshold int mp multiplier</t>
  </si>
  <si>
    <t>Name</t>
  </si>
  <si>
    <t>Sorcerer</t>
  </si>
  <si>
    <t>Description</t>
  </si>
  <si>
    <t>Class (Index)</t>
  </si>
  <si>
    <t>Class Name</t>
  </si>
  <si>
    <t>Get at Level</t>
  </si>
  <si>
    <t>MP Cost</t>
  </si>
  <si>
    <t>Targets</t>
  </si>
  <si>
    <t>Range</t>
  </si>
  <si>
    <t>Improves Until</t>
  </si>
  <si>
    <t>Notes</t>
  </si>
  <si>
    <t>astrum, stella, sidus</t>
  </si>
  <si>
    <t>star</t>
  </si>
  <si>
    <t>light</t>
  </si>
  <si>
    <t>death</t>
  </si>
  <si>
    <t>hurt</t>
  </si>
  <si>
    <t>cure</t>
  </si>
  <si>
    <t>explode</t>
  </si>
  <si>
    <t>friend</t>
  </si>
  <si>
    <t>enemy</t>
  </si>
  <si>
    <t>pain</t>
  </si>
  <si>
    <t>work</t>
  </si>
  <si>
    <t>lux lucis, levis, luminarium, lumen, aduro</t>
  </si>
  <si>
    <t>detrimentum, praejudicium, iniuria, comminuo, laedo, laedo ledo, adflicto, damnum, affligo, malum</t>
  </si>
  <si>
    <t>nex, mortalitas, mors mortis, letum, plecto aliquem capite, excessum, decessus</t>
  </si>
  <si>
    <t>vulnero, secui, laedo, seco, sectum, ledo, laedo ledo, noceo, misfacio, iniuria</t>
  </si>
  <si>
    <t>vigoratus</t>
  </si>
  <si>
    <t>rememdium, medicor, curo</t>
  </si>
  <si>
    <t>praemium</t>
  </si>
  <si>
    <t>amicus, comes, comitis</t>
  </si>
  <si>
    <t>hostilis</t>
  </si>
  <si>
    <t>poena, dolor, morsus</t>
  </si>
  <si>
    <t>opus, operis, opera, operatio, laboris, labor, factum</t>
  </si>
  <si>
    <t>strong</t>
  </si>
  <si>
    <t>validus, valens, potens, pollens, infragilis, fortis, firmus, durus</t>
  </si>
  <si>
    <t>plures, plura, multi, multis</t>
  </si>
  <si>
    <t>ring</t>
  </si>
  <si>
    <t>orbis</t>
  </si>
  <si>
    <t>personal</t>
  </si>
  <si>
    <t>alio</t>
  </si>
  <si>
    <t>evil</t>
  </si>
  <si>
    <t>malum, pravus, malus, malus peior pessimus, nocens, maleficus</t>
  </si>
  <si>
    <t>terror</t>
  </si>
  <si>
    <t>formidonis, formido, formidilosus</t>
  </si>
  <si>
    <t>withdraw</t>
  </si>
  <si>
    <t>secedo, replico, abduco, abstulo, recipero, recedo, egressio, deficio, cessi, concedo, cessum</t>
  </si>
  <si>
    <t>break</t>
  </si>
  <si>
    <t>effrego, quasso, adflicto, affligo</t>
  </si>
  <si>
    <t>destroy</t>
  </si>
  <si>
    <t>attero, accido, subruo, corrumpo, sepelio, casso, eradico, annullo, diruo, everto, subverto, erado, perdo, obruo, prosterno, erasum, erasi, efflixi</t>
  </si>
  <si>
    <t>poison</t>
  </si>
  <si>
    <t>virus, venenum, toxicum</t>
  </si>
  <si>
    <t>fire</t>
  </si>
  <si>
    <t>incendia, ignis, flamma</t>
  </si>
  <si>
    <t>water</t>
  </si>
  <si>
    <t>unda, aqua</t>
  </si>
  <si>
    <t>earth</t>
  </si>
  <si>
    <t>terra, humus</t>
  </si>
  <si>
    <t>air</t>
  </si>
  <si>
    <t>aer</t>
  </si>
  <si>
    <t>stone</t>
  </si>
  <si>
    <t>calx</t>
  </si>
  <si>
    <t>night</t>
  </si>
  <si>
    <t>nox noctis</t>
  </si>
  <si>
    <t>day</t>
  </si>
  <si>
    <t>dies, dies diei, putesco</t>
  </si>
  <si>
    <t>many</t>
  </si>
  <si>
    <t>numerous</t>
  </si>
  <si>
    <t>creber, multiplex, multi</t>
  </si>
  <si>
    <t>summon</t>
  </si>
  <si>
    <t>voco, invito, arcesso, accerso, appello, postulo</t>
  </si>
  <si>
    <t>acquire</t>
  </si>
  <si>
    <t>usurpo, adepto</t>
  </si>
  <si>
    <t>invoke</t>
  </si>
  <si>
    <t>precor</t>
  </si>
  <si>
    <t>bring forth</t>
  </si>
  <si>
    <t>pario</t>
  </si>
  <si>
    <t>time</t>
  </si>
  <si>
    <t>vicis, tempus temporis, tractus, hora, aetas</t>
  </si>
  <si>
    <t>carry</t>
  </si>
  <si>
    <t>veho, transporto, transmitto</t>
  </si>
  <si>
    <t>convey across</t>
  </si>
  <si>
    <t>dare trans</t>
  </si>
  <si>
    <t>exertus, exsertus, exsertus exertus, emineo</t>
  </si>
  <si>
    <t>wild</t>
  </si>
  <si>
    <t>torva, indomitus, agrestis, ferus, ferox, effrenus, efferu</t>
  </si>
  <si>
    <t>EXP To Achieve</t>
  </si>
  <si>
    <t>EXP To Level Up</t>
  </si>
  <si>
    <t>EXP Per Monster @ Level</t>
  </si>
  <si>
    <t>Monsters to Level Up</t>
  </si>
  <si>
    <t xml:space="preserve">This means that a level 1 who kills a level 50 still only gets 15 xp. </t>
  </si>
  <si>
    <t>Player should be hunting around their level anyway, so this shouldn't have much</t>
  </si>
  <si>
    <t>of an effect--however, it does make xp gain much more predictable from</t>
  </si>
  <si>
    <t>a design perspective.</t>
  </si>
  <si>
    <t>The flip-side of this is that the main advantage to hunting monsters higher than</t>
  </si>
  <si>
    <t>your level is to get good loot or possibly take advantage of killing monsters *faster*</t>
  </si>
  <si>
    <t>since they may have a better spawn than monsters of your own level.</t>
  </si>
  <si>
    <t>A player can gain a maximum xp from a monster equal to that of a monster at his/her own level.</t>
  </si>
  <si>
    <t>However, a level 50 killing level 30 monsters gets the full amount of xp.</t>
  </si>
  <si>
    <t>Total Monsters Killed</t>
  </si>
  <si>
    <t>Astrum</t>
  </si>
  <si>
    <t>Effect Delay (ms)</t>
  </si>
  <si>
    <t>Repeat Delay (ms)</t>
  </si>
  <si>
    <t>Max 1-Hit Damage</t>
  </si>
  <si>
    <t>Hits to Kill Worst</t>
  </si>
  <si>
    <t>Hits to Kill Best</t>
  </si>
  <si>
    <t>Base DPS @ Level</t>
  </si>
  <si>
    <t>Seconds to Kill Monster @ Level</t>
  </si>
  <si>
    <t>Monster HP</t>
  </si>
  <si>
    <t>Seconds to Kill Worst</t>
  </si>
  <si>
    <t>Seconds to Kill Best</t>
  </si>
  <si>
    <t>Seconds to PK Player @ Level</t>
  </si>
  <si>
    <t>Seconds for Monster to Kill Player</t>
  </si>
  <si>
    <t>Monster DPS</t>
  </si>
  <si>
    <t>Duration</t>
  </si>
  <si>
    <t>Period</t>
  </si>
  <si>
    <t>DPS Modifier</t>
  </si>
  <si>
    <t>Magnus Luminarium</t>
  </si>
  <si>
    <t>Maleficus Noctum</t>
  </si>
  <si>
    <t>Nex Noctum</t>
  </si>
  <si>
    <t>inferior</t>
  </si>
  <si>
    <t>improbus</t>
  </si>
  <si>
    <t>weak</t>
  </si>
  <si>
    <t>inefficax, consenesco, dissolutus, fragilis</t>
  </si>
  <si>
    <t>Type</t>
  </si>
  <si>
    <t>AOE</t>
  </si>
  <si>
    <t>Direct Damage</t>
  </si>
  <si>
    <t>Venom Noctus</t>
  </si>
  <si>
    <t>Altus Luminarium</t>
  </si>
  <si>
    <t>The DPS for a player can be doubled or halved by stats.</t>
  </si>
  <si>
    <t>Since two things affect a dps type (damage/hit and hits/second)</t>
  </si>
  <si>
    <t>such as strength and agility for weapons,</t>
  </si>
  <si>
    <t>or agility and int/wis for spells</t>
  </si>
  <si>
    <t>each can affect the dps a maximum of sqrt(150%) in either direction</t>
  </si>
  <si>
    <t>sqrt(150%)      =</t>
  </si>
  <si>
    <t>description</t>
  </si>
  <si>
    <t>change cell A0 to select class</t>
  </si>
  <si>
    <t>medicor, curo (+gerundive), rememdium</t>
  </si>
  <si>
    <t>revive</t>
  </si>
  <si>
    <t>recro, recipero, novo</t>
  </si>
  <si>
    <t>strength</t>
  </si>
  <si>
    <t>vis vires (pl.), lacertus, robur, vis</t>
  </si>
  <si>
    <t>best of all</t>
  </si>
  <si>
    <t>potissimus</t>
  </si>
  <si>
    <t>MP Cost, if First Version</t>
  </si>
  <si>
    <t>oppose</t>
  </si>
  <si>
    <t>obviam ire, repugno, refuto, oppositum, oppono, occurro, opposui, resisto, objurgo</t>
  </si>
  <si>
    <t>Heal</t>
  </si>
  <si>
    <t>Mederi</t>
  </si>
  <si>
    <t>Vis Mederi</t>
  </si>
  <si>
    <t>might</t>
  </si>
  <si>
    <t>vires, vis vires,</t>
  </si>
  <si>
    <t>power</t>
  </si>
  <si>
    <t>vox, virtus, vires, vis, praesentia, presencia, potestas, vis vires, potentia, opulentia, presentia, ops, nomen, facultas, auctorit</t>
  </si>
  <si>
    <t>influence</t>
  </si>
  <si>
    <t>duco, potentia, vires, pulsus, induco indux inductum, moveo, moveo moti motum, vis, curvo, vis vires</t>
  </si>
  <si>
    <t>limited</t>
  </si>
  <si>
    <t>angustus, modica</t>
  </si>
  <si>
    <t>Valtus Mederi</t>
  </si>
  <si>
    <t>DOT</t>
  </si>
  <si>
    <t>spout</t>
  </si>
  <si>
    <t>uxor</t>
  </si>
  <si>
    <t>Toxicum</t>
  </si>
  <si>
    <t>Duration / Period</t>
  </si>
  <si>
    <t>Venenum</t>
  </si>
  <si>
    <t>Start Min Casts</t>
  </si>
  <si>
    <t>Start Max Casts</t>
  </si>
  <si>
    <t>End Min Casts</t>
  </si>
  <si>
    <t>End Max Casts</t>
  </si>
  <si>
    <t>lightning</t>
  </si>
  <si>
    <t>levitas</t>
  </si>
  <si>
    <t>Incendia</t>
  </si>
  <si>
    <t>"</t>
  </si>
  <si>
    <t>Lumos Nex</t>
  </si>
  <si>
    <t>Orbis Flamma</t>
  </si>
  <si>
    <t>very small</t>
  </si>
  <si>
    <t>Projectile</t>
  </si>
  <si>
    <t>Calx</t>
  </si>
  <si>
    <t>Calx Multis</t>
  </si>
  <si>
    <t>Velocitas</t>
  </si>
  <si>
    <t>Armor Enchantment</t>
  </si>
  <si>
    <t>armor</t>
  </si>
  <si>
    <t>loricatus</t>
  </si>
  <si>
    <t>defend</t>
  </si>
  <si>
    <t>vallo, patrocinor, obsto, munio, contego, assero</t>
  </si>
  <si>
    <t>defense</t>
  </si>
  <si>
    <t>tutaminis, tutamen, propugnaculum, placitum</t>
  </si>
  <si>
    <t>Hex Mortis Hydra</t>
  </si>
  <si>
    <t>Nex Mortis Hydra</t>
  </si>
  <si>
    <t>Vis Mortis Hydra</t>
  </si>
  <si>
    <t>Vis Calx Multis</t>
  </si>
  <si>
    <t>move</t>
  </si>
  <si>
    <t>permoveo, pungo, pupugi, agito, punctum</t>
  </si>
  <si>
    <t>trans</t>
  </si>
  <si>
    <t>transfero, translatum, alieno, transtuli</t>
  </si>
  <si>
    <t>Trans</t>
  </si>
  <si>
    <t>return</t>
  </si>
  <si>
    <t>reverto, revenio, repeto, remeo, regredior, refero, reduco, reditus, redeo, reddo</t>
  </si>
  <si>
    <t>Robur</t>
  </si>
  <si>
    <t>Divinus</t>
  </si>
  <si>
    <t>Excelcior Divinus</t>
  </si>
  <si>
    <t>Vis Tueri</t>
  </si>
  <si>
    <t>Magnus Venenum</t>
  </si>
  <si>
    <t>Virum Nimbus</t>
  </si>
  <si>
    <t>DPS @ Level Obtained</t>
  </si>
  <si>
    <t>Astrum Magnus</t>
  </si>
  <si>
    <t>Sidus</t>
  </si>
  <si>
    <t>Reditus Doma</t>
  </si>
  <si>
    <t>courage</t>
  </si>
  <si>
    <t>virtus, fortitudo, ferocitas, ferocia, audentia, animus</t>
  </si>
  <si>
    <t>vivacity</t>
  </si>
  <si>
    <t>animus</t>
  </si>
  <si>
    <t>bravery</t>
  </si>
  <si>
    <t>animus, audacia</t>
  </si>
  <si>
    <t>mind</t>
  </si>
  <si>
    <t>mens, mens mentis, animum, animus</t>
  </si>
  <si>
    <t>memory</t>
  </si>
  <si>
    <t>memoria, recordatio, animus</t>
  </si>
  <si>
    <t>will</t>
  </si>
  <si>
    <t>mos, moris, voluntas, volo, nutus, animus</t>
  </si>
  <si>
    <t>consciousness</t>
  </si>
  <si>
    <t>conscientia, animus</t>
  </si>
  <si>
    <t>spirit</t>
  </si>
  <si>
    <t>phasmatis, phasma, phasma phasmatis, spiritus, animus, animositas</t>
  </si>
  <si>
    <t>soul</t>
  </si>
  <si>
    <t>animus, anima</t>
  </si>
  <si>
    <t>Pario Porta</t>
  </si>
  <si>
    <t>Incendia Trio</t>
  </si>
  <si>
    <t>raise</t>
  </si>
  <si>
    <t>erigo, tollo sustuli, tollo sustuli sublatum, summitto se, libero, suscipio, everto</t>
  </si>
  <si>
    <t>obliterate</t>
  </si>
  <si>
    <t>efflectum, efflixi, effligo, eradico, aboleo</t>
  </si>
  <si>
    <t>Eradico Nex</t>
  </si>
  <si>
    <t>Lunae Nox Animus</t>
  </si>
  <si>
    <t>Lunae Nox Ultimus</t>
  </si>
  <si>
    <t>focuses on DOTs, armor/hp buffs, group spells, heals; gets "day" AOEs (later than adept)</t>
  </si>
  <si>
    <t>focuses on direct-damage, speed/damage buffs, "selfish" spells, projectiles and "night" AOEs</t>
  </si>
  <si>
    <t>Uni Reditus Velox</t>
  </si>
  <si>
    <t>Animus Divinus</t>
  </si>
  <si>
    <t>Nimbus</t>
  </si>
  <si>
    <t>Spell List</t>
  </si>
  <si>
    <t>use T1 to select spell-list level</t>
  </si>
  <si>
    <t>Avatar Level</t>
  </si>
  <si>
    <t>"Expected" Agility</t>
  </si>
  <si>
    <t>Agility Value:</t>
  </si>
  <si>
    <t>Multiplier</t>
  </si>
  <si>
    <t>Base Multiplier</t>
  </si>
  <si>
    <t>Agility:</t>
  </si>
  <si>
    <t>"Expected"Strength</t>
  </si>
  <si>
    <t>Strength:</t>
  </si>
  <si>
    <t>"Expected" Intelligence</t>
  </si>
  <si>
    <t>Intelligence</t>
  </si>
  <si>
    <t>Note on multipliers:</t>
  </si>
  <si>
    <t>All multipliers are capped at a certain point.</t>
  </si>
  <si>
    <t>This is because it would be unbalancing to the game's design</t>
  </si>
  <si>
    <t>If a player were able to do more than 150% of the DPS of his/her level.</t>
  </si>
  <si>
    <t>However, we don't want to invisibly punish people for going all-out</t>
  </si>
  <si>
    <t>and specializing in a stat.</t>
  </si>
  <si>
    <t>To this end, when a player has reached the cap for one of these parameters,</t>
  </si>
  <si>
    <t>the "critical hit" factors come into play.  Whatever the calculated value of your</t>
  </si>
  <si>
    <t>"Expected" Wisdom</t>
  </si>
  <si>
    <t>stat is divided by 4 gives the % chance of a critical hit for double effect.</t>
  </si>
  <si>
    <t>This happens with melee damage, magic damage, melee delay and magic delay.</t>
  </si>
  <si>
    <t>With magic duration, there is no cap so this effect doesn't apply</t>
  </si>
  <si>
    <t>HP Regen is based on Constitution, MP Regen is based on Wisdom.</t>
  </si>
  <si>
    <t>Each is constant, but the bonuses to hp/mp from str/int are not</t>
  </si>
  <si>
    <t>counted in the regeneration at all.</t>
  </si>
  <si>
    <t>To find the regeneration rate for an avatar, calculate the amount of</t>
  </si>
  <si>
    <t>This is the regeneration rate / second.</t>
  </si>
  <si>
    <t>Examples:</t>
  </si>
  <si>
    <t>Dantalion Warrior, Level 15, 30 str/21 con</t>
  </si>
  <si>
    <t>hp that avatar would have if it has 10 strength, subtract the difference</t>
  </si>
  <si>
    <t>between the two from that value and divide by 10.</t>
  </si>
  <si>
    <t>Similarly, the regeneration rate for MP is found by replacing</t>
  </si>
  <si>
    <t>strength with intelligence and constitution with wisdom in</t>
  </si>
  <si>
    <t>the above process.</t>
  </si>
  <si>
    <t>hp no str</t>
  </si>
  <si>
    <t>regen / s</t>
  </si>
  <si>
    <t>recovers in…</t>
  </si>
  <si>
    <t>Dantalion Warrior, Level 15, 24 str/27 con</t>
  </si>
  <si>
    <t>Geonan Adept, Level 35, 50 int, 24 wis</t>
  </si>
  <si>
    <t>Geonan Adept, Level 35, 30 int, 44 Wis</t>
  </si>
  <si>
    <t>mp no int</t>
  </si>
  <si>
    <t>Ferocia Virum Nimbus</t>
  </si>
  <si>
    <t>Divinus Rex</t>
  </si>
  <si>
    <t>Divinus Deus</t>
  </si>
  <si>
    <t>Spiritus Divinus</t>
  </si>
  <si>
    <t>Vis Robur</t>
  </si>
  <si>
    <t>Lux Luminari</t>
  </si>
  <si>
    <t>Omni Vis Vires</t>
  </si>
  <si>
    <t>Amicus Omni Vires</t>
  </si>
  <si>
    <t>Unda Uxor</t>
  </si>
  <si>
    <t>this is the spellcaster-warrior that Erich imagines playing with lots of special abilities</t>
  </si>
  <si>
    <t>gets damage buffs and offsensive abilities sooner than the paladin, but doesn't get as many abilities and mostly lacks group spells</t>
  </si>
  <si>
    <t>gets speed buffs; focuses on fast damage, stealth, "selfish" abilities; more spells than a warrior, fewer than a paladin</t>
  </si>
  <si>
    <t>Quickness</t>
  </si>
  <si>
    <t>Attack Run</t>
  </si>
  <si>
    <t>Spin Attack</t>
  </si>
  <si>
    <t>Agility</t>
  </si>
  <si>
    <t>Speed</t>
  </si>
  <si>
    <t>Slope</t>
  </si>
  <si>
    <t>Offset (Auto)</t>
  </si>
  <si>
    <t>Stat Offset (Auto)</t>
  </si>
  <si>
    <t>HP Modifier</t>
  </si>
  <si>
    <t>Attack Period</t>
  </si>
  <si>
    <t>Twisted Crawler</t>
  </si>
  <si>
    <t>Displayed Name</t>
  </si>
  <si>
    <t>Small Twisted Crawler</t>
  </si>
  <si>
    <t>Medium Twisted Crawler</t>
  </si>
  <si>
    <t>Large Twisted Crawler</t>
  </si>
  <si>
    <t>EXP Modifier</t>
  </si>
  <si>
    <t>Melee</t>
  </si>
  <si>
    <t>Bog Monster</t>
  </si>
  <si>
    <t>Blade Horror - Green</t>
  </si>
  <si>
    <t>Se Mederi</t>
  </si>
  <si>
    <t>Se Vis Mederi</t>
  </si>
  <si>
    <t>Se Valtus Mederi</t>
  </si>
  <si>
    <t>Casting Requires Target</t>
  </si>
  <si>
    <t>Can Target Caster</t>
  </si>
  <si>
    <t>Can Target Dead</t>
  </si>
  <si>
    <t>Stage Number</t>
  </si>
  <si>
    <t>Type Info</t>
  </si>
  <si>
    <t>Caster-Center</t>
  </si>
  <si>
    <t>AOE-DOT</t>
  </si>
  <si>
    <t>Lesser, Self-Only</t>
  </si>
  <si>
    <t>Lesser</t>
  </si>
  <si>
    <t>Self-Only</t>
  </si>
  <si>
    <t>Greater, Self-Only</t>
  </si>
  <si>
    <t>Location-bound</t>
  </si>
  <si>
    <t>Spread of 3</t>
  </si>
  <si>
    <t>Line of 3</t>
  </si>
  <si>
    <t>Sequence-Spread of 6</t>
  </si>
  <si>
    <t>Armor</t>
  </si>
  <si>
    <t>Buff</t>
  </si>
  <si>
    <t>Teleport</t>
  </si>
  <si>
    <t>To spawn point</t>
  </si>
  <si>
    <t>Portal</t>
  </si>
  <si>
    <t>Fast to mark 1</t>
  </si>
  <si>
    <t>Open to any mark</t>
  </si>
  <si>
    <t>Gas Form</t>
  </si>
  <si>
    <t>Mutate</t>
  </si>
  <si>
    <t>Strength</t>
  </si>
  <si>
    <t>Complete (targeted)</t>
  </si>
  <si>
    <t>Complete (party)</t>
  </si>
  <si>
    <t>Instant, Location-Bound</t>
  </si>
  <si>
    <t>AOE Buff</t>
  </si>
  <si>
    <t>Name - old</t>
  </si>
  <si>
    <t>volo, propero, festino, festinatio, celeritas, accelero</t>
  </si>
  <si>
    <t>Haste</t>
  </si>
  <si>
    <t>Rancor</t>
  </si>
  <si>
    <t>Leap</t>
  </si>
  <si>
    <t>Spreadshot</t>
  </si>
  <si>
    <t>Hailfire</t>
  </si>
  <si>
    <t>Eagleye</t>
  </si>
  <si>
    <t>Shoot projectiles in sequence, slight spread</t>
  </si>
  <si>
    <t>Shoot multiple projectiles in a line</t>
  </si>
  <si>
    <t>Shoot multiple projectiles in a spread</t>
  </si>
  <si>
    <t>Rapidshot</t>
  </si>
  <si>
    <t>Bow Only</t>
  </si>
  <si>
    <t>Shoot projectile weapon at mouse (no target!)</t>
  </si>
  <si>
    <t>Shoot</t>
  </si>
  <si>
    <t>Wrath</t>
  </si>
  <si>
    <t>Rage</t>
  </si>
  <si>
    <t>Tornado</t>
  </si>
  <si>
    <t>Hurricane</t>
  </si>
  <si>
    <t>User</t>
  </si>
  <si>
    <t>Set</t>
  </si>
  <si>
    <t>Bone</t>
  </si>
  <si>
    <t>Leather Belt</t>
  </si>
  <si>
    <t>Leather Armor</t>
  </si>
  <si>
    <t>Bronze Hatchet</t>
  </si>
  <si>
    <t>Bronze</t>
  </si>
  <si>
    <t>Bronze Helm</t>
  </si>
  <si>
    <t>Bone Staff</t>
  </si>
  <si>
    <t>Bronze Shield</t>
  </si>
  <si>
    <t>Leather Boots</t>
  </si>
  <si>
    <t>Iron</t>
  </si>
  <si>
    <t>Bone Cleaver</t>
  </si>
  <si>
    <t>Bone Aspis</t>
  </si>
  <si>
    <t>Iron Helmet</t>
  </si>
  <si>
    <t>Javelin</t>
  </si>
  <si>
    <t>Crossbow</t>
  </si>
  <si>
    <t>Intended Use</t>
  </si>
  <si>
    <t>Treasure Level - Low</t>
  </si>
  <si>
    <t>Treasure Level - High</t>
  </si>
  <si>
    <t>Max Stack Size</t>
  </si>
  <si>
    <t>Geonite Value</t>
  </si>
  <si>
    <t>Weapon Range</t>
  </si>
  <si>
    <t>Weapon Attack Duration</t>
  </si>
  <si>
    <t>Wishing %</t>
  </si>
  <si>
    <t>Drop on Death</t>
  </si>
  <si>
    <t>Required Avatar Level</t>
  </si>
  <si>
    <t>Constitution</t>
  </si>
  <si>
    <t>Wisdom</t>
  </si>
  <si>
    <t>Max Attack Damage</t>
  </si>
  <si>
    <t>Min Attack Damage</t>
  </si>
  <si>
    <t>Physical Defense</t>
  </si>
  <si>
    <t>HP Regen Rate</t>
  </si>
  <si>
    <t>MP Regen Rate</t>
  </si>
  <si>
    <t>HP Added</t>
  </si>
  <si>
    <t>MP Added</t>
  </si>
  <si>
    <t>HP Steal</t>
  </si>
  <si>
    <t>MP Steal</t>
  </si>
  <si>
    <t>1-Handed Weapon</t>
  </si>
  <si>
    <t>Mainhand</t>
  </si>
  <si>
    <t>Offhand Item</t>
  </si>
  <si>
    <t>Shield</t>
  </si>
  <si>
    <t>Thrown</t>
  </si>
  <si>
    <t>2-Handed Weapon</t>
  </si>
  <si>
    <t>Polearm</t>
  </si>
  <si>
    <t>Bow</t>
  </si>
  <si>
    <t>Dual-wield</t>
  </si>
  <si>
    <t>Unarmed</t>
  </si>
  <si>
    <t>Spear</t>
  </si>
  <si>
    <t>Helmet</t>
  </si>
  <si>
    <t>Belt</t>
  </si>
  <si>
    <t>Ring</t>
  </si>
  <si>
    <t>Accessory</t>
  </si>
  <si>
    <t>Boots</t>
  </si>
  <si>
    <t>Gloves</t>
  </si>
  <si>
    <t>(none)</t>
  </si>
  <si>
    <t/>
  </si>
  <si>
    <t>Equipment Type</t>
  </si>
  <si>
    <t>Equipment - Common</t>
  </si>
  <si>
    <t>Equipment - Uncommon</t>
  </si>
  <si>
    <t>Epic Item</t>
  </si>
  <si>
    <t>Equipment - Rare</t>
  </si>
  <si>
    <t>Non-specific</t>
  </si>
  <si>
    <t>Consumable - Self</t>
  </si>
  <si>
    <t>Consumable - Other</t>
  </si>
  <si>
    <t>Consumable - Buff</t>
  </si>
  <si>
    <t>Consumable - Attack</t>
  </si>
  <si>
    <t>Consumable - Defend</t>
  </si>
  <si>
    <t>Consumable - Transport</t>
  </si>
  <si>
    <t>Consumable - Restore</t>
  </si>
  <si>
    <t>normal</t>
  </si>
  <si>
    <t>slow</t>
  </si>
  <si>
    <t>fast</t>
  </si>
  <si>
    <t>Weapon Size</t>
  </si>
  <si>
    <t>Weapon Speed</t>
  </si>
  <si>
    <t>is weapon?</t>
  </si>
  <si>
    <t>Average Damage</t>
  </si>
  <si>
    <t>Weapon Damage Spread</t>
  </si>
  <si>
    <t>is armor?</t>
  </si>
  <si>
    <t>Bonus Defense %</t>
  </si>
  <si>
    <t>Armor -20% Dmg</t>
  </si>
  <si>
    <t>armor type %</t>
  </si>
  <si>
    <t>Armor Type</t>
  </si>
  <si>
    <t>% of Armor</t>
  </si>
  <si>
    <t>Armor % Damage Reduced</t>
  </si>
  <si>
    <t>Small Red Potion</t>
  </si>
  <si>
    <t>Small Blue Potion</t>
  </si>
  <si>
    <t>Red Potion</t>
  </si>
  <si>
    <t>Blue Potion</t>
  </si>
  <si>
    <t>Large Red Potion</t>
  </si>
  <si>
    <t>Large Blue Potion</t>
  </si>
  <si>
    <t>Small Purple Potion</t>
  </si>
  <si>
    <t>Purple Potion</t>
  </si>
  <si>
    <t>Large Purple Potion</t>
  </si>
  <si>
    <t>Trans Wand</t>
  </si>
  <si>
    <t>Movement Speed Modifier</t>
  </si>
  <si>
    <t>Attack Speed Modifier</t>
  </si>
  <si>
    <t>MP Modifier</t>
  </si>
  <si>
    <t>Self-Only, Speed and Attack speed</t>
  </si>
  <si>
    <t>Self-Only, Damage and Speed</t>
  </si>
  <si>
    <t>Fury</t>
  </si>
  <si>
    <t>Weapon Only (no bow)</t>
  </si>
  <si>
    <t>Whirlwind Attack</t>
  </si>
  <si>
    <t>Vortex Attack</t>
  </si>
  <si>
    <t>Leather Cap</t>
  </si>
  <si>
    <t>Wooden Shield</t>
  </si>
  <si>
    <t>Wooden Dagger</t>
  </si>
  <si>
    <t>Wooden Club</t>
  </si>
  <si>
    <t>Wooden Spear</t>
  </si>
  <si>
    <t>Wooden Ring</t>
  </si>
  <si>
    <t>Iron Half-Plate</t>
  </si>
  <si>
    <t>Iron Boots</t>
  </si>
  <si>
    <t>Iron Buckler</t>
  </si>
  <si>
    <t>Iron Shortsword</t>
  </si>
  <si>
    <t>Iron Longsword</t>
  </si>
  <si>
    <t>Iron Sledgehammer</t>
  </si>
  <si>
    <t>Iron Throwing Knives</t>
  </si>
  <si>
    <t>Iron Springbow</t>
  </si>
  <si>
    <t>Iron Bracelet</t>
  </si>
  <si>
    <t>Iron Waistband</t>
  </si>
  <si>
    <t>Iron Gauntlets</t>
  </si>
  <si>
    <t>Bronze Dagger</t>
  </si>
  <si>
    <t>Bronze Quarterstaff</t>
  </si>
  <si>
    <t>Bronze Needles</t>
  </si>
  <si>
    <t>Fiery Raiment</t>
  </si>
  <si>
    <t>Fiery Chain Boots</t>
  </si>
  <si>
    <t>Fiery Chain Coif</t>
  </si>
  <si>
    <t>Fire Shield</t>
  </si>
  <si>
    <t>Fiery Claw</t>
  </si>
  <si>
    <t>Firesword</t>
  </si>
  <si>
    <t>Fiery Axe</t>
  </si>
  <si>
    <t>Fire Stones</t>
  </si>
  <si>
    <t>Fire Bow</t>
  </si>
  <si>
    <t>Fiery Icon</t>
  </si>
  <si>
    <t>Fire Sash</t>
  </si>
  <si>
    <t>Fire Bracers</t>
  </si>
  <si>
    <t>Earth Armor</t>
  </si>
  <si>
    <t>Earthen Slippers</t>
  </si>
  <si>
    <t>Earthen Skullcap</t>
  </si>
  <si>
    <t>Earthen Tower Shield</t>
  </si>
  <si>
    <t>Earthen Sagaris</t>
  </si>
  <si>
    <t>Earth Shaker</t>
  </si>
  <si>
    <t>Earth Splitter</t>
  </si>
  <si>
    <t>Earthen Knives</t>
  </si>
  <si>
    <t>Earthen Longbow</t>
  </si>
  <si>
    <t>Earthen Emblem</t>
  </si>
  <si>
    <t>Earthen Belt</t>
  </si>
  <si>
    <t>Earth Grips</t>
  </si>
  <si>
    <t>Holy Platemail</t>
  </si>
  <si>
    <t>Holy Boots</t>
  </si>
  <si>
    <t>Holy Headwraps</t>
  </si>
  <si>
    <t>Holy Shield</t>
  </si>
  <si>
    <t>Holy Knife</t>
  </si>
  <si>
    <t>Holy Khukri</t>
  </si>
  <si>
    <t>Holy Knot</t>
  </si>
  <si>
    <t>Holy Disks</t>
  </si>
  <si>
    <t>Holy Shortbow</t>
  </si>
  <si>
    <t>Holy Figurine</t>
  </si>
  <si>
    <t>Holy Cord</t>
  </si>
  <si>
    <t>Holy Handwraps</t>
  </si>
  <si>
    <t>Lightning Leather</t>
  </si>
  <si>
    <t>Lightning Boots</t>
  </si>
  <si>
    <t>Lightning Crown</t>
  </si>
  <si>
    <t>Lightning Shield</t>
  </si>
  <si>
    <t>Lightning Kris</t>
  </si>
  <si>
    <t>Lightning Mace</t>
  </si>
  <si>
    <t>Lightning Staff</t>
  </si>
  <si>
    <t>Lightning Bolts</t>
  </si>
  <si>
    <t>Lightning Bow</t>
  </si>
  <si>
    <t>Lightning Pin</t>
  </si>
  <si>
    <t>Lightning Cinch</t>
  </si>
  <si>
    <t>Lightning Gloves</t>
  </si>
  <si>
    <t>Spectral Cloth</t>
  </si>
  <si>
    <t>Spectral Chain Boots</t>
  </si>
  <si>
    <t>Spectral Chain Coif</t>
  </si>
  <si>
    <t>Spectral Shield</t>
  </si>
  <si>
    <t>Spectral Kopesh</t>
  </si>
  <si>
    <t>Spectral Sword</t>
  </si>
  <si>
    <t>Spectral Greataxe</t>
  </si>
  <si>
    <t>Spectral Throwing Knives</t>
  </si>
  <si>
    <t>Spectral Longbow</t>
  </si>
  <si>
    <t>Spectral Symbol</t>
  </si>
  <si>
    <t>Spectral Cord</t>
  </si>
  <si>
    <t>Spectral Mitts</t>
  </si>
  <si>
    <t>Bone Fragment</t>
  </si>
  <si>
    <t>Acidweave Doublet</t>
  </si>
  <si>
    <t>Acidweave Shoes</t>
  </si>
  <si>
    <t>Acid Helm</t>
  </si>
  <si>
    <t>Acid Shield</t>
  </si>
  <si>
    <t>Acid Rapier</t>
  </si>
  <si>
    <t>Acidic Longsword</t>
  </si>
  <si>
    <t>Acid Axe</t>
  </si>
  <si>
    <t>Acid Needles</t>
  </si>
  <si>
    <t>Acid Bow</t>
  </si>
  <si>
    <t>Acid Band</t>
  </si>
  <si>
    <t>Acidic Sash</t>
  </si>
  <si>
    <t>Acidic Wristguards</t>
  </si>
  <si>
    <t>Icy Plate</t>
  </si>
  <si>
    <t>Icy Footwraps</t>
  </si>
  <si>
    <t>Icy Skullcap</t>
  </si>
  <si>
    <t>Ice Shield</t>
  </si>
  <si>
    <t>Icy Kris</t>
  </si>
  <si>
    <t>Icy Scimitar</t>
  </si>
  <si>
    <t>Ice Staff</t>
  </si>
  <si>
    <t>Icicles</t>
  </si>
  <si>
    <t>Icy Longbow</t>
  </si>
  <si>
    <t>Icy Talisman</t>
  </si>
  <si>
    <t>Icy Cinch</t>
  </si>
  <si>
    <t>Ice Gauntlets</t>
  </si>
  <si>
    <t>average</t>
  </si>
  <si>
    <t>FALSE</t>
  </si>
  <si>
    <t>TRUE</t>
  </si>
  <si>
    <t>Fire</t>
  </si>
  <si>
    <t>Earth</t>
  </si>
  <si>
    <t>Holy</t>
  </si>
  <si>
    <t>Lightning</t>
  </si>
  <si>
    <t>Spectral</t>
  </si>
  <si>
    <t>Acid</t>
  </si>
  <si>
    <t>Ice</t>
  </si>
  <si>
    <t>well-crafted</t>
  </si>
  <si>
    <t>powerful</t>
  </si>
  <si>
    <t>sturdy</t>
  </si>
  <si>
    <t>Leather</t>
  </si>
  <si>
    <t>splintered</t>
  </si>
  <si>
    <t>charred and heavy</t>
  </si>
  <si>
    <t>supple</t>
  </si>
  <si>
    <t>banded</t>
  </si>
  <si>
    <t>Wooden</t>
  </si>
  <si>
    <t>magical</t>
  </si>
  <si>
    <t>heavy set of</t>
  </si>
  <si>
    <t>well-fitted</t>
  </si>
  <si>
    <t>blazing</t>
  </si>
  <si>
    <t>DescTitle</t>
  </si>
  <si>
    <t>DescType</t>
  </si>
  <si>
    <t>throwing weapon</t>
  </si>
  <si>
    <t>-imbued belt</t>
  </si>
  <si>
    <t>-touched ranged weapon</t>
  </si>
  <si>
    <t>-enchanted ranged weapon</t>
  </si>
  <si>
    <t>-cured set of gauntlets</t>
  </si>
  <si>
    <t>fine pair of</t>
  </si>
  <si>
    <t>-touched gauntlets</t>
  </si>
  <si>
    <t>sturdy set of</t>
  </si>
  <si>
    <t>pair of</t>
  </si>
  <si>
    <t>gauntlets</t>
  </si>
  <si>
    <t>well-crafted suit of</t>
  </si>
  <si>
    <t>set of fine</t>
  </si>
  <si>
    <t>tight-fitting</t>
  </si>
  <si>
    <t>and chainmail suit of armor</t>
  </si>
  <si>
    <t>blade weapon</t>
  </si>
  <si>
    <t>massive</t>
  </si>
  <si>
    <t>crushing weapon</t>
  </si>
  <si>
    <t>weapon</t>
  </si>
  <si>
    <t>very sharp</t>
  </si>
  <si>
    <t>-enchanted armor</t>
  </si>
  <si>
    <t>-enchanted pair of boots</t>
  </si>
  <si>
    <t>weapon that wraps around your fists</t>
  </si>
  <si>
    <t>molded armor</t>
  </si>
  <si>
    <t>two-handed</t>
  </si>
  <si>
    <t>sharpened stone</t>
  </si>
  <si>
    <t>brilliant set of</t>
  </si>
  <si>
    <t>glowing</t>
  </si>
  <si>
    <t>enchanted</t>
  </si>
  <si>
    <t>thundrous</t>
  </si>
  <si>
    <t>-enchanted belt</t>
  </si>
  <si>
    <t>Restores a low amount of HP</t>
  </si>
  <si>
    <t>Restores a low amount of MP</t>
  </si>
  <si>
    <t>Restores some HP</t>
  </si>
  <si>
    <t>Restores some MP</t>
  </si>
  <si>
    <t>Restores a low amount of both HP and MP</t>
  </si>
  <si>
    <t>Teleports the user to a location in view</t>
  </si>
  <si>
    <t>Restores a high amount of both HP and MP</t>
  </si>
  <si>
    <t>Restores a high amount of MP</t>
  </si>
  <si>
    <t>Restores a high amount of HP</t>
  </si>
  <si>
    <t>Allows the user to create a portal to any location that has been saved with "/mark"</t>
  </si>
  <si>
    <t>Restores both HP and MP</t>
  </si>
  <si>
    <t>Death's Head Axe</t>
  </si>
  <si>
    <t>Bloodwood Bow</t>
  </si>
  <si>
    <t>Soul Stealer</t>
  </si>
  <si>
    <t>This very powerful weapon is said to have been crafted by a demon</t>
  </si>
  <si>
    <t>Valtus Mederi Charm</t>
  </si>
  <si>
    <t>If equipped, saves your life when you die</t>
  </si>
  <si>
    <t>Bonus Dmg %</t>
  </si>
  <si>
    <t>Healing spell</t>
  </si>
  <si>
    <t>Deals damage over time</t>
  </si>
  <si>
    <t>Moves you instantly to the chosen location on your screen</t>
  </si>
  <si>
    <t>Causes you to run quickly at the target and deal extra damage on your first hit</t>
  </si>
  <si>
    <t>Jump over pits, monsters, deep water and short objects</t>
  </si>
  <si>
    <t>Hit nearby enemies with your current melee weapon</t>
  </si>
  <si>
    <t>Shoot a projectile at nearby enemies (only usable when a bow, crossbow, javelin or thrown weapon is equipped)</t>
  </si>
  <si>
    <t>Fires a projectile weapon several times in a slight spread (only usable when a bow, crossbow, javelin or thrown weapon is equipped)</t>
  </si>
  <si>
    <t>Shoots multiple projectiles in a straight line (only usable when a bow, crossbow, javelin or thrown weapon is equipped)</t>
  </si>
  <si>
    <t>Fires a projectile weapon in a forward spread (only usable when a bow, crossbow, javelin or thrown weapon is equipped)</t>
  </si>
  <si>
    <t>Fires a projectile weapon instantly, without needing to select a target (only usable when a bow, crossbow, javelin or thrown weapon is equipped)</t>
  </si>
  <si>
    <t>Area of effect spell that hits the targeted location</t>
  </si>
  <si>
    <t>Long-range teleport to any location that has been saved with "/mark #".  For example, to visit the location at which you last said "/mark 1", press 1 when casting this spell</t>
  </si>
  <si>
    <t>Provides a fast teleport for just you to your "/mark 1" location</t>
  </si>
  <si>
    <t>Transports you back home (your spawn point)</t>
  </si>
  <si>
    <t>Shoots a fireball</t>
  </si>
  <si>
    <t>Shoots a spread of 3 fireballs</t>
  </si>
  <si>
    <t>Summons a rock</t>
  </si>
  <si>
    <t>Summons a line of 3 damaging boulders</t>
  </si>
  <si>
    <t>Summons a spread of 6 heavy and damaging rocks</t>
  </si>
  <si>
    <t>Damages those caught under the poison cloud</t>
  </si>
  <si>
    <t>Heavily damages those caught under the poison cloud</t>
  </si>
  <si>
    <t>Deals a small amout of poison damage over time</t>
  </si>
  <si>
    <t>Deals a significant amount of damage over time</t>
  </si>
  <si>
    <t>Lesser, Resurrecting</t>
  </si>
  <si>
    <t>Greater, Resurrecting</t>
  </si>
  <si>
    <t>Lesser, self-only healing spell</t>
  </si>
  <si>
    <t>Lesser healing spell</t>
  </si>
  <si>
    <t>Self-only healing spell</t>
  </si>
  <si>
    <t>Greater, self-only healing spell</t>
  </si>
  <si>
    <t>Lesser, resurrecting healing spell</t>
  </si>
  <si>
    <t>Greater, resurrecting healing spell</t>
  </si>
  <si>
    <t>Damages the target with a magical star of energy</t>
  </si>
  <si>
    <t>The ultimate celestial area-of-effect damage spell</t>
  </si>
  <si>
    <t>Shadow-damage spell that hits nearby enemies</t>
  </si>
  <si>
    <t>Celestial spell that damages nearby enemies</t>
  </si>
  <si>
    <t>Powerful celestial spell that damages nearby enemies</t>
  </si>
  <si>
    <t>Creates a ring of fire around you that damages all enemies that get too close</t>
  </si>
  <si>
    <t>The ultimate shadow-damage area-of-effect spell</t>
  </si>
  <si>
    <t>Powerful shadow-damage spell that hits nearby enemies</t>
  </si>
  <si>
    <t>Fierce direct-damage spell that hits the selected target with a beam of celestial energy</t>
  </si>
  <si>
    <t>Draws life from the target with a beam of shadow-damage</t>
  </si>
  <si>
    <t>Yes</t>
  </si>
  <si>
    <t>SpecialFX Done?</t>
  </si>
  <si>
    <t>(None)</t>
  </si>
  <si>
    <t>Real Description</t>
  </si>
  <si>
    <t>Leather Orb</t>
  </si>
  <si>
    <t>Iron Orb</t>
  </si>
  <si>
    <t>Fire Orb</t>
  </si>
  <si>
    <t>Earth Orb</t>
  </si>
  <si>
    <t>Holy Orb</t>
  </si>
  <si>
    <t>Lightning Orb</t>
  </si>
  <si>
    <t>Spectral Orb</t>
  </si>
  <si>
    <t>Acid Orb</t>
  </si>
  <si>
    <t>Ice Orb</t>
  </si>
  <si>
    <t>Wooden Wand</t>
  </si>
  <si>
    <t>Iron Wand</t>
  </si>
  <si>
    <t>Fiery Wand</t>
  </si>
  <si>
    <t>Earthen Wand</t>
  </si>
  <si>
    <t>Holy Wand</t>
  </si>
  <si>
    <t>Lightning Wand</t>
  </si>
  <si>
    <t>Spectral Wand</t>
  </si>
  <si>
    <t>Acid Wand</t>
  </si>
  <si>
    <t>Ice Wand</t>
  </si>
  <si>
    <t>Caster</t>
  </si>
  <si>
    <t>demonic</t>
  </si>
  <si>
    <t>Iron-tipped Crossbow</t>
  </si>
  <si>
    <t>Fire Crossbow</t>
  </si>
  <si>
    <t>Earth Crossbow</t>
  </si>
  <si>
    <t>Holy Double Crossbow</t>
  </si>
  <si>
    <t>Lightning Crossbow</t>
  </si>
  <si>
    <t>Spectral Crossbow</t>
  </si>
  <si>
    <t>Acid Double Crossbow</t>
  </si>
  <si>
    <t>Ice Crossbow</t>
  </si>
  <si>
    <t>Mage-Item MP Regen</t>
  </si>
  <si>
    <t>HP@Lvl</t>
  </si>
  <si>
    <t>Base Regen</t>
  </si>
  <si>
    <t>Regen Time</t>
  </si>
  <si>
    <t>Regen Period</t>
  </si>
  <si>
    <t>Dmg per Regen Period</t>
  </si>
  <si>
    <t>MageMP@Lvl</t>
  </si>
  <si>
    <t>Fig MP Regen</t>
  </si>
  <si>
    <t>Fig MP</t>
  </si>
  <si>
    <t>Fig MP Steal</t>
  </si>
  <si>
    <t>Steal % of Regen</t>
  </si>
  <si>
    <t>Fig HP Steal</t>
  </si>
  <si>
    <t>Steal Divisor</t>
  </si>
  <si>
    <t>Orb MP Regen</t>
  </si>
  <si>
    <t>Wand MP Regen</t>
  </si>
  <si>
    <t>Staff MP Regen</t>
  </si>
  <si>
    <t>HP Regen Needed</t>
  </si>
  <si>
    <t>Mage MP Regen Needed</t>
  </si>
  <si>
    <t>Warrior-Item HP Steal</t>
  </si>
  <si>
    <t>Warrior-Item MP Steal</t>
  </si>
  <si>
    <t>Mage-Item Base HP</t>
  </si>
  <si>
    <t>magical weapon</t>
  </si>
  <si>
    <t>legendary</t>
  </si>
  <si>
    <t>Mage-Item MP Added</t>
  </si>
  <si>
    <t>Pario Porta Scroll</t>
  </si>
  <si>
    <t>Armor enchantment</t>
  </si>
  <si>
    <t>Increases damage</t>
  </si>
  <si>
    <t>Adds to the defense, damage and speed of the target</t>
  </si>
  <si>
    <t>Adds to the defense, damage and speed of all nearby party members</t>
  </si>
  <si>
    <t>Speed enchantment</t>
  </si>
  <si>
    <t>TypeDamageMod</t>
  </si>
  <si>
    <t>is ranged?</t>
  </si>
  <si>
    <t>MageItemDmgMod</t>
  </si>
  <si>
    <t>=IF(N2,MIN(INDEX(Damage!$B$2:$B$151,A2),AG2+(AG2*W2))*(1+AF2),"")</t>
  </si>
  <si>
    <t>TypeDelayMod</t>
  </si>
  <si>
    <t>Boosts damage and HP steal</t>
  </si>
  <si>
    <t>Significantly increases damage and HP steal</t>
  </si>
  <si>
    <t>Maximizes damage and HP steal</t>
  </si>
  <si>
    <t>Maximizes  speed and MP steal</t>
  </si>
  <si>
    <t>Significantly increases  speed and MP steal</t>
  </si>
  <si>
    <t>Boosts  speed and MP steal</t>
  </si>
</sst>
</file>

<file path=xl/styles.xml><?xml version="1.0" encoding="utf-8"?>
<styleSheet xmlns="http://schemas.openxmlformats.org/spreadsheetml/2006/main">
  <numFmts count="7">
    <numFmt numFmtId="43" formatCode="_(* #,##0.00_);_(* \(#,##0.00\);_(* &quot;-&quot;??_);_(@_)"/>
    <numFmt numFmtId="164" formatCode="\+0;\-0"/>
    <numFmt numFmtId="165" formatCode="0.0"/>
    <numFmt numFmtId="166" formatCode="0.0%"/>
    <numFmt numFmtId="167" formatCode="\+0.0%;\-0.0%;"/>
    <numFmt numFmtId="168" formatCode="\+0%;\-0%;"/>
    <numFmt numFmtId="169" formatCode="0.00000000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8"/>
      <color indexed="81"/>
      <name val="Tahoma"/>
      <family val="2"/>
    </font>
    <font>
      <b/>
      <i/>
      <sz val="8"/>
      <color indexed="81"/>
      <name val="Tahoma"/>
      <family val="2"/>
    </font>
    <font>
      <sz val="8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gray0625">
        <fgColor theme="5" tint="0.79998168889431442"/>
        <bgColor auto="1"/>
      </patternFill>
    </fill>
    <fill>
      <patternFill patternType="gray0625">
        <fgColor theme="3" tint="0.79998168889431442"/>
        <bgColor auto="1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1" fillId="4" borderId="1" applyNumberFormat="0" applyFont="0" applyAlignment="0" applyProtection="0"/>
    <xf numFmtId="43" fontId="1" fillId="0" borderId="0" applyFont="0" applyFill="0" applyBorder="0" applyAlignment="0" applyProtection="0"/>
  </cellStyleXfs>
  <cellXfs count="109">
    <xf numFmtId="0" fontId="0" fillId="0" borderId="0" xfId="0"/>
    <xf numFmtId="0" fontId="4" fillId="0" borderId="0" xfId="0" applyFo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" fontId="0" fillId="0" borderId="0" xfId="0" applyNumberFormat="1" applyFill="1" applyAlignment="1">
      <alignment horizontal="center"/>
    </xf>
    <xf numFmtId="9" fontId="0" fillId="0" borderId="0" xfId="1" applyFont="1" applyFill="1" applyAlignment="1">
      <alignment horizontal="center"/>
    </xf>
    <xf numFmtId="9" fontId="0" fillId="0" borderId="0" xfId="1" applyFon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1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1" fontId="4" fillId="0" borderId="0" xfId="0" applyNumberFormat="1" applyFont="1" applyFill="1" applyAlignment="1">
      <alignment horizontal="center"/>
    </xf>
    <xf numFmtId="9" fontId="4" fillId="0" borderId="0" xfId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4" fillId="0" borderId="0" xfId="0" applyFont="1" applyAlignment="1">
      <alignment textRotation="90"/>
    </xf>
    <xf numFmtId="0" fontId="4" fillId="0" borderId="0" xfId="0" applyFont="1" applyAlignment="1">
      <alignment horizontal="right" vertical="center"/>
    </xf>
    <xf numFmtId="2" fontId="0" fillId="0" borderId="0" xfId="0" applyNumberFormat="1" applyAlignment="1">
      <alignment horizontal="center"/>
    </xf>
    <xf numFmtId="0" fontId="2" fillId="2" borderId="0" xfId="2" applyAlignment="1">
      <alignment horizontal="center"/>
    </xf>
    <xf numFmtId="0" fontId="5" fillId="5" borderId="0" xfId="3" applyFont="1" applyFill="1" applyAlignment="1">
      <alignment horizontal="center"/>
    </xf>
    <xf numFmtId="0" fontId="7" fillId="5" borderId="0" xfId="3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8" fillId="6" borderId="0" xfId="0" applyFont="1" applyFill="1" applyAlignment="1">
      <alignment horizontal="center"/>
    </xf>
    <xf numFmtId="1" fontId="5" fillId="5" borderId="0" xfId="3" applyNumberFormat="1" applyFont="1" applyFill="1" applyAlignment="1">
      <alignment horizontal="center"/>
    </xf>
    <xf numFmtId="1" fontId="6" fillId="6" borderId="0" xfId="0" applyNumberFormat="1" applyFont="1" applyFill="1" applyAlignment="1">
      <alignment horizontal="center"/>
    </xf>
    <xf numFmtId="0" fontId="9" fillId="4" borderId="1" xfId="4" applyFont="1" applyAlignment="1">
      <alignment horizontal="left"/>
    </xf>
    <xf numFmtId="0" fontId="2" fillId="4" borderId="1" xfId="4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/>
    </xf>
    <xf numFmtId="1" fontId="4" fillId="0" borderId="0" xfId="0" applyNumberFormat="1" applyFont="1" applyAlignment="1">
      <alignment horizontal="center"/>
    </xf>
    <xf numFmtId="9" fontId="4" fillId="0" borderId="0" xfId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0" xfId="0" applyFont="1" applyAlignment="1">
      <alignment horizontal="right"/>
    </xf>
    <xf numFmtId="1" fontId="0" fillId="0" borderId="0" xfId="0" applyNumberFormat="1" applyAlignment="1">
      <alignment horizontal="center"/>
    </xf>
    <xf numFmtId="0" fontId="4" fillId="0" borderId="0" xfId="0" applyFont="1" applyAlignment="1"/>
    <xf numFmtId="1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" fontId="4" fillId="0" borderId="0" xfId="0" applyNumberFormat="1" applyFont="1" applyAlignment="1"/>
    <xf numFmtId="1" fontId="0" fillId="0" borderId="0" xfId="0" applyNumberFormat="1" applyAlignment="1"/>
    <xf numFmtId="1" fontId="0" fillId="0" borderId="0" xfId="0" applyNumberFormat="1" applyFont="1" applyAlignment="1">
      <alignment horizontal="center"/>
    </xf>
    <xf numFmtId="165" fontId="4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" fontId="10" fillId="0" borderId="0" xfId="0" applyNumberFormat="1" applyFont="1" applyAlignment="1">
      <alignment horizontal="center"/>
    </xf>
    <xf numFmtId="165" fontId="11" fillId="0" borderId="0" xfId="0" applyNumberFormat="1" applyFont="1" applyAlignment="1">
      <alignment horizontal="center"/>
    </xf>
    <xf numFmtId="1" fontId="11" fillId="0" borderId="0" xfId="0" applyNumberFormat="1" applyFont="1" applyAlignment="1">
      <alignment horizontal="center"/>
    </xf>
    <xf numFmtId="2" fontId="10" fillId="0" borderId="0" xfId="0" applyNumberFormat="1" applyFont="1" applyAlignment="1">
      <alignment horizontal="center"/>
    </xf>
    <xf numFmtId="2" fontId="11" fillId="0" borderId="0" xfId="0" applyNumberFormat="1" applyFont="1" applyAlignment="1">
      <alignment horizontal="center"/>
    </xf>
    <xf numFmtId="9" fontId="0" fillId="0" borderId="0" xfId="1" applyFont="1"/>
    <xf numFmtId="166" fontId="0" fillId="0" borderId="0" xfId="1" applyNumberFormat="1" applyFont="1"/>
    <xf numFmtId="165" fontId="4" fillId="0" borderId="0" xfId="0" applyNumberFormat="1" applyFont="1" applyAlignment="1">
      <alignment horizontal="left"/>
    </xf>
    <xf numFmtId="0" fontId="0" fillId="4" borderId="1" xfId="4" applyFont="1"/>
    <xf numFmtId="2" fontId="4" fillId="0" borderId="0" xfId="0" applyNumberFormat="1" applyFont="1" applyAlignment="1">
      <alignment horizontal="right"/>
    </xf>
    <xf numFmtId="1" fontId="4" fillId="0" borderId="0" xfId="0" applyNumberFormat="1" applyFont="1"/>
    <xf numFmtId="1" fontId="4" fillId="0" borderId="0" xfId="0" applyNumberFormat="1" applyFont="1" applyAlignment="1">
      <alignment horizontal="right"/>
    </xf>
    <xf numFmtId="2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67" fontId="0" fillId="0" borderId="0" xfId="0" applyNumberFormat="1"/>
    <xf numFmtId="168" fontId="4" fillId="0" borderId="0" xfId="0" applyNumberFormat="1" applyFont="1"/>
    <xf numFmtId="168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4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165" fontId="0" fillId="0" borderId="0" xfId="0" applyNumberFormat="1" applyFont="1" applyAlignment="1">
      <alignment horizontal="center"/>
    </xf>
    <xf numFmtId="1" fontId="0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4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1" fontId="4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1" fontId="4" fillId="0" borderId="0" xfId="5" applyNumberFormat="1" applyFont="1" applyAlignment="1">
      <alignment horizontal="center"/>
    </xf>
    <xf numFmtId="1" fontId="0" fillId="0" borderId="0" xfId="5" applyNumberFormat="1" applyFont="1" applyAlignment="1">
      <alignment horizontal="center"/>
    </xf>
    <xf numFmtId="1" fontId="0" fillId="0" borderId="0" xfId="5" applyNumberFormat="1" applyFont="1"/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quotePrefix="1" applyNumberFormat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4" fillId="4" borderId="2" xfId="4" applyFont="1" applyBorder="1" applyAlignment="1">
      <alignment horizontal="center"/>
    </xf>
    <xf numFmtId="0" fontId="4" fillId="4" borderId="3" xfId="4" applyFont="1" applyBorder="1" applyAlignment="1">
      <alignment horizontal="center"/>
    </xf>
    <xf numFmtId="0" fontId="4" fillId="4" borderId="4" xfId="4" applyFont="1" applyBorder="1" applyAlignment="1">
      <alignment horizontal="center"/>
    </xf>
  </cellXfs>
  <cellStyles count="6">
    <cellStyle name="Bad" xfId="3" builtinId="27"/>
    <cellStyle name="Comma" xfId="5" builtinId="3"/>
    <cellStyle name="Good" xfId="2" builtinId="26"/>
    <cellStyle name="Normal" xfId="0" builtinId="0"/>
    <cellStyle name="Note" xfId="4" builtinId="10"/>
    <cellStyle name="Percent" xfId="1" builtinId="5"/>
  </cellStyles>
  <dxfs count="10"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19.xml"/><Relationship Id="rId7" Type="http://schemas.openxmlformats.org/officeDocument/2006/relationships/worksheet" Target="worksheets/sheet5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4.xml"/><Relationship Id="rId20" Type="http://schemas.openxmlformats.org/officeDocument/2006/relationships/worksheet" Target="worksheets/sheet18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24" Type="http://schemas.openxmlformats.org/officeDocument/2006/relationships/worksheet" Target="worksheets/sheet22.xml"/><Relationship Id="rId5" Type="http://schemas.openxmlformats.org/officeDocument/2006/relationships/chartsheet" Target="chartsheets/sheet2.xml"/><Relationship Id="rId15" Type="http://schemas.openxmlformats.org/officeDocument/2006/relationships/worksheet" Target="worksheets/sheet13.xml"/><Relationship Id="rId23" Type="http://schemas.openxmlformats.org/officeDocument/2006/relationships/worksheet" Target="worksheets/sheet21.xml"/><Relationship Id="rId28" Type="http://schemas.openxmlformats.org/officeDocument/2006/relationships/calcChain" Target="calcChain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7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worksheet" Target="worksheets/sheet20.xml"/><Relationship Id="rId27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Ranges!$C$6</c:f>
              <c:strCache>
                <c:ptCount val="1"/>
                <c:pt idx="0">
                  <c:v>Volucris Adept</c:v>
                </c:pt>
              </c:strCache>
            </c:strRef>
          </c:tx>
          <c:marker>
            <c:symbol val="none"/>
          </c:marker>
          <c:xVal>
            <c:numRef>
              <c:f>Ranges!$A$7:$A$156</c:f>
              <c:numCache>
                <c:formatCode>General</c:formatCode>
                <c:ptCount val="1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</c:numCache>
            </c:numRef>
          </c:xVal>
          <c:yVal>
            <c:numRef>
              <c:f>Ranges!$C$7:$C$156</c:f>
              <c:numCache>
                <c:formatCode>0</c:formatCode>
                <c:ptCount val="150"/>
                <c:pt idx="0">
                  <c:v>46.222222222222221</c:v>
                </c:pt>
                <c:pt idx="1">
                  <c:v>55.777777777777771</c:v>
                </c:pt>
                <c:pt idx="2">
                  <c:v>65.333333333333329</c:v>
                </c:pt>
                <c:pt idx="3">
                  <c:v>74.888888888888886</c:v>
                </c:pt>
                <c:pt idx="4">
                  <c:v>84.444444444444443</c:v>
                </c:pt>
                <c:pt idx="5">
                  <c:v>94</c:v>
                </c:pt>
                <c:pt idx="6">
                  <c:v>103.55555555555556</c:v>
                </c:pt>
                <c:pt idx="7">
                  <c:v>113.11111111111111</c:v>
                </c:pt>
                <c:pt idx="8">
                  <c:v>122.66666666666666</c:v>
                </c:pt>
                <c:pt idx="9">
                  <c:v>132.22222222222223</c:v>
                </c:pt>
                <c:pt idx="10">
                  <c:v>141.77777777777777</c:v>
                </c:pt>
                <c:pt idx="11">
                  <c:v>151.33333333333331</c:v>
                </c:pt>
                <c:pt idx="12">
                  <c:v>160.88888888888889</c:v>
                </c:pt>
                <c:pt idx="13">
                  <c:v>170.44444444444443</c:v>
                </c:pt>
                <c:pt idx="14">
                  <c:v>180</c:v>
                </c:pt>
                <c:pt idx="15">
                  <c:v>189.55555555555554</c:v>
                </c:pt>
                <c:pt idx="16">
                  <c:v>199.11111111111111</c:v>
                </c:pt>
                <c:pt idx="17">
                  <c:v>208.66666666666666</c:v>
                </c:pt>
                <c:pt idx="18">
                  <c:v>218.22222222222223</c:v>
                </c:pt>
                <c:pt idx="19">
                  <c:v>227.77777777777777</c:v>
                </c:pt>
                <c:pt idx="20">
                  <c:v>237.33333333333331</c:v>
                </c:pt>
                <c:pt idx="21">
                  <c:v>246.88888888888889</c:v>
                </c:pt>
                <c:pt idx="22">
                  <c:v>256.44444444444446</c:v>
                </c:pt>
                <c:pt idx="23">
                  <c:v>266</c:v>
                </c:pt>
                <c:pt idx="24">
                  <c:v>275.55555555555554</c:v>
                </c:pt>
                <c:pt idx="25">
                  <c:v>285.11111111111109</c:v>
                </c:pt>
                <c:pt idx="26">
                  <c:v>294.66666666666669</c:v>
                </c:pt>
                <c:pt idx="27">
                  <c:v>304.22222222222223</c:v>
                </c:pt>
                <c:pt idx="28">
                  <c:v>313.77777777777777</c:v>
                </c:pt>
                <c:pt idx="29">
                  <c:v>323.33333333333331</c:v>
                </c:pt>
                <c:pt idx="30">
                  <c:v>332.88888888888886</c:v>
                </c:pt>
                <c:pt idx="31">
                  <c:v>342.44444444444446</c:v>
                </c:pt>
                <c:pt idx="32">
                  <c:v>352</c:v>
                </c:pt>
                <c:pt idx="33">
                  <c:v>361.55555555555554</c:v>
                </c:pt>
                <c:pt idx="34">
                  <c:v>371.11111111111109</c:v>
                </c:pt>
                <c:pt idx="35">
                  <c:v>380.66666666666663</c:v>
                </c:pt>
                <c:pt idx="36">
                  <c:v>390.22222222222223</c:v>
                </c:pt>
                <c:pt idx="37">
                  <c:v>399.77777777777777</c:v>
                </c:pt>
                <c:pt idx="38">
                  <c:v>409.33333333333331</c:v>
                </c:pt>
                <c:pt idx="39">
                  <c:v>418.88888888888886</c:v>
                </c:pt>
                <c:pt idx="40">
                  <c:v>428.44444444444446</c:v>
                </c:pt>
                <c:pt idx="41">
                  <c:v>438</c:v>
                </c:pt>
                <c:pt idx="42">
                  <c:v>447.55555555555554</c:v>
                </c:pt>
                <c:pt idx="43">
                  <c:v>457.11111111111109</c:v>
                </c:pt>
                <c:pt idx="44">
                  <c:v>466.66666666666663</c:v>
                </c:pt>
                <c:pt idx="45">
                  <c:v>476.22222222222223</c:v>
                </c:pt>
                <c:pt idx="46">
                  <c:v>485.77777777777777</c:v>
                </c:pt>
                <c:pt idx="47">
                  <c:v>495.33333333333331</c:v>
                </c:pt>
                <c:pt idx="48">
                  <c:v>504.88888888888886</c:v>
                </c:pt>
                <c:pt idx="49">
                  <c:v>514.44444444444446</c:v>
                </c:pt>
                <c:pt idx="50">
                  <c:v>524</c:v>
                </c:pt>
                <c:pt idx="51">
                  <c:v>533.55555555555554</c:v>
                </c:pt>
                <c:pt idx="52">
                  <c:v>543.11111111111109</c:v>
                </c:pt>
                <c:pt idx="53">
                  <c:v>552.66666666666663</c:v>
                </c:pt>
                <c:pt idx="54">
                  <c:v>562.22222222222217</c:v>
                </c:pt>
                <c:pt idx="55">
                  <c:v>571.77777777777771</c:v>
                </c:pt>
                <c:pt idx="56">
                  <c:v>581.33333333333337</c:v>
                </c:pt>
                <c:pt idx="57">
                  <c:v>590.88888888888891</c:v>
                </c:pt>
                <c:pt idx="58">
                  <c:v>600.44444444444446</c:v>
                </c:pt>
                <c:pt idx="59">
                  <c:v>610</c:v>
                </c:pt>
                <c:pt idx="60">
                  <c:v>619.55555555555554</c:v>
                </c:pt>
                <c:pt idx="61">
                  <c:v>629.11111111111109</c:v>
                </c:pt>
                <c:pt idx="62">
                  <c:v>638.66666666666663</c:v>
                </c:pt>
                <c:pt idx="63">
                  <c:v>648.22222222222217</c:v>
                </c:pt>
                <c:pt idx="64">
                  <c:v>657.77777777777771</c:v>
                </c:pt>
                <c:pt idx="65">
                  <c:v>667.33333333333337</c:v>
                </c:pt>
                <c:pt idx="66">
                  <c:v>676.88888888888891</c:v>
                </c:pt>
                <c:pt idx="67">
                  <c:v>686.44444444444446</c:v>
                </c:pt>
                <c:pt idx="68">
                  <c:v>696</c:v>
                </c:pt>
                <c:pt idx="69">
                  <c:v>705.55555555555554</c:v>
                </c:pt>
                <c:pt idx="70">
                  <c:v>715.11111111111109</c:v>
                </c:pt>
                <c:pt idx="71">
                  <c:v>724.66666666666663</c:v>
                </c:pt>
                <c:pt idx="72">
                  <c:v>734.22222222222217</c:v>
                </c:pt>
                <c:pt idx="73">
                  <c:v>743.77777777777771</c:v>
                </c:pt>
                <c:pt idx="74">
                  <c:v>753.33333333333337</c:v>
                </c:pt>
                <c:pt idx="75">
                  <c:v>762.88888888888891</c:v>
                </c:pt>
                <c:pt idx="76">
                  <c:v>772.44444444444446</c:v>
                </c:pt>
                <c:pt idx="77">
                  <c:v>782</c:v>
                </c:pt>
                <c:pt idx="78">
                  <c:v>791.55555555555554</c:v>
                </c:pt>
                <c:pt idx="79">
                  <c:v>801.11111111111109</c:v>
                </c:pt>
                <c:pt idx="80">
                  <c:v>810.66666666666663</c:v>
                </c:pt>
                <c:pt idx="81">
                  <c:v>820.22222222222217</c:v>
                </c:pt>
                <c:pt idx="82">
                  <c:v>829.77777777777771</c:v>
                </c:pt>
                <c:pt idx="83">
                  <c:v>839.33333333333326</c:v>
                </c:pt>
                <c:pt idx="84">
                  <c:v>848.88888888888891</c:v>
                </c:pt>
                <c:pt idx="85">
                  <c:v>858.44444444444446</c:v>
                </c:pt>
                <c:pt idx="86">
                  <c:v>868</c:v>
                </c:pt>
                <c:pt idx="87">
                  <c:v>877.55555555555554</c:v>
                </c:pt>
                <c:pt idx="88">
                  <c:v>887.11111111111109</c:v>
                </c:pt>
                <c:pt idx="89">
                  <c:v>896.66666666666663</c:v>
                </c:pt>
                <c:pt idx="90">
                  <c:v>906.22222222222217</c:v>
                </c:pt>
                <c:pt idx="91">
                  <c:v>915.77777777777771</c:v>
                </c:pt>
                <c:pt idx="92">
                  <c:v>925.33333333333326</c:v>
                </c:pt>
                <c:pt idx="93">
                  <c:v>934.88888888888891</c:v>
                </c:pt>
                <c:pt idx="94">
                  <c:v>944.44444444444446</c:v>
                </c:pt>
                <c:pt idx="95">
                  <c:v>954</c:v>
                </c:pt>
                <c:pt idx="96">
                  <c:v>963.55555555555554</c:v>
                </c:pt>
                <c:pt idx="97">
                  <c:v>973.11111111111109</c:v>
                </c:pt>
                <c:pt idx="98">
                  <c:v>982.66666666666663</c:v>
                </c:pt>
                <c:pt idx="99">
                  <c:v>992.22222222222217</c:v>
                </c:pt>
                <c:pt idx="100">
                  <c:v>1001.7777777777777</c:v>
                </c:pt>
                <c:pt idx="101">
                  <c:v>1011.3333333333333</c:v>
                </c:pt>
                <c:pt idx="102">
                  <c:v>1020.8888888888889</c:v>
                </c:pt>
                <c:pt idx="103">
                  <c:v>1030.4444444444443</c:v>
                </c:pt>
                <c:pt idx="104">
                  <c:v>1040</c:v>
                </c:pt>
                <c:pt idx="105">
                  <c:v>1049.5555555555554</c:v>
                </c:pt>
                <c:pt idx="106">
                  <c:v>1059.1111111111111</c:v>
                </c:pt>
                <c:pt idx="107">
                  <c:v>1068.6666666666667</c:v>
                </c:pt>
                <c:pt idx="108">
                  <c:v>1078.2222222222222</c:v>
                </c:pt>
                <c:pt idx="109">
                  <c:v>1087.7777777777778</c:v>
                </c:pt>
                <c:pt idx="110">
                  <c:v>1097.3333333333333</c:v>
                </c:pt>
                <c:pt idx="111">
                  <c:v>1106.8888888888889</c:v>
                </c:pt>
                <c:pt idx="112">
                  <c:v>1116.4444444444443</c:v>
                </c:pt>
                <c:pt idx="113">
                  <c:v>1126</c:v>
                </c:pt>
                <c:pt idx="114">
                  <c:v>1135.5555555555554</c:v>
                </c:pt>
                <c:pt idx="115">
                  <c:v>1145.1111111111111</c:v>
                </c:pt>
                <c:pt idx="116">
                  <c:v>1154.6666666666667</c:v>
                </c:pt>
                <c:pt idx="117">
                  <c:v>1164.2222222222222</c:v>
                </c:pt>
                <c:pt idx="118">
                  <c:v>1173.7777777777778</c:v>
                </c:pt>
                <c:pt idx="119">
                  <c:v>1183.3333333333333</c:v>
                </c:pt>
                <c:pt idx="120">
                  <c:v>1192.8888888888889</c:v>
                </c:pt>
                <c:pt idx="121">
                  <c:v>1202.4444444444443</c:v>
                </c:pt>
                <c:pt idx="122">
                  <c:v>1212</c:v>
                </c:pt>
                <c:pt idx="123">
                  <c:v>1221.5555555555554</c:v>
                </c:pt>
                <c:pt idx="124">
                  <c:v>1231.1111111111111</c:v>
                </c:pt>
                <c:pt idx="125">
                  <c:v>1240.6666666666667</c:v>
                </c:pt>
                <c:pt idx="126">
                  <c:v>1250.2222222222222</c:v>
                </c:pt>
                <c:pt idx="127">
                  <c:v>1259.7777777777778</c:v>
                </c:pt>
                <c:pt idx="128">
                  <c:v>1269.3333333333333</c:v>
                </c:pt>
                <c:pt idx="129">
                  <c:v>1278.8888888888889</c:v>
                </c:pt>
                <c:pt idx="130">
                  <c:v>1288.4444444444443</c:v>
                </c:pt>
                <c:pt idx="131">
                  <c:v>1298</c:v>
                </c:pt>
                <c:pt idx="132">
                  <c:v>1307.5555555555554</c:v>
                </c:pt>
                <c:pt idx="133">
                  <c:v>1317.1111111111111</c:v>
                </c:pt>
                <c:pt idx="134">
                  <c:v>1326.6666666666667</c:v>
                </c:pt>
                <c:pt idx="135">
                  <c:v>1336.2222222222222</c:v>
                </c:pt>
                <c:pt idx="136">
                  <c:v>1345.7777777777778</c:v>
                </c:pt>
                <c:pt idx="137">
                  <c:v>1355.3333333333333</c:v>
                </c:pt>
                <c:pt idx="138">
                  <c:v>1364.8888888888889</c:v>
                </c:pt>
                <c:pt idx="139">
                  <c:v>1374.4444444444443</c:v>
                </c:pt>
                <c:pt idx="140">
                  <c:v>1384</c:v>
                </c:pt>
                <c:pt idx="141">
                  <c:v>1393.5555555555554</c:v>
                </c:pt>
                <c:pt idx="142">
                  <c:v>1403.1111111111111</c:v>
                </c:pt>
                <c:pt idx="143">
                  <c:v>1412.6666666666667</c:v>
                </c:pt>
                <c:pt idx="144">
                  <c:v>1422.2222222222222</c:v>
                </c:pt>
                <c:pt idx="145">
                  <c:v>1431.7777777777778</c:v>
                </c:pt>
                <c:pt idx="146">
                  <c:v>1441.3333333333333</c:v>
                </c:pt>
                <c:pt idx="147">
                  <c:v>1450.8888888888889</c:v>
                </c:pt>
                <c:pt idx="148">
                  <c:v>1460.4444444444443</c:v>
                </c:pt>
                <c:pt idx="149">
                  <c:v>1470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Ranges!$D$6</c:f>
              <c:strCache>
                <c:ptCount val="1"/>
                <c:pt idx="0">
                  <c:v>Volucris Sorcerer</c:v>
                </c:pt>
              </c:strCache>
            </c:strRef>
          </c:tx>
          <c:marker>
            <c:symbol val="none"/>
          </c:marker>
          <c:xVal>
            <c:numRef>
              <c:f>Ranges!$A$7:$A$156</c:f>
              <c:numCache>
                <c:formatCode>General</c:formatCode>
                <c:ptCount val="1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</c:numCache>
            </c:numRef>
          </c:xVal>
          <c:yVal>
            <c:numRef>
              <c:f>Ranges!$D$7:$D$156</c:f>
              <c:numCache>
                <c:formatCode>0</c:formatCode>
                <c:ptCount val="150"/>
                <c:pt idx="0">
                  <c:v>47.777777777777771</c:v>
                </c:pt>
                <c:pt idx="1">
                  <c:v>58.888888888888886</c:v>
                </c:pt>
                <c:pt idx="2">
                  <c:v>70</c:v>
                </c:pt>
                <c:pt idx="3">
                  <c:v>81.111111111111114</c:v>
                </c:pt>
                <c:pt idx="4">
                  <c:v>92.222222222222214</c:v>
                </c:pt>
                <c:pt idx="5">
                  <c:v>103.33333333333333</c:v>
                </c:pt>
                <c:pt idx="6">
                  <c:v>114.44444444444444</c:v>
                </c:pt>
                <c:pt idx="7">
                  <c:v>125.55555555555554</c:v>
                </c:pt>
                <c:pt idx="8">
                  <c:v>136.66666666666666</c:v>
                </c:pt>
                <c:pt idx="9">
                  <c:v>147.77777777777777</c:v>
                </c:pt>
                <c:pt idx="10">
                  <c:v>158.88888888888889</c:v>
                </c:pt>
                <c:pt idx="11">
                  <c:v>170</c:v>
                </c:pt>
                <c:pt idx="12">
                  <c:v>181.11111111111111</c:v>
                </c:pt>
                <c:pt idx="13">
                  <c:v>192.22222222222223</c:v>
                </c:pt>
                <c:pt idx="14">
                  <c:v>203.33333333333331</c:v>
                </c:pt>
                <c:pt idx="15">
                  <c:v>214.44444444444443</c:v>
                </c:pt>
                <c:pt idx="16">
                  <c:v>225.55555555555554</c:v>
                </c:pt>
                <c:pt idx="17">
                  <c:v>236.66666666666666</c:v>
                </c:pt>
                <c:pt idx="18">
                  <c:v>247.77777777777777</c:v>
                </c:pt>
                <c:pt idx="19">
                  <c:v>258.88888888888886</c:v>
                </c:pt>
                <c:pt idx="20">
                  <c:v>270</c:v>
                </c:pt>
                <c:pt idx="21">
                  <c:v>281.11111111111109</c:v>
                </c:pt>
                <c:pt idx="22">
                  <c:v>292.22222222222223</c:v>
                </c:pt>
                <c:pt idx="23">
                  <c:v>303.33333333333331</c:v>
                </c:pt>
                <c:pt idx="24">
                  <c:v>314.44444444444446</c:v>
                </c:pt>
                <c:pt idx="25">
                  <c:v>325.55555555555554</c:v>
                </c:pt>
                <c:pt idx="26">
                  <c:v>336.66666666666663</c:v>
                </c:pt>
                <c:pt idx="27">
                  <c:v>347.77777777777777</c:v>
                </c:pt>
                <c:pt idx="28">
                  <c:v>358.88888888888886</c:v>
                </c:pt>
                <c:pt idx="29">
                  <c:v>370</c:v>
                </c:pt>
                <c:pt idx="30">
                  <c:v>381.11111111111109</c:v>
                </c:pt>
                <c:pt idx="31">
                  <c:v>392.22222222222223</c:v>
                </c:pt>
                <c:pt idx="32">
                  <c:v>403.33333333333331</c:v>
                </c:pt>
                <c:pt idx="33">
                  <c:v>414.44444444444446</c:v>
                </c:pt>
                <c:pt idx="34">
                  <c:v>425.55555555555554</c:v>
                </c:pt>
                <c:pt idx="35">
                  <c:v>436.66666666666663</c:v>
                </c:pt>
                <c:pt idx="36">
                  <c:v>447.77777777777777</c:v>
                </c:pt>
                <c:pt idx="37">
                  <c:v>458.88888888888886</c:v>
                </c:pt>
                <c:pt idx="38">
                  <c:v>470</c:v>
                </c:pt>
                <c:pt idx="39">
                  <c:v>481.11111111111109</c:v>
                </c:pt>
                <c:pt idx="40">
                  <c:v>492.22222222222223</c:v>
                </c:pt>
                <c:pt idx="41">
                  <c:v>503.33333333333331</c:v>
                </c:pt>
                <c:pt idx="42">
                  <c:v>514.44444444444446</c:v>
                </c:pt>
                <c:pt idx="43">
                  <c:v>525.55555555555554</c:v>
                </c:pt>
                <c:pt idx="44">
                  <c:v>536.66666666666663</c:v>
                </c:pt>
                <c:pt idx="45">
                  <c:v>547.77777777777771</c:v>
                </c:pt>
                <c:pt idx="46">
                  <c:v>558.88888888888891</c:v>
                </c:pt>
                <c:pt idx="47">
                  <c:v>570</c:v>
                </c:pt>
                <c:pt idx="48">
                  <c:v>581.11111111111109</c:v>
                </c:pt>
                <c:pt idx="49">
                  <c:v>592.22222222222217</c:v>
                </c:pt>
                <c:pt idx="50">
                  <c:v>603.33333333333326</c:v>
                </c:pt>
                <c:pt idx="51">
                  <c:v>614.44444444444446</c:v>
                </c:pt>
                <c:pt idx="52">
                  <c:v>625.55555555555554</c:v>
                </c:pt>
                <c:pt idx="53">
                  <c:v>636.66666666666663</c:v>
                </c:pt>
                <c:pt idx="54">
                  <c:v>647.77777777777771</c:v>
                </c:pt>
                <c:pt idx="55">
                  <c:v>658.88888888888891</c:v>
                </c:pt>
                <c:pt idx="56">
                  <c:v>670</c:v>
                </c:pt>
                <c:pt idx="57">
                  <c:v>681.11111111111109</c:v>
                </c:pt>
                <c:pt idx="58">
                  <c:v>692.22222222222217</c:v>
                </c:pt>
                <c:pt idx="59">
                  <c:v>703.33333333333326</c:v>
                </c:pt>
                <c:pt idx="60">
                  <c:v>714.44444444444446</c:v>
                </c:pt>
                <c:pt idx="61">
                  <c:v>725.55555555555554</c:v>
                </c:pt>
                <c:pt idx="62">
                  <c:v>736.66666666666663</c:v>
                </c:pt>
                <c:pt idx="63">
                  <c:v>747.77777777777771</c:v>
                </c:pt>
                <c:pt idx="64">
                  <c:v>758.88888888888891</c:v>
                </c:pt>
                <c:pt idx="65">
                  <c:v>770</c:v>
                </c:pt>
                <c:pt idx="66">
                  <c:v>781.11111111111109</c:v>
                </c:pt>
                <c:pt idx="67">
                  <c:v>792.22222222222217</c:v>
                </c:pt>
                <c:pt idx="68">
                  <c:v>803.33333333333326</c:v>
                </c:pt>
                <c:pt idx="69">
                  <c:v>814.44444444444446</c:v>
                </c:pt>
                <c:pt idx="70">
                  <c:v>825.55555555555554</c:v>
                </c:pt>
                <c:pt idx="71">
                  <c:v>836.66666666666663</c:v>
                </c:pt>
                <c:pt idx="72">
                  <c:v>847.77777777777771</c:v>
                </c:pt>
                <c:pt idx="73">
                  <c:v>858.88888888888891</c:v>
                </c:pt>
                <c:pt idx="74">
                  <c:v>870</c:v>
                </c:pt>
                <c:pt idx="75">
                  <c:v>881.11111111111109</c:v>
                </c:pt>
                <c:pt idx="76">
                  <c:v>892.22222222222217</c:v>
                </c:pt>
                <c:pt idx="77">
                  <c:v>903.33333333333326</c:v>
                </c:pt>
                <c:pt idx="78">
                  <c:v>914.44444444444446</c:v>
                </c:pt>
                <c:pt idx="79">
                  <c:v>925.55555555555554</c:v>
                </c:pt>
                <c:pt idx="80">
                  <c:v>936.66666666666663</c:v>
                </c:pt>
                <c:pt idx="81">
                  <c:v>947.77777777777771</c:v>
                </c:pt>
                <c:pt idx="82">
                  <c:v>958.8888888888888</c:v>
                </c:pt>
                <c:pt idx="83">
                  <c:v>970</c:v>
                </c:pt>
                <c:pt idx="84">
                  <c:v>981.11111111111109</c:v>
                </c:pt>
                <c:pt idx="85">
                  <c:v>992.22222222222217</c:v>
                </c:pt>
                <c:pt idx="86">
                  <c:v>1003.3333333333333</c:v>
                </c:pt>
                <c:pt idx="87">
                  <c:v>1014.4444444444445</c:v>
                </c:pt>
                <c:pt idx="88">
                  <c:v>1025.5555555555554</c:v>
                </c:pt>
                <c:pt idx="89">
                  <c:v>1036.6666666666665</c:v>
                </c:pt>
                <c:pt idx="90">
                  <c:v>1047.7777777777778</c:v>
                </c:pt>
                <c:pt idx="91">
                  <c:v>1058.8888888888889</c:v>
                </c:pt>
                <c:pt idx="92">
                  <c:v>1070</c:v>
                </c:pt>
                <c:pt idx="93">
                  <c:v>1081.1111111111111</c:v>
                </c:pt>
                <c:pt idx="94">
                  <c:v>1092.2222222222222</c:v>
                </c:pt>
                <c:pt idx="95">
                  <c:v>1103.3333333333333</c:v>
                </c:pt>
                <c:pt idx="96">
                  <c:v>1114.4444444444443</c:v>
                </c:pt>
                <c:pt idx="97">
                  <c:v>1125.5555555555554</c:v>
                </c:pt>
                <c:pt idx="98">
                  <c:v>1136.6666666666665</c:v>
                </c:pt>
                <c:pt idx="99">
                  <c:v>1147.7777777777778</c:v>
                </c:pt>
                <c:pt idx="100">
                  <c:v>1158.8888888888889</c:v>
                </c:pt>
                <c:pt idx="101">
                  <c:v>1170</c:v>
                </c:pt>
                <c:pt idx="102">
                  <c:v>1181.1111111111111</c:v>
                </c:pt>
                <c:pt idx="103">
                  <c:v>1192.2222222222222</c:v>
                </c:pt>
                <c:pt idx="104">
                  <c:v>1203.3333333333333</c:v>
                </c:pt>
                <c:pt idx="105">
                  <c:v>1214.4444444444443</c:v>
                </c:pt>
                <c:pt idx="106">
                  <c:v>1225.5555555555554</c:v>
                </c:pt>
                <c:pt idx="107">
                  <c:v>1236.6666666666665</c:v>
                </c:pt>
                <c:pt idx="108">
                  <c:v>1247.7777777777778</c:v>
                </c:pt>
                <c:pt idx="109">
                  <c:v>1258.8888888888889</c:v>
                </c:pt>
                <c:pt idx="110">
                  <c:v>1270</c:v>
                </c:pt>
                <c:pt idx="111">
                  <c:v>1281.1111111111111</c:v>
                </c:pt>
                <c:pt idx="112">
                  <c:v>1292.2222222222222</c:v>
                </c:pt>
                <c:pt idx="113">
                  <c:v>1303.3333333333333</c:v>
                </c:pt>
                <c:pt idx="114">
                  <c:v>1314.4444444444443</c:v>
                </c:pt>
                <c:pt idx="115">
                  <c:v>1325.5555555555554</c:v>
                </c:pt>
                <c:pt idx="116">
                  <c:v>1336.6666666666665</c:v>
                </c:pt>
                <c:pt idx="117">
                  <c:v>1347.7777777777778</c:v>
                </c:pt>
                <c:pt idx="118">
                  <c:v>1358.8888888888889</c:v>
                </c:pt>
                <c:pt idx="119">
                  <c:v>1370</c:v>
                </c:pt>
                <c:pt idx="120">
                  <c:v>1381.1111111111111</c:v>
                </c:pt>
                <c:pt idx="121">
                  <c:v>1392.2222222222222</c:v>
                </c:pt>
                <c:pt idx="122">
                  <c:v>1403.3333333333333</c:v>
                </c:pt>
                <c:pt idx="123">
                  <c:v>1414.4444444444443</c:v>
                </c:pt>
                <c:pt idx="124">
                  <c:v>1425.5555555555554</c:v>
                </c:pt>
                <c:pt idx="125">
                  <c:v>1436.6666666666665</c:v>
                </c:pt>
                <c:pt idx="126">
                  <c:v>1447.7777777777778</c:v>
                </c:pt>
                <c:pt idx="127">
                  <c:v>1458.8888888888889</c:v>
                </c:pt>
                <c:pt idx="128">
                  <c:v>1470</c:v>
                </c:pt>
                <c:pt idx="129">
                  <c:v>1481.1111111111111</c:v>
                </c:pt>
                <c:pt idx="130">
                  <c:v>1492.2222222222222</c:v>
                </c:pt>
                <c:pt idx="131">
                  <c:v>1503.3333333333333</c:v>
                </c:pt>
                <c:pt idx="132">
                  <c:v>1514.4444444444443</c:v>
                </c:pt>
                <c:pt idx="133">
                  <c:v>1525.5555555555554</c:v>
                </c:pt>
                <c:pt idx="134">
                  <c:v>1536.6666666666665</c:v>
                </c:pt>
                <c:pt idx="135">
                  <c:v>1547.7777777777778</c:v>
                </c:pt>
                <c:pt idx="136">
                  <c:v>1558.8888888888889</c:v>
                </c:pt>
                <c:pt idx="137">
                  <c:v>1570</c:v>
                </c:pt>
                <c:pt idx="138">
                  <c:v>1581.1111111111111</c:v>
                </c:pt>
                <c:pt idx="139">
                  <c:v>1592.2222222222222</c:v>
                </c:pt>
                <c:pt idx="140">
                  <c:v>1603.3333333333333</c:v>
                </c:pt>
                <c:pt idx="141">
                  <c:v>1614.4444444444443</c:v>
                </c:pt>
                <c:pt idx="142">
                  <c:v>1625.5555555555554</c:v>
                </c:pt>
                <c:pt idx="143">
                  <c:v>1636.6666666666665</c:v>
                </c:pt>
                <c:pt idx="144">
                  <c:v>1647.7777777777778</c:v>
                </c:pt>
                <c:pt idx="145">
                  <c:v>1658.8888888888889</c:v>
                </c:pt>
                <c:pt idx="146">
                  <c:v>1670</c:v>
                </c:pt>
                <c:pt idx="147">
                  <c:v>1681.1111111111111</c:v>
                </c:pt>
                <c:pt idx="148">
                  <c:v>1692.2222222222222</c:v>
                </c:pt>
                <c:pt idx="149">
                  <c:v>1703.3333333333333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Ranges!$E$6</c:f>
              <c:strCache>
                <c:ptCount val="1"/>
                <c:pt idx="0">
                  <c:v>Volucris Leyshaper</c:v>
                </c:pt>
              </c:strCache>
            </c:strRef>
          </c:tx>
          <c:marker>
            <c:symbol val="none"/>
          </c:marker>
          <c:xVal>
            <c:numRef>
              <c:f>Ranges!$A$7:$A$156</c:f>
              <c:numCache>
                <c:formatCode>General</c:formatCode>
                <c:ptCount val="1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</c:numCache>
            </c:numRef>
          </c:xVal>
          <c:yVal>
            <c:numRef>
              <c:f>Ranges!$E$7:$E$156</c:f>
              <c:numCache>
                <c:formatCode>0</c:formatCode>
                <c:ptCount val="150"/>
                <c:pt idx="0">
                  <c:v>48.555555555555557</c:v>
                </c:pt>
                <c:pt idx="1">
                  <c:v>60.444444444444443</c:v>
                </c:pt>
                <c:pt idx="2">
                  <c:v>72.333333333333329</c:v>
                </c:pt>
                <c:pt idx="3">
                  <c:v>84.222222222222229</c:v>
                </c:pt>
                <c:pt idx="4">
                  <c:v>96.111111111111114</c:v>
                </c:pt>
                <c:pt idx="5">
                  <c:v>108</c:v>
                </c:pt>
                <c:pt idx="6">
                  <c:v>119.88888888888889</c:v>
                </c:pt>
                <c:pt idx="7">
                  <c:v>131.77777777777777</c:v>
                </c:pt>
                <c:pt idx="8">
                  <c:v>143.66666666666666</c:v>
                </c:pt>
                <c:pt idx="9">
                  <c:v>155.55555555555554</c:v>
                </c:pt>
                <c:pt idx="10">
                  <c:v>167.44444444444446</c:v>
                </c:pt>
                <c:pt idx="11">
                  <c:v>179.33333333333334</c:v>
                </c:pt>
                <c:pt idx="12">
                  <c:v>191.22222222222223</c:v>
                </c:pt>
                <c:pt idx="13">
                  <c:v>203.11111111111111</c:v>
                </c:pt>
                <c:pt idx="14">
                  <c:v>215</c:v>
                </c:pt>
                <c:pt idx="15">
                  <c:v>226.88888888888889</c:v>
                </c:pt>
                <c:pt idx="16">
                  <c:v>238.77777777777777</c:v>
                </c:pt>
                <c:pt idx="17">
                  <c:v>250.66666666666669</c:v>
                </c:pt>
                <c:pt idx="18">
                  <c:v>262.55555555555554</c:v>
                </c:pt>
                <c:pt idx="19">
                  <c:v>274.44444444444446</c:v>
                </c:pt>
                <c:pt idx="20">
                  <c:v>286.33333333333331</c:v>
                </c:pt>
                <c:pt idx="21">
                  <c:v>298.22222222222223</c:v>
                </c:pt>
                <c:pt idx="22">
                  <c:v>310.11111111111114</c:v>
                </c:pt>
                <c:pt idx="23">
                  <c:v>322</c:v>
                </c:pt>
                <c:pt idx="24">
                  <c:v>333.88888888888891</c:v>
                </c:pt>
                <c:pt idx="25">
                  <c:v>345.77777777777777</c:v>
                </c:pt>
                <c:pt idx="26">
                  <c:v>357.66666666666669</c:v>
                </c:pt>
                <c:pt idx="27">
                  <c:v>369.55555555555554</c:v>
                </c:pt>
                <c:pt idx="28">
                  <c:v>381.44444444444446</c:v>
                </c:pt>
                <c:pt idx="29">
                  <c:v>393.33333333333337</c:v>
                </c:pt>
                <c:pt idx="30">
                  <c:v>405.22222222222223</c:v>
                </c:pt>
                <c:pt idx="31">
                  <c:v>417.11111111111114</c:v>
                </c:pt>
                <c:pt idx="32">
                  <c:v>429</c:v>
                </c:pt>
                <c:pt idx="33">
                  <c:v>440.88888888888891</c:v>
                </c:pt>
                <c:pt idx="34">
                  <c:v>452.77777777777777</c:v>
                </c:pt>
                <c:pt idx="35">
                  <c:v>464.66666666666669</c:v>
                </c:pt>
                <c:pt idx="36">
                  <c:v>476.55555555555554</c:v>
                </c:pt>
                <c:pt idx="37">
                  <c:v>488.44444444444446</c:v>
                </c:pt>
                <c:pt idx="38">
                  <c:v>500.33333333333337</c:v>
                </c:pt>
                <c:pt idx="39">
                  <c:v>512.22222222222229</c:v>
                </c:pt>
                <c:pt idx="40">
                  <c:v>524.11111111111109</c:v>
                </c:pt>
                <c:pt idx="41">
                  <c:v>536</c:v>
                </c:pt>
                <c:pt idx="42">
                  <c:v>547.88888888888891</c:v>
                </c:pt>
                <c:pt idx="43">
                  <c:v>559.77777777777783</c:v>
                </c:pt>
                <c:pt idx="44">
                  <c:v>571.66666666666663</c:v>
                </c:pt>
                <c:pt idx="45">
                  <c:v>583.55555555555554</c:v>
                </c:pt>
                <c:pt idx="46">
                  <c:v>595.44444444444446</c:v>
                </c:pt>
                <c:pt idx="47">
                  <c:v>607.33333333333337</c:v>
                </c:pt>
                <c:pt idx="48">
                  <c:v>619.22222222222229</c:v>
                </c:pt>
                <c:pt idx="49">
                  <c:v>631.11111111111109</c:v>
                </c:pt>
                <c:pt idx="50">
                  <c:v>643</c:v>
                </c:pt>
                <c:pt idx="51">
                  <c:v>654.88888888888891</c:v>
                </c:pt>
                <c:pt idx="52">
                  <c:v>666.77777777777783</c:v>
                </c:pt>
                <c:pt idx="53">
                  <c:v>678.66666666666674</c:v>
                </c:pt>
                <c:pt idx="54">
                  <c:v>690.55555555555554</c:v>
                </c:pt>
                <c:pt idx="55">
                  <c:v>702.44444444444446</c:v>
                </c:pt>
                <c:pt idx="56">
                  <c:v>714.33333333333337</c:v>
                </c:pt>
                <c:pt idx="57">
                  <c:v>726.22222222222229</c:v>
                </c:pt>
                <c:pt idx="58">
                  <c:v>738.11111111111109</c:v>
                </c:pt>
                <c:pt idx="59">
                  <c:v>750</c:v>
                </c:pt>
                <c:pt idx="60">
                  <c:v>761.88888888888891</c:v>
                </c:pt>
                <c:pt idx="61">
                  <c:v>773.77777777777783</c:v>
                </c:pt>
                <c:pt idx="62">
                  <c:v>785.66666666666674</c:v>
                </c:pt>
                <c:pt idx="63">
                  <c:v>797.55555555555554</c:v>
                </c:pt>
                <c:pt idx="64">
                  <c:v>809.44444444444446</c:v>
                </c:pt>
                <c:pt idx="65">
                  <c:v>821.33333333333337</c:v>
                </c:pt>
                <c:pt idx="66">
                  <c:v>833.22222222222229</c:v>
                </c:pt>
                <c:pt idx="67">
                  <c:v>845.11111111111109</c:v>
                </c:pt>
                <c:pt idx="68">
                  <c:v>857</c:v>
                </c:pt>
                <c:pt idx="69">
                  <c:v>868.88888888888891</c:v>
                </c:pt>
                <c:pt idx="70">
                  <c:v>880.77777777777783</c:v>
                </c:pt>
                <c:pt idx="71">
                  <c:v>892.66666666666674</c:v>
                </c:pt>
                <c:pt idx="72">
                  <c:v>904.55555555555554</c:v>
                </c:pt>
                <c:pt idx="73">
                  <c:v>916.44444444444446</c:v>
                </c:pt>
                <c:pt idx="74">
                  <c:v>928.33333333333337</c:v>
                </c:pt>
                <c:pt idx="75">
                  <c:v>940.22222222222229</c:v>
                </c:pt>
                <c:pt idx="76">
                  <c:v>952.11111111111109</c:v>
                </c:pt>
                <c:pt idx="77">
                  <c:v>964</c:v>
                </c:pt>
                <c:pt idx="78">
                  <c:v>975.88888888888891</c:v>
                </c:pt>
                <c:pt idx="79">
                  <c:v>987.77777777777783</c:v>
                </c:pt>
                <c:pt idx="80">
                  <c:v>999.66666666666674</c:v>
                </c:pt>
                <c:pt idx="81">
                  <c:v>1011.5555555555555</c:v>
                </c:pt>
                <c:pt idx="82">
                  <c:v>1023.4444444444445</c:v>
                </c:pt>
                <c:pt idx="83">
                  <c:v>1035.3333333333333</c:v>
                </c:pt>
                <c:pt idx="84">
                  <c:v>1047.2222222222222</c:v>
                </c:pt>
                <c:pt idx="85">
                  <c:v>1059.1111111111111</c:v>
                </c:pt>
                <c:pt idx="86">
                  <c:v>1071</c:v>
                </c:pt>
                <c:pt idx="87">
                  <c:v>1082.8888888888889</c:v>
                </c:pt>
                <c:pt idx="88">
                  <c:v>1094.7777777777778</c:v>
                </c:pt>
                <c:pt idx="89">
                  <c:v>1106.6666666666667</c:v>
                </c:pt>
                <c:pt idx="90">
                  <c:v>1118.5555555555557</c:v>
                </c:pt>
                <c:pt idx="91">
                  <c:v>1130.4444444444446</c:v>
                </c:pt>
                <c:pt idx="92">
                  <c:v>1142.3333333333333</c:v>
                </c:pt>
                <c:pt idx="93">
                  <c:v>1154.2222222222222</c:v>
                </c:pt>
                <c:pt idx="94">
                  <c:v>1166.1111111111111</c:v>
                </c:pt>
                <c:pt idx="95">
                  <c:v>1178</c:v>
                </c:pt>
                <c:pt idx="96">
                  <c:v>1189.8888888888889</c:v>
                </c:pt>
                <c:pt idx="97">
                  <c:v>1201.7777777777778</c:v>
                </c:pt>
                <c:pt idx="98">
                  <c:v>1213.6666666666667</c:v>
                </c:pt>
                <c:pt idx="99">
                  <c:v>1225.5555555555557</c:v>
                </c:pt>
                <c:pt idx="100">
                  <c:v>1237.4444444444446</c:v>
                </c:pt>
                <c:pt idx="101">
                  <c:v>1249.3333333333335</c:v>
                </c:pt>
                <c:pt idx="102">
                  <c:v>1261.2222222222222</c:v>
                </c:pt>
                <c:pt idx="103">
                  <c:v>1273.1111111111111</c:v>
                </c:pt>
                <c:pt idx="104">
                  <c:v>1285</c:v>
                </c:pt>
                <c:pt idx="105">
                  <c:v>1296.8888888888889</c:v>
                </c:pt>
                <c:pt idx="106">
                  <c:v>1308.7777777777778</c:v>
                </c:pt>
                <c:pt idx="107">
                  <c:v>1320.6666666666667</c:v>
                </c:pt>
                <c:pt idx="108">
                  <c:v>1332.5555555555557</c:v>
                </c:pt>
                <c:pt idx="109">
                  <c:v>1344.4444444444446</c:v>
                </c:pt>
                <c:pt idx="110">
                  <c:v>1356.3333333333335</c:v>
                </c:pt>
                <c:pt idx="111">
                  <c:v>1368.2222222222222</c:v>
                </c:pt>
                <c:pt idx="112">
                  <c:v>1380.1111111111111</c:v>
                </c:pt>
                <c:pt idx="113">
                  <c:v>1392</c:v>
                </c:pt>
                <c:pt idx="114">
                  <c:v>1403.8888888888889</c:v>
                </c:pt>
                <c:pt idx="115">
                  <c:v>1415.7777777777778</c:v>
                </c:pt>
                <c:pt idx="116">
                  <c:v>1427.6666666666667</c:v>
                </c:pt>
                <c:pt idx="117">
                  <c:v>1439.5555555555557</c:v>
                </c:pt>
                <c:pt idx="118">
                  <c:v>1451.4444444444446</c:v>
                </c:pt>
                <c:pt idx="119">
                  <c:v>1463.3333333333335</c:v>
                </c:pt>
                <c:pt idx="120">
                  <c:v>1475.2222222222222</c:v>
                </c:pt>
                <c:pt idx="121">
                  <c:v>1487.1111111111111</c:v>
                </c:pt>
                <c:pt idx="122">
                  <c:v>1499</c:v>
                </c:pt>
                <c:pt idx="123">
                  <c:v>1510.8888888888889</c:v>
                </c:pt>
                <c:pt idx="124">
                  <c:v>1522.7777777777778</c:v>
                </c:pt>
                <c:pt idx="125">
                  <c:v>1534.6666666666667</c:v>
                </c:pt>
                <c:pt idx="126">
                  <c:v>1546.5555555555557</c:v>
                </c:pt>
                <c:pt idx="127">
                  <c:v>1558.4444444444446</c:v>
                </c:pt>
                <c:pt idx="128">
                  <c:v>1570.3333333333335</c:v>
                </c:pt>
                <c:pt idx="129">
                  <c:v>1582.2222222222222</c:v>
                </c:pt>
                <c:pt idx="130">
                  <c:v>1594.1111111111111</c:v>
                </c:pt>
                <c:pt idx="131">
                  <c:v>1606</c:v>
                </c:pt>
                <c:pt idx="132">
                  <c:v>1617.8888888888889</c:v>
                </c:pt>
                <c:pt idx="133">
                  <c:v>1629.7777777777778</c:v>
                </c:pt>
                <c:pt idx="134">
                  <c:v>1641.6666666666667</c:v>
                </c:pt>
                <c:pt idx="135">
                  <c:v>1653.5555555555557</c:v>
                </c:pt>
                <c:pt idx="136">
                  <c:v>1665.4444444444446</c:v>
                </c:pt>
                <c:pt idx="137">
                  <c:v>1677.3333333333335</c:v>
                </c:pt>
                <c:pt idx="138">
                  <c:v>1689.2222222222222</c:v>
                </c:pt>
                <c:pt idx="139">
                  <c:v>1701.1111111111111</c:v>
                </c:pt>
                <c:pt idx="140">
                  <c:v>1713</c:v>
                </c:pt>
                <c:pt idx="141">
                  <c:v>1724.8888888888889</c:v>
                </c:pt>
                <c:pt idx="142">
                  <c:v>1736.7777777777778</c:v>
                </c:pt>
                <c:pt idx="143">
                  <c:v>1748.6666666666667</c:v>
                </c:pt>
                <c:pt idx="144">
                  <c:v>1760.5555555555557</c:v>
                </c:pt>
                <c:pt idx="145">
                  <c:v>1772.4444444444446</c:v>
                </c:pt>
                <c:pt idx="146">
                  <c:v>1784.3333333333335</c:v>
                </c:pt>
                <c:pt idx="147">
                  <c:v>1796.2222222222222</c:v>
                </c:pt>
                <c:pt idx="148">
                  <c:v>1808.1111111111111</c:v>
                </c:pt>
                <c:pt idx="149">
                  <c:v>1820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Ranges!$F$6</c:f>
              <c:strCache>
                <c:ptCount val="1"/>
                <c:pt idx="0">
                  <c:v>Volucris Hunter</c:v>
                </c:pt>
              </c:strCache>
            </c:strRef>
          </c:tx>
          <c:marker>
            <c:symbol val="none"/>
          </c:marker>
          <c:xVal>
            <c:numRef>
              <c:f>Ranges!$A$7:$A$156</c:f>
              <c:numCache>
                <c:formatCode>General</c:formatCode>
                <c:ptCount val="1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</c:numCache>
            </c:numRef>
          </c:xVal>
          <c:yVal>
            <c:numRef>
              <c:f>Ranges!$F$7:$F$156</c:f>
              <c:numCache>
                <c:formatCode>0</c:formatCode>
                <c:ptCount val="150"/>
                <c:pt idx="0">
                  <c:v>50.111111111111107</c:v>
                </c:pt>
                <c:pt idx="1">
                  <c:v>63.555555555555557</c:v>
                </c:pt>
                <c:pt idx="2">
                  <c:v>77</c:v>
                </c:pt>
                <c:pt idx="3">
                  <c:v>90.444444444444443</c:v>
                </c:pt>
                <c:pt idx="4">
                  <c:v>103.88888888888889</c:v>
                </c:pt>
                <c:pt idx="5">
                  <c:v>117.33333333333333</c:v>
                </c:pt>
                <c:pt idx="6">
                  <c:v>130.77777777777777</c:v>
                </c:pt>
                <c:pt idx="7">
                  <c:v>144.22222222222223</c:v>
                </c:pt>
                <c:pt idx="8">
                  <c:v>157.66666666666666</c:v>
                </c:pt>
                <c:pt idx="9">
                  <c:v>171.11111111111111</c:v>
                </c:pt>
                <c:pt idx="10">
                  <c:v>184.55555555555554</c:v>
                </c:pt>
                <c:pt idx="11">
                  <c:v>198</c:v>
                </c:pt>
                <c:pt idx="12">
                  <c:v>211.44444444444446</c:v>
                </c:pt>
                <c:pt idx="13">
                  <c:v>224.88888888888889</c:v>
                </c:pt>
                <c:pt idx="14">
                  <c:v>238.33333333333334</c:v>
                </c:pt>
                <c:pt idx="15">
                  <c:v>251.77777777777777</c:v>
                </c:pt>
                <c:pt idx="16">
                  <c:v>265.22222222222223</c:v>
                </c:pt>
                <c:pt idx="17">
                  <c:v>278.66666666666669</c:v>
                </c:pt>
                <c:pt idx="18">
                  <c:v>292.11111111111109</c:v>
                </c:pt>
                <c:pt idx="19">
                  <c:v>305.55555555555554</c:v>
                </c:pt>
                <c:pt idx="20">
                  <c:v>319</c:v>
                </c:pt>
                <c:pt idx="21">
                  <c:v>332.44444444444446</c:v>
                </c:pt>
                <c:pt idx="22">
                  <c:v>345.88888888888891</c:v>
                </c:pt>
                <c:pt idx="23">
                  <c:v>359.33333333333331</c:v>
                </c:pt>
                <c:pt idx="24">
                  <c:v>372.77777777777777</c:v>
                </c:pt>
                <c:pt idx="25">
                  <c:v>386.22222222222223</c:v>
                </c:pt>
                <c:pt idx="26">
                  <c:v>399.66666666666669</c:v>
                </c:pt>
                <c:pt idx="27">
                  <c:v>413.11111111111109</c:v>
                </c:pt>
                <c:pt idx="28">
                  <c:v>426.55555555555554</c:v>
                </c:pt>
                <c:pt idx="29">
                  <c:v>440</c:v>
                </c:pt>
                <c:pt idx="30">
                  <c:v>453.44444444444446</c:v>
                </c:pt>
                <c:pt idx="31">
                  <c:v>466.88888888888891</c:v>
                </c:pt>
                <c:pt idx="32">
                  <c:v>480.33333333333331</c:v>
                </c:pt>
                <c:pt idx="33">
                  <c:v>493.77777777777777</c:v>
                </c:pt>
                <c:pt idx="34">
                  <c:v>507.22222222222223</c:v>
                </c:pt>
                <c:pt idx="35">
                  <c:v>520.66666666666663</c:v>
                </c:pt>
                <c:pt idx="36">
                  <c:v>534.11111111111109</c:v>
                </c:pt>
                <c:pt idx="37">
                  <c:v>547.55555555555554</c:v>
                </c:pt>
                <c:pt idx="38">
                  <c:v>561</c:v>
                </c:pt>
                <c:pt idx="39">
                  <c:v>574.44444444444446</c:v>
                </c:pt>
                <c:pt idx="40">
                  <c:v>587.88888888888891</c:v>
                </c:pt>
                <c:pt idx="41">
                  <c:v>601.33333333333337</c:v>
                </c:pt>
                <c:pt idx="42">
                  <c:v>614.77777777777783</c:v>
                </c:pt>
                <c:pt idx="43">
                  <c:v>628.22222222222217</c:v>
                </c:pt>
                <c:pt idx="44">
                  <c:v>641.66666666666663</c:v>
                </c:pt>
                <c:pt idx="45">
                  <c:v>655.11111111111109</c:v>
                </c:pt>
                <c:pt idx="46">
                  <c:v>668.55555555555554</c:v>
                </c:pt>
                <c:pt idx="47">
                  <c:v>682</c:v>
                </c:pt>
                <c:pt idx="48">
                  <c:v>695.44444444444446</c:v>
                </c:pt>
                <c:pt idx="49">
                  <c:v>708.88888888888891</c:v>
                </c:pt>
                <c:pt idx="50">
                  <c:v>722.33333333333337</c:v>
                </c:pt>
                <c:pt idx="51">
                  <c:v>735.77777777777783</c:v>
                </c:pt>
                <c:pt idx="52">
                  <c:v>749.22222222222229</c:v>
                </c:pt>
                <c:pt idx="53">
                  <c:v>762.66666666666663</c:v>
                </c:pt>
                <c:pt idx="54">
                  <c:v>776.11111111111109</c:v>
                </c:pt>
                <c:pt idx="55">
                  <c:v>789.55555555555554</c:v>
                </c:pt>
                <c:pt idx="56">
                  <c:v>803</c:v>
                </c:pt>
                <c:pt idx="57">
                  <c:v>816.44444444444446</c:v>
                </c:pt>
                <c:pt idx="58">
                  <c:v>829.88888888888891</c:v>
                </c:pt>
                <c:pt idx="59">
                  <c:v>843.33333333333337</c:v>
                </c:pt>
                <c:pt idx="60">
                  <c:v>856.77777777777783</c:v>
                </c:pt>
                <c:pt idx="61">
                  <c:v>870.22222222222229</c:v>
                </c:pt>
                <c:pt idx="62">
                  <c:v>883.66666666666663</c:v>
                </c:pt>
                <c:pt idx="63">
                  <c:v>897.11111111111109</c:v>
                </c:pt>
                <c:pt idx="64">
                  <c:v>910.55555555555554</c:v>
                </c:pt>
                <c:pt idx="65">
                  <c:v>924</c:v>
                </c:pt>
                <c:pt idx="66">
                  <c:v>937.44444444444446</c:v>
                </c:pt>
                <c:pt idx="67">
                  <c:v>950.88888888888891</c:v>
                </c:pt>
                <c:pt idx="68">
                  <c:v>964.33333333333337</c:v>
                </c:pt>
                <c:pt idx="69">
                  <c:v>977.77777777777783</c:v>
                </c:pt>
                <c:pt idx="70">
                  <c:v>991.22222222222229</c:v>
                </c:pt>
                <c:pt idx="71">
                  <c:v>1004.6666666666666</c:v>
                </c:pt>
                <c:pt idx="72">
                  <c:v>1018.1111111111111</c:v>
                </c:pt>
                <c:pt idx="73">
                  <c:v>1031.5555555555557</c:v>
                </c:pt>
                <c:pt idx="74">
                  <c:v>1045</c:v>
                </c:pt>
                <c:pt idx="75">
                  <c:v>1058.4444444444443</c:v>
                </c:pt>
                <c:pt idx="76">
                  <c:v>1071.8888888888889</c:v>
                </c:pt>
                <c:pt idx="77">
                  <c:v>1085.3333333333333</c:v>
                </c:pt>
                <c:pt idx="78">
                  <c:v>1098.7777777777778</c:v>
                </c:pt>
                <c:pt idx="79">
                  <c:v>1112.2222222222222</c:v>
                </c:pt>
                <c:pt idx="80">
                  <c:v>1125.6666666666667</c:v>
                </c:pt>
                <c:pt idx="81">
                  <c:v>1139.1111111111111</c:v>
                </c:pt>
                <c:pt idx="82">
                  <c:v>1152.5555555555557</c:v>
                </c:pt>
                <c:pt idx="83">
                  <c:v>1166</c:v>
                </c:pt>
                <c:pt idx="84">
                  <c:v>1179.4444444444446</c:v>
                </c:pt>
                <c:pt idx="85">
                  <c:v>1192.8888888888889</c:v>
                </c:pt>
                <c:pt idx="86">
                  <c:v>1206.3333333333333</c:v>
                </c:pt>
                <c:pt idx="87">
                  <c:v>1219.7777777777778</c:v>
                </c:pt>
                <c:pt idx="88">
                  <c:v>1233.2222222222222</c:v>
                </c:pt>
                <c:pt idx="89">
                  <c:v>1246.6666666666667</c:v>
                </c:pt>
                <c:pt idx="90">
                  <c:v>1260.1111111111111</c:v>
                </c:pt>
                <c:pt idx="91">
                  <c:v>1273.5555555555557</c:v>
                </c:pt>
                <c:pt idx="92">
                  <c:v>1287</c:v>
                </c:pt>
                <c:pt idx="93">
                  <c:v>1300.4444444444446</c:v>
                </c:pt>
                <c:pt idx="94">
                  <c:v>1313.8888888888889</c:v>
                </c:pt>
                <c:pt idx="95">
                  <c:v>1327.3333333333333</c:v>
                </c:pt>
                <c:pt idx="96">
                  <c:v>1340.7777777777778</c:v>
                </c:pt>
                <c:pt idx="97">
                  <c:v>1354.2222222222222</c:v>
                </c:pt>
                <c:pt idx="98">
                  <c:v>1367.6666666666667</c:v>
                </c:pt>
                <c:pt idx="99">
                  <c:v>1381.1111111111111</c:v>
                </c:pt>
                <c:pt idx="100">
                  <c:v>1394.5555555555557</c:v>
                </c:pt>
                <c:pt idx="101">
                  <c:v>1408</c:v>
                </c:pt>
                <c:pt idx="102">
                  <c:v>1421.4444444444446</c:v>
                </c:pt>
                <c:pt idx="103">
                  <c:v>1434.8888888888889</c:v>
                </c:pt>
                <c:pt idx="104">
                  <c:v>1448.3333333333333</c:v>
                </c:pt>
                <c:pt idx="105">
                  <c:v>1461.7777777777778</c:v>
                </c:pt>
                <c:pt idx="106">
                  <c:v>1475.2222222222222</c:v>
                </c:pt>
                <c:pt idx="107">
                  <c:v>1488.6666666666667</c:v>
                </c:pt>
                <c:pt idx="108">
                  <c:v>1502.1111111111111</c:v>
                </c:pt>
                <c:pt idx="109">
                  <c:v>1515.5555555555557</c:v>
                </c:pt>
                <c:pt idx="110">
                  <c:v>1529</c:v>
                </c:pt>
                <c:pt idx="111">
                  <c:v>1542.4444444444446</c:v>
                </c:pt>
                <c:pt idx="112">
                  <c:v>1555.8888888888889</c:v>
                </c:pt>
                <c:pt idx="113">
                  <c:v>1569.3333333333333</c:v>
                </c:pt>
                <c:pt idx="114">
                  <c:v>1582.7777777777778</c:v>
                </c:pt>
                <c:pt idx="115">
                  <c:v>1596.2222222222222</c:v>
                </c:pt>
                <c:pt idx="116">
                  <c:v>1609.6666666666667</c:v>
                </c:pt>
                <c:pt idx="117">
                  <c:v>1623.1111111111111</c:v>
                </c:pt>
                <c:pt idx="118">
                  <c:v>1636.5555555555557</c:v>
                </c:pt>
                <c:pt idx="119">
                  <c:v>1650</c:v>
                </c:pt>
                <c:pt idx="120">
                  <c:v>1663.4444444444446</c:v>
                </c:pt>
                <c:pt idx="121">
                  <c:v>1676.8888888888889</c:v>
                </c:pt>
                <c:pt idx="122">
                  <c:v>1690.3333333333333</c:v>
                </c:pt>
                <c:pt idx="123">
                  <c:v>1703.7777777777778</c:v>
                </c:pt>
                <c:pt idx="124">
                  <c:v>1717.2222222222222</c:v>
                </c:pt>
                <c:pt idx="125">
                  <c:v>1730.6666666666667</c:v>
                </c:pt>
                <c:pt idx="126">
                  <c:v>1744.1111111111111</c:v>
                </c:pt>
                <c:pt idx="127">
                  <c:v>1757.5555555555557</c:v>
                </c:pt>
                <c:pt idx="128">
                  <c:v>1771</c:v>
                </c:pt>
                <c:pt idx="129">
                  <c:v>1784.4444444444446</c:v>
                </c:pt>
                <c:pt idx="130">
                  <c:v>1797.8888888888889</c:v>
                </c:pt>
                <c:pt idx="131">
                  <c:v>1811.3333333333333</c:v>
                </c:pt>
                <c:pt idx="132">
                  <c:v>1824.7777777777778</c:v>
                </c:pt>
                <c:pt idx="133">
                  <c:v>1838.2222222222222</c:v>
                </c:pt>
                <c:pt idx="134">
                  <c:v>1851.6666666666667</c:v>
                </c:pt>
                <c:pt idx="135">
                  <c:v>1865.1111111111111</c:v>
                </c:pt>
                <c:pt idx="136">
                  <c:v>1878.5555555555557</c:v>
                </c:pt>
                <c:pt idx="137">
                  <c:v>1892</c:v>
                </c:pt>
                <c:pt idx="138">
                  <c:v>1905.4444444444446</c:v>
                </c:pt>
                <c:pt idx="139">
                  <c:v>1918.8888888888889</c:v>
                </c:pt>
                <c:pt idx="140">
                  <c:v>1932.3333333333333</c:v>
                </c:pt>
                <c:pt idx="141">
                  <c:v>1945.7777777777778</c:v>
                </c:pt>
                <c:pt idx="142">
                  <c:v>1959.2222222222222</c:v>
                </c:pt>
                <c:pt idx="143">
                  <c:v>1972.6666666666667</c:v>
                </c:pt>
                <c:pt idx="144">
                  <c:v>1986.1111111111111</c:v>
                </c:pt>
                <c:pt idx="145">
                  <c:v>1999.5555555555557</c:v>
                </c:pt>
                <c:pt idx="146">
                  <c:v>2013</c:v>
                </c:pt>
                <c:pt idx="147">
                  <c:v>2026.4444444444446</c:v>
                </c:pt>
                <c:pt idx="148">
                  <c:v>2039.8888888888889</c:v>
                </c:pt>
                <c:pt idx="149">
                  <c:v>2053.3333333333335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Ranges!$G$6</c:f>
              <c:strCache>
                <c:ptCount val="1"/>
                <c:pt idx="0">
                  <c:v>Volucris Paladin</c:v>
                </c:pt>
              </c:strCache>
            </c:strRef>
          </c:tx>
          <c:marker>
            <c:symbol val="none"/>
          </c:marker>
          <c:xVal>
            <c:numRef>
              <c:f>Ranges!$A$7:$A$156</c:f>
              <c:numCache>
                <c:formatCode>General</c:formatCode>
                <c:ptCount val="1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</c:numCache>
            </c:numRef>
          </c:xVal>
          <c:yVal>
            <c:numRef>
              <c:f>Ranges!$G$7:$G$156</c:f>
              <c:numCache>
                <c:formatCode>0</c:formatCode>
                <c:ptCount val="150"/>
                <c:pt idx="0">
                  <c:v>50.888888888888886</c:v>
                </c:pt>
                <c:pt idx="1">
                  <c:v>65.111111111111114</c:v>
                </c:pt>
                <c:pt idx="2">
                  <c:v>79.333333333333329</c:v>
                </c:pt>
                <c:pt idx="3">
                  <c:v>93.555555555555543</c:v>
                </c:pt>
                <c:pt idx="4">
                  <c:v>107.77777777777777</c:v>
                </c:pt>
                <c:pt idx="5">
                  <c:v>122</c:v>
                </c:pt>
                <c:pt idx="6">
                  <c:v>136.22222222222223</c:v>
                </c:pt>
                <c:pt idx="7">
                  <c:v>150.44444444444443</c:v>
                </c:pt>
                <c:pt idx="8">
                  <c:v>164.66666666666666</c:v>
                </c:pt>
                <c:pt idx="9">
                  <c:v>178.88888888888889</c:v>
                </c:pt>
                <c:pt idx="10">
                  <c:v>193.11111111111109</c:v>
                </c:pt>
                <c:pt idx="11">
                  <c:v>207.33333333333331</c:v>
                </c:pt>
                <c:pt idx="12">
                  <c:v>221.55555555555554</c:v>
                </c:pt>
                <c:pt idx="13">
                  <c:v>235.77777777777777</c:v>
                </c:pt>
                <c:pt idx="14">
                  <c:v>250</c:v>
                </c:pt>
                <c:pt idx="15">
                  <c:v>264.22222222222223</c:v>
                </c:pt>
                <c:pt idx="16">
                  <c:v>278.44444444444446</c:v>
                </c:pt>
                <c:pt idx="17">
                  <c:v>292.66666666666663</c:v>
                </c:pt>
                <c:pt idx="18">
                  <c:v>306.88888888888886</c:v>
                </c:pt>
                <c:pt idx="19">
                  <c:v>321.11111111111109</c:v>
                </c:pt>
                <c:pt idx="20">
                  <c:v>335.33333333333331</c:v>
                </c:pt>
                <c:pt idx="21">
                  <c:v>349.55555555555554</c:v>
                </c:pt>
                <c:pt idx="22">
                  <c:v>363.77777777777777</c:v>
                </c:pt>
                <c:pt idx="23">
                  <c:v>378</c:v>
                </c:pt>
                <c:pt idx="24">
                  <c:v>392.22222222222217</c:v>
                </c:pt>
                <c:pt idx="25">
                  <c:v>406.4444444444444</c:v>
                </c:pt>
                <c:pt idx="26">
                  <c:v>420.66666666666663</c:v>
                </c:pt>
                <c:pt idx="27">
                  <c:v>434.88888888888886</c:v>
                </c:pt>
                <c:pt idx="28">
                  <c:v>449.11111111111109</c:v>
                </c:pt>
                <c:pt idx="29">
                  <c:v>463.33333333333331</c:v>
                </c:pt>
                <c:pt idx="30">
                  <c:v>477.55555555555554</c:v>
                </c:pt>
                <c:pt idx="31">
                  <c:v>491.77777777777777</c:v>
                </c:pt>
                <c:pt idx="32">
                  <c:v>506</c:v>
                </c:pt>
                <c:pt idx="33">
                  <c:v>520.22222222222217</c:v>
                </c:pt>
                <c:pt idx="34">
                  <c:v>534.44444444444446</c:v>
                </c:pt>
                <c:pt idx="35">
                  <c:v>548.66666666666663</c:v>
                </c:pt>
                <c:pt idx="36">
                  <c:v>562.88888888888891</c:v>
                </c:pt>
                <c:pt idx="37">
                  <c:v>577.11111111111109</c:v>
                </c:pt>
                <c:pt idx="38">
                  <c:v>591.33333333333326</c:v>
                </c:pt>
                <c:pt idx="39">
                  <c:v>605.55555555555554</c:v>
                </c:pt>
                <c:pt idx="40">
                  <c:v>619.77777777777771</c:v>
                </c:pt>
                <c:pt idx="41">
                  <c:v>634</c:v>
                </c:pt>
                <c:pt idx="42">
                  <c:v>648.22222222222217</c:v>
                </c:pt>
                <c:pt idx="43">
                  <c:v>662.44444444444446</c:v>
                </c:pt>
                <c:pt idx="44">
                  <c:v>676.66666666666663</c:v>
                </c:pt>
                <c:pt idx="45">
                  <c:v>690.8888888888888</c:v>
                </c:pt>
                <c:pt idx="46">
                  <c:v>705.11111111111109</c:v>
                </c:pt>
                <c:pt idx="47">
                  <c:v>719.33333333333326</c:v>
                </c:pt>
                <c:pt idx="48">
                  <c:v>733.55555555555554</c:v>
                </c:pt>
                <c:pt idx="49">
                  <c:v>747.77777777777771</c:v>
                </c:pt>
                <c:pt idx="50">
                  <c:v>762</c:v>
                </c:pt>
                <c:pt idx="51">
                  <c:v>776.22222222222217</c:v>
                </c:pt>
                <c:pt idx="52">
                  <c:v>790.44444444444434</c:v>
                </c:pt>
                <c:pt idx="53">
                  <c:v>804.66666666666663</c:v>
                </c:pt>
                <c:pt idx="54">
                  <c:v>818.8888888888888</c:v>
                </c:pt>
                <c:pt idx="55">
                  <c:v>833.11111111111109</c:v>
                </c:pt>
                <c:pt idx="56">
                  <c:v>847.33333333333326</c:v>
                </c:pt>
                <c:pt idx="57">
                  <c:v>861.55555555555554</c:v>
                </c:pt>
                <c:pt idx="58">
                  <c:v>875.77777777777771</c:v>
                </c:pt>
                <c:pt idx="59">
                  <c:v>890</c:v>
                </c:pt>
                <c:pt idx="60">
                  <c:v>904.22222222222217</c:v>
                </c:pt>
                <c:pt idx="61">
                  <c:v>918.44444444444434</c:v>
                </c:pt>
                <c:pt idx="62">
                  <c:v>932.66666666666663</c:v>
                </c:pt>
                <c:pt idx="63">
                  <c:v>946.8888888888888</c:v>
                </c:pt>
                <c:pt idx="64">
                  <c:v>961.11111111111109</c:v>
                </c:pt>
                <c:pt idx="65">
                  <c:v>975.33333333333326</c:v>
                </c:pt>
                <c:pt idx="66">
                  <c:v>989.55555555555554</c:v>
                </c:pt>
                <c:pt idx="67">
                  <c:v>1003.7777777777777</c:v>
                </c:pt>
                <c:pt idx="68">
                  <c:v>1018</c:v>
                </c:pt>
                <c:pt idx="69">
                  <c:v>1032.2222222222222</c:v>
                </c:pt>
                <c:pt idx="70">
                  <c:v>1046.4444444444443</c:v>
                </c:pt>
                <c:pt idx="71">
                  <c:v>1060.6666666666665</c:v>
                </c:pt>
                <c:pt idx="72">
                  <c:v>1074.8888888888889</c:v>
                </c:pt>
                <c:pt idx="73">
                  <c:v>1089.1111111111111</c:v>
                </c:pt>
                <c:pt idx="74">
                  <c:v>1103.3333333333333</c:v>
                </c:pt>
                <c:pt idx="75">
                  <c:v>1117.5555555555554</c:v>
                </c:pt>
                <c:pt idx="76">
                  <c:v>1131.7777777777778</c:v>
                </c:pt>
                <c:pt idx="77">
                  <c:v>1146</c:v>
                </c:pt>
                <c:pt idx="78">
                  <c:v>1160.2222222222222</c:v>
                </c:pt>
                <c:pt idx="79">
                  <c:v>1174.4444444444443</c:v>
                </c:pt>
                <c:pt idx="80">
                  <c:v>1188.6666666666665</c:v>
                </c:pt>
                <c:pt idx="81">
                  <c:v>1202.8888888888889</c:v>
                </c:pt>
                <c:pt idx="82">
                  <c:v>1217.1111111111111</c:v>
                </c:pt>
                <c:pt idx="83">
                  <c:v>1231.3333333333333</c:v>
                </c:pt>
                <c:pt idx="84">
                  <c:v>1245.5555555555554</c:v>
                </c:pt>
                <c:pt idx="85">
                  <c:v>1259.7777777777776</c:v>
                </c:pt>
                <c:pt idx="86">
                  <c:v>1274</c:v>
                </c:pt>
                <c:pt idx="87">
                  <c:v>1288.2222222222222</c:v>
                </c:pt>
                <c:pt idx="88">
                  <c:v>1302.4444444444443</c:v>
                </c:pt>
                <c:pt idx="89">
                  <c:v>1316.6666666666665</c:v>
                </c:pt>
                <c:pt idx="90">
                  <c:v>1330.8888888888889</c:v>
                </c:pt>
                <c:pt idx="91">
                  <c:v>1345.1111111111111</c:v>
                </c:pt>
                <c:pt idx="92">
                  <c:v>1359.3333333333333</c:v>
                </c:pt>
                <c:pt idx="93">
                  <c:v>1373.5555555555554</c:v>
                </c:pt>
                <c:pt idx="94">
                  <c:v>1387.7777777777776</c:v>
                </c:pt>
                <c:pt idx="95">
                  <c:v>1402</c:v>
                </c:pt>
                <c:pt idx="96">
                  <c:v>1416.2222222222222</c:v>
                </c:pt>
                <c:pt idx="97">
                  <c:v>1430.4444444444443</c:v>
                </c:pt>
                <c:pt idx="98">
                  <c:v>1444.6666666666665</c:v>
                </c:pt>
                <c:pt idx="99">
                  <c:v>1458.8888888888889</c:v>
                </c:pt>
                <c:pt idx="100">
                  <c:v>1473.1111111111111</c:v>
                </c:pt>
                <c:pt idx="101">
                  <c:v>1487.3333333333333</c:v>
                </c:pt>
                <c:pt idx="102">
                  <c:v>1501.5555555555554</c:v>
                </c:pt>
                <c:pt idx="103">
                  <c:v>1515.7777777777776</c:v>
                </c:pt>
                <c:pt idx="104">
                  <c:v>1530</c:v>
                </c:pt>
                <c:pt idx="105">
                  <c:v>1544.2222222222222</c:v>
                </c:pt>
                <c:pt idx="106">
                  <c:v>1558.4444444444443</c:v>
                </c:pt>
                <c:pt idx="107">
                  <c:v>1572.6666666666665</c:v>
                </c:pt>
                <c:pt idx="108">
                  <c:v>1586.8888888888887</c:v>
                </c:pt>
                <c:pt idx="109">
                  <c:v>1601.1111111111111</c:v>
                </c:pt>
                <c:pt idx="110">
                  <c:v>1615.3333333333333</c:v>
                </c:pt>
                <c:pt idx="111">
                  <c:v>1629.5555555555554</c:v>
                </c:pt>
                <c:pt idx="112">
                  <c:v>1643.7777777777776</c:v>
                </c:pt>
                <c:pt idx="113">
                  <c:v>1658</c:v>
                </c:pt>
                <c:pt idx="114">
                  <c:v>1672.2222222222222</c:v>
                </c:pt>
                <c:pt idx="115">
                  <c:v>1686.4444444444443</c:v>
                </c:pt>
                <c:pt idx="116">
                  <c:v>1700.6666666666665</c:v>
                </c:pt>
                <c:pt idx="117">
                  <c:v>1714.8888888888887</c:v>
                </c:pt>
                <c:pt idx="118">
                  <c:v>1729.1111111111111</c:v>
                </c:pt>
                <c:pt idx="119">
                  <c:v>1743.3333333333333</c:v>
                </c:pt>
                <c:pt idx="120">
                  <c:v>1757.5555555555554</c:v>
                </c:pt>
                <c:pt idx="121">
                  <c:v>1771.7777777777776</c:v>
                </c:pt>
                <c:pt idx="122">
                  <c:v>1786</c:v>
                </c:pt>
                <c:pt idx="123">
                  <c:v>1800.2222222222222</c:v>
                </c:pt>
                <c:pt idx="124">
                  <c:v>1814.4444444444443</c:v>
                </c:pt>
                <c:pt idx="125">
                  <c:v>1828.6666666666665</c:v>
                </c:pt>
                <c:pt idx="126">
                  <c:v>1842.8888888888887</c:v>
                </c:pt>
                <c:pt idx="127">
                  <c:v>1857.1111111111111</c:v>
                </c:pt>
                <c:pt idx="128">
                  <c:v>1871.3333333333333</c:v>
                </c:pt>
                <c:pt idx="129">
                  <c:v>1885.5555555555554</c:v>
                </c:pt>
                <c:pt idx="130">
                  <c:v>1899.7777777777776</c:v>
                </c:pt>
                <c:pt idx="131">
                  <c:v>1914</c:v>
                </c:pt>
                <c:pt idx="132">
                  <c:v>1928.2222222222222</c:v>
                </c:pt>
                <c:pt idx="133">
                  <c:v>1942.4444444444443</c:v>
                </c:pt>
                <c:pt idx="134">
                  <c:v>1956.6666666666665</c:v>
                </c:pt>
                <c:pt idx="135">
                  <c:v>1970.8888888888887</c:v>
                </c:pt>
                <c:pt idx="136">
                  <c:v>1985.1111111111111</c:v>
                </c:pt>
                <c:pt idx="137">
                  <c:v>1999.3333333333333</c:v>
                </c:pt>
                <c:pt idx="138">
                  <c:v>2013.5555555555554</c:v>
                </c:pt>
                <c:pt idx="139">
                  <c:v>2027.7777777777776</c:v>
                </c:pt>
                <c:pt idx="140">
                  <c:v>2042</c:v>
                </c:pt>
                <c:pt idx="141">
                  <c:v>2056.2222222222222</c:v>
                </c:pt>
                <c:pt idx="142">
                  <c:v>2070.4444444444443</c:v>
                </c:pt>
                <c:pt idx="143">
                  <c:v>2084.6666666666665</c:v>
                </c:pt>
                <c:pt idx="144">
                  <c:v>2098.8888888888887</c:v>
                </c:pt>
                <c:pt idx="145">
                  <c:v>2113.1111111111109</c:v>
                </c:pt>
                <c:pt idx="146">
                  <c:v>2127.333333333333</c:v>
                </c:pt>
                <c:pt idx="147">
                  <c:v>2141.5555555555557</c:v>
                </c:pt>
                <c:pt idx="148">
                  <c:v>2155.7777777777778</c:v>
                </c:pt>
                <c:pt idx="149">
                  <c:v>2170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Ranges!$H$6</c:f>
              <c:strCache>
                <c:ptCount val="1"/>
                <c:pt idx="0">
                  <c:v>Volucris Warrior</c:v>
                </c:pt>
              </c:strCache>
            </c:strRef>
          </c:tx>
          <c:marker>
            <c:symbol val="none"/>
          </c:marker>
          <c:xVal>
            <c:numRef>
              <c:f>Ranges!$A$7:$A$156</c:f>
              <c:numCache>
                <c:formatCode>General</c:formatCode>
                <c:ptCount val="1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</c:numCache>
            </c:numRef>
          </c:xVal>
          <c:yVal>
            <c:numRef>
              <c:f>Ranges!$H$7:$H$156</c:f>
              <c:numCache>
                <c:formatCode>0</c:formatCode>
                <c:ptCount val="150"/>
                <c:pt idx="0">
                  <c:v>51.666666666666664</c:v>
                </c:pt>
                <c:pt idx="1">
                  <c:v>66.666666666666657</c:v>
                </c:pt>
                <c:pt idx="2">
                  <c:v>81.666666666666657</c:v>
                </c:pt>
                <c:pt idx="3">
                  <c:v>96.666666666666657</c:v>
                </c:pt>
                <c:pt idx="4">
                  <c:v>111.66666666666666</c:v>
                </c:pt>
                <c:pt idx="5">
                  <c:v>126.66666666666666</c:v>
                </c:pt>
                <c:pt idx="6">
                  <c:v>141.66666666666666</c:v>
                </c:pt>
                <c:pt idx="7">
                  <c:v>156.66666666666666</c:v>
                </c:pt>
                <c:pt idx="8">
                  <c:v>171.66666666666666</c:v>
                </c:pt>
                <c:pt idx="9">
                  <c:v>186.66666666666666</c:v>
                </c:pt>
                <c:pt idx="10">
                  <c:v>201.66666666666666</c:v>
                </c:pt>
                <c:pt idx="11">
                  <c:v>216.66666666666666</c:v>
                </c:pt>
                <c:pt idx="12">
                  <c:v>231.66666666666666</c:v>
                </c:pt>
                <c:pt idx="13">
                  <c:v>246.66666666666666</c:v>
                </c:pt>
                <c:pt idx="14">
                  <c:v>261.66666666666669</c:v>
                </c:pt>
                <c:pt idx="15">
                  <c:v>276.66666666666669</c:v>
                </c:pt>
                <c:pt idx="16">
                  <c:v>291.66666666666669</c:v>
                </c:pt>
                <c:pt idx="17">
                  <c:v>306.66666666666669</c:v>
                </c:pt>
                <c:pt idx="18">
                  <c:v>321.66666666666669</c:v>
                </c:pt>
                <c:pt idx="19">
                  <c:v>336.66666666666669</c:v>
                </c:pt>
                <c:pt idx="20">
                  <c:v>351.66666666666669</c:v>
                </c:pt>
                <c:pt idx="21">
                  <c:v>366.66666666666669</c:v>
                </c:pt>
                <c:pt idx="22">
                  <c:v>381.66666666666669</c:v>
                </c:pt>
                <c:pt idx="23">
                  <c:v>396.66666666666669</c:v>
                </c:pt>
                <c:pt idx="24">
                  <c:v>411.66666666666669</c:v>
                </c:pt>
                <c:pt idx="25">
                  <c:v>426.66666666666669</c:v>
                </c:pt>
                <c:pt idx="26">
                  <c:v>441.66666666666669</c:v>
                </c:pt>
                <c:pt idx="27">
                  <c:v>456.66666666666669</c:v>
                </c:pt>
                <c:pt idx="28">
                  <c:v>471.66666666666669</c:v>
                </c:pt>
                <c:pt idx="29">
                  <c:v>486.66666666666669</c:v>
                </c:pt>
                <c:pt idx="30">
                  <c:v>501.66666666666669</c:v>
                </c:pt>
                <c:pt idx="31">
                  <c:v>516.66666666666663</c:v>
                </c:pt>
                <c:pt idx="32">
                  <c:v>531.66666666666663</c:v>
                </c:pt>
                <c:pt idx="33">
                  <c:v>546.66666666666663</c:v>
                </c:pt>
                <c:pt idx="34">
                  <c:v>561.66666666666663</c:v>
                </c:pt>
                <c:pt idx="35">
                  <c:v>576.66666666666663</c:v>
                </c:pt>
                <c:pt idx="36">
                  <c:v>591.66666666666663</c:v>
                </c:pt>
                <c:pt idx="37">
                  <c:v>606.66666666666663</c:v>
                </c:pt>
                <c:pt idx="38">
                  <c:v>621.66666666666663</c:v>
                </c:pt>
                <c:pt idx="39">
                  <c:v>636.66666666666663</c:v>
                </c:pt>
                <c:pt idx="40">
                  <c:v>651.66666666666663</c:v>
                </c:pt>
                <c:pt idx="41">
                  <c:v>666.66666666666663</c:v>
                </c:pt>
                <c:pt idx="42">
                  <c:v>681.66666666666663</c:v>
                </c:pt>
                <c:pt idx="43">
                  <c:v>696.66666666666663</c:v>
                </c:pt>
                <c:pt idx="44">
                  <c:v>711.66666666666663</c:v>
                </c:pt>
                <c:pt idx="45">
                  <c:v>726.66666666666663</c:v>
                </c:pt>
                <c:pt idx="46">
                  <c:v>741.66666666666663</c:v>
                </c:pt>
                <c:pt idx="47">
                  <c:v>756.66666666666663</c:v>
                </c:pt>
                <c:pt idx="48">
                  <c:v>771.66666666666663</c:v>
                </c:pt>
                <c:pt idx="49">
                  <c:v>786.66666666666663</c:v>
                </c:pt>
                <c:pt idx="50">
                  <c:v>801.66666666666663</c:v>
                </c:pt>
                <c:pt idx="51">
                  <c:v>816.66666666666663</c:v>
                </c:pt>
                <c:pt idx="52">
                  <c:v>831.66666666666663</c:v>
                </c:pt>
                <c:pt idx="53">
                  <c:v>846.66666666666663</c:v>
                </c:pt>
                <c:pt idx="54">
                  <c:v>861.66666666666663</c:v>
                </c:pt>
                <c:pt idx="55">
                  <c:v>876.66666666666663</c:v>
                </c:pt>
                <c:pt idx="56">
                  <c:v>891.66666666666663</c:v>
                </c:pt>
                <c:pt idx="57">
                  <c:v>906.66666666666663</c:v>
                </c:pt>
                <c:pt idx="58">
                  <c:v>921.66666666666663</c:v>
                </c:pt>
                <c:pt idx="59">
                  <c:v>936.66666666666663</c:v>
                </c:pt>
                <c:pt idx="60">
                  <c:v>951.66666666666663</c:v>
                </c:pt>
                <c:pt idx="61">
                  <c:v>966.66666666666663</c:v>
                </c:pt>
                <c:pt idx="62">
                  <c:v>981.66666666666663</c:v>
                </c:pt>
                <c:pt idx="63">
                  <c:v>996.66666666666663</c:v>
                </c:pt>
                <c:pt idx="64">
                  <c:v>1011.6666666666666</c:v>
                </c:pt>
                <c:pt idx="65">
                  <c:v>1026.6666666666667</c:v>
                </c:pt>
                <c:pt idx="66">
                  <c:v>1041.6666666666667</c:v>
                </c:pt>
                <c:pt idx="67">
                  <c:v>1056.6666666666667</c:v>
                </c:pt>
                <c:pt idx="68">
                  <c:v>1071.6666666666667</c:v>
                </c:pt>
                <c:pt idx="69">
                  <c:v>1086.6666666666667</c:v>
                </c:pt>
                <c:pt idx="70">
                  <c:v>1101.6666666666667</c:v>
                </c:pt>
                <c:pt idx="71">
                  <c:v>1116.6666666666667</c:v>
                </c:pt>
                <c:pt idx="72">
                  <c:v>1131.6666666666667</c:v>
                </c:pt>
                <c:pt idx="73">
                  <c:v>1146.6666666666667</c:v>
                </c:pt>
                <c:pt idx="74">
                  <c:v>1161.6666666666667</c:v>
                </c:pt>
                <c:pt idx="75">
                  <c:v>1176.6666666666667</c:v>
                </c:pt>
                <c:pt idx="76">
                  <c:v>1191.6666666666667</c:v>
                </c:pt>
                <c:pt idx="77">
                  <c:v>1206.6666666666667</c:v>
                </c:pt>
                <c:pt idx="78">
                  <c:v>1221.6666666666667</c:v>
                </c:pt>
                <c:pt idx="79">
                  <c:v>1236.6666666666667</c:v>
                </c:pt>
                <c:pt idx="80">
                  <c:v>1251.6666666666667</c:v>
                </c:pt>
                <c:pt idx="81">
                  <c:v>1266.6666666666667</c:v>
                </c:pt>
                <c:pt idx="82">
                  <c:v>1281.6666666666667</c:v>
                </c:pt>
                <c:pt idx="83">
                  <c:v>1296.6666666666667</c:v>
                </c:pt>
                <c:pt idx="84">
                  <c:v>1311.6666666666667</c:v>
                </c:pt>
                <c:pt idx="85">
                  <c:v>1326.6666666666667</c:v>
                </c:pt>
                <c:pt idx="86">
                  <c:v>1341.6666666666667</c:v>
                </c:pt>
                <c:pt idx="87">
                  <c:v>1356.6666666666667</c:v>
                </c:pt>
                <c:pt idx="88">
                  <c:v>1371.6666666666667</c:v>
                </c:pt>
                <c:pt idx="89">
                  <c:v>1386.6666666666667</c:v>
                </c:pt>
                <c:pt idx="90">
                  <c:v>1401.6666666666667</c:v>
                </c:pt>
                <c:pt idx="91">
                  <c:v>1416.6666666666667</c:v>
                </c:pt>
                <c:pt idx="92">
                  <c:v>1431.6666666666667</c:v>
                </c:pt>
                <c:pt idx="93">
                  <c:v>1446.6666666666667</c:v>
                </c:pt>
                <c:pt idx="94">
                  <c:v>1461.6666666666667</c:v>
                </c:pt>
                <c:pt idx="95">
                  <c:v>1476.6666666666667</c:v>
                </c:pt>
                <c:pt idx="96">
                  <c:v>1491.6666666666667</c:v>
                </c:pt>
                <c:pt idx="97">
                  <c:v>1506.6666666666667</c:v>
                </c:pt>
                <c:pt idx="98">
                  <c:v>1521.6666666666667</c:v>
                </c:pt>
                <c:pt idx="99">
                  <c:v>1536.6666666666667</c:v>
                </c:pt>
                <c:pt idx="100">
                  <c:v>1551.6666666666667</c:v>
                </c:pt>
                <c:pt idx="101">
                  <c:v>1566.6666666666667</c:v>
                </c:pt>
                <c:pt idx="102">
                  <c:v>1581.6666666666667</c:v>
                </c:pt>
                <c:pt idx="103">
                  <c:v>1596.6666666666667</c:v>
                </c:pt>
                <c:pt idx="104">
                  <c:v>1611.6666666666667</c:v>
                </c:pt>
                <c:pt idx="105">
                  <c:v>1626.6666666666667</c:v>
                </c:pt>
                <c:pt idx="106">
                  <c:v>1641.6666666666667</c:v>
                </c:pt>
                <c:pt idx="107">
                  <c:v>1656.6666666666667</c:v>
                </c:pt>
                <c:pt idx="108">
                  <c:v>1671.6666666666667</c:v>
                </c:pt>
                <c:pt idx="109">
                  <c:v>1686.6666666666667</c:v>
                </c:pt>
                <c:pt idx="110">
                  <c:v>1701.6666666666667</c:v>
                </c:pt>
                <c:pt idx="111">
                  <c:v>1716.6666666666667</c:v>
                </c:pt>
                <c:pt idx="112">
                  <c:v>1731.6666666666667</c:v>
                </c:pt>
                <c:pt idx="113">
                  <c:v>1746.6666666666667</c:v>
                </c:pt>
                <c:pt idx="114">
                  <c:v>1761.6666666666667</c:v>
                </c:pt>
                <c:pt idx="115">
                  <c:v>1776.6666666666667</c:v>
                </c:pt>
                <c:pt idx="116">
                  <c:v>1791.6666666666667</c:v>
                </c:pt>
                <c:pt idx="117">
                  <c:v>1806.6666666666667</c:v>
                </c:pt>
                <c:pt idx="118">
                  <c:v>1821.6666666666667</c:v>
                </c:pt>
                <c:pt idx="119">
                  <c:v>1836.6666666666667</c:v>
                </c:pt>
                <c:pt idx="120">
                  <c:v>1851.6666666666667</c:v>
                </c:pt>
                <c:pt idx="121">
                  <c:v>1866.6666666666667</c:v>
                </c:pt>
                <c:pt idx="122">
                  <c:v>1881.6666666666667</c:v>
                </c:pt>
                <c:pt idx="123">
                  <c:v>1896.6666666666667</c:v>
                </c:pt>
                <c:pt idx="124">
                  <c:v>1911.6666666666667</c:v>
                </c:pt>
                <c:pt idx="125">
                  <c:v>1926.6666666666667</c:v>
                </c:pt>
                <c:pt idx="126">
                  <c:v>1941.6666666666667</c:v>
                </c:pt>
                <c:pt idx="127">
                  <c:v>1956.6666666666667</c:v>
                </c:pt>
                <c:pt idx="128">
                  <c:v>1971.6666666666667</c:v>
                </c:pt>
                <c:pt idx="129">
                  <c:v>1986.6666666666667</c:v>
                </c:pt>
                <c:pt idx="130">
                  <c:v>2001.6666666666667</c:v>
                </c:pt>
                <c:pt idx="131">
                  <c:v>2016.6666666666667</c:v>
                </c:pt>
                <c:pt idx="132">
                  <c:v>2031.6666666666667</c:v>
                </c:pt>
                <c:pt idx="133">
                  <c:v>2046.6666666666667</c:v>
                </c:pt>
                <c:pt idx="134">
                  <c:v>2061.6666666666665</c:v>
                </c:pt>
                <c:pt idx="135">
                  <c:v>2076.6666666666665</c:v>
                </c:pt>
                <c:pt idx="136">
                  <c:v>2091.6666666666665</c:v>
                </c:pt>
                <c:pt idx="137">
                  <c:v>2106.6666666666665</c:v>
                </c:pt>
                <c:pt idx="138">
                  <c:v>2121.6666666666665</c:v>
                </c:pt>
                <c:pt idx="139">
                  <c:v>2136.6666666666665</c:v>
                </c:pt>
                <c:pt idx="140">
                  <c:v>2151.6666666666665</c:v>
                </c:pt>
                <c:pt idx="141">
                  <c:v>2166.6666666666665</c:v>
                </c:pt>
                <c:pt idx="142">
                  <c:v>2181.6666666666665</c:v>
                </c:pt>
                <c:pt idx="143">
                  <c:v>2196.6666666666665</c:v>
                </c:pt>
                <c:pt idx="144">
                  <c:v>2211.6666666666665</c:v>
                </c:pt>
                <c:pt idx="145">
                  <c:v>2226.6666666666665</c:v>
                </c:pt>
                <c:pt idx="146">
                  <c:v>2241.6666666666665</c:v>
                </c:pt>
                <c:pt idx="147">
                  <c:v>2256.6666666666665</c:v>
                </c:pt>
                <c:pt idx="148">
                  <c:v>2271.6666666666665</c:v>
                </c:pt>
                <c:pt idx="149">
                  <c:v>2286.6666666666665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Ranges!$I$6</c:f>
              <c:strCache>
                <c:ptCount val="1"/>
                <c:pt idx="0">
                  <c:v>Dantalian Adept</c:v>
                </c:pt>
              </c:strCache>
            </c:strRef>
          </c:tx>
          <c:marker>
            <c:symbol val="none"/>
          </c:marker>
          <c:xVal>
            <c:numRef>
              <c:f>Ranges!$A$7:$A$156</c:f>
              <c:numCache>
                <c:formatCode>General</c:formatCode>
                <c:ptCount val="1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</c:numCache>
            </c:numRef>
          </c:xVal>
          <c:yVal>
            <c:numRef>
              <c:f>Ranges!$I$7:$I$156</c:f>
              <c:numCache>
                <c:formatCode>0</c:formatCode>
                <c:ptCount val="150"/>
                <c:pt idx="0">
                  <c:v>73.288888888888891</c:v>
                </c:pt>
                <c:pt idx="1">
                  <c:v>92.111111111111114</c:v>
                </c:pt>
                <c:pt idx="2">
                  <c:v>114.66666666666667</c:v>
                </c:pt>
                <c:pt idx="3">
                  <c:v>137.22222222222223</c:v>
                </c:pt>
                <c:pt idx="4">
                  <c:v>159.77777777777777</c:v>
                </c:pt>
                <c:pt idx="5">
                  <c:v>195.33333333333334</c:v>
                </c:pt>
                <c:pt idx="6">
                  <c:v>217.88888888888889</c:v>
                </c:pt>
                <c:pt idx="7">
                  <c:v>240.44444444444446</c:v>
                </c:pt>
                <c:pt idx="8">
                  <c:v>263</c:v>
                </c:pt>
                <c:pt idx="9">
                  <c:v>298.55555555555554</c:v>
                </c:pt>
                <c:pt idx="10">
                  <c:v>321.11111111111109</c:v>
                </c:pt>
                <c:pt idx="11">
                  <c:v>343.66666666666669</c:v>
                </c:pt>
                <c:pt idx="12">
                  <c:v>366.22222222222223</c:v>
                </c:pt>
                <c:pt idx="13">
                  <c:v>388.77777777777777</c:v>
                </c:pt>
                <c:pt idx="14">
                  <c:v>424.33333333333331</c:v>
                </c:pt>
                <c:pt idx="15">
                  <c:v>446.88888888888891</c:v>
                </c:pt>
                <c:pt idx="16">
                  <c:v>469.44444444444446</c:v>
                </c:pt>
                <c:pt idx="17">
                  <c:v>492</c:v>
                </c:pt>
                <c:pt idx="18">
                  <c:v>514.55555555555554</c:v>
                </c:pt>
                <c:pt idx="19">
                  <c:v>563.11111111111109</c:v>
                </c:pt>
                <c:pt idx="20">
                  <c:v>585.66666666666663</c:v>
                </c:pt>
                <c:pt idx="21">
                  <c:v>608.22222222222217</c:v>
                </c:pt>
                <c:pt idx="22">
                  <c:v>630.77777777777783</c:v>
                </c:pt>
                <c:pt idx="23">
                  <c:v>653.33333333333337</c:v>
                </c:pt>
                <c:pt idx="24">
                  <c:v>675.88888888888891</c:v>
                </c:pt>
                <c:pt idx="25">
                  <c:v>724.44444444444446</c:v>
                </c:pt>
                <c:pt idx="26">
                  <c:v>747</c:v>
                </c:pt>
                <c:pt idx="27">
                  <c:v>769.55555555555554</c:v>
                </c:pt>
                <c:pt idx="28">
                  <c:v>792.11111111111109</c:v>
                </c:pt>
                <c:pt idx="29">
                  <c:v>814.66666666666663</c:v>
                </c:pt>
                <c:pt idx="30">
                  <c:v>837.22222222222217</c:v>
                </c:pt>
                <c:pt idx="31">
                  <c:v>885.77777777777783</c:v>
                </c:pt>
                <c:pt idx="32">
                  <c:v>908.33333333333337</c:v>
                </c:pt>
                <c:pt idx="33">
                  <c:v>930.88888888888891</c:v>
                </c:pt>
                <c:pt idx="34">
                  <c:v>953.44444444444446</c:v>
                </c:pt>
                <c:pt idx="35">
                  <c:v>976</c:v>
                </c:pt>
                <c:pt idx="36">
                  <c:v>998.55555555555554</c:v>
                </c:pt>
                <c:pt idx="37">
                  <c:v>1047.1111111111111</c:v>
                </c:pt>
                <c:pt idx="38">
                  <c:v>1069.6666666666667</c:v>
                </c:pt>
                <c:pt idx="39">
                  <c:v>1092.2222222222222</c:v>
                </c:pt>
                <c:pt idx="40">
                  <c:v>1140.7777777777778</c:v>
                </c:pt>
                <c:pt idx="41">
                  <c:v>1163.3333333333333</c:v>
                </c:pt>
                <c:pt idx="42">
                  <c:v>1185.8888888888889</c:v>
                </c:pt>
                <c:pt idx="43">
                  <c:v>1208.4444444444443</c:v>
                </c:pt>
                <c:pt idx="44">
                  <c:v>1231</c:v>
                </c:pt>
                <c:pt idx="45">
                  <c:v>1253.5555555555557</c:v>
                </c:pt>
                <c:pt idx="46">
                  <c:v>1315.1111111111111</c:v>
                </c:pt>
                <c:pt idx="47">
                  <c:v>1337.6666666666667</c:v>
                </c:pt>
                <c:pt idx="48">
                  <c:v>1360.2222222222222</c:v>
                </c:pt>
                <c:pt idx="49">
                  <c:v>1382.7777777777778</c:v>
                </c:pt>
                <c:pt idx="50">
                  <c:v>1405.3333333333333</c:v>
                </c:pt>
                <c:pt idx="51">
                  <c:v>1427.8888888888889</c:v>
                </c:pt>
                <c:pt idx="52">
                  <c:v>1489.4444444444443</c:v>
                </c:pt>
                <c:pt idx="53">
                  <c:v>1512</c:v>
                </c:pt>
                <c:pt idx="54">
                  <c:v>1534.5555555555557</c:v>
                </c:pt>
                <c:pt idx="55">
                  <c:v>1557.1111111111111</c:v>
                </c:pt>
                <c:pt idx="56">
                  <c:v>1579.6666666666667</c:v>
                </c:pt>
                <c:pt idx="57">
                  <c:v>1602.2222222222222</c:v>
                </c:pt>
                <c:pt idx="58">
                  <c:v>1663.7777777777778</c:v>
                </c:pt>
                <c:pt idx="59">
                  <c:v>1686.3333333333333</c:v>
                </c:pt>
                <c:pt idx="60">
                  <c:v>1708.8888888888889</c:v>
                </c:pt>
                <c:pt idx="61">
                  <c:v>1731.4444444444443</c:v>
                </c:pt>
                <c:pt idx="62">
                  <c:v>1754</c:v>
                </c:pt>
                <c:pt idx="63">
                  <c:v>1776.5555555555557</c:v>
                </c:pt>
                <c:pt idx="64">
                  <c:v>1851.1111111111111</c:v>
                </c:pt>
                <c:pt idx="65">
                  <c:v>1873.6666666666667</c:v>
                </c:pt>
                <c:pt idx="66">
                  <c:v>1896.2222222222222</c:v>
                </c:pt>
                <c:pt idx="67">
                  <c:v>1918.7777777777778</c:v>
                </c:pt>
                <c:pt idx="68">
                  <c:v>1941.3333333333333</c:v>
                </c:pt>
                <c:pt idx="69">
                  <c:v>1963.8888888888889</c:v>
                </c:pt>
                <c:pt idx="70">
                  <c:v>2038.4444444444443</c:v>
                </c:pt>
                <c:pt idx="71">
                  <c:v>2061</c:v>
                </c:pt>
                <c:pt idx="72">
                  <c:v>2083.5555555555557</c:v>
                </c:pt>
                <c:pt idx="73">
                  <c:v>2106.1111111111113</c:v>
                </c:pt>
                <c:pt idx="74">
                  <c:v>2128.6666666666665</c:v>
                </c:pt>
                <c:pt idx="75">
                  <c:v>2151.2222222222222</c:v>
                </c:pt>
                <c:pt idx="76">
                  <c:v>2238.7777777777778</c:v>
                </c:pt>
                <c:pt idx="77">
                  <c:v>2261.3333333333335</c:v>
                </c:pt>
                <c:pt idx="78">
                  <c:v>2283.8888888888887</c:v>
                </c:pt>
                <c:pt idx="79">
                  <c:v>2306.4444444444443</c:v>
                </c:pt>
                <c:pt idx="80">
                  <c:v>2329</c:v>
                </c:pt>
                <c:pt idx="81">
                  <c:v>2351.5555555555557</c:v>
                </c:pt>
                <c:pt idx="82">
                  <c:v>2374.1111111111113</c:v>
                </c:pt>
                <c:pt idx="83">
                  <c:v>2396.6666666666665</c:v>
                </c:pt>
                <c:pt idx="84">
                  <c:v>2419.2222222222222</c:v>
                </c:pt>
                <c:pt idx="85">
                  <c:v>2441.7777777777778</c:v>
                </c:pt>
                <c:pt idx="86">
                  <c:v>2464.3333333333335</c:v>
                </c:pt>
                <c:pt idx="87">
                  <c:v>2486.8888888888887</c:v>
                </c:pt>
                <c:pt idx="88">
                  <c:v>2509.4444444444443</c:v>
                </c:pt>
                <c:pt idx="89">
                  <c:v>2532</c:v>
                </c:pt>
                <c:pt idx="90">
                  <c:v>2554.5555555555557</c:v>
                </c:pt>
                <c:pt idx="91">
                  <c:v>2577.1111111111113</c:v>
                </c:pt>
                <c:pt idx="92">
                  <c:v>2599.6666666666665</c:v>
                </c:pt>
                <c:pt idx="93">
                  <c:v>2622.2222222222222</c:v>
                </c:pt>
                <c:pt idx="94">
                  <c:v>2644.7777777777778</c:v>
                </c:pt>
                <c:pt idx="95">
                  <c:v>2667.3333333333335</c:v>
                </c:pt>
                <c:pt idx="96">
                  <c:v>2689.8888888888887</c:v>
                </c:pt>
                <c:pt idx="97">
                  <c:v>2712.4444444444443</c:v>
                </c:pt>
                <c:pt idx="98">
                  <c:v>2735</c:v>
                </c:pt>
                <c:pt idx="99">
                  <c:v>2757.5555555555557</c:v>
                </c:pt>
                <c:pt idx="100">
                  <c:v>2780.1111111111113</c:v>
                </c:pt>
                <c:pt idx="101">
                  <c:v>2802.6666666666665</c:v>
                </c:pt>
                <c:pt idx="102">
                  <c:v>2825.2222222222222</c:v>
                </c:pt>
                <c:pt idx="103">
                  <c:v>2847.7777777777778</c:v>
                </c:pt>
                <c:pt idx="104">
                  <c:v>2870.3333333333335</c:v>
                </c:pt>
                <c:pt idx="105">
                  <c:v>2892.8888888888887</c:v>
                </c:pt>
                <c:pt idx="106">
                  <c:v>2915.4444444444443</c:v>
                </c:pt>
                <c:pt idx="107">
                  <c:v>2938</c:v>
                </c:pt>
                <c:pt idx="108">
                  <c:v>2960.5555555555557</c:v>
                </c:pt>
                <c:pt idx="109">
                  <c:v>2983.1111111111113</c:v>
                </c:pt>
                <c:pt idx="110">
                  <c:v>3005.6666666666665</c:v>
                </c:pt>
                <c:pt idx="111">
                  <c:v>3028.2222222222222</c:v>
                </c:pt>
                <c:pt idx="112">
                  <c:v>3050.7777777777778</c:v>
                </c:pt>
                <c:pt idx="113">
                  <c:v>3073.3333333333335</c:v>
                </c:pt>
                <c:pt idx="114">
                  <c:v>3095.8888888888887</c:v>
                </c:pt>
                <c:pt idx="115">
                  <c:v>3118.4444444444443</c:v>
                </c:pt>
                <c:pt idx="116">
                  <c:v>3141</c:v>
                </c:pt>
                <c:pt idx="117">
                  <c:v>3163.5555555555557</c:v>
                </c:pt>
                <c:pt idx="118">
                  <c:v>3186.1111111111113</c:v>
                </c:pt>
                <c:pt idx="119">
                  <c:v>3208.6666666666665</c:v>
                </c:pt>
                <c:pt idx="120">
                  <c:v>3231.2222222222222</c:v>
                </c:pt>
                <c:pt idx="121">
                  <c:v>3253.7777777777778</c:v>
                </c:pt>
                <c:pt idx="122">
                  <c:v>3276.3333333333335</c:v>
                </c:pt>
                <c:pt idx="123">
                  <c:v>3298.8888888888887</c:v>
                </c:pt>
                <c:pt idx="124">
                  <c:v>3321.4444444444443</c:v>
                </c:pt>
                <c:pt idx="125">
                  <c:v>3344</c:v>
                </c:pt>
                <c:pt idx="126">
                  <c:v>3366.5555555555557</c:v>
                </c:pt>
                <c:pt idx="127">
                  <c:v>3389.1111111111113</c:v>
                </c:pt>
                <c:pt idx="128">
                  <c:v>3411.6666666666665</c:v>
                </c:pt>
                <c:pt idx="129">
                  <c:v>3434.2222222222222</c:v>
                </c:pt>
                <c:pt idx="130">
                  <c:v>3456.7777777777778</c:v>
                </c:pt>
                <c:pt idx="131">
                  <c:v>3479.3333333333335</c:v>
                </c:pt>
                <c:pt idx="132">
                  <c:v>3501.8888888888887</c:v>
                </c:pt>
                <c:pt idx="133">
                  <c:v>3524.4444444444443</c:v>
                </c:pt>
                <c:pt idx="134">
                  <c:v>3547</c:v>
                </c:pt>
                <c:pt idx="135">
                  <c:v>3569.5555555555557</c:v>
                </c:pt>
                <c:pt idx="136">
                  <c:v>3592.1111111111109</c:v>
                </c:pt>
                <c:pt idx="137">
                  <c:v>3614.6666666666665</c:v>
                </c:pt>
                <c:pt idx="138">
                  <c:v>3637.2222222222222</c:v>
                </c:pt>
                <c:pt idx="139">
                  <c:v>3659.7777777777778</c:v>
                </c:pt>
                <c:pt idx="140">
                  <c:v>3682.3333333333335</c:v>
                </c:pt>
                <c:pt idx="141">
                  <c:v>3704.8888888888887</c:v>
                </c:pt>
                <c:pt idx="142">
                  <c:v>3727.4444444444443</c:v>
                </c:pt>
                <c:pt idx="143">
                  <c:v>3750</c:v>
                </c:pt>
                <c:pt idx="144">
                  <c:v>3772.5555555555557</c:v>
                </c:pt>
                <c:pt idx="145">
                  <c:v>3795.1111111111109</c:v>
                </c:pt>
                <c:pt idx="146">
                  <c:v>3817.6666666666665</c:v>
                </c:pt>
                <c:pt idx="147">
                  <c:v>3840.2222222222222</c:v>
                </c:pt>
                <c:pt idx="148">
                  <c:v>3862.7777777777778</c:v>
                </c:pt>
                <c:pt idx="149">
                  <c:v>3885.3333333333335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Ranges!$J$6</c:f>
              <c:strCache>
                <c:ptCount val="1"/>
                <c:pt idx="0">
                  <c:v>Dantalian Sorcerer</c:v>
                </c:pt>
              </c:strCache>
            </c:strRef>
          </c:tx>
          <c:marker>
            <c:symbol val="none"/>
          </c:marker>
          <c:xVal>
            <c:numRef>
              <c:f>Ranges!$A$7:$A$156</c:f>
              <c:numCache>
                <c:formatCode>General</c:formatCode>
                <c:ptCount val="1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</c:numCache>
            </c:numRef>
          </c:xVal>
          <c:yVal>
            <c:numRef>
              <c:f>Ranges!$J$7:$J$156</c:f>
              <c:numCache>
                <c:formatCode>0</c:formatCode>
                <c:ptCount val="150"/>
                <c:pt idx="0">
                  <c:v>74.844444444444449</c:v>
                </c:pt>
                <c:pt idx="1">
                  <c:v>95.222222222222229</c:v>
                </c:pt>
                <c:pt idx="2">
                  <c:v>119.33333333333333</c:v>
                </c:pt>
                <c:pt idx="3">
                  <c:v>143.44444444444446</c:v>
                </c:pt>
                <c:pt idx="4">
                  <c:v>167.55555555555554</c:v>
                </c:pt>
                <c:pt idx="5">
                  <c:v>204.66666666666666</c:v>
                </c:pt>
                <c:pt idx="6">
                  <c:v>228.77777777777777</c:v>
                </c:pt>
                <c:pt idx="7">
                  <c:v>252.88888888888889</c:v>
                </c:pt>
                <c:pt idx="8">
                  <c:v>277</c:v>
                </c:pt>
                <c:pt idx="9">
                  <c:v>314.11111111111109</c:v>
                </c:pt>
                <c:pt idx="10">
                  <c:v>338.22222222222223</c:v>
                </c:pt>
                <c:pt idx="11">
                  <c:v>362.33333333333331</c:v>
                </c:pt>
                <c:pt idx="12">
                  <c:v>386.44444444444446</c:v>
                </c:pt>
                <c:pt idx="13">
                  <c:v>410.55555555555554</c:v>
                </c:pt>
                <c:pt idx="14">
                  <c:v>447.66666666666669</c:v>
                </c:pt>
                <c:pt idx="15">
                  <c:v>471.77777777777777</c:v>
                </c:pt>
                <c:pt idx="16">
                  <c:v>495.88888888888886</c:v>
                </c:pt>
                <c:pt idx="17">
                  <c:v>520</c:v>
                </c:pt>
                <c:pt idx="18">
                  <c:v>544.11111111111109</c:v>
                </c:pt>
                <c:pt idx="19">
                  <c:v>594.22222222222217</c:v>
                </c:pt>
                <c:pt idx="20">
                  <c:v>618.33333333333337</c:v>
                </c:pt>
                <c:pt idx="21">
                  <c:v>642.44444444444446</c:v>
                </c:pt>
                <c:pt idx="22">
                  <c:v>666.55555555555554</c:v>
                </c:pt>
                <c:pt idx="23">
                  <c:v>690.66666666666663</c:v>
                </c:pt>
                <c:pt idx="24">
                  <c:v>714.77777777777771</c:v>
                </c:pt>
                <c:pt idx="25">
                  <c:v>764.88888888888891</c:v>
                </c:pt>
                <c:pt idx="26">
                  <c:v>789</c:v>
                </c:pt>
                <c:pt idx="27">
                  <c:v>813.11111111111109</c:v>
                </c:pt>
                <c:pt idx="28">
                  <c:v>837.22222222222217</c:v>
                </c:pt>
                <c:pt idx="29">
                  <c:v>861.33333333333337</c:v>
                </c:pt>
                <c:pt idx="30">
                  <c:v>885.44444444444446</c:v>
                </c:pt>
                <c:pt idx="31">
                  <c:v>935.55555555555554</c:v>
                </c:pt>
                <c:pt idx="32">
                  <c:v>959.66666666666663</c:v>
                </c:pt>
                <c:pt idx="33">
                  <c:v>983.77777777777771</c:v>
                </c:pt>
                <c:pt idx="34">
                  <c:v>1007.8888888888889</c:v>
                </c:pt>
                <c:pt idx="35">
                  <c:v>1032</c:v>
                </c:pt>
                <c:pt idx="36">
                  <c:v>1056.1111111111111</c:v>
                </c:pt>
                <c:pt idx="37">
                  <c:v>1106.2222222222222</c:v>
                </c:pt>
                <c:pt idx="38">
                  <c:v>1130.3333333333333</c:v>
                </c:pt>
                <c:pt idx="39">
                  <c:v>1154.4444444444443</c:v>
                </c:pt>
                <c:pt idx="40">
                  <c:v>1204.5555555555554</c:v>
                </c:pt>
                <c:pt idx="41">
                  <c:v>1228.6666666666667</c:v>
                </c:pt>
                <c:pt idx="42">
                  <c:v>1252.7777777777778</c:v>
                </c:pt>
                <c:pt idx="43">
                  <c:v>1276.8888888888889</c:v>
                </c:pt>
                <c:pt idx="44">
                  <c:v>1301</c:v>
                </c:pt>
                <c:pt idx="45">
                  <c:v>1325.1111111111111</c:v>
                </c:pt>
                <c:pt idx="46">
                  <c:v>1388.2222222222222</c:v>
                </c:pt>
                <c:pt idx="47">
                  <c:v>1412.3333333333333</c:v>
                </c:pt>
                <c:pt idx="48">
                  <c:v>1436.4444444444443</c:v>
                </c:pt>
                <c:pt idx="49">
                  <c:v>1460.5555555555554</c:v>
                </c:pt>
                <c:pt idx="50">
                  <c:v>1484.6666666666667</c:v>
                </c:pt>
                <c:pt idx="51">
                  <c:v>1508.7777777777778</c:v>
                </c:pt>
                <c:pt idx="52">
                  <c:v>1571.8888888888889</c:v>
                </c:pt>
                <c:pt idx="53">
                  <c:v>1596</c:v>
                </c:pt>
                <c:pt idx="54">
                  <c:v>1620.1111111111111</c:v>
                </c:pt>
                <c:pt idx="55">
                  <c:v>1644.2222222222222</c:v>
                </c:pt>
                <c:pt idx="56">
                  <c:v>1668.3333333333333</c:v>
                </c:pt>
                <c:pt idx="57">
                  <c:v>1692.4444444444443</c:v>
                </c:pt>
                <c:pt idx="58">
                  <c:v>1755.5555555555554</c:v>
                </c:pt>
                <c:pt idx="59">
                  <c:v>1779.6666666666667</c:v>
                </c:pt>
                <c:pt idx="60">
                  <c:v>1803.7777777777778</c:v>
                </c:pt>
                <c:pt idx="61">
                  <c:v>1827.8888888888889</c:v>
                </c:pt>
                <c:pt idx="62">
                  <c:v>1852</c:v>
                </c:pt>
                <c:pt idx="63">
                  <c:v>1876.1111111111111</c:v>
                </c:pt>
                <c:pt idx="64">
                  <c:v>1952.2222222222222</c:v>
                </c:pt>
                <c:pt idx="65">
                  <c:v>1976.3333333333333</c:v>
                </c:pt>
                <c:pt idx="66">
                  <c:v>2000.4444444444443</c:v>
                </c:pt>
                <c:pt idx="67">
                  <c:v>2024.5555555555554</c:v>
                </c:pt>
                <c:pt idx="68">
                  <c:v>2048.6666666666665</c:v>
                </c:pt>
                <c:pt idx="69">
                  <c:v>2072.7777777777778</c:v>
                </c:pt>
                <c:pt idx="70">
                  <c:v>2148.8888888888887</c:v>
                </c:pt>
                <c:pt idx="71">
                  <c:v>2173</c:v>
                </c:pt>
                <c:pt idx="72">
                  <c:v>2197.1111111111109</c:v>
                </c:pt>
                <c:pt idx="73">
                  <c:v>2221.2222222222222</c:v>
                </c:pt>
                <c:pt idx="74">
                  <c:v>2245.3333333333335</c:v>
                </c:pt>
                <c:pt idx="75">
                  <c:v>2269.4444444444443</c:v>
                </c:pt>
                <c:pt idx="76">
                  <c:v>2358.5555555555557</c:v>
                </c:pt>
                <c:pt idx="77">
                  <c:v>2382.6666666666665</c:v>
                </c:pt>
                <c:pt idx="78">
                  <c:v>2406.7777777777778</c:v>
                </c:pt>
                <c:pt idx="79">
                  <c:v>2430.8888888888887</c:v>
                </c:pt>
                <c:pt idx="80">
                  <c:v>2455</c:v>
                </c:pt>
                <c:pt idx="81">
                  <c:v>2479.1111111111109</c:v>
                </c:pt>
                <c:pt idx="82">
                  <c:v>2503.2222222222222</c:v>
                </c:pt>
                <c:pt idx="83">
                  <c:v>2527.3333333333335</c:v>
                </c:pt>
                <c:pt idx="84">
                  <c:v>2551.4444444444443</c:v>
                </c:pt>
                <c:pt idx="85">
                  <c:v>2575.5555555555557</c:v>
                </c:pt>
                <c:pt idx="86">
                  <c:v>2599.6666666666665</c:v>
                </c:pt>
                <c:pt idx="87">
                  <c:v>2623.7777777777778</c:v>
                </c:pt>
                <c:pt idx="88">
                  <c:v>2647.8888888888887</c:v>
                </c:pt>
                <c:pt idx="89">
                  <c:v>2672</c:v>
                </c:pt>
                <c:pt idx="90">
                  <c:v>2696.1111111111109</c:v>
                </c:pt>
                <c:pt idx="91">
                  <c:v>2720.2222222222222</c:v>
                </c:pt>
                <c:pt idx="92">
                  <c:v>2744.3333333333335</c:v>
                </c:pt>
                <c:pt idx="93">
                  <c:v>2768.4444444444443</c:v>
                </c:pt>
                <c:pt idx="94">
                  <c:v>2792.5555555555557</c:v>
                </c:pt>
                <c:pt idx="95">
                  <c:v>2816.6666666666665</c:v>
                </c:pt>
                <c:pt idx="96">
                  <c:v>2840.7777777777778</c:v>
                </c:pt>
                <c:pt idx="97">
                  <c:v>2864.8888888888887</c:v>
                </c:pt>
                <c:pt idx="98">
                  <c:v>2889</c:v>
                </c:pt>
                <c:pt idx="99">
                  <c:v>2913.1111111111109</c:v>
                </c:pt>
                <c:pt idx="100">
                  <c:v>2937.2222222222222</c:v>
                </c:pt>
                <c:pt idx="101">
                  <c:v>2961.3333333333335</c:v>
                </c:pt>
                <c:pt idx="102">
                  <c:v>2985.4444444444443</c:v>
                </c:pt>
                <c:pt idx="103">
                  <c:v>3009.5555555555557</c:v>
                </c:pt>
                <c:pt idx="104">
                  <c:v>3033.6666666666665</c:v>
                </c:pt>
                <c:pt idx="105">
                  <c:v>3057.7777777777778</c:v>
                </c:pt>
                <c:pt idx="106">
                  <c:v>3081.8888888888887</c:v>
                </c:pt>
                <c:pt idx="107">
                  <c:v>3106</c:v>
                </c:pt>
                <c:pt idx="108">
                  <c:v>3130.1111111111109</c:v>
                </c:pt>
                <c:pt idx="109">
                  <c:v>3154.2222222222222</c:v>
                </c:pt>
                <c:pt idx="110">
                  <c:v>3178.3333333333335</c:v>
                </c:pt>
                <c:pt idx="111">
                  <c:v>3202.4444444444443</c:v>
                </c:pt>
                <c:pt idx="112">
                  <c:v>3226.5555555555557</c:v>
                </c:pt>
                <c:pt idx="113">
                  <c:v>3250.6666666666665</c:v>
                </c:pt>
                <c:pt idx="114">
                  <c:v>3274.7777777777778</c:v>
                </c:pt>
                <c:pt idx="115">
                  <c:v>3298.8888888888887</c:v>
                </c:pt>
                <c:pt idx="116">
                  <c:v>3323</c:v>
                </c:pt>
                <c:pt idx="117">
                  <c:v>3347.1111111111109</c:v>
                </c:pt>
                <c:pt idx="118">
                  <c:v>3371.2222222222222</c:v>
                </c:pt>
                <c:pt idx="119">
                  <c:v>3395.3333333333335</c:v>
                </c:pt>
                <c:pt idx="120">
                  <c:v>3419.4444444444443</c:v>
                </c:pt>
                <c:pt idx="121">
                  <c:v>3443.5555555555557</c:v>
                </c:pt>
                <c:pt idx="122">
                  <c:v>3467.6666666666665</c:v>
                </c:pt>
                <c:pt idx="123">
                  <c:v>3491.7777777777778</c:v>
                </c:pt>
                <c:pt idx="124">
                  <c:v>3515.8888888888887</c:v>
                </c:pt>
                <c:pt idx="125">
                  <c:v>3540</c:v>
                </c:pt>
                <c:pt idx="126">
                  <c:v>3564.1111111111109</c:v>
                </c:pt>
                <c:pt idx="127">
                  <c:v>3588.2222222222222</c:v>
                </c:pt>
                <c:pt idx="128">
                  <c:v>3612.3333333333335</c:v>
                </c:pt>
                <c:pt idx="129">
                  <c:v>3636.4444444444443</c:v>
                </c:pt>
                <c:pt idx="130">
                  <c:v>3660.5555555555557</c:v>
                </c:pt>
                <c:pt idx="131">
                  <c:v>3684.6666666666665</c:v>
                </c:pt>
                <c:pt idx="132">
                  <c:v>3708.7777777777778</c:v>
                </c:pt>
                <c:pt idx="133">
                  <c:v>3732.8888888888887</c:v>
                </c:pt>
                <c:pt idx="134">
                  <c:v>3757</c:v>
                </c:pt>
                <c:pt idx="135">
                  <c:v>3781.1111111111109</c:v>
                </c:pt>
                <c:pt idx="136">
                  <c:v>3805.2222222222222</c:v>
                </c:pt>
                <c:pt idx="137">
                  <c:v>3829.3333333333335</c:v>
                </c:pt>
                <c:pt idx="138">
                  <c:v>3853.4444444444443</c:v>
                </c:pt>
                <c:pt idx="139">
                  <c:v>3877.5555555555557</c:v>
                </c:pt>
                <c:pt idx="140">
                  <c:v>3901.6666666666665</c:v>
                </c:pt>
                <c:pt idx="141">
                  <c:v>3925.7777777777778</c:v>
                </c:pt>
                <c:pt idx="142">
                  <c:v>3949.8888888888887</c:v>
                </c:pt>
                <c:pt idx="143">
                  <c:v>3974</c:v>
                </c:pt>
                <c:pt idx="144">
                  <c:v>3998.1111111111109</c:v>
                </c:pt>
                <c:pt idx="145">
                  <c:v>4022.2222222222222</c:v>
                </c:pt>
                <c:pt idx="146">
                  <c:v>4046.3333333333335</c:v>
                </c:pt>
                <c:pt idx="147">
                  <c:v>4070.4444444444443</c:v>
                </c:pt>
                <c:pt idx="148">
                  <c:v>4094.5555555555557</c:v>
                </c:pt>
                <c:pt idx="149">
                  <c:v>4118.666666666667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Ranges!$K$6</c:f>
              <c:strCache>
                <c:ptCount val="1"/>
                <c:pt idx="0">
                  <c:v>Dantalian Leyshaper</c:v>
                </c:pt>
              </c:strCache>
            </c:strRef>
          </c:tx>
          <c:marker>
            <c:symbol val="none"/>
          </c:marker>
          <c:xVal>
            <c:numRef>
              <c:f>Ranges!$A$7:$A$156</c:f>
              <c:numCache>
                <c:formatCode>General</c:formatCode>
                <c:ptCount val="1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</c:numCache>
            </c:numRef>
          </c:xVal>
          <c:yVal>
            <c:numRef>
              <c:f>Ranges!$K$7:$K$156</c:f>
              <c:numCache>
                <c:formatCode>0</c:formatCode>
                <c:ptCount val="150"/>
                <c:pt idx="0">
                  <c:v>75.62222222222222</c:v>
                </c:pt>
                <c:pt idx="1">
                  <c:v>96.777777777777771</c:v>
                </c:pt>
                <c:pt idx="2">
                  <c:v>121.66666666666667</c:v>
                </c:pt>
                <c:pt idx="3">
                  <c:v>146.55555555555554</c:v>
                </c:pt>
                <c:pt idx="4">
                  <c:v>171.44444444444446</c:v>
                </c:pt>
                <c:pt idx="5">
                  <c:v>209.33333333333334</c:v>
                </c:pt>
                <c:pt idx="6">
                  <c:v>234.22222222222223</c:v>
                </c:pt>
                <c:pt idx="7">
                  <c:v>259.11111111111109</c:v>
                </c:pt>
                <c:pt idx="8">
                  <c:v>284</c:v>
                </c:pt>
                <c:pt idx="9">
                  <c:v>321.88888888888891</c:v>
                </c:pt>
                <c:pt idx="10">
                  <c:v>346.77777777777777</c:v>
                </c:pt>
                <c:pt idx="11">
                  <c:v>371.66666666666669</c:v>
                </c:pt>
                <c:pt idx="12">
                  <c:v>396.55555555555554</c:v>
                </c:pt>
                <c:pt idx="13">
                  <c:v>421.44444444444446</c:v>
                </c:pt>
                <c:pt idx="14">
                  <c:v>459.33333333333331</c:v>
                </c:pt>
                <c:pt idx="15">
                  <c:v>484.22222222222223</c:v>
                </c:pt>
                <c:pt idx="16">
                  <c:v>509.11111111111114</c:v>
                </c:pt>
                <c:pt idx="17">
                  <c:v>534</c:v>
                </c:pt>
                <c:pt idx="18">
                  <c:v>558.88888888888891</c:v>
                </c:pt>
                <c:pt idx="19">
                  <c:v>609.77777777777783</c:v>
                </c:pt>
                <c:pt idx="20">
                  <c:v>634.66666666666663</c:v>
                </c:pt>
                <c:pt idx="21">
                  <c:v>659.55555555555554</c:v>
                </c:pt>
                <c:pt idx="22">
                  <c:v>684.44444444444446</c:v>
                </c:pt>
                <c:pt idx="23">
                  <c:v>709.33333333333337</c:v>
                </c:pt>
                <c:pt idx="24">
                  <c:v>734.22222222222229</c:v>
                </c:pt>
                <c:pt idx="25">
                  <c:v>785.11111111111109</c:v>
                </c:pt>
                <c:pt idx="26">
                  <c:v>810</c:v>
                </c:pt>
                <c:pt idx="27">
                  <c:v>834.88888888888891</c:v>
                </c:pt>
                <c:pt idx="28">
                  <c:v>859.77777777777783</c:v>
                </c:pt>
                <c:pt idx="29">
                  <c:v>884.66666666666663</c:v>
                </c:pt>
                <c:pt idx="30">
                  <c:v>909.55555555555554</c:v>
                </c:pt>
                <c:pt idx="31">
                  <c:v>960.44444444444446</c:v>
                </c:pt>
                <c:pt idx="32">
                  <c:v>985.33333333333337</c:v>
                </c:pt>
                <c:pt idx="33">
                  <c:v>1010.2222222222223</c:v>
                </c:pt>
                <c:pt idx="34">
                  <c:v>1035.1111111111111</c:v>
                </c:pt>
                <c:pt idx="35">
                  <c:v>1060</c:v>
                </c:pt>
                <c:pt idx="36">
                  <c:v>1084.8888888888889</c:v>
                </c:pt>
                <c:pt idx="37">
                  <c:v>1135.7777777777778</c:v>
                </c:pt>
                <c:pt idx="38">
                  <c:v>1160.6666666666667</c:v>
                </c:pt>
                <c:pt idx="39">
                  <c:v>1185.5555555555557</c:v>
                </c:pt>
                <c:pt idx="40">
                  <c:v>1236.4444444444446</c:v>
                </c:pt>
                <c:pt idx="41">
                  <c:v>1261.3333333333333</c:v>
                </c:pt>
                <c:pt idx="42">
                  <c:v>1286.2222222222222</c:v>
                </c:pt>
                <c:pt idx="43">
                  <c:v>1311.1111111111111</c:v>
                </c:pt>
                <c:pt idx="44">
                  <c:v>1336</c:v>
                </c:pt>
                <c:pt idx="45">
                  <c:v>1360.8888888888889</c:v>
                </c:pt>
                <c:pt idx="46">
                  <c:v>1424.7777777777778</c:v>
                </c:pt>
                <c:pt idx="47">
                  <c:v>1449.6666666666667</c:v>
                </c:pt>
                <c:pt idx="48">
                  <c:v>1474.5555555555557</c:v>
                </c:pt>
                <c:pt idx="49">
                  <c:v>1499.4444444444446</c:v>
                </c:pt>
                <c:pt idx="50">
                  <c:v>1524.3333333333333</c:v>
                </c:pt>
                <c:pt idx="51">
                  <c:v>1549.2222222222222</c:v>
                </c:pt>
                <c:pt idx="52">
                  <c:v>1613.1111111111111</c:v>
                </c:pt>
                <c:pt idx="53">
                  <c:v>1638</c:v>
                </c:pt>
                <c:pt idx="54">
                  <c:v>1662.8888888888889</c:v>
                </c:pt>
                <c:pt idx="55">
                  <c:v>1687.7777777777778</c:v>
                </c:pt>
                <c:pt idx="56">
                  <c:v>1712.6666666666667</c:v>
                </c:pt>
                <c:pt idx="57">
                  <c:v>1737.5555555555557</c:v>
                </c:pt>
                <c:pt idx="58">
                  <c:v>1801.4444444444446</c:v>
                </c:pt>
                <c:pt idx="59">
                  <c:v>1826.3333333333333</c:v>
                </c:pt>
                <c:pt idx="60">
                  <c:v>1851.2222222222222</c:v>
                </c:pt>
                <c:pt idx="61">
                  <c:v>1876.1111111111111</c:v>
                </c:pt>
                <c:pt idx="62">
                  <c:v>1901</c:v>
                </c:pt>
                <c:pt idx="63">
                  <c:v>1925.8888888888889</c:v>
                </c:pt>
                <c:pt idx="64">
                  <c:v>2002.7777777777778</c:v>
                </c:pt>
                <c:pt idx="65">
                  <c:v>2027.6666666666667</c:v>
                </c:pt>
                <c:pt idx="66">
                  <c:v>2052.5555555555557</c:v>
                </c:pt>
                <c:pt idx="67">
                  <c:v>2077.4444444444443</c:v>
                </c:pt>
                <c:pt idx="68">
                  <c:v>2102.3333333333335</c:v>
                </c:pt>
                <c:pt idx="69">
                  <c:v>2127.2222222222222</c:v>
                </c:pt>
                <c:pt idx="70">
                  <c:v>2204.1111111111113</c:v>
                </c:pt>
                <c:pt idx="71">
                  <c:v>2229</c:v>
                </c:pt>
                <c:pt idx="72">
                  <c:v>2253.8888888888891</c:v>
                </c:pt>
                <c:pt idx="73">
                  <c:v>2278.7777777777778</c:v>
                </c:pt>
                <c:pt idx="74">
                  <c:v>2303.6666666666665</c:v>
                </c:pt>
                <c:pt idx="75">
                  <c:v>2328.5555555555557</c:v>
                </c:pt>
                <c:pt idx="76">
                  <c:v>2418.4444444444443</c:v>
                </c:pt>
                <c:pt idx="77">
                  <c:v>2443.3333333333335</c:v>
                </c:pt>
                <c:pt idx="78">
                  <c:v>2468.2222222222222</c:v>
                </c:pt>
                <c:pt idx="79">
                  <c:v>2493.1111111111113</c:v>
                </c:pt>
                <c:pt idx="80">
                  <c:v>2518</c:v>
                </c:pt>
                <c:pt idx="81">
                  <c:v>2542.8888888888891</c:v>
                </c:pt>
                <c:pt idx="82">
                  <c:v>2567.7777777777778</c:v>
                </c:pt>
                <c:pt idx="83">
                  <c:v>2592.6666666666665</c:v>
                </c:pt>
                <c:pt idx="84">
                  <c:v>2617.5555555555557</c:v>
                </c:pt>
                <c:pt idx="85">
                  <c:v>2642.4444444444443</c:v>
                </c:pt>
                <c:pt idx="86">
                  <c:v>2667.3333333333335</c:v>
                </c:pt>
                <c:pt idx="87">
                  <c:v>2692.2222222222222</c:v>
                </c:pt>
                <c:pt idx="88">
                  <c:v>2717.1111111111113</c:v>
                </c:pt>
                <c:pt idx="89">
                  <c:v>2742</c:v>
                </c:pt>
                <c:pt idx="90">
                  <c:v>2766.8888888888891</c:v>
                </c:pt>
                <c:pt idx="91">
                  <c:v>2791.7777777777778</c:v>
                </c:pt>
                <c:pt idx="92">
                  <c:v>2816.6666666666665</c:v>
                </c:pt>
                <c:pt idx="93">
                  <c:v>2841.5555555555557</c:v>
                </c:pt>
                <c:pt idx="94">
                  <c:v>2866.4444444444443</c:v>
                </c:pt>
                <c:pt idx="95">
                  <c:v>2891.3333333333335</c:v>
                </c:pt>
                <c:pt idx="96">
                  <c:v>2916.2222222222222</c:v>
                </c:pt>
                <c:pt idx="97">
                  <c:v>2941.1111111111113</c:v>
                </c:pt>
                <c:pt idx="98">
                  <c:v>2966</c:v>
                </c:pt>
                <c:pt idx="99">
                  <c:v>2990.8888888888891</c:v>
                </c:pt>
                <c:pt idx="100">
                  <c:v>3015.7777777777778</c:v>
                </c:pt>
                <c:pt idx="101">
                  <c:v>3040.6666666666665</c:v>
                </c:pt>
                <c:pt idx="102">
                  <c:v>3065.5555555555557</c:v>
                </c:pt>
                <c:pt idx="103">
                  <c:v>3090.4444444444443</c:v>
                </c:pt>
                <c:pt idx="104">
                  <c:v>3115.3333333333335</c:v>
                </c:pt>
                <c:pt idx="105">
                  <c:v>3140.2222222222222</c:v>
                </c:pt>
                <c:pt idx="106">
                  <c:v>3165.1111111111113</c:v>
                </c:pt>
                <c:pt idx="107">
                  <c:v>3190</c:v>
                </c:pt>
                <c:pt idx="108">
                  <c:v>3214.8888888888891</c:v>
                </c:pt>
                <c:pt idx="109">
                  <c:v>3239.7777777777778</c:v>
                </c:pt>
                <c:pt idx="110">
                  <c:v>3264.6666666666665</c:v>
                </c:pt>
                <c:pt idx="111">
                  <c:v>3289.5555555555557</c:v>
                </c:pt>
                <c:pt idx="112">
                  <c:v>3314.4444444444443</c:v>
                </c:pt>
                <c:pt idx="113">
                  <c:v>3339.3333333333335</c:v>
                </c:pt>
                <c:pt idx="114">
                  <c:v>3364.2222222222222</c:v>
                </c:pt>
                <c:pt idx="115">
                  <c:v>3389.1111111111113</c:v>
                </c:pt>
                <c:pt idx="116">
                  <c:v>3414</c:v>
                </c:pt>
                <c:pt idx="117">
                  <c:v>3438.8888888888891</c:v>
                </c:pt>
                <c:pt idx="118">
                  <c:v>3463.7777777777778</c:v>
                </c:pt>
                <c:pt idx="119">
                  <c:v>3488.6666666666665</c:v>
                </c:pt>
                <c:pt idx="120">
                  <c:v>3513.5555555555557</c:v>
                </c:pt>
                <c:pt idx="121">
                  <c:v>3538.4444444444443</c:v>
                </c:pt>
                <c:pt idx="122">
                  <c:v>3563.3333333333335</c:v>
                </c:pt>
                <c:pt idx="123">
                  <c:v>3588.2222222222222</c:v>
                </c:pt>
                <c:pt idx="124">
                  <c:v>3613.1111111111113</c:v>
                </c:pt>
                <c:pt idx="125">
                  <c:v>3638</c:v>
                </c:pt>
                <c:pt idx="126">
                  <c:v>3662.8888888888891</c:v>
                </c:pt>
                <c:pt idx="127">
                  <c:v>3687.7777777777778</c:v>
                </c:pt>
                <c:pt idx="128">
                  <c:v>3712.6666666666665</c:v>
                </c:pt>
                <c:pt idx="129">
                  <c:v>3737.5555555555557</c:v>
                </c:pt>
                <c:pt idx="130">
                  <c:v>3762.4444444444443</c:v>
                </c:pt>
                <c:pt idx="131">
                  <c:v>3787.3333333333335</c:v>
                </c:pt>
                <c:pt idx="132">
                  <c:v>3812.2222222222222</c:v>
                </c:pt>
                <c:pt idx="133">
                  <c:v>3837.1111111111113</c:v>
                </c:pt>
                <c:pt idx="134">
                  <c:v>3862</c:v>
                </c:pt>
                <c:pt idx="135">
                  <c:v>3886.8888888888891</c:v>
                </c:pt>
                <c:pt idx="136">
                  <c:v>3911.7777777777778</c:v>
                </c:pt>
                <c:pt idx="137">
                  <c:v>3936.6666666666665</c:v>
                </c:pt>
                <c:pt idx="138">
                  <c:v>3961.5555555555557</c:v>
                </c:pt>
                <c:pt idx="139">
                  <c:v>3986.4444444444443</c:v>
                </c:pt>
                <c:pt idx="140">
                  <c:v>4011.3333333333335</c:v>
                </c:pt>
                <c:pt idx="141">
                  <c:v>4036.2222222222222</c:v>
                </c:pt>
                <c:pt idx="142">
                  <c:v>4061.1111111111113</c:v>
                </c:pt>
                <c:pt idx="143">
                  <c:v>4086</c:v>
                </c:pt>
                <c:pt idx="144">
                  <c:v>4110.8888888888887</c:v>
                </c:pt>
                <c:pt idx="145">
                  <c:v>4135.7777777777783</c:v>
                </c:pt>
                <c:pt idx="146">
                  <c:v>4160.666666666667</c:v>
                </c:pt>
                <c:pt idx="147">
                  <c:v>4185.5555555555557</c:v>
                </c:pt>
                <c:pt idx="148">
                  <c:v>4210.4444444444443</c:v>
                </c:pt>
                <c:pt idx="149">
                  <c:v>4235.333333333333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Ranges!$L$6</c:f>
              <c:strCache>
                <c:ptCount val="1"/>
                <c:pt idx="0">
                  <c:v>Dantalian Hunter</c:v>
                </c:pt>
              </c:strCache>
            </c:strRef>
          </c:tx>
          <c:marker>
            <c:symbol val="none"/>
          </c:marker>
          <c:xVal>
            <c:numRef>
              <c:f>Ranges!$A$7:$A$156</c:f>
              <c:numCache>
                <c:formatCode>General</c:formatCode>
                <c:ptCount val="1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</c:numCache>
            </c:numRef>
          </c:xVal>
          <c:yVal>
            <c:numRef>
              <c:f>Ranges!$L$7:$L$156</c:f>
              <c:numCache>
                <c:formatCode>0</c:formatCode>
                <c:ptCount val="150"/>
                <c:pt idx="0">
                  <c:v>77.177777777777777</c:v>
                </c:pt>
                <c:pt idx="1">
                  <c:v>99.888888888888886</c:v>
                </c:pt>
                <c:pt idx="2">
                  <c:v>126.33333333333333</c:v>
                </c:pt>
                <c:pt idx="3">
                  <c:v>152.77777777777777</c:v>
                </c:pt>
                <c:pt idx="4">
                  <c:v>179.22222222222223</c:v>
                </c:pt>
                <c:pt idx="5">
                  <c:v>218.66666666666666</c:v>
                </c:pt>
                <c:pt idx="6">
                  <c:v>245.11111111111111</c:v>
                </c:pt>
                <c:pt idx="7">
                  <c:v>271.55555555555554</c:v>
                </c:pt>
                <c:pt idx="8">
                  <c:v>298</c:v>
                </c:pt>
                <c:pt idx="9">
                  <c:v>337.44444444444446</c:v>
                </c:pt>
                <c:pt idx="10">
                  <c:v>363.88888888888891</c:v>
                </c:pt>
                <c:pt idx="11">
                  <c:v>390.33333333333331</c:v>
                </c:pt>
                <c:pt idx="12">
                  <c:v>416.77777777777777</c:v>
                </c:pt>
                <c:pt idx="13">
                  <c:v>443.22222222222223</c:v>
                </c:pt>
                <c:pt idx="14">
                  <c:v>482.66666666666669</c:v>
                </c:pt>
                <c:pt idx="15">
                  <c:v>509.11111111111109</c:v>
                </c:pt>
                <c:pt idx="16">
                  <c:v>535.55555555555554</c:v>
                </c:pt>
                <c:pt idx="17">
                  <c:v>562</c:v>
                </c:pt>
                <c:pt idx="18">
                  <c:v>588.44444444444446</c:v>
                </c:pt>
                <c:pt idx="19">
                  <c:v>640.88888888888891</c:v>
                </c:pt>
                <c:pt idx="20">
                  <c:v>667.33333333333337</c:v>
                </c:pt>
                <c:pt idx="21">
                  <c:v>693.77777777777783</c:v>
                </c:pt>
                <c:pt idx="22">
                  <c:v>720.22222222222217</c:v>
                </c:pt>
                <c:pt idx="23">
                  <c:v>746.66666666666663</c:v>
                </c:pt>
                <c:pt idx="24">
                  <c:v>773.11111111111109</c:v>
                </c:pt>
                <c:pt idx="25">
                  <c:v>825.55555555555554</c:v>
                </c:pt>
                <c:pt idx="26">
                  <c:v>852</c:v>
                </c:pt>
                <c:pt idx="27">
                  <c:v>878.44444444444446</c:v>
                </c:pt>
                <c:pt idx="28">
                  <c:v>904.88888888888891</c:v>
                </c:pt>
                <c:pt idx="29">
                  <c:v>931.33333333333337</c:v>
                </c:pt>
                <c:pt idx="30">
                  <c:v>957.77777777777783</c:v>
                </c:pt>
                <c:pt idx="31">
                  <c:v>1010.2222222222222</c:v>
                </c:pt>
                <c:pt idx="32">
                  <c:v>1036.6666666666667</c:v>
                </c:pt>
                <c:pt idx="33">
                  <c:v>1063.1111111111111</c:v>
                </c:pt>
                <c:pt idx="34">
                  <c:v>1089.5555555555557</c:v>
                </c:pt>
                <c:pt idx="35">
                  <c:v>1116</c:v>
                </c:pt>
                <c:pt idx="36">
                  <c:v>1142.4444444444443</c:v>
                </c:pt>
                <c:pt idx="37">
                  <c:v>1194.8888888888889</c:v>
                </c:pt>
                <c:pt idx="38">
                  <c:v>1221.3333333333333</c:v>
                </c:pt>
                <c:pt idx="39">
                  <c:v>1247.7777777777778</c:v>
                </c:pt>
                <c:pt idx="40">
                  <c:v>1300.2222222222222</c:v>
                </c:pt>
                <c:pt idx="41">
                  <c:v>1326.6666666666667</c:v>
                </c:pt>
                <c:pt idx="42">
                  <c:v>1353.1111111111111</c:v>
                </c:pt>
                <c:pt idx="43">
                  <c:v>1379.5555555555557</c:v>
                </c:pt>
                <c:pt idx="44">
                  <c:v>1406</c:v>
                </c:pt>
                <c:pt idx="45">
                  <c:v>1432.4444444444443</c:v>
                </c:pt>
                <c:pt idx="46">
                  <c:v>1497.8888888888889</c:v>
                </c:pt>
                <c:pt idx="47">
                  <c:v>1524.3333333333333</c:v>
                </c:pt>
                <c:pt idx="48">
                  <c:v>1550.7777777777778</c:v>
                </c:pt>
                <c:pt idx="49">
                  <c:v>1577.2222222222222</c:v>
                </c:pt>
                <c:pt idx="50">
                  <c:v>1603.6666666666667</c:v>
                </c:pt>
                <c:pt idx="51">
                  <c:v>1630.1111111111111</c:v>
                </c:pt>
                <c:pt idx="52">
                  <c:v>1695.5555555555557</c:v>
                </c:pt>
                <c:pt idx="53">
                  <c:v>1722</c:v>
                </c:pt>
                <c:pt idx="54">
                  <c:v>1748.4444444444443</c:v>
                </c:pt>
                <c:pt idx="55">
                  <c:v>1774.8888888888889</c:v>
                </c:pt>
                <c:pt idx="56">
                  <c:v>1801.3333333333333</c:v>
                </c:pt>
                <c:pt idx="57">
                  <c:v>1827.7777777777778</c:v>
                </c:pt>
                <c:pt idx="58">
                  <c:v>1893.2222222222222</c:v>
                </c:pt>
                <c:pt idx="59">
                  <c:v>1919.6666666666667</c:v>
                </c:pt>
                <c:pt idx="60">
                  <c:v>1946.1111111111111</c:v>
                </c:pt>
                <c:pt idx="61">
                  <c:v>1972.5555555555557</c:v>
                </c:pt>
                <c:pt idx="62">
                  <c:v>1999</c:v>
                </c:pt>
                <c:pt idx="63">
                  <c:v>2025.4444444444443</c:v>
                </c:pt>
                <c:pt idx="64">
                  <c:v>2103.8888888888887</c:v>
                </c:pt>
                <c:pt idx="65">
                  <c:v>2130.3333333333335</c:v>
                </c:pt>
                <c:pt idx="66">
                  <c:v>2156.7777777777778</c:v>
                </c:pt>
                <c:pt idx="67">
                  <c:v>2183.2222222222222</c:v>
                </c:pt>
                <c:pt idx="68">
                  <c:v>2209.6666666666665</c:v>
                </c:pt>
                <c:pt idx="69">
                  <c:v>2236.1111111111113</c:v>
                </c:pt>
                <c:pt idx="70">
                  <c:v>2314.5555555555557</c:v>
                </c:pt>
                <c:pt idx="71">
                  <c:v>2341</c:v>
                </c:pt>
                <c:pt idx="72">
                  <c:v>2367.4444444444443</c:v>
                </c:pt>
                <c:pt idx="73">
                  <c:v>2393.8888888888887</c:v>
                </c:pt>
                <c:pt idx="74">
                  <c:v>2420.3333333333335</c:v>
                </c:pt>
                <c:pt idx="75">
                  <c:v>2446.7777777777778</c:v>
                </c:pt>
                <c:pt idx="76">
                  <c:v>2538.2222222222222</c:v>
                </c:pt>
                <c:pt idx="77">
                  <c:v>2564.6666666666665</c:v>
                </c:pt>
                <c:pt idx="78">
                  <c:v>2591.1111111111113</c:v>
                </c:pt>
                <c:pt idx="79">
                  <c:v>2617.5555555555557</c:v>
                </c:pt>
                <c:pt idx="80">
                  <c:v>2644</c:v>
                </c:pt>
                <c:pt idx="81">
                  <c:v>2670.4444444444443</c:v>
                </c:pt>
                <c:pt idx="82">
                  <c:v>2696.8888888888887</c:v>
                </c:pt>
                <c:pt idx="83">
                  <c:v>2723.3333333333335</c:v>
                </c:pt>
                <c:pt idx="84">
                  <c:v>2749.7777777777778</c:v>
                </c:pt>
                <c:pt idx="85">
                  <c:v>2776.2222222222222</c:v>
                </c:pt>
                <c:pt idx="86">
                  <c:v>2802.6666666666665</c:v>
                </c:pt>
                <c:pt idx="87">
                  <c:v>2829.1111111111113</c:v>
                </c:pt>
                <c:pt idx="88">
                  <c:v>2855.5555555555557</c:v>
                </c:pt>
                <c:pt idx="89">
                  <c:v>2882</c:v>
                </c:pt>
                <c:pt idx="90">
                  <c:v>2908.4444444444443</c:v>
                </c:pt>
                <c:pt idx="91">
                  <c:v>2934.8888888888887</c:v>
                </c:pt>
                <c:pt idx="92">
                  <c:v>2961.3333333333335</c:v>
                </c:pt>
                <c:pt idx="93">
                  <c:v>2987.7777777777778</c:v>
                </c:pt>
                <c:pt idx="94">
                  <c:v>3014.2222222222222</c:v>
                </c:pt>
                <c:pt idx="95">
                  <c:v>3040.6666666666665</c:v>
                </c:pt>
                <c:pt idx="96">
                  <c:v>3067.1111111111113</c:v>
                </c:pt>
                <c:pt idx="97">
                  <c:v>3093.5555555555557</c:v>
                </c:pt>
                <c:pt idx="98">
                  <c:v>3120</c:v>
                </c:pt>
                <c:pt idx="99">
                  <c:v>3146.4444444444443</c:v>
                </c:pt>
                <c:pt idx="100">
                  <c:v>3172.8888888888887</c:v>
                </c:pt>
                <c:pt idx="101">
                  <c:v>3199.3333333333335</c:v>
                </c:pt>
                <c:pt idx="102">
                  <c:v>3225.7777777777778</c:v>
                </c:pt>
                <c:pt idx="103">
                  <c:v>3252.2222222222222</c:v>
                </c:pt>
                <c:pt idx="104">
                  <c:v>3278.6666666666665</c:v>
                </c:pt>
                <c:pt idx="105">
                  <c:v>3305.1111111111113</c:v>
                </c:pt>
                <c:pt idx="106">
                  <c:v>3331.5555555555557</c:v>
                </c:pt>
                <c:pt idx="107">
                  <c:v>3358</c:v>
                </c:pt>
                <c:pt idx="108">
                  <c:v>3384.4444444444443</c:v>
                </c:pt>
                <c:pt idx="109">
                  <c:v>3410.8888888888887</c:v>
                </c:pt>
                <c:pt idx="110">
                  <c:v>3437.3333333333335</c:v>
                </c:pt>
                <c:pt idx="111">
                  <c:v>3463.7777777777778</c:v>
                </c:pt>
                <c:pt idx="112">
                  <c:v>3490.2222222222222</c:v>
                </c:pt>
                <c:pt idx="113">
                  <c:v>3516.6666666666665</c:v>
                </c:pt>
                <c:pt idx="114">
                  <c:v>3543.1111111111113</c:v>
                </c:pt>
                <c:pt idx="115">
                  <c:v>3569.5555555555557</c:v>
                </c:pt>
                <c:pt idx="116">
                  <c:v>3596</c:v>
                </c:pt>
                <c:pt idx="117">
                  <c:v>3622.4444444444443</c:v>
                </c:pt>
                <c:pt idx="118">
                  <c:v>3648.8888888888887</c:v>
                </c:pt>
                <c:pt idx="119">
                  <c:v>3675.3333333333335</c:v>
                </c:pt>
                <c:pt idx="120">
                  <c:v>3701.7777777777778</c:v>
                </c:pt>
                <c:pt idx="121">
                  <c:v>3728.2222222222222</c:v>
                </c:pt>
                <c:pt idx="122">
                  <c:v>3754.6666666666665</c:v>
                </c:pt>
                <c:pt idx="123">
                  <c:v>3781.1111111111113</c:v>
                </c:pt>
                <c:pt idx="124">
                  <c:v>3807.5555555555557</c:v>
                </c:pt>
                <c:pt idx="125">
                  <c:v>3834</c:v>
                </c:pt>
                <c:pt idx="126">
                  <c:v>3860.4444444444443</c:v>
                </c:pt>
                <c:pt idx="127">
                  <c:v>3886.8888888888887</c:v>
                </c:pt>
                <c:pt idx="128">
                  <c:v>3913.3333333333335</c:v>
                </c:pt>
                <c:pt idx="129">
                  <c:v>3939.7777777777778</c:v>
                </c:pt>
                <c:pt idx="130">
                  <c:v>3966.2222222222222</c:v>
                </c:pt>
                <c:pt idx="131">
                  <c:v>3992.6666666666665</c:v>
                </c:pt>
                <c:pt idx="132">
                  <c:v>4019.1111111111113</c:v>
                </c:pt>
                <c:pt idx="133">
                  <c:v>4045.5555555555557</c:v>
                </c:pt>
                <c:pt idx="134">
                  <c:v>4072</c:v>
                </c:pt>
                <c:pt idx="135">
                  <c:v>4098.4444444444443</c:v>
                </c:pt>
                <c:pt idx="136">
                  <c:v>4124.8888888888887</c:v>
                </c:pt>
                <c:pt idx="137">
                  <c:v>4151.333333333333</c:v>
                </c:pt>
                <c:pt idx="138">
                  <c:v>4177.7777777777774</c:v>
                </c:pt>
                <c:pt idx="139">
                  <c:v>4204.2222222222226</c:v>
                </c:pt>
                <c:pt idx="140">
                  <c:v>4230.666666666667</c:v>
                </c:pt>
                <c:pt idx="141">
                  <c:v>4257.1111111111113</c:v>
                </c:pt>
                <c:pt idx="142">
                  <c:v>4283.5555555555557</c:v>
                </c:pt>
                <c:pt idx="143">
                  <c:v>4310</c:v>
                </c:pt>
                <c:pt idx="144">
                  <c:v>4336.4444444444443</c:v>
                </c:pt>
                <c:pt idx="145">
                  <c:v>4362.8888888888887</c:v>
                </c:pt>
                <c:pt idx="146">
                  <c:v>4389.333333333333</c:v>
                </c:pt>
                <c:pt idx="147">
                  <c:v>4415.7777777777774</c:v>
                </c:pt>
                <c:pt idx="148">
                  <c:v>4442.2222222222226</c:v>
                </c:pt>
                <c:pt idx="149">
                  <c:v>4468.666666666667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Ranges!$M$6</c:f>
              <c:strCache>
                <c:ptCount val="1"/>
                <c:pt idx="0">
                  <c:v>Dantalian Paladin</c:v>
                </c:pt>
              </c:strCache>
            </c:strRef>
          </c:tx>
          <c:marker>
            <c:symbol val="none"/>
          </c:marker>
          <c:xVal>
            <c:numRef>
              <c:f>Ranges!$A$7:$A$156</c:f>
              <c:numCache>
                <c:formatCode>General</c:formatCode>
                <c:ptCount val="1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</c:numCache>
            </c:numRef>
          </c:xVal>
          <c:yVal>
            <c:numRef>
              <c:f>Ranges!$M$7:$M$156</c:f>
              <c:numCache>
                <c:formatCode>0</c:formatCode>
                <c:ptCount val="150"/>
                <c:pt idx="0">
                  <c:v>77.955555555555549</c:v>
                </c:pt>
                <c:pt idx="1">
                  <c:v>101.44444444444444</c:v>
                </c:pt>
                <c:pt idx="2">
                  <c:v>128.66666666666666</c:v>
                </c:pt>
                <c:pt idx="3">
                  <c:v>155.88888888888889</c:v>
                </c:pt>
                <c:pt idx="4">
                  <c:v>183.11111111111111</c:v>
                </c:pt>
                <c:pt idx="5">
                  <c:v>223.33333333333331</c:v>
                </c:pt>
                <c:pt idx="6">
                  <c:v>250.55555555555554</c:v>
                </c:pt>
                <c:pt idx="7">
                  <c:v>277.77777777777777</c:v>
                </c:pt>
                <c:pt idx="8">
                  <c:v>305</c:v>
                </c:pt>
                <c:pt idx="9">
                  <c:v>345.22222222222223</c:v>
                </c:pt>
                <c:pt idx="10">
                  <c:v>372.44444444444446</c:v>
                </c:pt>
                <c:pt idx="11">
                  <c:v>399.66666666666663</c:v>
                </c:pt>
                <c:pt idx="12">
                  <c:v>426.88888888888886</c:v>
                </c:pt>
                <c:pt idx="13">
                  <c:v>454.11111111111109</c:v>
                </c:pt>
                <c:pt idx="14">
                  <c:v>494.33333333333331</c:v>
                </c:pt>
                <c:pt idx="15">
                  <c:v>521.55555555555554</c:v>
                </c:pt>
                <c:pt idx="16">
                  <c:v>548.77777777777771</c:v>
                </c:pt>
                <c:pt idx="17">
                  <c:v>576</c:v>
                </c:pt>
                <c:pt idx="18">
                  <c:v>603.22222222222217</c:v>
                </c:pt>
                <c:pt idx="19">
                  <c:v>656.44444444444446</c:v>
                </c:pt>
                <c:pt idx="20">
                  <c:v>683.66666666666663</c:v>
                </c:pt>
                <c:pt idx="21">
                  <c:v>710.88888888888891</c:v>
                </c:pt>
                <c:pt idx="22">
                  <c:v>738.11111111111109</c:v>
                </c:pt>
                <c:pt idx="23">
                  <c:v>765.33333333333326</c:v>
                </c:pt>
                <c:pt idx="24">
                  <c:v>792.55555555555554</c:v>
                </c:pt>
                <c:pt idx="25">
                  <c:v>845.77777777777771</c:v>
                </c:pt>
                <c:pt idx="26">
                  <c:v>873</c:v>
                </c:pt>
                <c:pt idx="27">
                  <c:v>900.22222222222217</c:v>
                </c:pt>
                <c:pt idx="28">
                  <c:v>927.44444444444446</c:v>
                </c:pt>
                <c:pt idx="29">
                  <c:v>954.66666666666663</c:v>
                </c:pt>
                <c:pt idx="30">
                  <c:v>981.88888888888891</c:v>
                </c:pt>
                <c:pt idx="31">
                  <c:v>1035.1111111111111</c:v>
                </c:pt>
                <c:pt idx="32">
                  <c:v>1062.3333333333333</c:v>
                </c:pt>
                <c:pt idx="33">
                  <c:v>1089.5555555555554</c:v>
                </c:pt>
                <c:pt idx="34">
                  <c:v>1116.7777777777778</c:v>
                </c:pt>
                <c:pt idx="35">
                  <c:v>1144</c:v>
                </c:pt>
                <c:pt idx="36">
                  <c:v>1171.2222222222222</c:v>
                </c:pt>
                <c:pt idx="37">
                  <c:v>1224.4444444444443</c:v>
                </c:pt>
                <c:pt idx="38">
                  <c:v>1251.6666666666667</c:v>
                </c:pt>
                <c:pt idx="39">
                  <c:v>1278.8888888888889</c:v>
                </c:pt>
                <c:pt idx="40">
                  <c:v>1332.1111111111111</c:v>
                </c:pt>
                <c:pt idx="41">
                  <c:v>1359.3333333333333</c:v>
                </c:pt>
                <c:pt idx="42">
                  <c:v>1386.5555555555554</c:v>
                </c:pt>
                <c:pt idx="43">
                  <c:v>1413.7777777777778</c:v>
                </c:pt>
                <c:pt idx="44">
                  <c:v>1441</c:v>
                </c:pt>
                <c:pt idx="45">
                  <c:v>1468.2222222222222</c:v>
                </c:pt>
                <c:pt idx="46">
                  <c:v>1534.4444444444443</c:v>
                </c:pt>
                <c:pt idx="47">
                  <c:v>1561.6666666666665</c:v>
                </c:pt>
                <c:pt idx="48">
                  <c:v>1588.8888888888889</c:v>
                </c:pt>
                <c:pt idx="49">
                  <c:v>1616.1111111111111</c:v>
                </c:pt>
                <c:pt idx="50">
                  <c:v>1643.3333333333333</c:v>
                </c:pt>
                <c:pt idx="51">
                  <c:v>1670.5555555555554</c:v>
                </c:pt>
                <c:pt idx="52">
                  <c:v>1736.7777777777778</c:v>
                </c:pt>
                <c:pt idx="53">
                  <c:v>1764</c:v>
                </c:pt>
                <c:pt idx="54">
                  <c:v>1791.2222222222222</c:v>
                </c:pt>
                <c:pt idx="55">
                  <c:v>1818.4444444444443</c:v>
                </c:pt>
                <c:pt idx="56">
                  <c:v>1845.6666666666665</c:v>
                </c:pt>
                <c:pt idx="57">
                  <c:v>1872.8888888888889</c:v>
                </c:pt>
                <c:pt idx="58">
                  <c:v>1939.1111111111111</c:v>
                </c:pt>
                <c:pt idx="59">
                  <c:v>1966.3333333333333</c:v>
                </c:pt>
                <c:pt idx="60">
                  <c:v>1993.5555555555554</c:v>
                </c:pt>
                <c:pt idx="61">
                  <c:v>2020.7777777777778</c:v>
                </c:pt>
                <c:pt idx="62">
                  <c:v>2048</c:v>
                </c:pt>
                <c:pt idx="63">
                  <c:v>2075.2222222222222</c:v>
                </c:pt>
                <c:pt idx="64">
                  <c:v>2154.4444444444443</c:v>
                </c:pt>
                <c:pt idx="65">
                  <c:v>2181.6666666666665</c:v>
                </c:pt>
                <c:pt idx="66">
                  <c:v>2208.8888888888887</c:v>
                </c:pt>
                <c:pt idx="67">
                  <c:v>2236.1111111111109</c:v>
                </c:pt>
                <c:pt idx="68">
                  <c:v>2263.3333333333335</c:v>
                </c:pt>
                <c:pt idx="69">
                  <c:v>2290.5555555555557</c:v>
                </c:pt>
                <c:pt idx="70">
                  <c:v>2369.7777777777778</c:v>
                </c:pt>
                <c:pt idx="71">
                  <c:v>2397</c:v>
                </c:pt>
                <c:pt idx="72">
                  <c:v>2424.2222222222222</c:v>
                </c:pt>
                <c:pt idx="73">
                  <c:v>2451.4444444444443</c:v>
                </c:pt>
                <c:pt idx="74">
                  <c:v>2478.6666666666665</c:v>
                </c:pt>
                <c:pt idx="75">
                  <c:v>2505.8888888888887</c:v>
                </c:pt>
                <c:pt idx="76">
                  <c:v>2598.1111111111109</c:v>
                </c:pt>
                <c:pt idx="77">
                  <c:v>2625.3333333333335</c:v>
                </c:pt>
                <c:pt idx="78">
                  <c:v>2652.5555555555557</c:v>
                </c:pt>
                <c:pt idx="79">
                  <c:v>2679.7777777777778</c:v>
                </c:pt>
                <c:pt idx="80">
                  <c:v>2707</c:v>
                </c:pt>
                <c:pt idx="81">
                  <c:v>2734.2222222222222</c:v>
                </c:pt>
                <c:pt idx="82">
                  <c:v>2761.4444444444443</c:v>
                </c:pt>
                <c:pt idx="83">
                  <c:v>2788.6666666666665</c:v>
                </c:pt>
                <c:pt idx="84">
                  <c:v>2815.8888888888887</c:v>
                </c:pt>
                <c:pt idx="85">
                  <c:v>2843.1111111111109</c:v>
                </c:pt>
                <c:pt idx="86">
                  <c:v>2870.3333333333335</c:v>
                </c:pt>
                <c:pt idx="87">
                  <c:v>2897.5555555555557</c:v>
                </c:pt>
                <c:pt idx="88">
                  <c:v>2924.7777777777778</c:v>
                </c:pt>
                <c:pt idx="89">
                  <c:v>2952</c:v>
                </c:pt>
                <c:pt idx="90">
                  <c:v>2979.2222222222222</c:v>
                </c:pt>
                <c:pt idx="91">
                  <c:v>3006.4444444444443</c:v>
                </c:pt>
                <c:pt idx="92">
                  <c:v>3033.6666666666665</c:v>
                </c:pt>
                <c:pt idx="93">
                  <c:v>3060.8888888888887</c:v>
                </c:pt>
                <c:pt idx="94">
                  <c:v>3088.1111111111109</c:v>
                </c:pt>
                <c:pt idx="95">
                  <c:v>3115.333333333333</c:v>
                </c:pt>
                <c:pt idx="96">
                  <c:v>3142.5555555555557</c:v>
                </c:pt>
                <c:pt idx="97">
                  <c:v>3169.7777777777778</c:v>
                </c:pt>
                <c:pt idx="98">
                  <c:v>3197</c:v>
                </c:pt>
                <c:pt idx="99">
                  <c:v>3224.2222222222222</c:v>
                </c:pt>
                <c:pt idx="100">
                  <c:v>3251.4444444444443</c:v>
                </c:pt>
                <c:pt idx="101">
                  <c:v>3278.6666666666665</c:v>
                </c:pt>
                <c:pt idx="102">
                  <c:v>3305.8888888888887</c:v>
                </c:pt>
                <c:pt idx="103">
                  <c:v>3333.1111111111109</c:v>
                </c:pt>
                <c:pt idx="104">
                  <c:v>3360.333333333333</c:v>
                </c:pt>
                <c:pt idx="105">
                  <c:v>3387.5555555555557</c:v>
                </c:pt>
                <c:pt idx="106">
                  <c:v>3414.7777777777778</c:v>
                </c:pt>
                <c:pt idx="107">
                  <c:v>3442</c:v>
                </c:pt>
                <c:pt idx="108">
                  <c:v>3469.2222222222222</c:v>
                </c:pt>
                <c:pt idx="109">
                  <c:v>3496.4444444444443</c:v>
                </c:pt>
                <c:pt idx="110">
                  <c:v>3523.6666666666665</c:v>
                </c:pt>
                <c:pt idx="111">
                  <c:v>3550.8888888888887</c:v>
                </c:pt>
                <c:pt idx="112">
                  <c:v>3578.1111111111109</c:v>
                </c:pt>
                <c:pt idx="113">
                  <c:v>3605.333333333333</c:v>
                </c:pt>
                <c:pt idx="114">
                  <c:v>3632.5555555555557</c:v>
                </c:pt>
                <c:pt idx="115">
                  <c:v>3659.7777777777778</c:v>
                </c:pt>
                <c:pt idx="116">
                  <c:v>3687</c:v>
                </c:pt>
                <c:pt idx="117">
                  <c:v>3714.2222222222222</c:v>
                </c:pt>
                <c:pt idx="118">
                  <c:v>3741.4444444444443</c:v>
                </c:pt>
                <c:pt idx="119">
                  <c:v>3768.6666666666665</c:v>
                </c:pt>
                <c:pt idx="120">
                  <c:v>3795.8888888888887</c:v>
                </c:pt>
                <c:pt idx="121">
                  <c:v>3823.1111111111109</c:v>
                </c:pt>
                <c:pt idx="122">
                  <c:v>3850.333333333333</c:v>
                </c:pt>
                <c:pt idx="123">
                  <c:v>3877.5555555555557</c:v>
                </c:pt>
                <c:pt idx="124">
                  <c:v>3904.7777777777778</c:v>
                </c:pt>
                <c:pt idx="125">
                  <c:v>3932</c:v>
                </c:pt>
                <c:pt idx="126">
                  <c:v>3959.2222222222222</c:v>
                </c:pt>
                <c:pt idx="127">
                  <c:v>3986.4444444444443</c:v>
                </c:pt>
                <c:pt idx="128">
                  <c:v>4013.6666666666665</c:v>
                </c:pt>
                <c:pt idx="129">
                  <c:v>4040.8888888888887</c:v>
                </c:pt>
                <c:pt idx="130">
                  <c:v>4068.1111111111109</c:v>
                </c:pt>
                <c:pt idx="131">
                  <c:v>4095.333333333333</c:v>
                </c:pt>
                <c:pt idx="132">
                  <c:v>4122.5555555555557</c:v>
                </c:pt>
                <c:pt idx="133">
                  <c:v>4149.7777777777774</c:v>
                </c:pt>
                <c:pt idx="134">
                  <c:v>4177</c:v>
                </c:pt>
                <c:pt idx="135">
                  <c:v>4204.2222222222217</c:v>
                </c:pt>
                <c:pt idx="136">
                  <c:v>4231.4444444444443</c:v>
                </c:pt>
                <c:pt idx="137">
                  <c:v>4258.666666666667</c:v>
                </c:pt>
                <c:pt idx="138">
                  <c:v>4285.8888888888887</c:v>
                </c:pt>
                <c:pt idx="139">
                  <c:v>4313.1111111111113</c:v>
                </c:pt>
                <c:pt idx="140">
                  <c:v>4340.333333333333</c:v>
                </c:pt>
                <c:pt idx="141">
                  <c:v>4367.5555555555557</c:v>
                </c:pt>
                <c:pt idx="142">
                  <c:v>4394.7777777777774</c:v>
                </c:pt>
                <c:pt idx="143">
                  <c:v>4422</c:v>
                </c:pt>
                <c:pt idx="144">
                  <c:v>4449.2222222222217</c:v>
                </c:pt>
                <c:pt idx="145">
                  <c:v>4476.4444444444443</c:v>
                </c:pt>
                <c:pt idx="146">
                  <c:v>4503.666666666667</c:v>
                </c:pt>
                <c:pt idx="147">
                  <c:v>4530.8888888888887</c:v>
                </c:pt>
                <c:pt idx="148">
                  <c:v>4558.1111111111113</c:v>
                </c:pt>
                <c:pt idx="149">
                  <c:v>4585.333333333333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Ranges!$N$6</c:f>
              <c:strCache>
                <c:ptCount val="1"/>
                <c:pt idx="0">
                  <c:v>Dantalian Warrior</c:v>
                </c:pt>
              </c:strCache>
            </c:strRef>
          </c:tx>
          <c:marker>
            <c:symbol val="none"/>
          </c:marker>
          <c:xVal>
            <c:numRef>
              <c:f>Ranges!$A$7:$A$156</c:f>
              <c:numCache>
                <c:formatCode>General</c:formatCode>
                <c:ptCount val="1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</c:numCache>
            </c:numRef>
          </c:xVal>
          <c:yVal>
            <c:numRef>
              <c:f>Ranges!$N$7:$N$156</c:f>
              <c:numCache>
                <c:formatCode>0</c:formatCode>
                <c:ptCount val="150"/>
                <c:pt idx="0">
                  <c:v>78.733333333333334</c:v>
                </c:pt>
                <c:pt idx="1">
                  <c:v>103</c:v>
                </c:pt>
                <c:pt idx="2">
                  <c:v>131</c:v>
                </c:pt>
                <c:pt idx="3">
                  <c:v>159</c:v>
                </c:pt>
                <c:pt idx="4">
                  <c:v>187</c:v>
                </c:pt>
                <c:pt idx="5">
                  <c:v>228</c:v>
                </c:pt>
                <c:pt idx="6">
                  <c:v>256</c:v>
                </c:pt>
                <c:pt idx="7">
                  <c:v>284</c:v>
                </c:pt>
                <c:pt idx="8">
                  <c:v>312</c:v>
                </c:pt>
                <c:pt idx="9">
                  <c:v>353</c:v>
                </c:pt>
                <c:pt idx="10">
                  <c:v>381</c:v>
                </c:pt>
                <c:pt idx="11">
                  <c:v>409</c:v>
                </c:pt>
                <c:pt idx="12">
                  <c:v>437</c:v>
                </c:pt>
                <c:pt idx="13">
                  <c:v>465</c:v>
                </c:pt>
                <c:pt idx="14">
                  <c:v>506</c:v>
                </c:pt>
                <c:pt idx="15">
                  <c:v>534</c:v>
                </c:pt>
                <c:pt idx="16">
                  <c:v>562</c:v>
                </c:pt>
                <c:pt idx="17">
                  <c:v>590</c:v>
                </c:pt>
                <c:pt idx="18">
                  <c:v>618</c:v>
                </c:pt>
                <c:pt idx="19">
                  <c:v>672</c:v>
                </c:pt>
                <c:pt idx="20">
                  <c:v>700</c:v>
                </c:pt>
                <c:pt idx="21">
                  <c:v>728</c:v>
                </c:pt>
                <c:pt idx="22">
                  <c:v>756</c:v>
                </c:pt>
                <c:pt idx="23">
                  <c:v>784</c:v>
                </c:pt>
                <c:pt idx="24">
                  <c:v>812</c:v>
                </c:pt>
                <c:pt idx="25">
                  <c:v>866</c:v>
                </c:pt>
                <c:pt idx="26">
                  <c:v>894</c:v>
                </c:pt>
                <c:pt idx="27">
                  <c:v>922</c:v>
                </c:pt>
                <c:pt idx="28">
                  <c:v>950</c:v>
                </c:pt>
                <c:pt idx="29">
                  <c:v>978</c:v>
                </c:pt>
                <c:pt idx="30">
                  <c:v>1006</c:v>
                </c:pt>
                <c:pt idx="31">
                  <c:v>1060</c:v>
                </c:pt>
                <c:pt idx="32">
                  <c:v>1088</c:v>
                </c:pt>
                <c:pt idx="33">
                  <c:v>1116</c:v>
                </c:pt>
                <c:pt idx="34">
                  <c:v>1144</c:v>
                </c:pt>
                <c:pt idx="35">
                  <c:v>1172</c:v>
                </c:pt>
                <c:pt idx="36">
                  <c:v>1200</c:v>
                </c:pt>
                <c:pt idx="37">
                  <c:v>1254</c:v>
                </c:pt>
                <c:pt idx="38">
                  <c:v>1282</c:v>
                </c:pt>
                <c:pt idx="39">
                  <c:v>1310</c:v>
                </c:pt>
                <c:pt idx="40">
                  <c:v>1364</c:v>
                </c:pt>
                <c:pt idx="41">
                  <c:v>1392</c:v>
                </c:pt>
                <c:pt idx="42">
                  <c:v>1420</c:v>
                </c:pt>
                <c:pt idx="43">
                  <c:v>1448</c:v>
                </c:pt>
                <c:pt idx="44">
                  <c:v>1476</c:v>
                </c:pt>
                <c:pt idx="45">
                  <c:v>1504</c:v>
                </c:pt>
                <c:pt idx="46">
                  <c:v>1571</c:v>
                </c:pt>
                <c:pt idx="47">
                  <c:v>1599</c:v>
                </c:pt>
                <c:pt idx="48">
                  <c:v>1627</c:v>
                </c:pt>
                <c:pt idx="49">
                  <c:v>1655</c:v>
                </c:pt>
                <c:pt idx="50">
                  <c:v>1683</c:v>
                </c:pt>
                <c:pt idx="51">
                  <c:v>1711</c:v>
                </c:pt>
                <c:pt idx="52">
                  <c:v>1778</c:v>
                </c:pt>
                <c:pt idx="53">
                  <c:v>1806</c:v>
                </c:pt>
                <c:pt idx="54">
                  <c:v>1834</c:v>
                </c:pt>
                <c:pt idx="55">
                  <c:v>1862</c:v>
                </c:pt>
                <c:pt idx="56">
                  <c:v>1890</c:v>
                </c:pt>
                <c:pt idx="57">
                  <c:v>1918</c:v>
                </c:pt>
                <c:pt idx="58">
                  <c:v>1985</c:v>
                </c:pt>
                <c:pt idx="59">
                  <c:v>2013</c:v>
                </c:pt>
                <c:pt idx="60">
                  <c:v>2041</c:v>
                </c:pt>
                <c:pt idx="61">
                  <c:v>2069</c:v>
                </c:pt>
                <c:pt idx="62">
                  <c:v>2097</c:v>
                </c:pt>
                <c:pt idx="63">
                  <c:v>2125</c:v>
                </c:pt>
                <c:pt idx="64">
                  <c:v>2205</c:v>
                </c:pt>
                <c:pt idx="65">
                  <c:v>2233</c:v>
                </c:pt>
                <c:pt idx="66">
                  <c:v>2261</c:v>
                </c:pt>
                <c:pt idx="67">
                  <c:v>2289</c:v>
                </c:pt>
                <c:pt idx="68">
                  <c:v>2317</c:v>
                </c:pt>
                <c:pt idx="69">
                  <c:v>2345</c:v>
                </c:pt>
                <c:pt idx="70">
                  <c:v>2425</c:v>
                </c:pt>
                <c:pt idx="71">
                  <c:v>2453</c:v>
                </c:pt>
                <c:pt idx="72">
                  <c:v>2481</c:v>
                </c:pt>
                <c:pt idx="73">
                  <c:v>2509</c:v>
                </c:pt>
                <c:pt idx="74">
                  <c:v>2537</c:v>
                </c:pt>
                <c:pt idx="75">
                  <c:v>2565</c:v>
                </c:pt>
                <c:pt idx="76">
                  <c:v>2658</c:v>
                </c:pt>
                <c:pt idx="77">
                  <c:v>2686</c:v>
                </c:pt>
                <c:pt idx="78">
                  <c:v>2714</c:v>
                </c:pt>
                <c:pt idx="79">
                  <c:v>2742</c:v>
                </c:pt>
                <c:pt idx="80">
                  <c:v>2770</c:v>
                </c:pt>
                <c:pt idx="81">
                  <c:v>2798</c:v>
                </c:pt>
                <c:pt idx="82">
                  <c:v>2826</c:v>
                </c:pt>
                <c:pt idx="83">
                  <c:v>2854</c:v>
                </c:pt>
                <c:pt idx="84">
                  <c:v>2882</c:v>
                </c:pt>
                <c:pt idx="85">
                  <c:v>2910</c:v>
                </c:pt>
                <c:pt idx="86">
                  <c:v>2938</c:v>
                </c:pt>
                <c:pt idx="87">
                  <c:v>2966</c:v>
                </c:pt>
                <c:pt idx="88">
                  <c:v>2994</c:v>
                </c:pt>
                <c:pt idx="89">
                  <c:v>3022</c:v>
                </c:pt>
                <c:pt idx="90">
                  <c:v>3050</c:v>
                </c:pt>
                <c:pt idx="91">
                  <c:v>3078</c:v>
                </c:pt>
                <c:pt idx="92">
                  <c:v>3106</c:v>
                </c:pt>
                <c:pt idx="93">
                  <c:v>3134</c:v>
                </c:pt>
                <c:pt idx="94">
                  <c:v>3162</c:v>
                </c:pt>
                <c:pt idx="95">
                  <c:v>3190</c:v>
                </c:pt>
                <c:pt idx="96">
                  <c:v>3218</c:v>
                </c:pt>
                <c:pt idx="97">
                  <c:v>3246</c:v>
                </c:pt>
                <c:pt idx="98">
                  <c:v>3274</c:v>
                </c:pt>
                <c:pt idx="99">
                  <c:v>3302</c:v>
                </c:pt>
                <c:pt idx="100">
                  <c:v>3330</c:v>
                </c:pt>
                <c:pt idx="101">
                  <c:v>3358</c:v>
                </c:pt>
                <c:pt idx="102">
                  <c:v>3386</c:v>
                </c:pt>
                <c:pt idx="103">
                  <c:v>3414</c:v>
                </c:pt>
                <c:pt idx="104">
                  <c:v>3442</c:v>
                </c:pt>
                <c:pt idx="105">
                  <c:v>3470</c:v>
                </c:pt>
                <c:pt idx="106">
                  <c:v>3498</c:v>
                </c:pt>
                <c:pt idx="107">
                  <c:v>3526</c:v>
                </c:pt>
                <c:pt idx="108">
                  <c:v>3554</c:v>
                </c:pt>
                <c:pt idx="109">
                  <c:v>3582</c:v>
                </c:pt>
                <c:pt idx="110">
                  <c:v>3610</c:v>
                </c:pt>
                <c:pt idx="111">
                  <c:v>3638</c:v>
                </c:pt>
                <c:pt idx="112">
                  <c:v>3666</c:v>
                </c:pt>
                <c:pt idx="113">
                  <c:v>3694</c:v>
                </c:pt>
                <c:pt idx="114">
                  <c:v>3722</c:v>
                </c:pt>
                <c:pt idx="115">
                  <c:v>3750</c:v>
                </c:pt>
                <c:pt idx="116">
                  <c:v>3778</c:v>
                </c:pt>
                <c:pt idx="117">
                  <c:v>3806</c:v>
                </c:pt>
                <c:pt idx="118">
                  <c:v>3834</c:v>
                </c:pt>
                <c:pt idx="119">
                  <c:v>3862</c:v>
                </c:pt>
                <c:pt idx="120">
                  <c:v>3890</c:v>
                </c:pt>
                <c:pt idx="121">
                  <c:v>3918</c:v>
                </c:pt>
                <c:pt idx="122">
                  <c:v>3946</c:v>
                </c:pt>
                <c:pt idx="123">
                  <c:v>3974</c:v>
                </c:pt>
                <c:pt idx="124">
                  <c:v>4002</c:v>
                </c:pt>
                <c:pt idx="125">
                  <c:v>4030</c:v>
                </c:pt>
                <c:pt idx="126">
                  <c:v>4058</c:v>
                </c:pt>
                <c:pt idx="127">
                  <c:v>4086</c:v>
                </c:pt>
                <c:pt idx="128">
                  <c:v>4114</c:v>
                </c:pt>
                <c:pt idx="129">
                  <c:v>4142</c:v>
                </c:pt>
                <c:pt idx="130">
                  <c:v>4170</c:v>
                </c:pt>
                <c:pt idx="131">
                  <c:v>4198</c:v>
                </c:pt>
                <c:pt idx="132">
                  <c:v>4226</c:v>
                </c:pt>
                <c:pt idx="133">
                  <c:v>4254</c:v>
                </c:pt>
                <c:pt idx="134">
                  <c:v>4282</c:v>
                </c:pt>
                <c:pt idx="135">
                  <c:v>4310</c:v>
                </c:pt>
                <c:pt idx="136">
                  <c:v>4338</c:v>
                </c:pt>
                <c:pt idx="137">
                  <c:v>4366</c:v>
                </c:pt>
                <c:pt idx="138">
                  <c:v>4394</c:v>
                </c:pt>
                <c:pt idx="139">
                  <c:v>4422</c:v>
                </c:pt>
                <c:pt idx="140">
                  <c:v>4450</c:v>
                </c:pt>
                <c:pt idx="141">
                  <c:v>4478</c:v>
                </c:pt>
                <c:pt idx="142">
                  <c:v>4506</c:v>
                </c:pt>
                <c:pt idx="143">
                  <c:v>4534</c:v>
                </c:pt>
                <c:pt idx="144">
                  <c:v>4562</c:v>
                </c:pt>
                <c:pt idx="145">
                  <c:v>4590</c:v>
                </c:pt>
                <c:pt idx="146">
                  <c:v>4618</c:v>
                </c:pt>
                <c:pt idx="147">
                  <c:v>4646</c:v>
                </c:pt>
                <c:pt idx="148">
                  <c:v>4674</c:v>
                </c:pt>
                <c:pt idx="149">
                  <c:v>4702</c:v>
                </c:pt>
              </c:numCache>
            </c:numRef>
          </c:yVal>
          <c:smooth val="1"/>
        </c:ser>
        <c:axId val="70411008"/>
        <c:axId val="70412544"/>
      </c:scatterChart>
      <c:valAx>
        <c:axId val="70411008"/>
        <c:scaling>
          <c:orientation val="minMax"/>
        </c:scaling>
        <c:axPos val="b"/>
        <c:numFmt formatCode="General" sourceLinked="1"/>
        <c:tickLblPos val="nextTo"/>
        <c:crossAx val="70412544"/>
        <c:crosses val="autoZero"/>
        <c:crossBetween val="midCat"/>
      </c:valAx>
      <c:valAx>
        <c:axId val="70412544"/>
        <c:scaling>
          <c:orientation val="minMax"/>
          <c:max val="6000"/>
        </c:scaling>
        <c:axPos val="l"/>
        <c:majorGridlines/>
        <c:numFmt formatCode="0" sourceLinked="1"/>
        <c:tickLblPos val="nextTo"/>
        <c:crossAx val="70411008"/>
        <c:crosses val="autoZero"/>
        <c:crossBetween val="midCat"/>
      </c:valAx>
    </c:plotArea>
    <c:legend>
      <c:legendPos val="r"/>
      <c:layout/>
    </c:legend>
    <c:plotVisOnly val="1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Ranges!$O$6</c:f>
              <c:strCache>
                <c:ptCount val="1"/>
                <c:pt idx="0">
                  <c:v>Dantalian Adept</c:v>
                </c:pt>
              </c:strCache>
            </c:strRef>
          </c:tx>
          <c:marker>
            <c:symbol val="none"/>
          </c:marker>
          <c:xVal>
            <c:numRef>
              <c:f>Ranges!$A$7:$A$156</c:f>
              <c:numCache>
                <c:formatCode>General</c:formatCode>
                <c:ptCount val="1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</c:numCache>
            </c:numRef>
          </c:xVal>
          <c:yVal>
            <c:numRef>
              <c:f>Ranges!$O$7:$O$156</c:f>
              <c:numCache>
                <c:formatCode>0</c:formatCode>
                <c:ptCount val="150"/>
                <c:pt idx="0">
                  <c:v>19</c:v>
                </c:pt>
                <c:pt idx="1">
                  <c:v>33.333333333333336</c:v>
                </c:pt>
                <c:pt idx="2">
                  <c:v>47.666666666666671</c:v>
                </c:pt>
                <c:pt idx="3">
                  <c:v>62</c:v>
                </c:pt>
                <c:pt idx="4">
                  <c:v>76.333333333333343</c:v>
                </c:pt>
                <c:pt idx="5">
                  <c:v>90.666666666666671</c:v>
                </c:pt>
                <c:pt idx="6">
                  <c:v>105</c:v>
                </c:pt>
                <c:pt idx="7">
                  <c:v>119.33333333333334</c:v>
                </c:pt>
                <c:pt idx="8">
                  <c:v>133.66666666666669</c:v>
                </c:pt>
                <c:pt idx="9">
                  <c:v>148</c:v>
                </c:pt>
                <c:pt idx="10">
                  <c:v>162.33333333333334</c:v>
                </c:pt>
                <c:pt idx="11">
                  <c:v>176.66666666666669</c:v>
                </c:pt>
                <c:pt idx="12">
                  <c:v>191</c:v>
                </c:pt>
                <c:pt idx="13">
                  <c:v>205.33333333333334</c:v>
                </c:pt>
                <c:pt idx="14">
                  <c:v>219.66666666666669</c:v>
                </c:pt>
                <c:pt idx="15">
                  <c:v>234</c:v>
                </c:pt>
                <c:pt idx="16">
                  <c:v>248.33333333333334</c:v>
                </c:pt>
                <c:pt idx="17">
                  <c:v>262.66666666666669</c:v>
                </c:pt>
                <c:pt idx="18">
                  <c:v>277</c:v>
                </c:pt>
                <c:pt idx="19">
                  <c:v>291.33333333333337</c:v>
                </c:pt>
                <c:pt idx="20">
                  <c:v>305.66666666666669</c:v>
                </c:pt>
                <c:pt idx="21">
                  <c:v>320</c:v>
                </c:pt>
                <c:pt idx="22">
                  <c:v>334.33333333333337</c:v>
                </c:pt>
                <c:pt idx="23">
                  <c:v>348.66666666666669</c:v>
                </c:pt>
                <c:pt idx="24">
                  <c:v>363</c:v>
                </c:pt>
                <c:pt idx="25">
                  <c:v>377.33333333333337</c:v>
                </c:pt>
                <c:pt idx="26">
                  <c:v>391.66666666666669</c:v>
                </c:pt>
                <c:pt idx="27">
                  <c:v>406</c:v>
                </c:pt>
                <c:pt idx="28">
                  <c:v>420.33333333333337</c:v>
                </c:pt>
                <c:pt idx="29">
                  <c:v>434.66666666666669</c:v>
                </c:pt>
                <c:pt idx="30">
                  <c:v>449</c:v>
                </c:pt>
                <c:pt idx="31">
                  <c:v>463.33333333333337</c:v>
                </c:pt>
                <c:pt idx="32">
                  <c:v>477.66666666666669</c:v>
                </c:pt>
                <c:pt idx="33">
                  <c:v>492</c:v>
                </c:pt>
                <c:pt idx="34">
                  <c:v>506.33333333333337</c:v>
                </c:pt>
                <c:pt idx="35">
                  <c:v>520.66666666666674</c:v>
                </c:pt>
                <c:pt idx="36">
                  <c:v>535</c:v>
                </c:pt>
                <c:pt idx="37">
                  <c:v>549.33333333333337</c:v>
                </c:pt>
                <c:pt idx="38">
                  <c:v>563.66666666666674</c:v>
                </c:pt>
                <c:pt idx="39">
                  <c:v>578</c:v>
                </c:pt>
                <c:pt idx="40">
                  <c:v>592.33333333333337</c:v>
                </c:pt>
                <c:pt idx="41">
                  <c:v>606.66666666666674</c:v>
                </c:pt>
                <c:pt idx="42">
                  <c:v>621</c:v>
                </c:pt>
                <c:pt idx="43">
                  <c:v>635.33333333333337</c:v>
                </c:pt>
                <c:pt idx="44">
                  <c:v>649.66666666666674</c:v>
                </c:pt>
                <c:pt idx="45">
                  <c:v>664</c:v>
                </c:pt>
                <c:pt idx="46">
                  <c:v>678.33333333333337</c:v>
                </c:pt>
                <c:pt idx="47">
                  <c:v>692.66666666666674</c:v>
                </c:pt>
                <c:pt idx="48">
                  <c:v>707</c:v>
                </c:pt>
                <c:pt idx="49">
                  <c:v>721.33333333333337</c:v>
                </c:pt>
                <c:pt idx="50">
                  <c:v>735.66666666666674</c:v>
                </c:pt>
                <c:pt idx="51">
                  <c:v>750</c:v>
                </c:pt>
                <c:pt idx="52">
                  <c:v>764.33333333333337</c:v>
                </c:pt>
                <c:pt idx="53">
                  <c:v>778.66666666666674</c:v>
                </c:pt>
                <c:pt idx="54">
                  <c:v>793</c:v>
                </c:pt>
                <c:pt idx="55">
                  <c:v>807.33333333333337</c:v>
                </c:pt>
                <c:pt idx="56">
                  <c:v>821.66666666666674</c:v>
                </c:pt>
                <c:pt idx="57">
                  <c:v>836</c:v>
                </c:pt>
                <c:pt idx="58">
                  <c:v>850.33333333333337</c:v>
                </c:pt>
                <c:pt idx="59">
                  <c:v>864.66666666666674</c:v>
                </c:pt>
                <c:pt idx="60">
                  <c:v>879</c:v>
                </c:pt>
                <c:pt idx="61">
                  <c:v>893.33333333333337</c:v>
                </c:pt>
                <c:pt idx="62">
                  <c:v>907.66666666666674</c:v>
                </c:pt>
                <c:pt idx="63">
                  <c:v>922</c:v>
                </c:pt>
                <c:pt idx="64">
                  <c:v>936.33333333333337</c:v>
                </c:pt>
                <c:pt idx="65">
                  <c:v>950.66666666666674</c:v>
                </c:pt>
                <c:pt idx="66">
                  <c:v>965</c:v>
                </c:pt>
                <c:pt idx="67">
                  <c:v>979.33333333333337</c:v>
                </c:pt>
                <c:pt idx="68">
                  <c:v>993.66666666666674</c:v>
                </c:pt>
                <c:pt idx="69">
                  <c:v>1008</c:v>
                </c:pt>
                <c:pt idx="70">
                  <c:v>1022.3333333333334</c:v>
                </c:pt>
                <c:pt idx="71">
                  <c:v>1036.6666666666667</c:v>
                </c:pt>
                <c:pt idx="72">
                  <c:v>1051</c:v>
                </c:pt>
                <c:pt idx="73">
                  <c:v>1065.3333333333335</c:v>
                </c:pt>
                <c:pt idx="74">
                  <c:v>1079.6666666666667</c:v>
                </c:pt>
                <c:pt idx="75">
                  <c:v>1094</c:v>
                </c:pt>
                <c:pt idx="76">
                  <c:v>1108.3333333333335</c:v>
                </c:pt>
                <c:pt idx="77">
                  <c:v>1122.6666666666667</c:v>
                </c:pt>
                <c:pt idx="78">
                  <c:v>1137</c:v>
                </c:pt>
                <c:pt idx="79">
                  <c:v>1151.3333333333335</c:v>
                </c:pt>
                <c:pt idx="80">
                  <c:v>1165.6666666666667</c:v>
                </c:pt>
                <c:pt idx="81">
                  <c:v>1180</c:v>
                </c:pt>
                <c:pt idx="82">
                  <c:v>1194.3333333333335</c:v>
                </c:pt>
                <c:pt idx="83">
                  <c:v>1208.6666666666667</c:v>
                </c:pt>
                <c:pt idx="84">
                  <c:v>1223</c:v>
                </c:pt>
                <c:pt idx="85">
                  <c:v>1237.3333333333335</c:v>
                </c:pt>
                <c:pt idx="86">
                  <c:v>1251.6666666666667</c:v>
                </c:pt>
                <c:pt idx="87">
                  <c:v>1266</c:v>
                </c:pt>
                <c:pt idx="88">
                  <c:v>1280.3333333333335</c:v>
                </c:pt>
                <c:pt idx="89">
                  <c:v>1294.6666666666667</c:v>
                </c:pt>
                <c:pt idx="90">
                  <c:v>1309</c:v>
                </c:pt>
                <c:pt idx="91">
                  <c:v>1323.3333333333335</c:v>
                </c:pt>
                <c:pt idx="92">
                  <c:v>1337.6666666666667</c:v>
                </c:pt>
                <c:pt idx="93">
                  <c:v>1352</c:v>
                </c:pt>
                <c:pt idx="94">
                  <c:v>1366.3333333333335</c:v>
                </c:pt>
                <c:pt idx="95">
                  <c:v>1380.6666666666667</c:v>
                </c:pt>
                <c:pt idx="96">
                  <c:v>1395</c:v>
                </c:pt>
                <c:pt idx="97">
                  <c:v>1409.3333333333335</c:v>
                </c:pt>
                <c:pt idx="98">
                  <c:v>1423.6666666666667</c:v>
                </c:pt>
                <c:pt idx="99">
                  <c:v>1438</c:v>
                </c:pt>
                <c:pt idx="100">
                  <c:v>1452.3333333333335</c:v>
                </c:pt>
                <c:pt idx="101">
                  <c:v>1466.6666666666667</c:v>
                </c:pt>
                <c:pt idx="102">
                  <c:v>1481</c:v>
                </c:pt>
                <c:pt idx="103">
                  <c:v>1495.3333333333335</c:v>
                </c:pt>
                <c:pt idx="104">
                  <c:v>1509.6666666666667</c:v>
                </c:pt>
                <c:pt idx="105">
                  <c:v>1524</c:v>
                </c:pt>
                <c:pt idx="106">
                  <c:v>1538.3333333333335</c:v>
                </c:pt>
                <c:pt idx="107">
                  <c:v>1552.6666666666667</c:v>
                </c:pt>
                <c:pt idx="108">
                  <c:v>1567</c:v>
                </c:pt>
                <c:pt idx="109">
                  <c:v>1581.3333333333335</c:v>
                </c:pt>
                <c:pt idx="110">
                  <c:v>1595.6666666666667</c:v>
                </c:pt>
                <c:pt idx="111">
                  <c:v>1610</c:v>
                </c:pt>
                <c:pt idx="112">
                  <c:v>1624.3333333333335</c:v>
                </c:pt>
                <c:pt idx="113">
                  <c:v>1638.6666666666667</c:v>
                </c:pt>
                <c:pt idx="114">
                  <c:v>1653</c:v>
                </c:pt>
                <c:pt idx="115">
                  <c:v>1667.3333333333335</c:v>
                </c:pt>
                <c:pt idx="116">
                  <c:v>1681.6666666666667</c:v>
                </c:pt>
                <c:pt idx="117">
                  <c:v>1696</c:v>
                </c:pt>
                <c:pt idx="118">
                  <c:v>1710.3333333333335</c:v>
                </c:pt>
                <c:pt idx="119">
                  <c:v>1724.6666666666667</c:v>
                </c:pt>
                <c:pt idx="120">
                  <c:v>1739</c:v>
                </c:pt>
                <c:pt idx="121">
                  <c:v>1753.3333333333335</c:v>
                </c:pt>
                <c:pt idx="122">
                  <c:v>1767.6666666666667</c:v>
                </c:pt>
                <c:pt idx="123">
                  <c:v>1782</c:v>
                </c:pt>
                <c:pt idx="124">
                  <c:v>1796.3333333333335</c:v>
                </c:pt>
                <c:pt idx="125">
                  <c:v>1810.6666666666667</c:v>
                </c:pt>
                <c:pt idx="126">
                  <c:v>1825</c:v>
                </c:pt>
                <c:pt idx="127">
                  <c:v>1839.3333333333335</c:v>
                </c:pt>
                <c:pt idx="128">
                  <c:v>1853.6666666666667</c:v>
                </c:pt>
                <c:pt idx="129">
                  <c:v>1868</c:v>
                </c:pt>
                <c:pt idx="130">
                  <c:v>1882.3333333333335</c:v>
                </c:pt>
                <c:pt idx="131">
                  <c:v>1896.6666666666667</c:v>
                </c:pt>
                <c:pt idx="132">
                  <c:v>1911</c:v>
                </c:pt>
                <c:pt idx="133">
                  <c:v>1925.3333333333335</c:v>
                </c:pt>
                <c:pt idx="134">
                  <c:v>1939.6666666666667</c:v>
                </c:pt>
                <c:pt idx="135">
                  <c:v>1954</c:v>
                </c:pt>
                <c:pt idx="136">
                  <c:v>1968.3333333333335</c:v>
                </c:pt>
                <c:pt idx="137">
                  <c:v>1982.6666666666667</c:v>
                </c:pt>
                <c:pt idx="138">
                  <c:v>1997</c:v>
                </c:pt>
                <c:pt idx="139">
                  <c:v>2011.3333333333335</c:v>
                </c:pt>
                <c:pt idx="140">
                  <c:v>2025.6666666666667</c:v>
                </c:pt>
                <c:pt idx="141">
                  <c:v>2040</c:v>
                </c:pt>
                <c:pt idx="142">
                  <c:v>2054.3333333333335</c:v>
                </c:pt>
                <c:pt idx="143">
                  <c:v>2068.666666666667</c:v>
                </c:pt>
                <c:pt idx="144">
                  <c:v>2083</c:v>
                </c:pt>
                <c:pt idx="145">
                  <c:v>2097.3333333333335</c:v>
                </c:pt>
                <c:pt idx="146">
                  <c:v>2111.666666666667</c:v>
                </c:pt>
                <c:pt idx="147">
                  <c:v>2126</c:v>
                </c:pt>
                <c:pt idx="148">
                  <c:v>2140.3333333333335</c:v>
                </c:pt>
                <c:pt idx="149">
                  <c:v>2154.666666666667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Ranges!$P$6</c:f>
              <c:strCache>
                <c:ptCount val="1"/>
                <c:pt idx="0">
                  <c:v>Dantalian Sorcerer</c:v>
                </c:pt>
              </c:strCache>
            </c:strRef>
          </c:tx>
          <c:marker>
            <c:symbol val="none"/>
          </c:marker>
          <c:xVal>
            <c:numRef>
              <c:f>Ranges!$A$7:$A$156</c:f>
              <c:numCache>
                <c:formatCode>General</c:formatCode>
                <c:ptCount val="1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</c:numCache>
            </c:numRef>
          </c:xVal>
          <c:yVal>
            <c:numRef>
              <c:f>Ranges!$P$7:$P$156</c:f>
              <c:numCache>
                <c:formatCode>0</c:formatCode>
                <c:ptCount val="150"/>
                <c:pt idx="0">
                  <c:v>15</c:v>
                </c:pt>
                <c:pt idx="1">
                  <c:v>25.333333333333336</c:v>
                </c:pt>
                <c:pt idx="2">
                  <c:v>35.666666666666671</c:v>
                </c:pt>
                <c:pt idx="3">
                  <c:v>46</c:v>
                </c:pt>
                <c:pt idx="4">
                  <c:v>56.333333333333336</c:v>
                </c:pt>
                <c:pt idx="5">
                  <c:v>66.666666666666671</c:v>
                </c:pt>
                <c:pt idx="6">
                  <c:v>77</c:v>
                </c:pt>
                <c:pt idx="7">
                  <c:v>87.333333333333343</c:v>
                </c:pt>
                <c:pt idx="8">
                  <c:v>97.666666666666671</c:v>
                </c:pt>
                <c:pt idx="9">
                  <c:v>108</c:v>
                </c:pt>
                <c:pt idx="10">
                  <c:v>118.33333333333334</c:v>
                </c:pt>
                <c:pt idx="11">
                  <c:v>128.66666666666669</c:v>
                </c:pt>
                <c:pt idx="12">
                  <c:v>139</c:v>
                </c:pt>
                <c:pt idx="13">
                  <c:v>149.33333333333334</c:v>
                </c:pt>
                <c:pt idx="14">
                  <c:v>159.66666666666669</c:v>
                </c:pt>
                <c:pt idx="15">
                  <c:v>170</c:v>
                </c:pt>
                <c:pt idx="16">
                  <c:v>180.33333333333334</c:v>
                </c:pt>
                <c:pt idx="17">
                  <c:v>190.66666666666669</c:v>
                </c:pt>
                <c:pt idx="18">
                  <c:v>201</c:v>
                </c:pt>
                <c:pt idx="19">
                  <c:v>211.33333333333334</c:v>
                </c:pt>
                <c:pt idx="20">
                  <c:v>221.66666666666669</c:v>
                </c:pt>
                <c:pt idx="21">
                  <c:v>232</c:v>
                </c:pt>
                <c:pt idx="22">
                  <c:v>242.33333333333334</c:v>
                </c:pt>
                <c:pt idx="23">
                  <c:v>252.66666666666669</c:v>
                </c:pt>
                <c:pt idx="24">
                  <c:v>263</c:v>
                </c:pt>
                <c:pt idx="25">
                  <c:v>273.33333333333337</c:v>
                </c:pt>
                <c:pt idx="26">
                  <c:v>283.66666666666669</c:v>
                </c:pt>
                <c:pt idx="27">
                  <c:v>294</c:v>
                </c:pt>
                <c:pt idx="28">
                  <c:v>304.33333333333337</c:v>
                </c:pt>
                <c:pt idx="29">
                  <c:v>314.66666666666669</c:v>
                </c:pt>
                <c:pt idx="30">
                  <c:v>325</c:v>
                </c:pt>
                <c:pt idx="31">
                  <c:v>335.33333333333337</c:v>
                </c:pt>
                <c:pt idx="32">
                  <c:v>345.66666666666669</c:v>
                </c:pt>
                <c:pt idx="33">
                  <c:v>356</c:v>
                </c:pt>
                <c:pt idx="34">
                  <c:v>366.33333333333337</c:v>
                </c:pt>
                <c:pt idx="35">
                  <c:v>376.66666666666669</c:v>
                </c:pt>
                <c:pt idx="36">
                  <c:v>387</c:v>
                </c:pt>
                <c:pt idx="37">
                  <c:v>397.33333333333337</c:v>
                </c:pt>
                <c:pt idx="38">
                  <c:v>407.66666666666669</c:v>
                </c:pt>
                <c:pt idx="39">
                  <c:v>418</c:v>
                </c:pt>
                <c:pt idx="40">
                  <c:v>428.33333333333337</c:v>
                </c:pt>
                <c:pt idx="41">
                  <c:v>438.66666666666669</c:v>
                </c:pt>
                <c:pt idx="42">
                  <c:v>449</c:v>
                </c:pt>
                <c:pt idx="43">
                  <c:v>459.33333333333337</c:v>
                </c:pt>
                <c:pt idx="44">
                  <c:v>469.66666666666669</c:v>
                </c:pt>
                <c:pt idx="45">
                  <c:v>480</c:v>
                </c:pt>
                <c:pt idx="46">
                  <c:v>490.33333333333337</c:v>
                </c:pt>
                <c:pt idx="47">
                  <c:v>500.66666666666669</c:v>
                </c:pt>
                <c:pt idx="48">
                  <c:v>511.00000000000006</c:v>
                </c:pt>
                <c:pt idx="49">
                  <c:v>521.33333333333337</c:v>
                </c:pt>
                <c:pt idx="50">
                  <c:v>531.66666666666674</c:v>
                </c:pt>
                <c:pt idx="51">
                  <c:v>542</c:v>
                </c:pt>
                <c:pt idx="52">
                  <c:v>552.33333333333337</c:v>
                </c:pt>
                <c:pt idx="53">
                  <c:v>562.66666666666674</c:v>
                </c:pt>
                <c:pt idx="54">
                  <c:v>573</c:v>
                </c:pt>
                <c:pt idx="55">
                  <c:v>583.33333333333337</c:v>
                </c:pt>
                <c:pt idx="56">
                  <c:v>593.66666666666674</c:v>
                </c:pt>
                <c:pt idx="57">
                  <c:v>604</c:v>
                </c:pt>
                <c:pt idx="58">
                  <c:v>614.33333333333337</c:v>
                </c:pt>
                <c:pt idx="59">
                  <c:v>624.66666666666674</c:v>
                </c:pt>
                <c:pt idx="60">
                  <c:v>635</c:v>
                </c:pt>
                <c:pt idx="61">
                  <c:v>645.33333333333337</c:v>
                </c:pt>
                <c:pt idx="62">
                  <c:v>655.66666666666674</c:v>
                </c:pt>
                <c:pt idx="63">
                  <c:v>666</c:v>
                </c:pt>
                <c:pt idx="64">
                  <c:v>676.33333333333337</c:v>
                </c:pt>
                <c:pt idx="65">
                  <c:v>686.66666666666674</c:v>
                </c:pt>
                <c:pt idx="66">
                  <c:v>697</c:v>
                </c:pt>
                <c:pt idx="67">
                  <c:v>707.33333333333337</c:v>
                </c:pt>
                <c:pt idx="68">
                  <c:v>717.66666666666674</c:v>
                </c:pt>
                <c:pt idx="69">
                  <c:v>728</c:v>
                </c:pt>
                <c:pt idx="70">
                  <c:v>738.33333333333337</c:v>
                </c:pt>
                <c:pt idx="71">
                  <c:v>748.66666666666674</c:v>
                </c:pt>
                <c:pt idx="72">
                  <c:v>759</c:v>
                </c:pt>
                <c:pt idx="73">
                  <c:v>769.33333333333337</c:v>
                </c:pt>
                <c:pt idx="74">
                  <c:v>779.66666666666674</c:v>
                </c:pt>
                <c:pt idx="75">
                  <c:v>790</c:v>
                </c:pt>
                <c:pt idx="76">
                  <c:v>800.33333333333337</c:v>
                </c:pt>
                <c:pt idx="77">
                  <c:v>810.66666666666674</c:v>
                </c:pt>
                <c:pt idx="78">
                  <c:v>821</c:v>
                </c:pt>
                <c:pt idx="79">
                  <c:v>831.33333333333337</c:v>
                </c:pt>
                <c:pt idx="80">
                  <c:v>841.66666666666674</c:v>
                </c:pt>
                <c:pt idx="81">
                  <c:v>852</c:v>
                </c:pt>
                <c:pt idx="82">
                  <c:v>862.33333333333337</c:v>
                </c:pt>
                <c:pt idx="83">
                  <c:v>872.66666666666674</c:v>
                </c:pt>
                <c:pt idx="84">
                  <c:v>883</c:v>
                </c:pt>
                <c:pt idx="85">
                  <c:v>893.33333333333337</c:v>
                </c:pt>
                <c:pt idx="86">
                  <c:v>903.66666666666674</c:v>
                </c:pt>
                <c:pt idx="87">
                  <c:v>914</c:v>
                </c:pt>
                <c:pt idx="88">
                  <c:v>924.33333333333337</c:v>
                </c:pt>
                <c:pt idx="89">
                  <c:v>934.66666666666674</c:v>
                </c:pt>
                <c:pt idx="90">
                  <c:v>945</c:v>
                </c:pt>
                <c:pt idx="91">
                  <c:v>955.33333333333337</c:v>
                </c:pt>
                <c:pt idx="92">
                  <c:v>965.66666666666674</c:v>
                </c:pt>
                <c:pt idx="93">
                  <c:v>976</c:v>
                </c:pt>
                <c:pt idx="94">
                  <c:v>986.33333333333337</c:v>
                </c:pt>
                <c:pt idx="95">
                  <c:v>996.66666666666674</c:v>
                </c:pt>
                <c:pt idx="96">
                  <c:v>1007.0000000000001</c:v>
                </c:pt>
                <c:pt idx="97">
                  <c:v>1017.3333333333334</c:v>
                </c:pt>
                <c:pt idx="98">
                  <c:v>1027.6666666666667</c:v>
                </c:pt>
                <c:pt idx="99">
                  <c:v>1038</c:v>
                </c:pt>
                <c:pt idx="100">
                  <c:v>1048.3333333333335</c:v>
                </c:pt>
                <c:pt idx="101">
                  <c:v>1058.6666666666667</c:v>
                </c:pt>
                <c:pt idx="102">
                  <c:v>1069</c:v>
                </c:pt>
                <c:pt idx="103">
                  <c:v>1079.3333333333335</c:v>
                </c:pt>
                <c:pt idx="104">
                  <c:v>1089.6666666666667</c:v>
                </c:pt>
                <c:pt idx="105">
                  <c:v>1100</c:v>
                </c:pt>
                <c:pt idx="106">
                  <c:v>1110.3333333333335</c:v>
                </c:pt>
                <c:pt idx="107">
                  <c:v>1120.6666666666667</c:v>
                </c:pt>
                <c:pt idx="108">
                  <c:v>1131</c:v>
                </c:pt>
                <c:pt idx="109">
                  <c:v>1141.3333333333335</c:v>
                </c:pt>
                <c:pt idx="110">
                  <c:v>1151.6666666666667</c:v>
                </c:pt>
                <c:pt idx="111">
                  <c:v>1162</c:v>
                </c:pt>
                <c:pt idx="112">
                  <c:v>1172.3333333333335</c:v>
                </c:pt>
                <c:pt idx="113">
                  <c:v>1182.6666666666667</c:v>
                </c:pt>
                <c:pt idx="114">
                  <c:v>1193</c:v>
                </c:pt>
                <c:pt idx="115">
                  <c:v>1203.3333333333335</c:v>
                </c:pt>
                <c:pt idx="116">
                  <c:v>1213.6666666666667</c:v>
                </c:pt>
                <c:pt idx="117">
                  <c:v>1224</c:v>
                </c:pt>
                <c:pt idx="118">
                  <c:v>1234.3333333333335</c:v>
                </c:pt>
                <c:pt idx="119">
                  <c:v>1244.6666666666667</c:v>
                </c:pt>
                <c:pt idx="120">
                  <c:v>1255</c:v>
                </c:pt>
                <c:pt idx="121">
                  <c:v>1265.3333333333335</c:v>
                </c:pt>
                <c:pt idx="122">
                  <c:v>1275.6666666666667</c:v>
                </c:pt>
                <c:pt idx="123">
                  <c:v>1286</c:v>
                </c:pt>
                <c:pt idx="124">
                  <c:v>1296.3333333333335</c:v>
                </c:pt>
                <c:pt idx="125">
                  <c:v>1306.6666666666667</c:v>
                </c:pt>
                <c:pt idx="126">
                  <c:v>1317</c:v>
                </c:pt>
                <c:pt idx="127">
                  <c:v>1327.3333333333335</c:v>
                </c:pt>
                <c:pt idx="128">
                  <c:v>1337.6666666666667</c:v>
                </c:pt>
                <c:pt idx="129">
                  <c:v>1348</c:v>
                </c:pt>
                <c:pt idx="130">
                  <c:v>1358.3333333333335</c:v>
                </c:pt>
                <c:pt idx="131">
                  <c:v>1368.6666666666667</c:v>
                </c:pt>
                <c:pt idx="132">
                  <c:v>1379</c:v>
                </c:pt>
                <c:pt idx="133">
                  <c:v>1389.3333333333335</c:v>
                </c:pt>
                <c:pt idx="134">
                  <c:v>1399.6666666666667</c:v>
                </c:pt>
                <c:pt idx="135">
                  <c:v>1410</c:v>
                </c:pt>
                <c:pt idx="136">
                  <c:v>1420.3333333333335</c:v>
                </c:pt>
                <c:pt idx="137">
                  <c:v>1430.6666666666667</c:v>
                </c:pt>
                <c:pt idx="138">
                  <c:v>1441</c:v>
                </c:pt>
                <c:pt idx="139">
                  <c:v>1451.3333333333335</c:v>
                </c:pt>
                <c:pt idx="140">
                  <c:v>1461.6666666666667</c:v>
                </c:pt>
                <c:pt idx="141">
                  <c:v>1472</c:v>
                </c:pt>
                <c:pt idx="142">
                  <c:v>1482.3333333333335</c:v>
                </c:pt>
                <c:pt idx="143">
                  <c:v>1492.6666666666667</c:v>
                </c:pt>
                <c:pt idx="144">
                  <c:v>1503</c:v>
                </c:pt>
                <c:pt idx="145">
                  <c:v>1513.3333333333335</c:v>
                </c:pt>
                <c:pt idx="146">
                  <c:v>1523.6666666666667</c:v>
                </c:pt>
                <c:pt idx="147">
                  <c:v>1534</c:v>
                </c:pt>
                <c:pt idx="148">
                  <c:v>1544.3333333333335</c:v>
                </c:pt>
                <c:pt idx="149">
                  <c:v>1554.6666666666667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Ranges!$Q$6</c:f>
              <c:strCache>
                <c:ptCount val="1"/>
                <c:pt idx="0">
                  <c:v>Dantalian Leyshaper</c:v>
                </c:pt>
              </c:strCache>
            </c:strRef>
          </c:tx>
          <c:marker>
            <c:symbol val="none"/>
          </c:marker>
          <c:xVal>
            <c:numRef>
              <c:f>Ranges!$A$7:$A$156</c:f>
              <c:numCache>
                <c:formatCode>General</c:formatCode>
                <c:ptCount val="1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</c:numCache>
            </c:numRef>
          </c:xVal>
          <c:yVal>
            <c:numRef>
              <c:f>Ranges!$Q$7:$Q$156</c:f>
              <c:numCache>
                <c:formatCode>0</c:formatCode>
                <c:ptCount val="150"/>
                <c:pt idx="0">
                  <c:v>13.666666666666668</c:v>
                </c:pt>
                <c:pt idx="1">
                  <c:v>22.666666666666668</c:v>
                </c:pt>
                <c:pt idx="2">
                  <c:v>31.666666666666668</c:v>
                </c:pt>
                <c:pt idx="3">
                  <c:v>40.666666666666664</c:v>
                </c:pt>
                <c:pt idx="4">
                  <c:v>49.666666666666664</c:v>
                </c:pt>
                <c:pt idx="5">
                  <c:v>58.666666666666664</c:v>
                </c:pt>
                <c:pt idx="6">
                  <c:v>67.666666666666671</c:v>
                </c:pt>
                <c:pt idx="7">
                  <c:v>76.666666666666671</c:v>
                </c:pt>
                <c:pt idx="8">
                  <c:v>85.666666666666671</c:v>
                </c:pt>
                <c:pt idx="9">
                  <c:v>94.666666666666671</c:v>
                </c:pt>
                <c:pt idx="10">
                  <c:v>103.66666666666667</c:v>
                </c:pt>
                <c:pt idx="11">
                  <c:v>112.66666666666667</c:v>
                </c:pt>
                <c:pt idx="12">
                  <c:v>121.66666666666667</c:v>
                </c:pt>
                <c:pt idx="13">
                  <c:v>130.66666666666666</c:v>
                </c:pt>
                <c:pt idx="14">
                  <c:v>139.66666666666666</c:v>
                </c:pt>
                <c:pt idx="15">
                  <c:v>148.66666666666666</c:v>
                </c:pt>
                <c:pt idx="16">
                  <c:v>157.66666666666666</c:v>
                </c:pt>
                <c:pt idx="17">
                  <c:v>166.66666666666666</c:v>
                </c:pt>
                <c:pt idx="18">
                  <c:v>175.66666666666666</c:v>
                </c:pt>
                <c:pt idx="19">
                  <c:v>184.66666666666666</c:v>
                </c:pt>
                <c:pt idx="20">
                  <c:v>193.66666666666666</c:v>
                </c:pt>
                <c:pt idx="21">
                  <c:v>202.66666666666666</c:v>
                </c:pt>
                <c:pt idx="22">
                  <c:v>211.66666666666666</c:v>
                </c:pt>
                <c:pt idx="23">
                  <c:v>220.66666666666666</c:v>
                </c:pt>
                <c:pt idx="24">
                  <c:v>229.66666666666666</c:v>
                </c:pt>
                <c:pt idx="25">
                  <c:v>238.66666666666666</c:v>
                </c:pt>
                <c:pt idx="26">
                  <c:v>247.66666666666666</c:v>
                </c:pt>
                <c:pt idx="27">
                  <c:v>256.66666666666669</c:v>
                </c:pt>
                <c:pt idx="28">
                  <c:v>265.66666666666669</c:v>
                </c:pt>
                <c:pt idx="29">
                  <c:v>274.66666666666669</c:v>
                </c:pt>
                <c:pt idx="30">
                  <c:v>283.66666666666669</c:v>
                </c:pt>
                <c:pt idx="31">
                  <c:v>292.66666666666669</c:v>
                </c:pt>
                <c:pt idx="32">
                  <c:v>301.66666666666669</c:v>
                </c:pt>
                <c:pt idx="33">
                  <c:v>310.66666666666669</c:v>
                </c:pt>
                <c:pt idx="34">
                  <c:v>319.66666666666669</c:v>
                </c:pt>
                <c:pt idx="35">
                  <c:v>328.66666666666669</c:v>
                </c:pt>
                <c:pt idx="36">
                  <c:v>337.66666666666669</c:v>
                </c:pt>
                <c:pt idx="37">
                  <c:v>346.66666666666669</c:v>
                </c:pt>
                <c:pt idx="38">
                  <c:v>355.66666666666669</c:v>
                </c:pt>
                <c:pt idx="39">
                  <c:v>364.66666666666669</c:v>
                </c:pt>
                <c:pt idx="40">
                  <c:v>373.66666666666669</c:v>
                </c:pt>
                <c:pt idx="41">
                  <c:v>382.66666666666669</c:v>
                </c:pt>
                <c:pt idx="42">
                  <c:v>391.66666666666669</c:v>
                </c:pt>
                <c:pt idx="43">
                  <c:v>400.66666666666669</c:v>
                </c:pt>
                <c:pt idx="44">
                  <c:v>409.66666666666669</c:v>
                </c:pt>
                <c:pt idx="45">
                  <c:v>418.66666666666669</c:v>
                </c:pt>
                <c:pt idx="46">
                  <c:v>427.66666666666669</c:v>
                </c:pt>
                <c:pt idx="47">
                  <c:v>436.66666666666669</c:v>
                </c:pt>
                <c:pt idx="48">
                  <c:v>445.66666666666669</c:v>
                </c:pt>
                <c:pt idx="49">
                  <c:v>454.66666666666669</c:v>
                </c:pt>
                <c:pt idx="50">
                  <c:v>463.66666666666669</c:v>
                </c:pt>
                <c:pt idx="51">
                  <c:v>472.66666666666669</c:v>
                </c:pt>
                <c:pt idx="52">
                  <c:v>481.66666666666669</c:v>
                </c:pt>
                <c:pt idx="53">
                  <c:v>490.66666666666669</c:v>
                </c:pt>
                <c:pt idx="54">
                  <c:v>499.66666666666669</c:v>
                </c:pt>
                <c:pt idx="55">
                  <c:v>508.66666666666669</c:v>
                </c:pt>
                <c:pt idx="56">
                  <c:v>517.66666666666663</c:v>
                </c:pt>
                <c:pt idx="57">
                  <c:v>526.66666666666663</c:v>
                </c:pt>
                <c:pt idx="58">
                  <c:v>535.66666666666663</c:v>
                </c:pt>
                <c:pt idx="59">
                  <c:v>544.66666666666663</c:v>
                </c:pt>
                <c:pt idx="60">
                  <c:v>553.66666666666663</c:v>
                </c:pt>
                <c:pt idx="61">
                  <c:v>562.66666666666663</c:v>
                </c:pt>
                <c:pt idx="62">
                  <c:v>571.66666666666663</c:v>
                </c:pt>
                <c:pt idx="63">
                  <c:v>580.66666666666663</c:v>
                </c:pt>
                <c:pt idx="64">
                  <c:v>589.66666666666663</c:v>
                </c:pt>
                <c:pt idx="65">
                  <c:v>598.66666666666663</c:v>
                </c:pt>
                <c:pt idx="66">
                  <c:v>607.66666666666663</c:v>
                </c:pt>
                <c:pt idx="67">
                  <c:v>616.66666666666663</c:v>
                </c:pt>
                <c:pt idx="68">
                  <c:v>625.66666666666663</c:v>
                </c:pt>
                <c:pt idx="69">
                  <c:v>634.66666666666663</c:v>
                </c:pt>
                <c:pt idx="70">
                  <c:v>643.66666666666663</c:v>
                </c:pt>
                <c:pt idx="71">
                  <c:v>652.66666666666663</c:v>
                </c:pt>
                <c:pt idx="72">
                  <c:v>661.66666666666663</c:v>
                </c:pt>
                <c:pt idx="73">
                  <c:v>670.66666666666663</c:v>
                </c:pt>
                <c:pt idx="74">
                  <c:v>679.66666666666663</c:v>
                </c:pt>
                <c:pt idx="75">
                  <c:v>688.66666666666663</c:v>
                </c:pt>
                <c:pt idx="76">
                  <c:v>697.66666666666663</c:v>
                </c:pt>
                <c:pt idx="77">
                  <c:v>706.66666666666663</c:v>
                </c:pt>
                <c:pt idx="78">
                  <c:v>715.66666666666663</c:v>
                </c:pt>
                <c:pt idx="79">
                  <c:v>724.66666666666663</c:v>
                </c:pt>
                <c:pt idx="80">
                  <c:v>733.66666666666663</c:v>
                </c:pt>
                <c:pt idx="81">
                  <c:v>742.66666666666663</c:v>
                </c:pt>
                <c:pt idx="82">
                  <c:v>751.66666666666663</c:v>
                </c:pt>
                <c:pt idx="83">
                  <c:v>760.66666666666663</c:v>
                </c:pt>
                <c:pt idx="84">
                  <c:v>769.66666666666663</c:v>
                </c:pt>
                <c:pt idx="85">
                  <c:v>778.66666666666663</c:v>
                </c:pt>
                <c:pt idx="86">
                  <c:v>787.66666666666663</c:v>
                </c:pt>
                <c:pt idx="87">
                  <c:v>796.66666666666663</c:v>
                </c:pt>
                <c:pt idx="88">
                  <c:v>805.66666666666663</c:v>
                </c:pt>
                <c:pt idx="89">
                  <c:v>814.66666666666663</c:v>
                </c:pt>
                <c:pt idx="90">
                  <c:v>823.66666666666663</c:v>
                </c:pt>
                <c:pt idx="91">
                  <c:v>832.66666666666663</c:v>
                </c:pt>
                <c:pt idx="92">
                  <c:v>841.66666666666663</c:v>
                </c:pt>
                <c:pt idx="93">
                  <c:v>850.66666666666663</c:v>
                </c:pt>
                <c:pt idx="94">
                  <c:v>859.66666666666663</c:v>
                </c:pt>
                <c:pt idx="95">
                  <c:v>868.66666666666663</c:v>
                </c:pt>
                <c:pt idx="96">
                  <c:v>877.66666666666663</c:v>
                </c:pt>
                <c:pt idx="97">
                  <c:v>886.66666666666663</c:v>
                </c:pt>
                <c:pt idx="98">
                  <c:v>895.66666666666663</c:v>
                </c:pt>
                <c:pt idx="99">
                  <c:v>904.66666666666663</c:v>
                </c:pt>
                <c:pt idx="100">
                  <c:v>913.66666666666663</c:v>
                </c:pt>
                <c:pt idx="101">
                  <c:v>922.66666666666663</c:v>
                </c:pt>
                <c:pt idx="102">
                  <c:v>931.66666666666663</c:v>
                </c:pt>
                <c:pt idx="103">
                  <c:v>940.66666666666663</c:v>
                </c:pt>
                <c:pt idx="104">
                  <c:v>949.66666666666663</c:v>
                </c:pt>
                <c:pt idx="105">
                  <c:v>958.66666666666663</c:v>
                </c:pt>
                <c:pt idx="106">
                  <c:v>967.66666666666663</c:v>
                </c:pt>
                <c:pt idx="107">
                  <c:v>976.66666666666663</c:v>
                </c:pt>
                <c:pt idx="108">
                  <c:v>985.66666666666663</c:v>
                </c:pt>
                <c:pt idx="109">
                  <c:v>994.66666666666663</c:v>
                </c:pt>
                <c:pt idx="110">
                  <c:v>1003.6666666666666</c:v>
                </c:pt>
                <c:pt idx="111">
                  <c:v>1012.6666666666666</c:v>
                </c:pt>
                <c:pt idx="112">
                  <c:v>1021.6666666666666</c:v>
                </c:pt>
                <c:pt idx="113">
                  <c:v>1030.6666666666667</c:v>
                </c:pt>
                <c:pt idx="114">
                  <c:v>1039.6666666666667</c:v>
                </c:pt>
                <c:pt idx="115">
                  <c:v>1048.6666666666667</c:v>
                </c:pt>
                <c:pt idx="116">
                  <c:v>1057.6666666666667</c:v>
                </c:pt>
                <c:pt idx="117">
                  <c:v>1066.6666666666667</c:v>
                </c:pt>
                <c:pt idx="118">
                  <c:v>1075.6666666666667</c:v>
                </c:pt>
                <c:pt idx="119">
                  <c:v>1084.6666666666667</c:v>
                </c:pt>
                <c:pt idx="120">
                  <c:v>1093.6666666666667</c:v>
                </c:pt>
                <c:pt idx="121">
                  <c:v>1102.6666666666667</c:v>
                </c:pt>
                <c:pt idx="122">
                  <c:v>1111.6666666666667</c:v>
                </c:pt>
                <c:pt idx="123">
                  <c:v>1120.6666666666667</c:v>
                </c:pt>
                <c:pt idx="124">
                  <c:v>1129.6666666666667</c:v>
                </c:pt>
                <c:pt idx="125">
                  <c:v>1138.6666666666667</c:v>
                </c:pt>
                <c:pt idx="126">
                  <c:v>1147.6666666666667</c:v>
                </c:pt>
                <c:pt idx="127">
                  <c:v>1156.6666666666667</c:v>
                </c:pt>
                <c:pt idx="128">
                  <c:v>1165.6666666666667</c:v>
                </c:pt>
                <c:pt idx="129">
                  <c:v>1174.6666666666667</c:v>
                </c:pt>
                <c:pt idx="130">
                  <c:v>1183.6666666666667</c:v>
                </c:pt>
                <c:pt idx="131">
                  <c:v>1192.6666666666667</c:v>
                </c:pt>
                <c:pt idx="132">
                  <c:v>1201.6666666666667</c:v>
                </c:pt>
                <c:pt idx="133">
                  <c:v>1210.6666666666667</c:v>
                </c:pt>
                <c:pt idx="134">
                  <c:v>1219.6666666666667</c:v>
                </c:pt>
                <c:pt idx="135">
                  <c:v>1228.6666666666667</c:v>
                </c:pt>
                <c:pt idx="136">
                  <c:v>1237.6666666666667</c:v>
                </c:pt>
                <c:pt idx="137">
                  <c:v>1246.6666666666667</c:v>
                </c:pt>
                <c:pt idx="138">
                  <c:v>1255.6666666666667</c:v>
                </c:pt>
                <c:pt idx="139">
                  <c:v>1264.6666666666667</c:v>
                </c:pt>
                <c:pt idx="140">
                  <c:v>1273.6666666666667</c:v>
                </c:pt>
                <c:pt idx="141">
                  <c:v>1282.6666666666667</c:v>
                </c:pt>
                <c:pt idx="142">
                  <c:v>1291.6666666666667</c:v>
                </c:pt>
                <c:pt idx="143">
                  <c:v>1300.6666666666667</c:v>
                </c:pt>
                <c:pt idx="144">
                  <c:v>1309.6666666666667</c:v>
                </c:pt>
                <c:pt idx="145">
                  <c:v>1318.6666666666667</c:v>
                </c:pt>
                <c:pt idx="146">
                  <c:v>1327.6666666666667</c:v>
                </c:pt>
                <c:pt idx="147">
                  <c:v>1336.6666666666667</c:v>
                </c:pt>
                <c:pt idx="148">
                  <c:v>1345.6666666666667</c:v>
                </c:pt>
                <c:pt idx="149">
                  <c:v>1354.6666666666667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Ranges!$R$6</c:f>
              <c:strCache>
                <c:ptCount val="1"/>
                <c:pt idx="0">
                  <c:v>Dantalian Hunter</c:v>
                </c:pt>
              </c:strCache>
            </c:strRef>
          </c:tx>
          <c:marker>
            <c:symbol val="none"/>
          </c:marker>
          <c:xVal>
            <c:numRef>
              <c:f>Ranges!$A$7:$A$156</c:f>
              <c:numCache>
                <c:formatCode>General</c:formatCode>
                <c:ptCount val="1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</c:numCache>
            </c:numRef>
          </c:xVal>
          <c:yVal>
            <c:numRef>
              <c:f>Ranges!$R$7:$R$156</c:f>
              <c:numCache>
                <c:formatCode>0</c:formatCode>
                <c:ptCount val="150"/>
                <c:pt idx="0">
                  <c:v>7</c:v>
                </c:pt>
                <c:pt idx="1">
                  <c:v>9.3333333333333321</c:v>
                </c:pt>
                <c:pt idx="2">
                  <c:v>11.666666666666666</c:v>
                </c:pt>
                <c:pt idx="3">
                  <c:v>14</c:v>
                </c:pt>
                <c:pt idx="4">
                  <c:v>16.333333333333332</c:v>
                </c:pt>
                <c:pt idx="5">
                  <c:v>18.666666666666664</c:v>
                </c:pt>
                <c:pt idx="6">
                  <c:v>21</c:v>
                </c:pt>
                <c:pt idx="7">
                  <c:v>23.333333333333332</c:v>
                </c:pt>
                <c:pt idx="8">
                  <c:v>25.666666666666664</c:v>
                </c:pt>
                <c:pt idx="9">
                  <c:v>27.999999999999996</c:v>
                </c:pt>
                <c:pt idx="10">
                  <c:v>30.333333333333329</c:v>
                </c:pt>
                <c:pt idx="11">
                  <c:v>32.666666666666664</c:v>
                </c:pt>
                <c:pt idx="12">
                  <c:v>35</c:v>
                </c:pt>
                <c:pt idx="13">
                  <c:v>37.333333333333329</c:v>
                </c:pt>
                <c:pt idx="14">
                  <c:v>39.666666666666664</c:v>
                </c:pt>
                <c:pt idx="15">
                  <c:v>41.999999999999993</c:v>
                </c:pt>
                <c:pt idx="16">
                  <c:v>44.333333333333329</c:v>
                </c:pt>
                <c:pt idx="17">
                  <c:v>46.666666666666664</c:v>
                </c:pt>
                <c:pt idx="18">
                  <c:v>48.999999999999993</c:v>
                </c:pt>
                <c:pt idx="19">
                  <c:v>51.333333333333329</c:v>
                </c:pt>
                <c:pt idx="20">
                  <c:v>53.666666666666657</c:v>
                </c:pt>
                <c:pt idx="21">
                  <c:v>55.999999999999993</c:v>
                </c:pt>
                <c:pt idx="22">
                  <c:v>58.333333333333329</c:v>
                </c:pt>
                <c:pt idx="23">
                  <c:v>60.666666666666657</c:v>
                </c:pt>
                <c:pt idx="24">
                  <c:v>62.999999999999993</c:v>
                </c:pt>
                <c:pt idx="25">
                  <c:v>65.333333333333329</c:v>
                </c:pt>
                <c:pt idx="26">
                  <c:v>67.666666666666657</c:v>
                </c:pt>
                <c:pt idx="27">
                  <c:v>69.999999999999986</c:v>
                </c:pt>
                <c:pt idx="28">
                  <c:v>72.333333333333329</c:v>
                </c:pt>
                <c:pt idx="29">
                  <c:v>74.666666666666657</c:v>
                </c:pt>
                <c:pt idx="30">
                  <c:v>76.999999999999986</c:v>
                </c:pt>
                <c:pt idx="31">
                  <c:v>79.333333333333329</c:v>
                </c:pt>
                <c:pt idx="32">
                  <c:v>81.666666666666657</c:v>
                </c:pt>
                <c:pt idx="33">
                  <c:v>83.999999999999986</c:v>
                </c:pt>
                <c:pt idx="34">
                  <c:v>86.333333333333329</c:v>
                </c:pt>
                <c:pt idx="35">
                  <c:v>88.666666666666657</c:v>
                </c:pt>
                <c:pt idx="36">
                  <c:v>90.999999999999986</c:v>
                </c:pt>
                <c:pt idx="37">
                  <c:v>93.333333333333329</c:v>
                </c:pt>
                <c:pt idx="38">
                  <c:v>95.666666666666657</c:v>
                </c:pt>
                <c:pt idx="39">
                  <c:v>97.999999999999986</c:v>
                </c:pt>
                <c:pt idx="40">
                  <c:v>100.33333333333331</c:v>
                </c:pt>
                <c:pt idx="41">
                  <c:v>102.66666666666666</c:v>
                </c:pt>
                <c:pt idx="42">
                  <c:v>104.99999999999999</c:v>
                </c:pt>
                <c:pt idx="43">
                  <c:v>107.33333333333331</c:v>
                </c:pt>
                <c:pt idx="44">
                  <c:v>109.66666666666666</c:v>
                </c:pt>
                <c:pt idx="45">
                  <c:v>111.99999999999999</c:v>
                </c:pt>
                <c:pt idx="46">
                  <c:v>114.33333333333331</c:v>
                </c:pt>
                <c:pt idx="47">
                  <c:v>116.66666666666666</c:v>
                </c:pt>
                <c:pt idx="48">
                  <c:v>118.99999999999999</c:v>
                </c:pt>
                <c:pt idx="49">
                  <c:v>121.33333333333331</c:v>
                </c:pt>
                <c:pt idx="50">
                  <c:v>123.66666666666666</c:v>
                </c:pt>
                <c:pt idx="51">
                  <c:v>125.99999999999999</c:v>
                </c:pt>
                <c:pt idx="52">
                  <c:v>128.33333333333331</c:v>
                </c:pt>
                <c:pt idx="53">
                  <c:v>130.66666666666666</c:v>
                </c:pt>
                <c:pt idx="54">
                  <c:v>132.99999999999997</c:v>
                </c:pt>
                <c:pt idx="55">
                  <c:v>135.33333333333331</c:v>
                </c:pt>
                <c:pt idx="56">
                  <c:v>137.66666666666666</c:v>
                </c:pt>
                <c:pt idx="57">
                  <c:v>139.99999999999997</c:v>
                </c:pt>
                <c:pt idx="58">
                  <c:v>142.33333333333331</c:v>
                </c:pt>
                <c:pt idx="59">
                  <c:v>144.66666666666666</c:v>
                </c:pt>
                <c:pt idx="60">
                  <c:v>146.99999999999997</c:v>
                </c:pt>
                <c:pt idx="61">
                  <c:v>149.33333333333331</c:v>
                </c:pt>
                <c:pt idx="62">
                  <c:v>151.66666666666666</c:v>
                </c:pt>
                <c:pt idx="63">
                  <c:v>153.99999999999997</c:v>
                </c:pt>
                <c:pt idx="64">
                  <c:v>156.33333333333331</c:v>
                </c:pt>
                <c:pt idx="65">
                  <c:v>158.66666666666666</c:v>
                </c:pt>
                <c:pt idx="66">
                  <c:v>160.99999999999997</c:v>
                </c:pt>
                <c:pt idx="67">
                  <c:v>163.33333333333331</c:v>
                </c:pt>
                <c:pt idx="68">
                  <c:v>165.66666666666666</c:v>
                </c:pt>
                <c:pt idx="69">
                  <c:v>167.99999999999997</c:v>
                </c:pt>
                <c:pt idx="70">
                  <c:v>170.33333333333331</c:v>
                </c:pt>
                <c:pt idx="71">
                  <c:v>172.66666666666666</c:v>
                </c:pt>
                <c:pt idx="72">
                  <c:v>174.99999999999997</c:v>
                </c:pt>
                <c:pt idx="73">
                  <c:v>177.33333333333331</c:v>
                </c:pt>
                <c:pt idx="74">
                  <c:v>179.66666666666666</c:v>
                </c:pt>
                <c:pt idx="75">
                  <c:v>181.99999999999997</c:v>
                </c:pt>
                <c:pt idx="76">
                  <c:v>184.33333333333331</c:v>
                </c:pt>
                <c:pt idx="77">
                  <c:v>186.66666666666666</c:v>
                </c:pt>
                <c:pt idx="78">
                  <c:v>188.99999999999997</c:v>
                </c:pt>
                <c:pt idx="79">
                  <c:v>191.33333333333331</c:v>
                </c:pt>
                <c:pt idx="80">
                  <c:v>193.66666666666663</c:v>
                </c:pt>
                <c:pt idx="81">
                  <c:v>195.99999999999997</c:v>
                </c:pt>
                <c:pt idx="82">
                  <c:v>198.33333333333331</c:v>
                </c:pt>
                <c:pt idx="83">
                  <c:v>200.66666666666663</c:v>
                </c:pt>
                <c:pt idx="84">
                  <c:v>202.99999999999997</c:v>
                </c:pt>
                <c:pt idx="85">
                  <c:v>205.33333333333331</c:v>
                </c:pt>
                <c:pt idx="86">
                  <c:v>207.66666666666663</c:v>
                </c:pt>
                <c:pt idx="87">
                  <c:v>209.99999999999997</c:v>
                </c:pt>
                <c:pt idx="88">
                  <c:v>212.33333333333331</c:v>
                </c:pt>
                <c:pt idx="89">
                  <c:v>214.66666666666663</c:v>
                </c:pt>
                <c:pt idx="90">
                  <c:v>216.99999999999997</c:v>
                </c:pt>
                <c:pt idx="91">
                  <c:v>219.33333333333331</c:v>
                </c:pt>
                <c:pt idx="92">
                  <c:v>221.66666666666663</c:v>
                </c:pt>
                <c:pt idx="93">
                  <c:v>223.99999999999997</c:v>
                </c:pt>
                <c:pt idx="94">
                  <c:v>226.33333333333331</c:v>
                </c:pt>
                <c:pt idx="95">
                  <c:v>228.66666666666663</c:v>
                </c:pt>
                <c:pt idx="96">
                  <c:v>230.99999999999997</c:v>
                </c:pt>
                <c:pt idx="97">
                  <c:v>233.33333333333331</c:v>
                </c:pt>
                <c:pt idx="98">
                  <c:v>235.66666666666663</c:v>
                </c:pt>
                <c:pt idx="99">
                  <c:v>237.99999999999997</c:v>
                </c:pt>
                <c:pt idx="100">
                  <c:v>240.33333333333331</c:v>
                </c:pt>
                <c:pt idx="101">
                  <c:v>242.66666666666663</c:v>
                </c:pt>
                <c:pt idx="102">
                  <c:v>244.99999999999997</c:v>
                </c:pt>
                <c:pt idx="103">
                  <c:v>247.33333333333331</c:v>
                </c:pt>
                <c:pt idx="104">
                  <c:v>249.66666666666663</c:v>
                </c:pt>
                <c:pt idx="105">
                  <c:v>251.99999999999997</c:v>
                </c:pt>
                <c:pt idx="106">
                  <c:v>254.33333333333331</c:v>
                </c:pt>
                <c:pt idx="107">
                  <c:v>256.66666666666663</c:v>
                </c:pt>
                <c:pt idx="108">
                  <c:v>258.99999999999994</c:v>
                </c:pt>
                <c:pt idx="109">
                  <c:v>261.33333333333331</c:v>
                </c:pt>
                <c:pt idx="110">
                  <c:v>263.66666666666663</c:v>
                </c:pt>
                <c:pt idx="111">
                  <c:v>265.99999999999994</c:v>
                </c:pt>
                <c:pt idx="112">
                  <c:v>268.33333333333331</c:v>
                </c:pt>
                <c:pt idx="113">
                  <c:v>270.66666666666663</c:v>
                </c:pt>
                <c:pt idx="114">
                  <c:v>272.99999999999994</c:v>
                </c:pt>
                <c:pt idx="115">
                  <c:v>275.33333333333331</c:v>
                </c:pt>
                <c:pt idx="116">
                  <c:v>277.66666666666663</c:v>
                </c:pt>
                <c:pt idx="117">
                  <c:v>279.99999999999994</c:v>
                </c:pt>
                <c:pt idx="118">
                  <c:v>282.33333333333331</c:v>
                </c:pt>
                <c:pt idx="119">
                  <c:v>284.66666666666663</c:v>
                </c:pt>
                <c:pt idx="120">
                  <c:v>286.99999999999994</c:v>
                </c:pt>
                <c:pt idx="121">
                  <c:v>289.33333333333331</c:v>
                </c:pt>
                <c:pt idx="122">
                  <c:v>291.66666666666663</c:v>
                </c:pt>
                <c:pt idx="123">
                  <c:v>293.99999999999994</c:v>
                </c:pt>
                <c:pt idx="124">
                  <c:v>296.33333333333331</c:v>
                </c:pt>
                <c:pt idx="125">
                  <c:v>298.66666666666663</c:v>
                </c:pt>
                <c:pt idx="126">
                  <c:v>300.99999999999994</c:v>
                </c:pt>
                <c:pt idx="127">
                  <c:v>303.33333333333331</c:v>
                </c:pt>
                <c:pt idx="128">
                  <c:v>305.66666666666663</c:v>
                </c:pt>
                <c:pt idx="129">
                  <c:v>307.99999999999994</c:v>
                </c:pt>
                <c:pt idx="130">
                  <c:v>310.33333333333331</c:v>
                </c:pt>
                <c:pt idx="131">
                  <c:v>312.66666666666663</c:v>
                </c:pt>
                <c:pt idx="132">
                  <c:v>314.99999999999994</c:v>
                </c:pt>
                <c:pt idx="133">
                  <c:v>317.33333333333331</c:v>
                </c:pt>
                <c:pt idx="134">
                  <c:v>319.66666666666663</c:v>
                </c:pt>
                <c:pt idx="135">
                  <c:v>321.99999999999994</c:v>
                </c:pt>
                <c:pt idx="136">
                  <c:v>324.33333333333331</c:v>
                </c:pt>
                <c:pt idx="137">
                  <c:v>326.66666666666663</c:v>
                </c:pt>
                <c:pt idx="138">
                  <c:v>328.99999999999994</c:v>
                </c:pt>
                <c:pt idx="139">
                  <c:v>331.33333333333331</c:v>
                </c:pt>
                <c:pt idx="140">
                  <c:v>333.66666666666663</c:v>
                </c:pt>
                <c:pt idx="141">
                  <c:v>335.99999999999994</c:v>
                </c:pt>
                <c:pt idx="142">
                  <c:v>338.33333333333331</c:v>
                </c:pt>
                <c:pt idx="143">
                  <c:v>340.66666666666663</c:v>
                </c:pt>
                <c:pt idx="144">
                  <c:v>342.99999999999994</c:v>
                </c:pt>
                <c:pt idx="145">
                  <c:v>345.33333333333331</c:v>
                </c:pt>
                <c:pt idx="146">
                  <c:v>347.66666666666663</c:v>
                </c:pt>
                <c:pt idx="147">
                  <c:v>349.99999999999994</c:v>
                </c:pt>
                <c:pt idx="148">
                  <c:v>352.33333333333331</c:v>
                </c:pt>
                <c:pt idx="149">
                  <c:v>354.66666666666663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Ranges!$S$6</c:f>
              <c:strCache>
                <c:ptCount val="1"/>
                <c:pt idx="0">
                  <c:v>Dantalian Paladin</c:v>
                </c:pt>
              </c:strCache>
            </c:strRef>
          </c:tx>
          <c:marker>
            <c:symbol val="none"/>
          </c:marker>
          <c:xVal>
            <c:numRef>
              <c:f>Ranges!$A$7:$A$156</c:f>
              <c:numCache>
                <c:formatCode>General</c:formatCode>
                <c:ptCount val="1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</c:numCache>
            </c:numRef>
          </c:xVal>
          <c:yVal>
            <c:numRef>
              <c:f>Ranges!$S$7:$S$156</c:f>
              <c:numCache>
                <c:formatCode>0</c:formatCode>
                <c:ptCount val="150"/>
                <c:pt idx="0">
                  <c:v>8.3333333333333339</c:v>
                </c:pt>
                <c:pt idx="1">
                  <c:v>12</c:v>
                </c:pt>
                <c:pt idx="2">
                  <c:v>15.666666666666666</c:v>
                </c:pt>
                <c:pt idx="3">
                  <c:v>19.333333333333332</c:v>
                </c:pt>
                <c:pt idx="4">
                  <c:v>23</c:v>
                </c:pt>
                <c:pt idx="5">
                  <c:v>26.666666666666664</c:v>
                </c:pt>
                <c:pt idx="6">
                  <c:v>30.333333333333332</c:v>
                </c:pt>
                <c:pt idx="7">
                  <c:v>34</c:v>
                </c:pt>
                <c:pt idx="8">
                  <c:v>37.666666666666664</c:v>
                </c:pt>
                <c:pt idx="9">
                  <c:v>41.333333333333329</c:v>
                </c:pt>
                <c:pt idx="10">
                  <c:v>45</c:v>
                </c:pt>
                <c:pt idx="11">
                  <c:v>48.666666666666664</c:v>
                </c:pt>
                <c:pt idx="12">
                  <c:v>52.333333333333329</c:v>
                </c:pt>
                <c:pt idx="13">
                  <c:v>56</c:v>
                </c:pt>
                <c:pt idx="14">
                  <c:v>59.666666666666664</c:v>
                </c:pt>
                <c:pt idx="15">
                  <c:v>63.333333333333329</c:v>
                </c:pt>
                <c:pt idx="16">
                  <c:v>67</c:v>
                </c:pt>
                <c:pt idx="17">
                  <c:v>70.666666666666657</c:v>
                </c:pt>
                <c:pt idx="18">
                  <c:v>74.333333333333329</c:v>
                </c:pt>
                <c:pt idx="19">
                  <c:v>78</c:v>
                </c:pt>
                <c:pt idx="20">
                  <c:v>81.666666666666657</c:v>
                </c:pt>
                <c:pt idx="21">
                  <c:v>85.333333333333329</c:v>
                </c:pt>
                <c:pt idx="22">
                  <c:v>89</c:v>
                </c:pt>
                <c:pt idx="23">
                  <c:v>92.666666666666657</c:v>
                </c:pt>
                <c:pt idx="24">
                  <c:v>96.333333333333329</c:v>
                </c:pt>
                <c:pt idx="25">
                  <c:v>100</c:v>
                </c:pt>
                <c:pt idx="26">
                  <c:v>103.66666666666666</c:v>
                </c:pt>
                <c:pt idx="27">
                  <c:v>107.33333333333333</c:v>
                </c:pt>
                <c:pt idx="28">
                  <c:v>111</c:v>
                </c:pt>
                <c:pt idx="29">
                  <c:v>114.66666666666666</c:v>
                </c:pt>
                <c:pt idx="30">
                  <c:v>118.33333333333333</c:v>
                </c:pt>
                <c:pt idx="31">
                  <c:v>122</c:v>
                </c:pt>
                <c:pt idx="32">
                  <c:v>125.66666666666666</c:v>
                </c:pt>
                <c:pt idx="33">
                  <c:v>129.33333333333331</c:v>
                </c:pt>
                <c:pt idx="34">
                  <c:v>133</c:v>
                </c:pt>
                <c:pt idx="35">
                  <c:v>136.66666666666666</c:v>
                </c:pt>
                <c:pt idx="36">
                  <c:v>140.33333333333331</c:v>
                </c:pt>
                <c:pt idx="37">
                  <c:v>144</c:v>
                </c:pt>
                <c:pt idx="38">
                  <c:v>147.66666666666666</c:v>
                </c:pt>
                <c:pt idx="39">
                  <c:v>151.33333333333331</c:v>
                </c:pt>
                <c:pt idx="40">
                  <c:v>155</c:v>
                </c:pt>
                <c:pt idx="41">
                  <c:v>158.66666666666666</c:v>
                </c:pt>
                <c:pt idx="42">
                  <c:v>162.33333333333331</c:v>
                </c:pt>
                <c:pt idx="43">
                  <c:v>166</c:v>
                </c:pt>
                <c:pt idx="44">
                  <c:v>169.66666666666666</c:v>
                </c:pt>
                <c:pt idx="45">
                  <c:v>173.33333333333331</c:v>
                </c:pt>
                <c:pt idx="46">
                  <c:v>177</c:v>
                </c:pt>
                <c:pt idx="47">
                  <c:v>180.66666666666666</c:v>
                </c:pt>
                <c:pt idx="48">
                  <c:v>184.33333333333331</c:v>
                </c:pt>
                <c:pt idx="49">
                  <c:v>188</c:v>
                </c:pt>
                <c:pt idx="50">
                  <c:v>191.66666666666666</c:v>
                </c:pt>
                <c:pt idx="51">
                  <c:v>195.33333333333331</c:v>
                </c:pt>
                <c:pt idx="52">
                  <c:v>199</c:v>
                </c:pt>
                <c:pt idx="53">
                  <c:v>202.66666666666666</c:v>
                </c:pt>
                <c:pt idx="54">
                  <c:v>206.33333333333331</c:v>
                </c:pt>
                <c:pt idx="55">
                  <c:v>210</c:v>
                </c:pt>
                <c:pt idx="56">
                  <c:v>213.66666666666666</c:v>
                </c:pt>
                <c:pt idx="57">
                  <c:v>217.33333333333331</c:v>
                </c:pt>
                <c:pt idx="58">
                  <c:v>221</c:v>
                </c:pt>
                <c:pt idx="59">
                  <c:v>224.66666666666666</c:v>
                </c:pt>
                <c:pt idx="60">
                  <c:v>228.33333333333331</c:v>
                </c:pt>
                <c:pt idx="61">
                  <c:v>232</c:v>
                </c:pt>
                <c:pt idx="62">
                  <c:v>235.66666666666666</c:v>
                </c:pt>
                <c:pt idx="63">
                  <c:v>239.33333333333331</c:v>
                </c:pt>
                <c:pt idx="64">
                  <c:v>243</c:v>
                </c:pt>
                <c:pt idx="65">
                  <c:v>246.66666666666666</c:v>
                </c:pt>
                <c:pt idx="66">
                  <c:v>250.33333333333331</c:v>
                </c:pt>
                <c:pt idx="67">
                  <c:v>254</c:v>
                </c:pt>
                <c:pt idx="68">
                  <c:v>257.66666666666663</c:v>
                </c:pt>
                <c:pt idx="69">
                  <c:v>261.33333333333331</c:v>
                </c:pt>
                <c:pt idx="70">
                  <c:v>265</c:v>
                </c:pt>
                <c:pt idx="71">
                  <c:v>268.66666666666663</c:v>
                </c:pt>
                <c:pt idx="72">
                  <c:v>272.33333333333331</c:v>
                </c:pt>
                <c:pt idx="73">
                  <c:v>276</c:v>
                </c:pt>
                <c:pt idx="74">
                  <c:v>279.66666666666663</c:v>
                </c:pt>
                <c:pt idx="75">
                  <c:v>283.33333333333331</c:v>
                </c:pt>
                <c:pt idx="76">
                  <c:v>287</c:v>
                </c:pt>
                <c:pt idx="77">
                  <c:v>290.66666666666663</c:v>
                </c:pt>
                <c:pt idx="78">
                  <c:v>294.33333333333331</c:v>
                </c:pt>
                <c:pt idx="79">
                  <c:v>298</c:v>
                </c:pt>
                <c:pt idx="80">
                  <c:v>301.66666666666663</c:v>
                </c:pt>
                <c:pt idx="81">
                  <c:v>305.33333333333331</c:v>
                </c:pt>
                <c:pt idx="82">
                  <c:v>309</c:v>
                </c:pt>
                <c:pt idx="83">
                  <c:v>312.66666666666663</c:v>
                </c:pt>
                <c:pt idx="84">
                  <c:v>316.33333333333331</c:v>
                </c:pt>
                <c:pt idx="85">
                  <c:v>320</c:v>
                </c:pt>
                <c:pt idx="86">
                  <c:v>323.66666666666663</c:v>
                </c:pt>
                <c:pt idx="87">
                  <c:v>327.33333333333331</c:v>
                </c:pt>
                <c:pt idx="88">
                  <c:v>331</c:v>
                </c:pt>
                <c:pt idx="89">
                  <c:v>334.66666666666663</c:v>
                </c:pt>
                <c:pt idx="90">
                  <c:v>338.33333333333331</c:v>
                </c:pt>
                <c:pt idx="91">
                  <c:v>342</c:v>
                </c:pt>
                <c:pt idx="92">
                  <c:v>345.66666666666663</c:v>
                </c:pt>
                <c:pt idx="93">
                  <c:v>349.33333333333331</c:v>
                </c:pt>
                <c:pt idx="94">
                  <c:v>353</c:v>
                </c:pt>
                <c:pt idx="95">
                  <c:v>356.66666666666663</c:v>
                </c:pt>
                <c:pt idx="96">
                  <c:v>360.33333333333331</c:v>
                </c:pt>
                <c:pt idx="97">
                  <c:v>364</c:v>
                </c:pt>
                <c:pt idx="98">
                  <c:v>367.66666666666663</c:v>
                </c:pt>
                <c:pt idx="99">
                  <c:v>371.33333333333331</c:v>
                </c:pt>
                <c:pt idx="100">
                  <c:v>375</c:v>
                </c:pt>
                <c:pt idx="101">
                  <c:v>378.66666666666663</c:v>
                </c:pt>
                <c:pt idx="102">
                  <c:v>382.33333333333331</c:v>
                </c:pt>
                <c:pt idx="103">
                  <c:v>386</c:v>
                </c:pt>
                <c:pt idx="104">
                  <c:v>389.66666666666663</c:v>
                </c:pt>
                <c:pt idx="105">
                  <c:v>393.33333333333331</c:v>
                </c:pt>
                <c:pt idx="106">
                  <c:v>397</c:v>
                </c:pt>
                <c:pt idx="107">
                  <c:v>400.66666666666663</c:v>
                </c:pt>
                <c:pt idx="108">
                  <c:v>404.33333333333331</c:v>
                </c:pt>
                <c:pt idx="109">
                  <c:v>408</c:v>
                </c:pt>
                <c:pt idx="110">
                  <c:v>411.66666666666663</c:v>
                </c:pt>
                <c:pt idx="111">
                  <c:v>415.33333333333331</c:v>
                </c:pt>
                <c:pt idx="112">
                  <c:v>419</c:v>
                </c:pt>
                <c:pt idx="113">
                  <c:v>422.66666666666663</c:v>
                </c:pt>
                <c:pt idx="114">
                  <c:v>426.33333333333331</c:v>
                </c:pt>
                <c:pt idx="115">
                  <c:v>430</c:v>
                </c:pt>
                <c:pt idx="116">
                  <c:v>433.66666666666663</c:v>
                </c:pt>
                <c:pt idx="117">
                  <c:v>437.33333333333331</c:v>
                </c:pt>
                <c:pt idx="118">
                  <c:v>441</c:v>
                </c:pt>
                <c:pt idx="119">
                  <c:v>444.66666666666663</c:v>
                </c:pt>
                <c:pt idx="120">
                  <c:v>448.33333333333331</c:v>
                </c:pt>
                <c:pt idx="121">
                  <c:v>452</c:v>
                </c:pt>
                <c:pt idx="122">
                  <c:v>455.66666666666663</c:v>
                </c:pt>
                <c:pt idx="123">
                  <c:v>459.33333333333331</c:v>
                </c:pt>
                <c:pt idx="124">
                  <c:v>463</c:v>
                </c:pt>
                <c:pt idx="125">
                  <c:v>466.66666666666663</c:v>
                </c:pt>
                <c:pt idx="126">
                  <c:v>470.33333333333331</c:v>
                </c:pt>
                <c:pt idx="127">
                  <c:v>474</c:v>
                </c:pt>
                <c:pt idx="128">
                  <c:v>477.66666666666663</c:v>
                </c:pt>
                <c:pt idx="129">
                  <c:v>481.33333333333331</c:v>
                </c:pt>
                <c:pt idx="130">
                  <c:v>485</c:v>
                </c:pt>
                <c:pt idx="131">
                  <c:v>488.66666666666663</c:v>
                </c:pt>
                <c:pt idx="132">
                  <c:v>492.33333333333331</c:v>
                </c:pt>
                <c:pt idx="133">
                  <c:v>496</c:v>
                </c:pt>
                <c:pt idx="134">
                  <c:v>499.66666666666663</c:v>
                </c:pt>
                <c:pt idx="135">
                  <c:v>503.33333333333331</c:v>
                </c:pt>
                <c:pt idx="136">
                  <c:v>507</c:v>
                </c:pt>
                <c:pt idx="137">
                  <c:v>510.66666666666663</c:v>
                </c:pt>
                <c:pt idx="138">
                  <c:v>514.33333333333326</c:v>
                </c:pt>
                <c:pt idx="139">
                  <c:v>518</c:v>
                </c:pt>
                <c:pt idx="140">
                  <c:v>521.66666666666663</c:v>
                </c:pt>
                <c:pt idx="141">
                  <c:v>525.33333333333326</c:v>
                </c:pt>
                <c:pt idx="142">
                  <c:v>529</c:v>
                </c:pt>
                <c:pt idx="143">
                  <c:v>532.66666666666663</c:v>
                </c:pt>
                <c:pt idx="144">
                  <c:v>536.33333333333326</c:v>
                </c:pt>
                <c:pt idx="145">
                  <c:v>540</c:v>
                </c:pt>
                <c:pt idx="146">
                  <c:v>543.66666666666663</c:v>
                </c:pt>
                <c:pt idx="147">
                  <c:v>547.33333333333326</c:v>
                </c:pt>
                <c:pt idx="148">
                  <c:v>551</c:v>
                </c:pt>
                <c:pt idx="149">
                  <c:v>554.66666666666663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Ranges!$T$6</c:f>
              <c:strCache>
                <c:ptCount val="1"/>
                <c:pt idx="0">
                  <c:v>Dantalian Warrior</c:v>
                </c:pt>
              </c:strCache>
            </c:strRef>
          </c:tx>
          <c:marker>
            <c:symbol val="none"/>
          </c:marker>
          <c:xVal>
            <c:numRef>
              <c:f>Ranges!$A$7:$A$156</c:f>
              <c:numCache>
                <c:formatCode>General</c:formatCode>
                <c:ptCount val="1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</c:numCache>
            </c:numRef>
          </c:xVal>
          <c:yVal>
            <c:numRef>
              <c:f>Ranges!$T$7:$T$156</c:f>
              <c:numCache>
                <c:formatCode>0</c:formatCode>
                <c:ptCount val="150"/>
                <c:pt idx="0">
                  <c:v>6.3333333333333339</c:v>
                </c:pt>
                <c:pt idx="1">
                  <c:v>8</c:v>
                </c:pt>
                <c:pt idx="2">
                  <c:v>9.6666666666666661</c:v>
                </c:pt>
                <c:pt idx="3">
                  <c:v>11.333333333333332</c:v>
                </c:pt>
                <c:pt idx="4">
                  <c:v>13</c:v>
                </c:pt>
                <c:pt idx="5">
                  <c:v>14.666666666666666</c:v>
                </c:pt>
                <c:pt idx="6">
                  <c:v>16.333333333333332</c:v>
                </c:pt>
                <c:pt idx="7">
                  <c:v>18</c:v>
                </c:pt>
                <c:pt idx="8">
                  <c:v>19.666666666666664</c:v>
                </c:pt>
                <c:pt idx="9">
                  <c:v>21.333333333333332</c:v>
                </c:pt>
                <c:pt idx="10">
                  <c:v>23</c:v>
                </c:pt>
                <c:pt idx="11">
                  <c:v>24.666666666666664</c:v>
                </c:pt>
                <c:pt idx="12">
                  <c:v>26.333333333333332</c:v>
                </c:pt>
                <c:pt idx="13">
                  <c:v>28</c:v>
                </c:pt>
                <c:pt idx="14">
                  <c:v>29.666666666666664</c:v>
                </c:pt>
                <c:pt idx="15">
                  <c:v>31.333333333333332</c:v>
                </c:pt>
                <c:pt idx="16">
                  <c:v>33</c:v>
                </c:pt>
                <c:pt idx="17">
                  <c:v>34.666666666666664</c:v>
                </c:pt>
                <c:pt idx="18">
                  <c:v>36.333333333333329</c:v>
                </c:pt>
                <c:pt idx="19">
                  <c:v>38</c:v>
                </c:pt>
                <c:pt idx="20">
                  <c:v>39.666666666666664</c:v>
                </c:pt>
                <c:pt idx="21">
                  <c:v>41.333333333333329</c:v>
                </c:pt>
                <c:pt idx="22">
                  <c:v>43</c:v>
                </c:pt>
                <c:pt idx="23">
                  <c:v>44.666666666666664</c:v>
                </c:pt>
                <c:pt idx="24">
                  <c:v>46.333333333333329</c:v>
                </c:pt>
                <c:pt idx="25">
                  <c:v>48</c:v>
                </c:pt>
                <c:pt idx="26">
                  <c:v>49.666666666666664</c:v>
                </c:pt>
                <c:pt idx="27">
                  <c:v>51.333333333333329</c:v>
                </c:pt>
                <c:pt idx="28">
                  <c:v>52.999999999999993</c:v>
                </c:pt>
                <c:pt idx="29">
                  <c:v>54.666666666666664</c:v>
                </c:pt>
                <c:pt idx="30">
                  <c:v>56.333333333333329</c:v>
                </c:pt>
                <c:pt idx="31">
                  <c:v>57.999999999999993</c:v>
                </c:pt>
                <c:pt idx="32">
                  <c:v>59.666666666666664</c:v>
                </c:pt>
                <c:pt idx="33">
                  <c:v>61.333333333333329</c:v>
                </c:pt>
                <c:pt idx="34">
                  <c:v>62.999999999999993</c:v>
                </c:pt>
                <c:pt idx="35">
                  <c:v>64.666666666666657</c:v>
                </c:pt>
                <c:pt idx="36">
                  <c:v>66.333333333333329</c:v>
                </c:pt>
                <c:pt idx="37">
                  <c:v>68</c:v>
                </c:pt>
                <c:pt idx="38">
                  <c:v>69.666666666666657</c:v>
                </c:pt>
                <c:pt idx="39">
                  <c:v>71.333333333333329</c:v>
                </c:pt>
                <c:pt idx="40">
                  <c:v>73</c:v>
                </c:pt>
                <c:pt idx="41">
                  <c:v>74.666666666666657</c:v>
                </c:pt>
                <c:pt idx="42">
                  <c:v>76.333333333333329</c:v>
                </c:pt>
                <c:pt idx="43">
                  <c:v>78</c:v>
                </c:pt>
                <c:pt idx="44">
                  <c:v>79.666666666666657</c:v>
                </c:pt>
                <c:pt idx="45">
                  <c:v>81.333333333333329</c:v>
                </c:pt>
                <c:pt idx="46">
                  <c:v>83</c:v>
                </c:pt>
                <c:pt idx="47">
                  <c:v>84.666666666666657</c:v>
                </c:pt>
                <c:pt idx="48">
                  <c:v>86.333333333333329</c:v>
                </c:pt>
                <c:pt idx="49">
                  <c:v>88</c:v>
                </c:pt>
                <c:pt idx="50">
                  <c:v>89.666666666666657</c:v>
                </c:pt>
                <c:pt idx="51">
                  <c:v>91.333333333333329</c:v>
                </c:pt>
                <c:pt idx="52">
                  <c:v>92.999999999999986</c:v>
                </c:pt>
                <c:pt idx="53">
                  <c:v>94.666666666666657</c:v>
                </c:pt>
                <c:pt idx="54">
                  <c:v>96.333333333333329</c:v>
                </c:pt>
                <c:pt idx="55">
                  <c:v>97.999999999999986</c:v>
                </c:pt>
                <c:pt idx="56">
                  <c:v>99.666666666666657</c:v>
                </c:pt>
                <c:pt idx="57">
                  <c:v>101.33333333333333</c:v>
                </c:pt>
                <c:pt idx="58">
                  <c:v>102.99999999999999</c:v>
                </c:pt>
                <c:pt idx="59">
                  <c:v>104.66666666666666</c:v>
                </c:pt>
                <c:pt idx="60">
                  <c:v>106.33333333333333</c:v>
                </c:pt>
                <c:pt idx="61">
                  <c:v>107.99999999999999</c:v>
                </c:pt>
                <c:pt idx="62">
                  <c:v>109.66666666666666</c:v>
                </c:pt>
                <c:pt idx="63">
                  <c:v>111.33333333333333</c:v>
                </c:pt>
                <c:pt idx="64">
                  <c:v>112.99999999999999</c:v>
                </c:pt>
                <c:pt idx="65">
                  <c:v>114.66666666666666</c:v>
                </c:pt>
                <c:pt idx="66">
                  <c:v>116.33333333333333</c:v>
                </c:pt>
                <c:pt idx="67">
                  <c:v>117.99999999999999</c:v>
                </c:pt>
                <c:pt idx="68">
                  <c:v>119.66666666666666</c:v>
                </c:pt>
                <c:pt idx="69">
                  <c:v>121.33333333333333</c:v>
                </c:pt>
                <c:pt idx="70">
                  <c:v>122.99999999999999</c:v>
                </c:pt>
                <c:pt idx="71">
                  <c:v>124.66666666666666</c:v>
                </c:pt>
                <c:pt idx="72">
                  <c:v>126.33333333333333</c:v>
                </c:pt>
                <c:pt idx="73">
                  <c:v>127.99999999999999</c:v>
                </c:pt>
                <c:pt idx="74">
                  <c:v>129.66666666666666</c:v>
                </c:pt>
                <c:pt idx="75">
                  <c:v>131.33333333333331</c:v>
                </c:pt>
                <c:pt idx="76">
                  <c:v>133</c:v>
                </c:pt>
                <c:pt idx="77">
                  <c:v>134.66666666666666</c:v>
                </c:pt>
                <c:pt idx="78">
                  <c:v>136.33333333333331</c:v>
                </c:pt>
                <c:pt idx="79">
                  <c:v>138</c:v>
                </c:pt>
                <c:pt idx="80">
                  <c:v>139.66666666666666</c:v>
                </c:pt>
                <c:pt idx="81">
                  <c:v>141.33333333333331</c:v>
                </c:pt>
                <c:pt idx="82">
                  <c:v>143</c:v>
                </c:pt>
                <c:pt idx="83">
                  <c:v>144.66666666666666</c:v>
                </c:pt>
                <c:pt idx="84">
                  <c:v>146.33333333333331</c:v>
                </c:pt>
                <c:pt idx="85">
                  <c:v>148</c:v>
                </c:pt>
                <c:pt idx="86">
                  <c:v>149.66666666666666</c:v>
                </c:pt>
                <c:pt idx="87">
                  <c:v>151.33333333333331</c:v>
                </c:pt>
                <c:pt idx="88">
                  <c:v>153</c:v>
                </c:pt>
                <c:pt idx="89">
                  <c:v>154.66666666666666</c:v>
                </c:pt>
                <c:pt idx="90">
                  <c:v>156.33333333333331</c:v>
                </c:pt>
                <c:pt idx="91">
                  <c:v>158</c:v>
                </c:pt>
                <c:pt idx="92">
                  <c:v>159.66666666666666</c:v>
                </c:pt>
                <c:pt idx="93">
                  <c:v>161.33333333333331</c:v>
                </c:pt>
                <c:pt idx="94">
                  <c:v>163</c:v>
                </c:pt>
                <c:pt idx="95">
                  <c:v>164.66666666666666</c:v>
                </c:pt>
                <c:pt idx="96">
                  <c:v>166.33333333333331</c:v>
                </c:pt>
                <c:pt idx="97">
                  <c:v>168</c:v>
                </c:pt>
                <c:pt idx="98">
                  <c:v>169.66666666666666</c:v>
                </c:pt>
                <c:pt idx="99">
                  <c:v>171.33333333333331</c:v>
                </c:pt>
                <c:pt idx="100">
                  <c:v>172.99999999999997</c:v>
                </c:pt>
                <c:pt idx="101">
                  <c:v>174.66666666666666</c:v>
                </c:pt>
                <c:pt idx="102">
                  <c:v>176.33333333333331</c:v>
                </c:pt>
                <c:pt idx="103">
                  <c:v>177.99999999999997</c:v>
                </c:pt>
                <c:pt idx="104">
                  <c:v>179.66666666666666</c:v>
                </c:pt>
                <c:pt idx="105">
                  <c:v>181.33333333333331</c:v>
                </c:pt>
                <c:pt idx="106">
                  <c:v>182.99999999999997</c:v>
                </c:pt>
                <c:pt idx="107">
                  <c:v>184.66666666666666</c:v>
                </c:pt>
                <c:pt idx="108">
                  <c:v>186.33333333333331</c:v>
                </c:pt>
                <c:pt idx="109">
                  <c:v>187.99999999999997</c:v>
                </c:pt>
                <c:pt idx="110">
                  <c:v>189.66666666666666</c:v>
                </c:pt>
                <c:pt idx="111">
                  <c:v>191.33333333333331</c:v>
                </c:pt>
                <c:pt idx="112">
                  <c:v>192.99999999999997</c:v>
                </c:pt>
                <c:pt idx="113">
                  <c:v>194.66666666666666</c:v>
                </c:pt>
                <c:pt idx="114">
                  <c:v>196.33333333333331</c:v>
                </c:pt>
                <c:pt idx="115">
                  <c:v>197.99999999999997</c:v>
                </c:pt>
                <c:pt idx="116">
                  <c:v>199.66666666666666</c:v>
                </c:pt>
                <c:pt idx="117">
                  <c:v>201.33333333333331</c:v>
                </c:pt>
                <c:pt idx="118">
                  <c:v>202.99999999999997</c:v>
                </c:pt>
                <c:pt idx="119">
                  <c:v>204.66666666666666</c:v>
                </c:pt>
                <c:pt idx="120">
                  <c:v>206.33333333333331</c:v>
                </c:pt>
                <c:pt idx="121">
                  <c:v>207.99999999999997</c:v>
                </c:pt>
                <c:pt idx="122">
                  <c:v>209.66666666666666</c:v>
                </c:pt>
                <c:pt idx="123">
                  <c:v>211.33333333333331</c:v>
                </c:pt>
                <c:pt idx="124">
                  <c:v>212.99999999999997</c:v>
                </c:pt>
                <c:pt idx="125">
                  <c:v>214.66666666666666</c:v>
                </c:pt>
                <c:pt idx="126">
                  <c:v>216.33333333333331</c:v>
                </c:pt>
                <c:pt idx="127">
                  <c:v>217.99999999999997</c:v>
                </c:pt>
                <c:pt idx="128">
                  <c:v>219.66666666666666</c:v>
                </c:pt>
                <c:pt idx="129">
                  <c:v>221.33333333333331</c:v>
                </c:pt>
                <c:pt idx="130">
                  <c:v>222.99999999999997</c:v>
                </c:pt>
                <c:pt idx="131">
                  <c:v>224.66666666666666</c:v>
                </c:pt>
                <c:pt idx="132">
                  <c:v>226.33333333333331</c:v>
                </c:pt>
                <c:pt idx="133">
                  <c:v>227.99999999999997</c:v>
                </c:pt>
                <c:pt idx="134">
                  <c:v>229.66666666666666</c:v>
                </c:pt>
                <c:pt idx="135">
                  <c:v>231.33333333333331</c:v>
                </c:pt>
                <c:pt idx="136">
                  <c:v>232.99999999999997</c:v>
                </c:pt>
                <c:pt idx="137">
                  <c:v>234.66666666666666</c:v>
                </c:pt>
                <c:pt idx="138">
                  <c:v>236.33333333333331</c:v>
                </c:pt>
                <c:pt idx="139">
                  <c:v>237.99999999999997</c:v>
                </c:pt>
                <c:pt idx="140">
                  <c:v>239.66666666666666</c:v>
                </c:pt>
                <c:pt idx="141">
                  <c:v>241.33333333333331</c:v>
                </c:pt>
                <c:pt idx="142">
                  <c:v>242.99999999999997</c:v>
                </c:pt>
                <c:pt idx="143">
                  <c:v>244.66666666666666</c:v>
                </c:pt>
                <c:pt idx="144">
                  <c:v>246.33333333333331</c:v>
                </c:pt>
                <c:pt idx="145">
                  <c:v>247.99999999999997</c:v>
                </c:pt>
                <c:pt idx="146">
                  <c:v>249.66666666666666</c:v>
                </c:pt>
                <c:pt idx="147">
                  <c:v>251.33333333333331</c:v>
                </c:pt>
                <c:pt idx="148">
                  <c:v>252.99999999999997</c:v>
                </c:pt>
                <c:pt idx="149">
                  <c:v>254.66666666666666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Ranges!$U$6</c:f>
              <c:strCache>
                <c:ptCount val="1"/>
                <c:pt idx="0">
                  <c:v>Geonan Adept</c:v>
                </c:pt>
              </c:strCache>
            </c:strRef>
          </c:tx>
          <c:marker>
            <c:symbol val="none"/>
          </c:marker>
          <c:xVal>
            <c:numRef>
              <c:f>Ranges!$A$7:$A$156</c:f>
              <c:numCache>
                <c:formatCode>General</c:formatCode>
                <c:ptCount val="1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</c:numCache>
            </c:numRef>
          </c:xVal>
          <c:yVal>
            <c:numRef>
              <c:f>Ranges!$U$7:$U$156</c:f>
              <c:numCache>
                <c:formatCode>0</c:formatCode>
                <c:ptCount val="150"/>
                <c:pt idx="0">
                  <c:v>63.333333333333336</c:v>
                </c:pt>
                <c:pt idx="1">
                  <c:v>90.666666666666671</c:v>
                </c:pt>
                <c:pt idx="2">
                  <c:v>131</c:v>
                </c:pt>
                <c:pt idx="3">
                  <c:v>158.33333333333334</c:v>
                </c:pt>
                <c:pt idx="4">
                  <c:v>198.66666666666666</c:v>
                </c:pt>
                <c:pt idx="5">
                  <c:v>226</c:v>
                </c:pt>
                <c:pt idx="6">
                  <c:v>253.33333333333334</c:v>
                </c:pt>
                <c:pt idx="7">
                  <c:v>280.66666666666669</c:v>
                </c:pt>
                <c:pt idx="8">
                  <c:v>321</c:v>
                </c:pt>
                <c:pt idx="9">
                  <c:v>348.33333333333331</c:v>
                </c:pt>
                <c:pt idx="10">
                  <c:v>375.66666666666669</c:v>
                </c:pt>
                <c:pt idx="11">
                  <c:v>403</c:v>
                </c:pt>
                <c:pt idx="12">
                  <c:v>443.33333333333331</c:v>
                </c:pt>
                <c:pt idx="13">
                  <c:v>470.66666666666669</c:v>
                </c:pt>
                <c:pt idx="14">
                  <c:v>498</c:v>
                </c:pt>
                <c:pt idx="15">
                  <c:v>525.33333333333337</c:v>
                </c:pt>
                <c:pt idx="16">
                  <c:v>552.66666666666663</c:v>
                </c:pt>
                <c:pt idx="17">
                  <c:v>593</c:v>
                </c:pt>
                <c:pt idx="18">
                  <c:v>620.33333333333337</c:v>
                </c:pt>
                <c:pt idx="19">
                  <c:v>647.66666666666663</c:v>
                </c:pt>
                <c:pt idx="20">
                  <c:v>675</c:v>
                </c:pt>
                <c:pt idx="21">
                  <c:v>702.33333333333337</c:v>
                </c:pt>
                <c:pt idx="22">
                  <c:v>755.66666666666663</c:v>
                </c:pt>
                <c:pt idx="23">
                  <c:v>783</c:v>
                </c:pt>
                <c:pt idx="24">
                  <c:v>810.33333333333337</c:v>
                </c:pt>
                <c:pt idx="25">
                  <c:v>837.66666666666663</c:v>
                </c:pt>
                <c:pt idx="26">
                  <c:v>865</c:v>
                </c:pt>
                <c:pt idx="27">
                  <c:v>892.33333333333337</c:v>
                </c:pt>
                <c:pt idx="28">
                  <c:v>945.66666666666663</c:v>
                </c:pt>
                <c:pt idx="29">
                  <c:v>973</c:v>
                </c:pt>
                <c:pt idx="30">
                  <c:v>1000.3333333333334</c:v>
                </c:pt>
                <c:pt idx="31">
                  <c:v>1027.6666666666667</c:v>
                </c:pt>
                <c:pt idx="32">
                  <c:v>1055</c:v>
                </c:pt>
                <c:pt idx="33">
                  <c:v>1082.3333333333333</c:v>
                </c:pt>
                <c:pt idx="34">
                  <c:v>1135.6666666666667</c:v>
                </c:pt>
                <c:pt idx="35">
                  <c:v>1163</c:v>
                </c:pt>
                <c:pt idx="36">
                  <c:v>1190.3333333333333</c:v>
                </c:pt>
                <c:pt idx="37">
                  <c:v>1217.6666666666667</c:v>
                </c:pt>
                <c:pt idx="38">
                  <c:v>1245</c:v>
                </c:pt>
                <c:pt idx="39">
                  <c:v>1272.3333333333333</c:v>
                </c:pt>
                <c:pt idx="40">
                  <c:v>1325.6666666666667</c:v>
                </c:pt>
                <c:pt idx="41">
                  <c:v>1353</c:v>
                </c:pt>
                <c:pt idx="42">
                  <c:v>1380.3333333333333</c:v>
                </c:pt>
                <c:pt idx="43">
                  <c:v>1433.6666666666667</c:v>
                </c:pt>
                <c:pt idx="44">
                  <c:v>1461</c:v>
                </c:pt>
                <c:pt idx="45">
                  <c:v>1488.3333333333333</c:v>
                </c:pt>
                <c:pt idx="46">
                  <c:v>1515.6666666666667</c:v>
                </c:pt>
                <c:pt idx="47">
                  <c:v>1543</c:v>
                </c:pt>
                <c:pt idx="48">
                  <c:v>1570.3333333333333</c:v>
                </c:pt>
                <c:pt idx="49">
                  <c:v>1636.6666666666667</c:v>
                </c:pt>
                <c:pt idx="50">
                  <c:v>1664</c:v>
                </c:pt>
                <c:pt idx="51">
                  <c:v>1691.3333333333333</c:v>
                </c:pt>
                <c:pt idx="52">
                  <c:v>1718.6666666666667</c:v>
                </c:pt>
                <c:pt idx="53">
                  <c:v>1746</c:v>
                </c:pt>
                <c:pt idx="54">
                  <c:v>1773.3333333333333</c:v>
                </c:pt>
                <c:pt idx="55">
                  <c:v>1839.6666666666667</c:v>
                </c:pt>
                <c:pt idx="56">
                  <c:v>1867</c:v>
                </c:pt>
                <c:pt idx="57">
                  <c:v>1894.3333333333333</c:v>
                </c:pt>
                <c:pt idx="58">
                  <c:v>1921.6666666666667</c:v>
                </c:pt>
                <c:pt idx="59">
                  <c:v>1949</c:v>
                </c:pt>
                <c:pt idx="60">
                  <c:v>1976.3333333333333</c:v>
                </c:pt>
                <c:pt idx="61">
                  <c:v>2042.6666666666667</c:v>
                </c:pt>
                <c:pt idx="62">
                  <c:v>2070</c:v>
                </c:pt>
                <c:pt idx="63">
                  <c:v>2097.3333333333335</c:v>
                </c:pt>
                <c:pt idx="64">
                  <c:v>2124.6666666666665</c:v>
                </c:pt>
                <c:pt idx="65">
                  <c:v>2152</c:v>
                </c:pt>
                <c:pt idx="66">
                  <c:v>2179.3333333333335</c:v>
                </c:pt>
                <c:pt idx="67">
                  <c:v>2258.6666666666665</c:v>
                </c:pt>
                <c:pt idx="68">
                  <c:v>2286</c:v>
                </c:pt>
                <c:pt idx="69">
                  <c:v>2313.3333333333335</c:v>
                </c:pt>
                <c:pt idx="70">
                  <c:v>2340.6666666666665</c:v>
                </c:pt>
                <c:pt idx="71">
                  <c:v>2368</c:v>
                </c:pt>
                <c:pt idx="72">
                  <c:v>2395.3333333333335</c:v>
                </c:pt>
                <c:pt idx="73">
                  <c:v>2474.6666666666665</c:v>
                </c:pt>
                <c:pt idx="74">
                  <c:v>2502</c:v>
                </c:pt>
                <c:pt idx="75">
                  <c:v>2529.3333333333335</c:v>
                </c:pt>
                <c:pt idx="76">
                  <c:v>2556.6666666666665</c:v>
                </c:pt>
                <c:pt idx="77">
                  <c:v>2584</c:v>
                </c:pt>
                <c:pt idx="78">
                  <c:v>2611.3333333333335</c:v>
                </c:pt>
                <c:pt idx="79">
                  <c:v>2703.6666666666665</c:v>
                </c:pt>
                <c:pt idx="80">
                  <c:v>2731</c:v>
                </c:pt>
                <c:pt idx="81">
                  <c:v>2758.3333333333335</c:v>
                </c:pt>
                <c:pt idx="82">
                  <c:v>2785.6666666666665</c:v>
                </c:pt>
                <c:pt idx="83">
                  <c:v>2813</c:v>
                </c:pt>
                <c:pt idx="84">
                  <c:v>2840.3333333333335</c:v>
                </c:pt>
                <c:pt idx="85">
                  <c:v>2867.6666666666665</c:v>
                </c:pt>
                <c:pt idx="86">
                  <c:v>2895</c:v>
                </c:pt>
                <c:pt idx="87">
                  <c:v>2922.3333333333335</c:v>
                </c:pt>
                <c:pt idx="88">
                  <c:v>2949.6666666666665</c:v>
                </c:pt>
                <c:pt idx="89">
                  <c:v>2977</c:v>
                </c:pt>
                <c:pt idx="90">
                  <c:v>3004.3333333333335</c:v>
                </c:pt>
                <c:pt idx="91">
                  <c:v>3031.6666666666665</c:v>
                </c:pt>
                <c:pt idx="92">
                  <c:v>3059</c:v>
                </c:pt>
                <c:pt idx="93">
                  <c:v>3086.3333333333335</c:v>
                </c:pt>
                <c:pt idx="94">
                  <c:v>3113.6666666666665</c:v>
                </c:pt>
                <c:pt idx="95">
                  <c:v>3141</c:v>
                </c:pt>
                <c:pt idx="96">
                  <c:v>3168.3333333333335</c:v>
                </c:pt>
                <c:pt idx="97">
                  <c:v>3195.6666666666665</c:v>
                </c:pt>
                <c:pt idx="98">
                  <c:v>3223</c:v>
                </c:pt>
                <c:pt idx="99">
                  <c:v>3250.3333333333335</c:v>
                </c:pt>
                <c:pt idx="100">
                  <c:v>3277.6666666666665</c:v>
                </c:pt>
                <c:pt idx="101">
                  <c:v>3305</c:v>
                </c:pt>
                <c:pt idx="102">
                  <c:v>3332.3333333333335</c:v>
                </c:pt>
                <c:pt idx="103">
                  <c:v>3359.6666666666665</c:v>
                </c:pt>
                <c:pt idx="104">
                  <c:v>3387</c:v>
                </c:pt>
                <c:pt idx="105">
                  <c:v>3414.3333333333335</c:v>
                </c:pt>
                <c:pt idx="106">
                  <c:v>3441.6666666666665</c:v>
                </c:pt>
                <c:pt idx="107">
                  <c:v>3469</c:v>
                </c:pt>
                <c:pt idx="108">
                  <c:v>3496.3333333333335</c:v>
                </c:pt>
                <c:pt idx="109">
                  <c:v>3523.6666666666665</c:v>
                </c:pt>
                <c:pt idx="110">
                  <c:v>3551</c:v>
                </c:pt>
                <c:pt idx="111">
                  <c:v>3578.3333333333335</c:v>
                </c:pt>
                <c:pt idx="112">
                  <c:v>3605.6666666666665</c:v>
                </c:pt>
                <c:pt idx="113">
                  <c:v>3633</c:v>
                </c:pt>
                <c:pt idx="114">
                  <c:v>3660.3333333333335</c:v>
                </c:pt>
                <c:pt idx="115">
                  <c:v>3687.6666666666665</c:v>
                </c:pt>
                <c:pt idx="116">
                  <c:v>3715</c:v>
                </c:pt>
                <c:pt idx="117">
                  <c:v>3742.3333333333335</c:v>
                </c:pt>
                <c:pt idx="118">
                  <c:v>3769.6666666666665</c:v>
                </c:pt>
                <c:pt idx="119">
                  <c:v>3797</c:v>
                </c:pt>
                <c:pt idx="120">
                  <c:v>3824.3333333333335</c:v>
                </c:pt>
                <c:pt idx="121">
                  <c:v>3851.6666666666665</c:v>
                </c:pt>
                <c:pt idx="122">
                  <c:v>3879</c:v>
                </c:pt>
                <c:pt idx="123">
                  <c:v>3906.3333333333335</c:v>
                </c:pt>
                <c:pt idx="124">
                  <c:v>3933.6666666666665</c:v>
                </c:pt>
                <c:pt idx="125">
                  <c:v>3961</c:v>
                </c:pt>
                <c:pt idx="126">
                  <c:v>3988.3333333333335</c:v>
                </c:pt>
                <c:pt idx="127">
                  <c:v>4015.666666666667</c:v>
                </c:pt>
                <c:pt idx="128">
                  <c:v>4043</c:v>
                </c:pt>
                <c:pt idx="129">
                  <c:v>4070.3333333333335</c:v>
                </c:pt>
                <c:pt idx="130">
                  <c:v>4097.666666666667</c:v>
                </c:pt>
                <c:pt idx="131">
                  <c:v>4125</c:v>
                </c:pt>
                <c:pt idx="132">
                  <c:v>4152.333333333333</c:v>
                </c:pt>
                <c:pt idx="133">
                  <c:v>4179.666666666667</c:v>
                </c:pt>
                <c:pt idx="134">
                  <c:v>4207</c:v>
                </c:pt>
                <c:pt idx="135">
                  <c:v>4234.333333333333</c:v>
                </c:pt>
                <c:pt idx="136">
                  <c:v>4261.666666666667</c:v>
                </c:pt>
                <c:pt idx="137">
                  <c:v>4289</c:v>
                </c:pt>
                <c:pt idx="138">
                  <c:v>4316.333333333333</c:v>
                </c:pt>
                <c:pt idx="139">
                  <c:v>4343.666666666667</c:v>
                </c:pt>
                <c:pt idx="140">
                  <c:v>4371</c:v>
                </c:pt>
                <c:pt idx="141">
                  <c:v>4398.333333333333</c:v>
                </c:pt>
                <c:pt idx="142">
                  <c:v>4425.666666666667</c:v>
                </c:pt>
                <c:pt idx="143">
                  <c:v>4453</c:v>
                </c:pt>
                <c:pt idx="144">
                  <c:v>4480.333333333333</c:v>
                </c:pt>
                <c:pt idx="145">
                  <c:v>4507.666666666667</c:v>
                </c:pt>
                <c:pt idx="146">
                  <c:v>4535</c:v>
                </c:pt>
                <c:pt idx="147">
                  <c:v>4562.333333333333</c:v>
                </c:pt>
                <c:pt idx="148">
                  <c:v>4589.666666666667</c:v>
                </c:pt>
                <c:pt idx="149">
                  <c:v>4617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Ranges!$V$6</c:f>
              <c:strCache>
                <c:ptCount val="1"/>
                <c:pt idx="0">
                  <c:v>Geonan Sorcerer</c:v>
                </c:pt>
              </c:strCache>
            </c:strRef>
          </c:tx>
          <c:marker>
            <c:symbol val="none"/>
          </c:marker>
          <c:xVal>
            <c:numRef>
              <c:f>Ranges!$A$7:$A$156</c:f>
              <c:numCache>
                <c:formatCode>General</c:formatCode>
                <c:ptCount val="1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</c:numCache>
            </c:numRef>
          </c:xVal>
          <c:yVal>
            <c:numRef>
              <c:f>Ranges!$V$7:$V$156</c:f>
              <c:numCache>
                <c:formatCode>0</c:formatCode>
                <c:ptCount val="150"/>
                <c:pt idx="0">
                  <c:v>59.333333333333336</c:v>
                </c:pt>
                <c:pt idx="1">
                  <c:v>82.666666666666671</c:v>
                </c:pt>
                <c:pt idx="2">
                  <c:v>119</c:v>
                </c:pt>
                <c:pt idx="3">
                  <c:v>142.33333333333334</c:v>
                </c:pt>
                <c:pt idx="4">
                  <c:v>178.66666666666666</c:v>
                </c:pt>
                <c:pt idx="5">
                  <c:v>202</c:v>
                </c:pt>
                <c:pt idx="6">
                  <c:v>225.33333333333334</c:v>
                </c:pt>
                <c:pt idx="7">
                  <c:v>248.66666666666669</c:v>
                </c:pt>
                <c:pt idx="8">
                  <c:v>285</c:v>
                </c:pt>
                <c:pt idx="9">
                  <c:v>308.33333333333331</c:v>
                </c:pt>
                <c:pt idx="10">
                  <c:v>331.66666666666669</c:v>
                </c:pt>
                <c:pt idx="11">
                  <c:v>355</c:v>
                </c:pt>
                <c:pt idx="12">
                  <c:v>391.33333333333331</c:v>
                </c:pt>
                <c:pt idx="13">
                  <c:v>414.66666666666669</c:v>
                </c:pt>
                <c:pt idx="14">
                  <c:v>438</c:v>
                </c:pt>
                <c:pt idx="15">
                  <c:v>461.33333333333337</c:v>
                </c:pt>
                <c:pt idx="16">
                  <c:v>484.66666666666669</c:v>
                </c:pt>
                <c:pt idx="17">
                  <c:v>521</c:v>
                </c:pt>
                <c:pt idx="18">
                  <c:v>544.33333333333337</c:v>
                </c:pt>
                <c:pt idx="19">
                  <c:v>567.66666666666663</c:v>
                </c:pt>
                <c:pt idx="20">
                  <c:v>591</c:v>
                </c:pt>
                <c:pt idx="21">
                  <c:v>614.33333333333337</c:v>
                </c:pt>
                <c:pt idx="22">
                  <c:v>663.66666666666663</c:v>
                </c:pt>
                <c:pt idx="23">
                  <c:v>687</c:v>
                </c:pt>
                <c:pt idx="24">
                  <c:v>710.33333333333337</c:v>
                </c:pt>
                <c:pt idx="25">
                  <c:v>733.66666666666663</c:v>
                </c:pt>
                <c:pt idx="26">
                  <c:v>757</c:v>
                </c:pt>
                <c:pt idx="27">
                  <c:v>780.33333333333337</c:v>
                </c:pt>
                <c:pt idx="28">
                  <c:v>829.66666666666663</c:v>
                </c:pt>
                <c:pt idx="29">
                  <c:v>853</c:v>
                </c:pt>
                <c:pt idx="30">
                  <c:v>876.33333333333337</c:v>
                </c:pt>
                <c:pt idx="31">
                  <c:v>899.66666666666674</c:v>
                </c:pt>
                <c:pt idx="32">
                  <c:v>923</c:v>
                </c:pt>
                <c:pt idx="33">
                  <c:v>946.33333333333337</c:v>
                </c:pt>
                <c:pt idx="34">
                  <c:v>995.66666666666674</c:v>
                </c:pt>
                <c:pt idx="35">
                  <c:v>1019</c:v>
                </c:pt>
                <c:pt idx="36">
                  <c:v>1042.3333333333333</c:v>
                </c:pt>
                <c:pt idx="37">
                  <c:v>1065.6666666666667</c:v>
                </c:pt>
                <c:pt idx="38">
                  <c:v>1089</c:v>
                </c:pt>
                <c:pt idx="39">
                  <c:v>1112.3333333333333</c:v>
                </c:pt>
                <c:pt idx="40">
                  <c:v>1161.6666666666667</c:v>
                </c:pt>
                <c:pt idx="41">
                  <c:v>1185</c:v>
                </c:pt>
                <c:pt idx="42">
                  <c:v>1208.3333333333333</c:v>
                </c:pt>
                <c:pt idx="43">
                  <c:v>1257.6666666666667</c:v>
                </c:pt>
                <c:pt idx="44">
                  <c:v>1281</c:v>
                </c:pt>
                <c:pt idx="45">
                  <c:v>1304.3333333333333</c:v>
                </c:pt>
                <c:pt idx="46">
                  <c:v>1327.6666666666667</c:v>
                </c:pt>
                <c:pt idx="47">
                  <c:v>1351</c:v>
                </c:pt>
                <c:pt idx="48">
                  <c:v>1374.3333333333333</c:v>
                </c:pt>
                <c:pt idx="49">
                  <c:v>1436.6666666666667</c:v>
                </c:pt>
                <c:pt idx="50">
                  <c:v>1460</c:v>
                </c:pt>
                <c:pt idx="51">
                  <c:v>1483.3333333333333</c:v>
                </c:pt>
                <c:pt idx="52">
                  <c:v>1506.6666666666667</c:v>
                </c:pt>
                <c:pt idx="53">
                  <c:v>1530</c:v>
                </c:pt>
                <c:pt idx="54">
                  <c:v>1553.3333333333333</c:v>
                </c:pt>
                <c:pt idx="55">
                  <c:v>1615.6666666666667</c:v>
                </c:pt>
                <c:pt idx="56">
                  <c:v>1639</c:v>
                </c:pt>
                <c:pt idx="57">
                  <c:v>1662.3333333333333</c:v>
                </c:pt>
                <c:pt idx="58">
                  <c:v>1685.6666666666667</c:v>
                </c:pt>
                <c:pt idx="59">
                  <c:v>1709</c:v>
                </c:pt>
                <c:pt idx="60">
                  <c:v>1732.3333333333333</c:v>
                </c:pt>
                <c:pt idx="61">
                  <c:v>1794.6666666666667</c:v>
                </c:pt>
                <c:pt idx="62">
                  <c:v>1818</c:v>
                </c:pt>
                <c:pt idx="63">
                  <c:v>1841.3333333333335</c:v>
                </c:pt>
                <c:pt idx="64">
                  <c:v>1864.6666666666667</c:v>
                </c:pt>
                <c:pt idx="65">
                  <c:v>1888</c:v>
                </c:pt>
                <c:pt idx="66">
                  <c:v>1911.3333333333335</c:v>
                </c:pt>
                <c:pt idx="67">
                  <c:v>1986.6666666666667</c:v>
                </c:pt>
                <c:pt idx="68">
                  <c:v>2010</c:v>
                </c:pt>
                <c:pt idx="69">
                  <c:v>2033.3333333333335</c:v>
                </c:pt>
                <c:pt idx="70">
                  <c:v>2056.6666666666665</c:v>
                </c:pt>
                <c:pt idx="71">
                  <c:v>2080</c:v>
                </c:pt>
                <c:pt idx="72">
                  <c:v>2103.3333333333335</c:v>
                </c:pt>
                <c:pt idx="73">
                  <c:v>2178.6666666666665</c:v>
                </c:pt>
                <c:pt idx="74">
                  <c:v>2202</c:v>
                </c:pt>
                <c:pt idx="75">
                  <c:v>2225.3333333333335</c:v>
                </c:pt>
                <c:pt idx="76">
                  <c:v>2248.6666666666665</c:v>
                </c:pt>
                <c:pt idx="77">
                  <c:v>2272</c:v>
                </c:pt>
                <c:pt idx="78">
                  <c:v>2295.3333333333335</c:v>
                </c:pt>
                <c:pt idx="79">
                  <c:v>2383.6666666666665</c:v>
                </c:pt>
                <c:pt idx="80">
                  <c:v>2407</c:v>
                </c:pt>
                <c:pt idx="81">
                  <c:v>2430.3333333333335</c:v>
                </c:pt>
                <c:pt idx="82">
                  <c:v>2453.6666666666665</c:v>
                </c:pt>
                <c:pt idx="83">
                  <c:v>2477</c:v>
                </c:pt>
                <c:pt idx="84">
                  <c:v>2500.3333333333335</c:v>
                </c:pt>
                <c:pt idx="85">
                  <c:v>2523.6666666666665</c:v>
                </c:pt>
                <c:pt idx="86">
                  <c:v>2547</c:v>
                </c:pt>
                <c:pt idx="87">
                  <c:v>2570.3333333333335</c:v>
                </c:pt>
                <c:pt idx="88">
                  <c:v>2593.6666666666665</c:v>
                </c:pt>
                <c:pt idx="89">
                  <c:v>2617</c:v>
                </c:pt>
                <c:pt idx="90">
                  <c:v>2640.3333333333335</c:v>
                </c:pt>
                <c:pt idx="91">
                  <c:v>2663.6666666666665</c:v>
                </c:pt>
                <c:pt idx="92">
                  <c:v>2687</c:v>
                </c:pt>
                <c:pt idx="93">
                  <c:v>2710.3333333333335</c:v>
                </c:pt>
                <c:pt idx="94">
                  <c:v>2733.6666666666665</c:v>
                </c:pt>
                <c:pt idx="95">
                  <c:v>2757</c:v>
                </c:pt>
                <c:pt idx="96">
                  <c:v>2780.3333333333335</c:v>
                </c:pt>
                <c:pt idx="97">
                  <c:v>2803.6666666666665</c:v>
                </c:pt>
                <c:pt idx="98">
                  <c:v>2827</c:v>
                </c:pt>
                <c:pt idx="99">
                  <c:v>2850.3333333333335</c:v>
                </c:pt>
                <c:pt idx="100">
                  <c:v>2873.6666666666665</c:v>
                </c:pt>
                <c:pt idx="101">
                  <c:v>2897</c:v>
                </c:pt>
                <c:pt idx="102">
                  <c:v>2920.3333333333335</c:v>
                </c:pt>
                <c:pt idx="103">
                  <c:v>2943.6666666666665</c:v>
                </c:pt>
                <c:pt idx="104">
                  <c:v>2967</c:v>
                </c:pt>
                <c:pt idx="105">
                  <c:v>2990.3333333333335</c:v>
                </c:pt>
                <c:pt idx="106">
                  <c:v>3013.6666666666665</c:v>
                </c:pt>
                <c:pt idx="107">
                  <c:v>3037</c:v>
                </c:pt>
                <c:pt idx="108">
                  <c:v>3060.3333333333335</c:v>
                </c:pt>
                <c:pt idx="109">
                  <c:v>3083.6666666666665</c:v>
                </c:pt>
                <c:pt idx="110">
                  <c:v>3107</c:v>
                </c:pt>
                <c:pt idx="111">
                  <c:v>3130.3333333333335</c:v>
                </c:pt>
                <c:pt idx="112">
                  <c:v>3153.6666666666665</c:v>
                </c:pt>
                <c:pt idx="113">
                  <c:v>3177</c:v>
                </c:pt>
                <c:pt idx="114">
                  <c:v>3200.3333333333335</c:v>
                </c:pt>
                <c:pt idx="115">
                  <c:v>3223.6666666666665</c:v>
                </c:pt>
                <c:pt idx="116">
                  <c:v>3247</c:v>
                </c:pt>
                <c:pt idx="117">
                  <c:v>3270.3333333333335</c:v>
                </c:pt>
                <c:pt idx="118">
                  <c:v>3293.6666666666665</c:v>
                </c:pt>
                <c:pt idx="119">
                  <c:v>3317</c:v>
                </c:pt>
                <c:pt idx="120">
                  <c:v>3340.3333333333335</c:v>
                </c:pt>
                <c:pt idx="121">
                  <c:v>3363.6666666666665</c:v>
                </c:pt>
                <c:pt idx="122">
                  <c:v>3387</c:v>
                </c:pt>
                <c:pt idx="123">
                  <c:v>3410.3333333333335</c:v>
                </c:pt>
                <c:pt idx="124">
                  <c:v>3433.6666666666665</c:v>
                </c:pt>
                <c:pt idx="125">
                  <c:v>3457</c:v>
                </c:pt>
                <c:pt idx="126">
                  <c:v>3480.3333333333335</c:v>
                </c:pt>
                <c:pt idx="127">
                  <c:v>3503.666666666667</c:v>
                </c:pt>
                <c:pt idx="128">
                  <c:v>3527</c:v>
                </c:pt>
                <c:pt idx="129">
                  <c:v>3550.3333333333335</c:v>
                </c:pt>
                <c:pt idx="130">
                  <c:v>3573.666666666667</c:v>
                </c:pt>
                <c:pt idx="131">
                  <c:v>3597</c:v>
                </c:pt>
                <c:pt idx="132">
                  <c:v>3620.3333333333335</c:v>
                </c:pt>
                <c:pt idx="133">
                  <c:v>3643.666666666667</c:v>
                </c:pt>
                <c:pt idx="134">
                  <c:v>3667</c:v>
                </c:pt>
                <c:pt idx="135">
                  <c:v>3690.3333333333335</c:v>
                </c:pt>
                <c:pt idx="136">
                  <c:v>3713.666666666667</c:v>
                </c:pt>
                <c:pt idx="137">
                  <c:v>3737</c:v>
                </c:pt>
                <c:pt idx="138">
                  <c:v>3760.3333333333335</c:v>
                </c:pt>
                <c:pt idx="139">
                  <c:v>3783.666666666667</c:v>
                </c:pt>
                <c:pt idx="140">
                  <c:v>3807</c:v>
                </c:pt>
                <c:pt idx="141">
                  <c:v>3830.3333333333335</c:v>
                </c:pt>
                <c:pt idx="142">
                  <c:v>3853.666666666667</c:v>
                </c:pt>
                <c:pt idx="143">
                  <c:v>3877</c:v>
                </c:pt>
                <c:pt idx="144">
                  <c:v>3900.3333333333335</c:v>
                </c:pt>
                <c:pt idx="145">
                  <c:v>3923.666666666667</c:v>
                </c:pt>
                <c:pt idx="146">
                  <c:v>3947</c:v>
                </c:pt>
                <c:pt idx="147">
                  <c:v>3970.3333333333335</c:v>
                </c:pt>
                <c:pt idx="148">
                  <c:v>3993.666666666667</c:v>
                </c:pt>
                <c:pt idx="149">
                  <c:v>4017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Ranges!$W$6</c:f>
              <c:strCache>
                <c:ptCount val="1"/>
                <c:pt idx="0">
                  <c:v>Geonan Leyshaper</c:v>
                </c:pt>
              </c:strCache>
            </c:strRef>
          </c:tx>
          <c:marker>
            <c:symbol val="none"/>
          </c:marker>
          <c:xVal>
            <c:numRef>
              <c:f>Ranges!$A$7:$A$156</c:f>
              <c:numCache>
                <c:formatCode>General</c:formatCode>
                <c:ptCount val="1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</c:numCache>
            </c:numRef>
          </c:xVal>
          <c:yVal>
            <c:numRef>
              <c:f>Ranges!$W$7:$W$156</c:f>
              <c:numCache>
                <c:formatCode>0</c:formatCode>
                <c:ptCount val="150"/>
                <c:pt idx="0">
                  <c:v>58</c:v>
                </c:pt>
                <c:pt idx="1">
                  <c:v>80</c:v>
                </c:pt>
                <c:pt idx="2">
                  <c:v>115</c:v>
                </c:pt>
                <c:pt idx="3">
                  <c:v>137</c:v>
                </c:pt>
                <c:pt idx="4">
                  <c:v>172</c:v>
                </c:pt>
                <c:pt idx="5">
                  <c:v>194</c:v>
                </c:pt>
                <c:pt idx="6">
                  <c:v>216</c:v>
                </c:pt>
                <c:pt idx="7">
                  <c:v>238</c:v>
                </c:pt>
                <c:pt idx="8">
                  <c:v>273</c:v>
                </c:pt>
                <c:pt idx="9">
                  <c:v>295</c:v>
                </c:pt>
                <c:pt idx="10">
                  <c:v>317</c:v>
                </c:pt>
                <c:pt idx="11">
                  <c:v>339</c:v>
                </c:pt>
                <c:pt idx="12">
                  <c:v>374</c:v>
                </c:pt>
                <c:pt idx="13">
                  <c:v>396</c:v>
                </c:pt>
                <c:pt idx="14">
                  <c:v>418</c:v>
                </c:pt>
                <c:pt idx="15">
                  <c:v>440</c:v>
                </c:pt>
                <c:pt idx="16">
                  <c:v>462</c:v>
                </c:pt>
                <c:pt idx="17">
                  <c:v>497</c:v>
                </c:pt>
                <c:pt idx="18">
                  <c:v>519</c:v>
                </c:pt>
                <c:pt idx="19">
                  <c:v>541</c:v>
                </c:pt>
                <c:pt idx="20">
                  <c:v>563</c:v>
                </c:pt>
                <c:pt idx="21">
                  <c:v>585</c:v>
                </c:pt>
                <c:pt idx="22">
                  <c:v>633</c:v>
                </c:pt>
                <c:pt idx="23">
                  <c:v>655</c:v>
                </c:pt>
                <c:pt idx="24">
                  <c:v>677</c:v>
                </c:pt>
                <c:pt idx="25">
                  <c:v>699</c:v>
                </c:pt>
                <c:pt idx="26">
                  <c:v>721</c:v>
                </c:pt>
                <c:pt idx="27">
                  <c:v>743</c:v>
                </c:pt>
                <c:pt idx="28">
                  <c:v>791</c:v>
                </c:pt>
                <c:pt idx="29">
                  <c:v>813</c:v>
                </c:pt>
                <c:pt idx="30">
                  <c:v>835</c:v>
                </c:pt>
                <c:pt idx="31">
                  <c:v>857</c:v>
                </c:pt>
                <c:pt idx="32">
                  <c:v>879</c:v>
                </c:pt>
                <c:pt idx="33">
                  <c:v>901</c:v>
                </c:pt>
                <c:pt idx="34">
                  <c:v>949</c:v>
                </c:pt>
                <c:pt idx="35">
                  <c:v>971</c:v>
                </c:pt>
                <c:pt idx="36">
                  <c:v>993</c:v>
                </c:pt>
                <c:pt idx="37">
                  <c:v>1015</c:v>
                </c:pt>
                <c:pt idx="38">
                  <c:v>1037</c:v>
                </c:pt>
                <c:pt idx="39">
                  <c:v>1059</c:v>
                </c:pt>
                <c:pt idx="40">
                  <c:v>1107</c:v>
                </c:pt>
                <c:pt idx="41">
                  <c:v>1129</c:v>
                </c:pt>
                <c:pt idx="42">
                  <c:v>1151</c:v>
                </c:pt>
                <c:pt idx="43">
                  <c:v>1199</c:v>
                </c:pt>
                <c:pt idx="44">
                  <c:v>1221</c:v>
                </c:pt>
                <c:pt idx="45">
                  <c:v>1243</c:v>
                </c:pt>
                <c:pt idx="46">
                  <c:v>1265</c:v>
                </c:pt>
                <c:pt idx="47">
                  <c:v>1287</c:v>
                </c:pt>
                <c:pt idx="48">
                  <c:v>1309</c:v>
                </c:pt>
                <c:pt idx="49">
                  <c:v>1370</c:v>
                </c:pt>
                <c:pt idx="50">
                  <c:v>1392</c:v>
                </c:pt>
                <c:pt idx="51">
                  <c:v>1414</c:v>
                </c:pt>
                <c:pt idx="52">
                  <c:v>1436</c:v>
                </c:pt>
                <c:pt idx="53">
                  <c:v>1458</c:v>
                </c:pt>
                <c:pt idx="54">
                  <c:v>1480</c:v>
                </c:pt>
                <c:pt idx="55">
                  <c:v>1541</c:v>
                </c:pt>
                <c:pt idx="56">
                  <c:v>1563</c:v>
                </c:pt>
                <c:pt idx="57">
                  <c:v>1585</c:v>
                </c:pt>
                <c:pt idx="58">
                  <c:v>1607</c:v>
                </c:pt>
                <c:pt idx="59">
                  <c:v>1629</c:v>
                </c:pt>
                <c:pt idx="60">
                  <c:v>1651</c:v>
                </c:pt>
                <c:pt idx="61">
                  <c:v>1712</c:v>
                </c:pt>
                <c:pt idx="62">
                  <c:v>1734</c:v>
                </c:pt>
                <c:pt idx="63">
                  <c:v>1756</c:v>
                </c:pt>
                <c:pt idx="64">
                  <c:v>1778</c:v>
                </c:pt>
                <c:pt idx="65">
                  <c:v>1800</c:v>
                </c:pt>
                <c:pt idx="66">
                  <c:v>1822</c:v>
                </c:pt>
                <c:pt idx="67">
                  <c:v>1896</c:v>
                </c:pt>
                <c:pt idx="68">
                  <c:v>1918</c:v>
                </c:pt>
                <c:pt idx="69">
                  <c:v>1940</c:v>
                </c:pt>
                <c:pt idx="70">
                  <c:v>1962</c:v>
                </c:pt>
                <c:pt idx="71">
                  <c:v>1984</c:v>
                </c:pt>
                <c:pt idx="72">
                  <c:v>2006</c:v>
                </c:pt>
                <c:pt idx="73">
                  <c:v>2080</c:v>
                </c:pt>
                <c:pt idx="74">
                  <c:v>2102</c:v>
                </c:pt>
                <c:pt idx="75">
                  <c:v>2124</c:v>
                </c:pt>
                <c:pt idx="76">
                  <c:v>2146</c:v>
                </c:pt>
                <c:pt idx="77">
                  <c:v>2168</c:v>
                </c:pt>
                <c:pt idx="78">
                  <c:v>2190</c:v>
                </c:pt>
                <c:pt idx="79">
                  <c:v>2277</c:v>
                </c:pt>
                <c:pt idx="80">
                  <c:v>2299</c:v>
                </c:pt>
                <c:pt idx="81">
                  <c:v>2321</c:v>
                </c:pt>
                <c:pt idx="82">
                  <c:v>2343</c:v>
                </c:pt>
                <c:pt idx="83">
                  <c:v>2365</c:v>
                </c:pt>
                <c:pt idx="84">
                  <c:v>2387</c:v>
                </c:pt>
                <c:pt idx="85">
                  <c:v>2409</c:v>
                </c:pt>
                <c:pt idx="86">
                  <c:v>2431</c:v>
                </c:pt>
                <c:pt idx="87">
                  <c:v>2453</c:v>
                </c:pt>
                <c:pt idx="88">
                  <c:v>2475</c:v>
                </c:pt>
                <c:pt idx="89">
                  <c:v>2497</c:v>
                </c:pt>
                <c:pt idx="90">
                  <c:v>2519</c:v>
                </c:pt>
                <c:pt idx="91">
                  <c:v>2541</c:v>
                </c:pt>
                <c:pt idx="92">
                  <c:v>2563</c:v>
                </c:pt>
                <c:pt idx="93">
                  <c:v>2585</c:v>
                </c:pt>
                <c:pt idx="94">
                  <c:v>2607</c:v>
                </c:pt>
                <c:pt idx="95">
                  <c:v>2629</c:v>
                </c:pt>
                <c:pt idx="96">
                  <c:v>2651</c:v>
                </c:pt>
                <c:pt idx="97">
                  <c:v>2673</c:v>
                </c:pt>
                <c:pt idx="98">
                  <c:v>2695</c:v>
                </c:pt>
                <c:pt idx="99">
                  <c:v>2717</c:v>
                </c:pt>
                <c:pt idx="100">
                  <c:v>2739</c:v>
                </c:pt>
                <c:pt idx="101">
                  <c:v>2761</c:v>
                </c:pt>
                <c:pt idx="102">
                  <c:v>2783</c:v>
                </c:pt>
                <c:pt idx="103">
                  <c:v>2805</c:v>
                </c:pt>
                <c:pt idx="104">
                  <c:v>2827</c:v>
                </c:pt>
                <c:pt idx="105">
                  <c:v>2849</c:v>
                </c:pt>
                <c:pt idx="106">
                  <c:v>2871</c:v>
                </c:pt>
                <c:pt idx="107">
                  <c:v>2893</c:v>
                </c:pt>
                <c:pt idx="108">
                  <c:v>2915</c:v>
                </c:pt>
                <c:pt idx="109">
                  <c:v>2937</c:v>
                </c:pt>
                <c:pt idx="110">
                  <c:v>2959</c:v>
                </c:pt>
                <c:pt idx="111">
                  <c:v>2981</c:v>
                </c:pt>
                <c:pt idx="112">
                  <c:v>3003</c:v>
                </c:pt>
                <c:pt idx="113">
                  <c:v>3025</c:v>
                </c:pt>
                <c:pt idx="114">
                  <c:v>3047</c:v>
                </c:pt>
                <c:pt idx="115">
                  <c:v>3069</c:v>
                </c:pt>
                <c:pt idx="116">
                  <c:v>3091</c:v>
                </c:pt>
                <c:pt idx="117">
                  <c:v>3113</c:v>
                </c:pt>
                <c:pt idx="118">
                  <c:v>3135</c:v>
                </c:pt>
                <c:pt idx="119">
                  <c:v>3157</c:v>
                </c:pt>
                <c:pt idx="120">
                  <c:v>3179</c:v>
                </c:pt>
                <c:pt idx="121">
                  <c:v>3201</c:v>
                </c:pt>
                <c:pt idx="122">
                  <c:v>3223</c:v>
                </c:pt>
                <c:pt idx="123">
                  <c:v>3245</c:v>
                </c:pt>
                <c:pt idx="124">
                  <c:v>3267</c:v>
                </c:pt>
                <c:pt idx="125">
                  <c:v>3289</c:v>
                </c:pt>
                <c:pt idx="126">
                  <c:v>3311</c:v>
                </c:pt>
                <c:pt idx="127">
                  <c:v>3333</c:v>
                </c:pt>
                <c:pt idx="128">
                  <c:v>3355</c:v>
                </c:pt>
                <c:pt idx="129">
                  <c:v>3377</c:v>
                </c:pt>
                <c:pt idx="130">
                  <c:v>3399</c:v>
                </c:pt>
                <c:pt idx="131">
                  <c:v>3421</c:v>
                </c:pt>
                <c:pt idx="132">
                  <c:v>3443</c:v>
                </c:pt>
                <c:pt idx="133">
                  <c:v>3465</c:v>
                </c:pt>
                <c:pt idx="134">
                  <c:v>3487</c:v>
                </c:pt>
                <c:pt idx="135">
                  <c:v>3509</c:v>
                </c:pt>
                <c:pt idx="136">
                  <c:v>3531</c:v>
                </c:pt>
                <c:pt idx="137">
                  <c:v>3553</c:v>
                </c:pt>
                <c:pt idx="138">
                  <c:v>3575</c:v>
                </c:pt>
                <c:pt idx="139">
                  <c:v>3597</c:v>
                </c:pt>
                <c:pt idx="140">
                  <c:v>3619</c:v>
                </c:pt>
                <c:pt idx="141">
                  <c:v>3641</c:v>
                </c:pt>
                <c:pt idx="142">
                  <c:v>3663</c:v>
                </c:pt>
                <c:pt idx="143">
                  <c:v>3685</c:v>
                </c:pt>
                <c:pt idx="144">
                  <c:v>3707</c:v>
                </c:pt>
                <c:pt idx="145">
                  <c:v>3729</c:v>
                </c:pt>
                <c:pt idx="146">
                  <c:v>3751</c:v>
                </c:pt>
                <c:pt idx="147">
                  <c:v>3773</c:v>
                </c:pt>
                <c:pt idx="148">
                  <c:v>3795</c:v>
                </c:pt>
                <c:pt idx="149">
                  <c:v>3817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Ranges!$X$6</c:f>
              <c:strCache>
                <c:ptCount val="1"/>
                <c:pt idx="0">
                  <c:v>Geonan Hunter</c:v>
                </c:pt>
              </c:strCache>
            </c:strRef>
          </c:tx>
          <c:marker>
            <c:symbol val="none"/>
          </c:marker>
          <c:xVal>
            <c:numRef>
              <c:f>Ranges!$A$7:$A$156</c:f>
              <c:numCache>
                <c:formatCode>General</c:formatCode>
                <c:ptCount val="1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</c:numCache>
            </c:numRef>
          </c:xVal>
          <c:yVal>
            <c:numRef>
              <c:f>Ranges!$X$7:$X$156</c:f>
              <c:numCache>
                <c:formatCode>0</c:formatCode>
                <c:ptCount val="150"/>
                <c:pt idx="0">
                  <c:v>51.333333333333336</c:v>
                </c:pt>
                <c:pt idx="1">
                  <c:v>66.666666666666671</c:v>
                </c:pt>
                <c:pt idx="2">
                  <c:v>95</c:v>
                </c:pt>
                <c:pt idx="3">
                  <c:v>110.33333333333333</c:v>
                </c:pt>
                <c:pt idx="4">
                  <c:v>138.66666666666666</c:v>
                </c:pt>
                <c:pt idx="5">
                  <c:v>154</c:v>
                </c:pt>
                <c:pt idx="6">
                  <c:v>169.33333333333334</c:v>
                </c:pt>
                <c:pt idx="7">
                  <c:v>184.66666666666666</c:v>
                </c:pt>
                <c:pt idx="8">
                  <c:v>213</c:v>
                </c:pt>
                <c:pt idx="9">
                  <c:v>228.33333333333334</c:v>
                </c:pt>
                <c:pt idx="10">
                  <c:v>243.66666666666666</c:v>
                </c:pt>
                <c:pt idx="11">
                  <c:v>259</c:v>
                </c:pt>
                <c:pt idx="12">
                  <c:v>287.33333333333331</c:v>
                </c:pt>
                <c:pt idx="13">
                  <c:v>302.66666666666669</c:v>
                </c:pt>
                <c:pt idx="14">
                  <c:v>318</c:v>
                </c:pt>
                <c:pt idx="15">
                  <c:v>333.33333333333331</c:v>
                </c:pt>
                <c:pt idx="16">
                  <c:v>348.66666666666669</c:v>
                </c:pt>
                <c:pt idx="17">
                  <c:v>377</c:v>
                </c:pt>
                <c:pt idx="18">
                  <c:v>392.33333333333331</c:v>
                </c:pt>
                <c:pt idx="19">
                  <c:v>407.66666666666669</c:v>
                </c:pt>
                <c:pt idx="20">
                  <c:v>423</c:v>
                </c:pt>
                <c:pt idx="21">
                  <c:v>438.33333333333331</c:v>
                </c:pt>
                <c:pt idx="22">
                  <c:v>479.66666666666669</c:v>
                </c:pt>
                <c:pt idx="23">
                  <c:v>495</c:v>
                </c:pt>
                <c:pt idx="24">
                  <c:v>510.33333333333331</c:v>
                </c:pt>
                <c:pt idx="25">
                  <c:v>525.66666666666663</c:v>
                </c:pt>
                <c:pt idx="26">
                  <c:v>541</c:v>
                </c:pt>
                <c:pt idx="27">
                  <c:v>556.33333333333337</c:v>
                </c:pt>
                <c:pt idx="28">
                  <c:v>597.66666666666663</c:v>
                </c:pt>
                <c:pt idx="29">
                  <c:v>613</c:v>
                </c:pt>
                <c:pt idx="30">
                  <c:v>628.33333333333337</c:v>
                </c:pt>
                <c:pt idx="31">
                  <c:v>643.66666666666663</c:v>
                </c:pt>
                <c:pt idx="32">
                  <c:v>659</c:v>
                </c:pt>
                <c:pt idx="33">
                  <c:v>674.33333333333337</c:v>
                </c:pt>
                <c:pt idx="34">
                  <c:v>715.66666666666663</c:v>
                </c:pt>
                <c:pt idx="35">
                  <c:v>731</c:v>
                </c:pt>
                <c:pt idx="36">
                  <c:v>746.33333333333337</c:v>
                </c:pt>
                <c:pt idx="37">
                  <c:v>761.66666666666663</c:v>
                </c:pt>
                <c:pt idx="38">
                  <c:v>777</c:v>
                </c:pt>
                <c:pt idx="39">
                  <c:v>792.33333333333337</c:v>
                </c:pt>
                <c:pt idx="40">
                  <c:v>833.66666666666663</c:v>
                </c:pt>
                <c:pt idx="41">
                  <c:v>849</c:v>
                </c:pt>
                <c:pt idx="42">
                  <c:v>864.33333333333337</c:v>
                </c:pt>
                <c:pt idx="43">
                  <c:v>905.66666666666663</c:v>
                </c:pt>
                <c:pt idx="44">
                  <c:v>921</c:v>
                </c:pt>
                <c:pt idx="45">
                  <c:v>936.33333333333337</c:v>
                </c:pt>
                <c:pt idx="46">
                  <c:v>951.66666666666663</c:v>
                </c:pt>
                <c:pt idx="47">
                  <c:v>967</c:v>
                </c:pt>
                <c:pt idx="48">
                  <c:v>982.33333333333337</c:v>
                </c:pt>
                <c:pt idx="49">
                  <c:v>1036.6666666666667</c:v>
                </c:pt>
                <c:pt idx="50">
                  <c:v>1052</c:v>
                </c:pt>
                <c:pt idx="51">
                  <c:v>1067.3333333333333</c:v>
                </c:pt>
                <c:pt idx="52">
                  <c:v>1082.6666666666667</c:v>
                </c:pt>
                <c:pt idx="53">
                  <c:v>1098</c:v>
                </c:pt>
                <c:pt idx="54">
                  <c:v>1113.3333333333333</c:v>
                </c:pt>
                <c:pt idx="55">
                  <c:v>1167.6666666666667</c:v>
                </c:pt>
                <c:pt idx="56">
                  <c:v>1183</c:v>
                </c:pt>
                <c:pt idx="57">
                  <c:v>1198.3333333333333</c:v>
                </c:pt>
                <c:pt idx="58">
                  <c:v>1213.6666666666667</c:v>
                </c:pt>
                <c:pt idx="59">
                  <c:v>1229</c:v>
                </c:pt>
                <c:pt idx="60">
                  <c:v>1244.3333333333333</c:v>
                </c:pt>
                <c:pt idx="61">
                  <c:v>1298.6666666666667</c:v>
                </c:pt>
                <c:pt idx="62">
                  <c:v>1314</c:v>
                </c:pt>
                <c:pt idx="63">
                  <c:v>1329.3333333333333</c:v>
                </c:pt>
                <c:pt idx="64">
                  <c:v>1344.6666666666667</c:v>
                </c:pt>
                <c:pt idx="65">
                  <c:v>1360</c:v>
                </c:pt>
                <c:pt idx="66">
                  <c:v>1375.3333333333333</c:v>
                </c:pt>
                <c:pt idx="67">
                  <c:v>1442.6666666666667</c:v>
                </c:pt>
                <c:pt idx="68">
                  <c:v>1458</c:v>
                </c:pt>
                <c:pt idx="69">
                  <c:v>1473.3333333333333</c:v>
                </c:pt>
                <c:pt idx="70">
                  <c:v>1488.6666666666667</c:v>
                </c:pt>
                <c:pt idx="71">
                  <c:v>1504</c:v>
                </c:pt>
                <c:pt idx="72">
                  <c:v>1519.3333333333333</c:v>
                </c:pt>
                <c:pt idx="73">
                  <c:v>1586.6666666666667</c:v>
                </c:pt>
                <c:pt idx="74">
                  <c:v>1602</c:v>
                </c:pt>
                <c:pt idx="75">
                  <c:v>1617.3333333333333</c:v>
                </c:pt>
                <c:pt idx="76">
                  <c:v>1632.6666666666667</c:v>
                </c:pt>
                <c:pt idx="77">
                  <c:v>1648</c:v>
                </c:pt>
                <c:pt idx="78">
                  <c:v>1663.3333333333333</c:v>
                </c:pt>
                <c:pt idx="79">
                  <c:v>1743.6666666666667</c:v>
                </c:pt>
                <c:pt idx="80">
                  <c:v>1759</c:v>
                </c:pt>
                <c:pt idx="81">
                  <c:v>1774.3333333333333</c:v>
                </c:pt>
                <c:pt idx="82">
                  <c:v>1789.6666666666667</c:v>
                </c:pt>
                <c:pt idx="83">
                  <c:v>1805</c:v>
                </c:pt>
                <c:pt idx="84">
                  <c:v>1820.3333333333333</c:v>
                </c:pt>
                <c:pt idx="85">
                  <c:v>1835.6666666666667</c:v>
                </c:pt>
                <c:pt idx="86">
                  <c:v>1851</c:v>
                </c:pt>
                <c:pt idx="87">
                  <c:v>1866.3333333333333</c:v>
                </c:pt>
                <c:pt idx="88">
                  <c:v>1881.6666666666667</c:v>
                </c:pt>
                <c:pt idx="89">
                  <c:v>1897</c:v>
                </c:pt>
                <c:pt idx="90">
                  <c:v>1912.3333333333333</c:v>
                </c:pt>
                <c:pt idx="91">
                  <c:v>1927.6666666666667</c:v>
                </c:pt>
                <c:pt idx="92">
                  <c:v>1943</c:v>
                </c:pt>
                <c:pt idx="93">
                  <c:v>1958.3333333333333</c:v>
                </c:pt>
                <c:pt idx="94">
                  <c:v>1973.6666666666667</c:v>
                </c:pt>
                <c:pt idx="95">
                  <c:v>1989</c:v>
                </c:pt>
                <c:pt idx="96">
                  <c:v>2004.3333333333333</c:v>
                </c:pt>
                <c:pt idx="97">
                  <c:v>2019.6666666666667</c:v>
                </c:pt>
                <c:pt idx="98">
                  <c:v>2035</c:v>
                </c:pt>
                <c:pt idx="99">
                  <c:v>2050.3333333333335</c:v>
                </c:pt>
                <c:pt idx="100">
                  <c:v>2065.6666666666665</c:v>
                </c:pt>
                <c:pt idx="101">
                  <c:v>2081</c:v>
                </c:pt>
                <c:pt idx="102">
                  <c:v>2096.3333333333335</c:v>
                </c:pt>
                <c:pt idx="103">
                  <c:v>2111.6666666666665</c:v>
                </c:pt>
                <c:pt idx="104">
                  <c:v>2127</c:v>
                </c:pt>
                <c:pt idx="105">
                  <c:v>2142.3333333333335</c:v>
                </c:pt>
                <c:pt idx="106">
                  <c:v>2157.6666666666665</c:v>
                </c:pt>
                <c:pt idx="107">
                  <c:v>2173</c:v>
                </c:pt>
                <c:pt idx="108">
                  <c:v>2188.3333333333335</c:v>
                </c:pt>
                <c:pt idx="109">
                  <c:v>2203.6666666666665</c:v>
                </c:pt>
                <c:pt idx="110">
                  <c:v>2219</c:v>
                </c:pt>
                <c:pt idx="111">
                  <c:v>2234.3333333333335</c:v>
                </c:pt>
                <c:pt idx="112">
                  <c:v>2249.6666666666665</c:v>
                </c:pt>
                <c:pt idx="113">
                  <c:v>2265</c:v>
                </c:pt>
                <c:pt idx="114">
                  <c:v>2280.3333333333335</c:v>
                </c:pt>
                <c:pt idx="115">
                  <c:v>2295.6666666666665</c:v>
                </c:pt>
                <c:pt idx="116">
                  <c:v>2311</c:v>
                </c:pt>
                <c:pt idx="117">
                  <c:v>2326.3333333333335</c:v>
                </c:pt>
                <c:pt idx="118">
                  <c:v>2341.6666666666665</c:v>
                </c:pt>
                <c:pt idx="119">
                  <c:v>2357</c:v>
                </c:pt>
                <c:pt idx="120">
                  <c:v>2372.3333333333335</c:v>
                </c:pt>
                <c:pt idx="121">
                  <c:v>2387.6666666666665</c:v>
                </c:pt>
                <c:pt idx="122">
                  <c:v>2403</c:v>
                </c:pt>
                <c:pt idx="123">
                  <c:v>2418.3333333333335</c:v>
                </c:pt>
                <c:pt idx="124">
                  <c:v>2433.6666666666665</c:v>
                </c:pt>
                <c:pt idx="125">
                  <c:v>2449</c:v>
                </c:pt>
                <c:pt idx="126">
                  <c:v>2464.3333333333335</c:v>
                </c:pt>
                <c:pt idx="127">
                  <c:v>2479.6666666666665</c:v>
                </c:pt>
                <c:pt idx="128">
                  <c:v>2495</c:v>
                </c:pt>
                <c:pt idx="129">
                  <c:v>2510.3333333333335</c:v>
                </c:pt>
                <c:pt idx="130">
                  <c:v>2525.6666666666665</c:v>
                </c:pt>
                <c:pt idx="131">
                  <c:v>2541</c:v>
                </c:pt>
                <c:pt idx="132">
                  <c:v>2556.3333333333335</c:v>
                </c:pt>
                <c:pt idx="133">
                  <c:v>2571.6666666666665</c:v>
                </c:pt>
                <c:pt idx="134">
                  <c:v>2587</c:v>
                </c:pt>
                <c:pt idx="135">
                  <c:v>2602.3333333333335</c:v>
                </c:pt>
                <c:pt idx="136">
                  <c:v>2617.6666666666665</c:v>
                </c:pt>
                <c:pt idx="137">
                  <c:v>2633</c:v>
                </c:pt>
                <c:pt idx="138">
                  <c:v>2648.3333333333335</c:v>
                </c:pt>
                <c:pt idx="139">
                  <c:v>2663.6666666666665</c:v>
                </c:pt>
                <c:pt idx="140">
                  <c:v>2679</c:v>
                </c:pt>
                <c:pt idx="141">
                  <c:v>2694.3333333333335</c:v>
                </c:pt>
                <c:pt idx="142">
                  <c:v>2709.6666666666665</c:v>
                </c:pt>
                <c:pt idx="143">
                  <c:v>2725</c:v>
                </c:pt>
                <c:pt idx="144">
                  <c:v>2740.3333333333335</c:v>
                </c:pt>
                <c:pt idx="145">
                  <c:v>2755.6666666666665</c:v>
                </c:pt>
                <c:pt idx="146">
                  <c:v>2771</c:v>
                </c:pt>
                <c:pt idx="147">
                  <c:v>2786.3333333333335</c:v>
                </c:pt>
                <c:pt idx="148">
                  <c:v>2801.6666666666665</c:v>
                </c:pt>
                <c:pt idx="149">
                  <c:v>2817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Ranges!$Y$6</c:f>
              <c:strCache>
                <c:ptCount val="1"/>
                <c:pt idx="0">
                  <c:v>Geonan Paladin</c:v>
                </c:pt>
              </c:strCache>
            </c:strRef>
          </c:tx>
          <c:marker>
            <c:symbol val="none"/>
          </c:marker>
          <c:xVal>
            <c:numRef>
              <c:f>Ranges!$A$7:$A$156</c:f>
              <c:numCache>
                <c:formatCode>General</c:formatCode>
                <c:ptCount val="1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</c:numCache>
            </c:numRef>
          </c:xVal>
          <c:yVal>
            <c:numRef>
              <c:f>Ranges!$Y$7:$Y$156</c:f>
              <c:numCache>
                <c:formatCode>0</c:formatCode>
                <c:ptCount val="150"/>
                <c:pt idx="0">
                  <c:v>52.666666666666664</c:v>
                </c:pt>
                <c:pt idx="1">
                  <c:v>69.333333333333329</c:v>
                </c:pt>
                <c:pt idx="2">
                  <c:v>99</c:v>
                </c:pt>
                <c:pt idx="3">
                  <c:v>115.66666666666667</c:v>
                </c:pt>
                <c:pt idx="4">
                  <c:v>145.33333333333334</c:v>
                </c:pt>
                <c:pt idx="5">
                  <c:v>162</c:v>
                </c:pt>
                <c:pt idx="6">
                  <c:v>178.66666666666666</c:v>
                </c:pt>
                <c:pt idx="7">
                  <c:v>195.33333333333334</c:v>
                </c:pt>
                <c:pt idx="8">
                  <c:v>225</c:v>
                </c:pt>
                <c:pt idx="9">
                  <c:v>241.66666666666666</c:v>
                </c:pt>
                <c:pt idx="10">
                  <c:v>258.33333333333331</c:v>
                </c:pt>
                <c:pt idx="11">
                  <c:v>275</c:v>
                </c:pt>
                <c:pt idx="12">
                  <c:v>304.66666666666669</c:v>
                </c:pt>
                <c:pt idx="13">
                  <c:v>321.33333333333331</c:v>
                </c:pt>
                <c:pt idx="14">
                  <c:v>338</c:v>
                </c:pt>
                <c:pt idx="15">
                  <c:v>354.66666666666669</c:v>
                </c:pt>
                <c:pt idx="16">
                  <c:v>371.33333333333331</c:v>
                </c:pt>
                <c:pt idx="17">
                  <c:v>401</c:v>
                </c:pt>
                <c:pt idx="18">
                  <c:v>417.66666666666669</c:v>
                </c:pt>
                <c:pt idx="19">
                  <c:v>434.33333333333331</c:v>
                </c:pt>
                <c:pt idx="20">
                  <c:v>451</c:v>
                </c:pt>
                <c:pt idx="21">
                  <c:v>467.66666666666669</c:v>
                </c:pt>
                <c:pt idx="22">
                  <c:v>510.33333333333331</c:v>
                </c:pt>
                <c:pt idx="23">
                  <c:v>527</c:v>
                </c:pt>
                <c:pt idx="24">
                  <c:v>543.66666666666663</c:v>
                </c:pt>
                <c:pt idx="25">
                  <c:v>560.33333333333337</c:v>
                </c:pt>
                <c:pt idx="26">
                  <c:v>577</c:v>
                </c:pt>
                <c:pt idx="27">
                  <c:v>593.66666666666663</c:v>
                </c:pt>
                <c:pt idx="28">
                  <c:v>636.33333333333337</c:v>
                </c:pt>
                <c:pt idx="29">
                  <c:v>653</c:v>
                </c:pt>
                <c:pt idx="30">
                  <c:v>669.66666666666663</c:v>
                </c:pt>
                <c:pt idx="31">
                  <c:v>686.33333333333337</c:v>
                </c:pt>
                <c:pt idx="32">
                  <c:v>703</c:v>
                </c:pt>
                <c:pt idx="33">
                  <c:v>719.66666666666663</c:v>
                </c:pt>
                <c:pt idx="34">
                  <c:v>762.33333333333337</c:v>
                </c:pt>
                <c:pt idx="35">
                  <c:v>779</c:v>
                </c:pt>
                <c:pt idx="36">
                  <c:v>795.66666666666663</c:v>
                </c:pt>
                <c:pt idx="37">
                  <c:v>812.33333333333337</c:v>
                </c:pt>
                <c:pt idx="38">
                  <c:v>829</c:v>
                </c:pt>
                <c:pt idx="39">
                  <c:v>845.66666666666663</c:v>
                </c:pt>
                <c:pt idx="40">
                  <c:v>888.33333333333337</c:v>
                </c:pt>
                <c:pt idx="41">
                  <c:v>905</c:v>
                </c:pt>
                <c:pt idx="42">
                  <c:v>921.66666666666663</c:v>
                </c:pt>
                <c:pt idx="43">
                  <c:v>964.33333333333337</c:v>
                </c:pt>
                <c:pt idx="44">
                  <c:v>981</c:v>
                </c:pt>
                <c:pt idx="45">
                  <c:v>997.66666666666663</c:v>
                </c:pt>
                <c:pt idx="46">
                  <c:v>1014.3333333333334</c:v>
                </c:pt>
                <c:pt idx="47">
                  <c:v>1031</c:v>
                </c:pt>
                <c:pt idx="48">
                  <c:v>1047.6666666666667</c:v>
                </c:pt>
                <c:pt idx="49">
                  <c:v>1103.3333333333333</c:v>
                </c:pt>
                <c:pt idx="50">
                  <c:v>1120</c:v>
                </c:pt>
                <c:pt idx="51">
                  <c:v>1136.6666666666667</c:v>
                </c:pt>
                <c:pt idx="52">
                  <c:v>1153.3333333333333</c:v>
                </c:pt>
                <c:pt idx="53">
                  <c:v>1170</c:v>
                </c:pt>
                <c:pt idx="54">
                  <c:v>1186.6666666666667</c:v>
                </c:pt>
                <c:pt idx="55">
                  <c:v>1242.3333333333333</c:v>
                </c:pt>
                <c:pt idx="56">
                  <c:v>1259</c:v>
                </c:pt>
                <c:pt idx="57">
                  <c:v>1275.6666666666667</c:v>
                </c:pt>
                <c:pt idx="58">
                  <c:v>1292.3333333333333</c:v>
                </c:pt>
                <c:pt idx="59">
                  <c:v>1309</c:v>
                </c:pt>
                <c:pt idx="60">
                  <c:v>1325.6666666666667</c:v>
                </c:pt>
                <c:pt idx="61">
                  <c:v>1381.3333333333333</c:v>
                </c:pt>
                <c:pt idx="62">
                  <c:v>1398</c:v>
                </c:pt>
                <c:pt idx="63">
                  <c:v>1414.6666666666667</c:v>
                </c:pt>
                <c:pt idx="64">
                  <c:v>1431.3333333333333</c:v>
                </c:pt>
                <c:pt idx="65">
                  <c:v>1448</c:v>
                </c:pt>
                <c:pt idx="66">
                  <c:v>1464.6666666666667</c:v>
                </c:pt>
                <c:pt idx="67">
                  <c:v>1533.3333333333333</c:v>
                </c:pt>
                <c:pt idx="68">
                  <c:v>1550</c:v>
                </c:pt>
                <c:pt idx="69">
                  <c:v>1566.6666666666667</c:v>
                </c:pt>
                <c:pt idx="70">
                  <c:v>1583.3333333333333</c:v>
                </c:pt>
                <c:pt idx="71">
                  <c:v>1600</c:v>
                </c:pt>
                <c:pt idx="72">
                  <c:v>1616.6666666666667</c:v>
                </c:pt>
                <c:pt idx="73">
                  <c:v>1685.3333333333333</c:v>
                </c:pt>
                <c:pt idx="74">
                  <c:v>1702</c:v>
                </c:pt>
                <c:pt idx="75">
                  <c:v>1718.6666666666667</c:v>
                </c:pt>
                <c:pt idx="76">
                  <c:v>1735.3333333333333</c:v>
                </c:pt>
                <c:pt idx="77">
                  <c:v>1752</c:v>
                </c:pt>
                <c:pt idx="78">
                  <c:v>1768.6666666666667</c:v>
                </c:pt>
                <c:pt idx="79">
                  <c:v>1850.3333333333333</c:v>
                </c:pt>
                <c:pt idx="80">
                  <c:v>1867</c:v>
                </c:pt>
                <c:pt idx="81">
                  <c:v>1883.6666666666667</c:v>
                </c:pt>
                <c:pt idx="82">
                  <c:v>1900.3333333333333</c:v>
                </c:pt>
                <c:pt idx="83">
                  <c:v>1917</c:v>
                </c:pt>
                <c:pt idx="84">
                  <c:v>1933.6666666666667</c:v>
                </c:pt>
                <c:pt idx="85">
                  <c:v>1950.3333333333333</c:v>
                </c:pt>
                <c:pt idx="86">
                  <c:v>1967</c:v>
                </c:pt>
                <c:pt idx="87">
                  <c:v>1983.6666666666667</c:v>
                </c:pt>
                <c:pt idx="88">
                  <c:v>2000.3333333333333</c:v>
                </c:pt>
                <c:pt idx="89">
                  <c:v>2017</c:v>
                </c:pt>
                <c:pt idx="90">
                  <c:v>2033.6666666666667</c:v>
                </c:pt>
                <c:pt idx="91">
                  <c:v>2050.3333333333335</c:v>
                </c:pt>
                <c:pt idx="92">
                  <c:v>2067</c:v>
                </c:pt>
                <c:pt idx="93">
                  <c:v>2083.6666666666665</c:v>
                </c:pt>
                <c:pt idx="94">
                  <c:v>2100.3333333333335</c:v>
                </c:pt>
                <c:pt idx="95">
                  <c:v>2117</c:v>
                </c:pt>
                <c:pt idx="96">
                  <c:v>2133.6666666666665</c:v>
                </c:pt>
                <c:pt idx="97">
                  <c:v>2150.3333333333335</c:v>
                </c:pt>
                <c:pt idx="98">
                  <c:v>2167</c:v>
                </c:pt>
                <c:pt idx="99">
                  <c:v>2183.6666666666665</c:v>
                </c:pt>
                <c:pt idx="100">
                  <c:v>2200.3333333333335</c:v>
                </c:pt>
                <c:pt idx="101">
                  <c:v>2217</c:v>
                </c:pt>
                <c:pt idx="102">
                  <c:v>2233.6666666666665</c:v>
                </c:pt>
                <c:pt idx="103">
                  <c:v>2250.3333333333335</c:v>
                </c:pt>
                <c:pt idx="104">
                  <c:v>2267</c:v>
                </c:pt>
                <c:pt idx="105">
                  <c:v>2283.6666666666665</c:v>
                </c:pt>
                <c:pt idx="106">
                  <c:v>2300.3333333333335</c:v>
                </c:pt>
                <c:pt idx="107">
                  <c:v>2317</c:v>
                </c:pt>
                <c:pt idx="108">
                  <c:v>2333.6666666666665</c:v>
                </c:pt>
                <c:pt idx="109">
                  <c:v>2350.3333333333335</c:v>
                </c:pt>
                <c:pt idx="110">
                  <c:v>2367</c:v>
                </c:pt>
                <c:pt idx="111">
                  <c:v>2383.6666666666665</c:v>
                </c:pt>
                <c:pt idx="112">
                  <c:v>2400.3333333333335</c:v>
                </c:pt>
                <c:pt idx="113">
                  <c:v>2417</c:v>
                </c:pt>
                <c:pt idx="114">
                  <c:v>2433.6666666666665</c:v>
                </c:pt>
                <c:pt idx="115">
                  <c:v>2450.3333333333335</c:v>
                </c:pt>
                <c:pt idx="116">
                  <c:v>2467</c:v>
                </c:pt>
                <c:pt idx="117">
                  <c:v>2483.6666666666665</c:v>
                </c:pt>
                <c:pt idx="118">
                  <c:v>2500.3333333333335</c:v>
                </c:pt>
                <c:pt idx="119">
                  <c:v>2517</c:v>
                </c:pt>
                <c:pt idx="120">
                  <c:v>2533.6666666666665</c:v>
                </c:pt>
                <c:pt idx="121">
                  <c:v>2550.3333333333335</c:v>
                </c:pt>
                <c:pt idx="122">
                  <c:v>2567</c:v>
                </c:pt>
                <c:pt idx="123">
                  <c:v>2583.6666666666665</c:v>
                </c:pt>
                <c:pt idx="124">
                  <c:v>2600.3333333333335</c:v>
                </c:pt>
                <c:pt idx="125">
                  <c:v>2617</c:v>
                </c:pt>
                <c:pt idx="126">
                  <c:v>2633.6666666666665</c:v>
                </c:pt>
                <c:pt idx="127">
                  <c:v>2650.3333333333335</c:v>
                </c:pt>
                <c:pt idx="128">
                  <c:v>2667</c:v>
                </c:pt>
                <c:pt idx="129">
                  <c:v>2683.6666666666665</c:v>
                </c:pt>
                <c:pt idx="130">
                  <c:v>2700.3333333333335</c:v>
                </c:pt>
                <c:pt idx="131">
                  <c:v>2717</c:v>
                </c:pt>
                <c:pt idx="132">
                  <c:v>2733.6666666666665</c:v>
                </c:pt>
                <c:pt idx="133">
                  <c:v>2750.3333333333335</c:v>
                </c:pt>
                <c:pt idx="134">
                  <c:v>2767</c:v>
                </c:pt>
                <c:pt idx="135">
                  <c:v>2783.6666666666665</c:v>
                </c:pt>
                <c:pt idx="136">
                  <c:v>2800.3333333333335</c:v>
                </c:pt>
                <c:pt idx="137">
                  <c:v>2817</c:v>
                </c:pt>
                <c:pt idx="138">
                  <c:v>2833.6666666666665</c:v>
                </c:pt>
                <c:pt idx="139">
                  <c:v>2850.3333333333335</c:v>
                </c:pt>
                <c:pt idx="140">
                  <c:v>2867</c:v>
                </c:pt>
                <c:pt idx="141">
                  <c:v>2883.6666666666665</c:v>
                </c:pt>
                <c:pt idx="142">
                  <c:v>2900.3333333333335</c:v>
                </c:pt>
                <c:pt idx="143">
                  <c:v>2917</c:v>
                </c:pt>
                <c:pt idx="144">
                  <c:v>2933.6666666666665</c:v>
                </c:pt>
                <c:pt idx="145">
                  <c:v>2950.3333333333335</c:v>
                </c:pt>
                <c:pt idx="146">
                  <c:v>2967</c:v>
                </c:pt>
                <c:pt idx="147">
                  <c:v>2983.6666666666665</c:v>
                </c:pt>
                <c:pt idx="148">
                  <c:v>3000.3333333333335</c:v>
                </c:pt>
                <c:pt idx="149">
                  <c:v>3017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Ranges!$Z$6</c:f>
              <c:strCache>
                <c:ptCount val="1"/>
                <c:pt idx="0">
                  <c:v>Geonan Warrior</c:v>
                </c:pt>
              </c:strCache>
            </c:strRef>
          </c:tx>
          <c:marker>
            <c:symbol val="none"/>
          </c:marker>
          <c:xVal>
            <c:numRef>
              <c:f>Ranges!$A$7:$A$156</c:f>
              <c:numCache>
                <c:formatCode>General</c:formatCode>
                <c:ptCount val="1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</c:numCache>
            </c:numRef>
          </c:xVal>
          <c:yVal>
            <c:numRef>
              <c:f>Ranges!$Z$7:$Z$156</c:f>
              <c:numCache>
                <c:formatCode>0</c:formatCode>
                <c:ptCount val="150"/>
                <c:pt idx="0">
                  <c:v>50.666666666666664</c:v>
                </c:pt>
                <c:pt idx="1">
                  <c:v>65.333333333333329</c:v>
                </c:pt>
                <c:pt idx="2">
                  <c:v>93</c:v>
                </c:pt>
                <c:pt idx="3">
                  <c:v>107.66666666666667</c:v>
                </c:pt>
                <c:pt idx="4">
                  <c:v>135.33333333333334</c:v>
                </c:pt>
                <c:pt idx="5">
                  <c:v>150</c:v>
                </c:pt>
                <c:pt idx="6">
                  <c:v>164.66666666666666</c:v>
                </c:pt>
                <c:pt idx="7">
                  <c:v>179.33333333333334</c:v>
                </c:pt>
                <c:pt idx="8">
                  <c:v>207</c:v>
                </c:pt>
                <c:pt idx="9">
                  <c:v>221.66666666666666</c:v>
                </c:pt>
                <c:pt idx="10">
                  <c:v>236.33333333333334</c:v>
                </c:pt>
                <c:pt idx="11">
                  <c:v>251</c:v>
                </c:pt>
                <c:pt idx="12">
                  <c:v>278.66666666666669</c:v>
                </c:pt>
                <c:pt idx="13">
                  <c:v>293.33333333333331</c:v>
                </c:pt>
                <c:pt idx="14">
                  <c:v>308</c:v>
                </c:pt>
                <c:pt idx="15">
                  <c:v>322.66666666666669</c:v>
                </c:pt>
                <c:pt idx="16">
                  <c:v>337.33333333333331</c:v>
                </c:pt>
                <c:pt idx="17">
                  <c:v>365</c:v>
                </c:pt>
                <c:pt idx="18">
                  <c:v>379.66666666666669</c:v>
                </c:pt>
                <c:pt idx="19">
                  <c:v>394.33333333333331</c:v>
                </c:pt>
                <c:pt idx="20">
                  <c:v>409</c:v>
                </c:pt>
                <c:pt idx="21">
                  <c:v>423.66666666666669</c:v>
                </c:pt>
                <c:pt idx="22">
                  <c:v>464.33333333333331</c:v>
                </c:pt>
                <c:pt idx="23">
                  <c:v>479</c:v>
                </c:pt>
                <c:pt idx="24">
                  <c:v>493.66666666666669</c:v>
                </c:pt>
                <c:pt idx="25">
                  <c:v>508.33333333333331</c:v>
                </c:pt>
                <c:pt idx="26">
                  <c:v>523</c:v>
                </c:pt>
                <c:pt idx="27">
                  <c:v>537.66666666666663</c:v>
                </c:pt>
                <c:pt idx="28">
                  <c:v>578.33333333333337</c:v>
                </c:pt>
                <c:pt idx="29">
                  <c:v>593</c:v>
                </c:pt>
                <c:pt idx="30">
                  <c:v>607.66666666666663</c:v>
                </c:pt>
                <c:pt idx="31">
                  <c:v>622.33333333333337</c:v>
                </c:pt>
                <c:pt idx="32">
                  <c:v>637</c:v>
                </c:pt>
                <c:pt idx="33">
                  <c:v>651.66666666666663</c:v>
                </c:pt>
                <c:pt idx="34">
                  <c:v>692.33333333333337</c:v>
                </c:pt>
                <c:pt idx="35">
                  <c:v>707</c:v>
                </c:pt>
                <c:pt idx="36">
                  <c:v>721.66666666666663</c:v>
                </c:pt>
                <c:pt idx="37">
                  <c:v>736.33333333333337</c:v>
                </c:pt>
                <c:pt idx="38">
                  <c:v>751</c:v>
                </c:pt>
                <c:pt idx="39">
                  <c:v>765.66666666666663</c:v>
                </c:pt>
                <c:pt idx="40">
                  <c:v>806.33333333333337</c:v>
                </c:pt>
                <c:pt idx="41">
                  <c:v>821</c:v>
                </c:pt>
                <c:pt idx="42">
                  <c:v>835.66666666666663</c:v>
                </c:pt>
                <c:pt idx="43">
                  <c:v>876.33333333333337</c:v>
                </c:pt>
                <c:pt idx="44">
                  <c:v>891</c:v>
                </c:pt>
                <c:pt idx="45">
                  <c:v>905.66666666666663</c:v>
                </c:pt>
                <c:pt idx="46">
                  <c:v>920.33333333333337</c:v>
                </c:pt>
                <c:pt idx="47">
                  <c:v>935</c:v>
                </c:pt>
                <c:pt idx="48">
                  <c:v>949.66666666666663</c:v>
                </c:pt>
                <c:pt idx="49">
                  <c:v>1003.3333333333334</c:v>
                </c:pt>
                <c:pt idx="50">
                  <c:v>1018</c:v>
                </c:pt>
                <c:pt idx="51">
                  <c:v>1032.6666666666667</c:v>
                </c:pt>
                <c:pt idx="52">
                  <c:v>1047.3333333333333</c:v>
                </c:pt>
                <c:pt idx="53">
                  <c:v>1062</c:v>
                </c:pt>
                <c:pt idx="54">
                  <c:v>1076.6666666666667</c:v>
                </c:pt>
                <c:pt idx="55">
                  <c:v>1130.3333333333333</c:v>
                </c:pt>
                <c:pt idx="56">
                  <c:v>1145</c:v>
                </c:pt>
                <c:pt idx="57">
                  <c:v>1159.6666666666667</c:v>
                </c:pt>
                <c:pt idx="58">
                  <c:v>1174.3333333333333</c:v>
                </c:pt>
                <c:pt idx="59">
                  <c:v>1189</c:v>
                </c:pt>
                <c:pt idx="60">
                  <c:v>1203.6666666666667</c:v>
                </c:pt>
                <c:pt idx="61">
                  <c:v>1257.3333333333333</c:v>
                </c:pt>
                <c:pt idx="62">
                  <c:v>1272</c:v>
                </c:pt>
                <c:pt idx="63">
                  <c:v>1286.6666666666667</c:v>
                </c:pt>
                <c:pt idx="64">
                  <c:v>1301.3333333333333</c:v>
                </c:pt>
                <c:pt idx="65">
                  <c:v>1316</c:v>
                </c:pt>
                <c:pt idx="66">
                  <c:v>1330.6666666666667</c:v>
                </c:pt>
                <c:pt idx="67">
                  <c:v>1397.3333333333333</c:v>
                </c:pt>
                <c:pt idx="68">
                  <c:v>1412</c:v>
                </c:pt>
                <c:pt idx="69">
                  <c:v>1426.6666666666667</c:v>
                </c:pt>
                <c:pt idx="70">
                  <c:v>1441.3333333333333</c:v>
                </c:pt>
                <c:pt idx="71">
                  <c:v>1456</c:v>
                </c:pt>
                <c:pt idx="72">
                  <c:v>1470.6666666666667</c:v>
                </c:pt>
                <c:pt idx="73">
                  <c:v>1537.3333333333333</c:v>
                </c:pt>
                <c:pt idx="74">
                  <c:v>1552</c:v>
                </c:pt>
                <c:pt idx="75">
                  <c:v>1566.6666666666667</c:v>
                </c:pt>
                <c:pt idx="76">
                  <c:v>1581.3333333333333</c:v>
                </c:pt>
                <c:pt idx="77">
                  <c:v>1596</c:v>
                </c:pt>
                <c:pt idx="78">
                  <c:v>1610.6666666666667</c:v>
                </c:pt>
                <c:pt idx="79">
                  <c:v>1690.3333333333333</c:v>
                </c:pt>
                <c:pt idx="80">
                  <c:v>1705</c:v>
                </c:pt>
                <c:pt idx="81">
                  <c:v>1719.6666666666667</c:v>
                </c:pt>
                <c:pt idx="82">
                  <c:v>1734.3333333333333</c:v>
                </c:pt>
                <c:pt idx="83">
                  <c:v>1749</c:v>
                </c:pt>
                <c:pt idx="84">
                  <c:v>1763.6666666666667</c:v>
                </c:pt>
                <c:pt idx="85">
                  <c:v>1778.3333333333333</c:v>
                </c:pt>
                <c:pt idx="86">
                  <c:v>1793</c:v>
                </c:pt>
                <c:pt idx="87">
                  <c:v>1807.6666666666667</c:v>
                </c:pt>
                <c:pt idx="88">
                  <c:v>1822.3333333333333</c:v>
                </c:pt>
                <c:pt idx="89">
                  <c:v>1837</c:v>
                </c:pt>
                <c:pt idx="90">
                  <c:v>1851.6666666666667</c:v>
                </c:pt>
                <c:pt idx="91">
                  <c:v>1866.3333333333333</c:v>
                </c:pt>
                <c:pt idx="92">
                  <c:v>1881</c:v>
                </c:pt>
                <c:pt idx="93">
                  <c:v>1895.6666666666667</c:v>
                </c:pt>
                <c:pt idx="94">
                  <c:v>1910.3333333333333</c:v>
                </c:pt>
                <c:pt idx="95">
                  <c:v>1925</c:v>
                </c:pt>
                <c:pt idx="96">
                  <c:v>1939.6666666666667</c:v>
                </c:pt>
                <c:pt idx="97">
                  <c:v>1954.3333333333333</c:v>
                </c:pt>
                <c:pt idx="98">
                  <c:v>1969</c:v>
                </c:pt>
                <c:pt idx="99">
                  <c:v>1983.6666666666667</c:v>
                </c:pt>
                <c:pt idx="100">
                  <c:v>1998.3333333333333</c:v>
                </c:pt>
                <c:pt idx="101">
                  <c:v>2013</c:v>
                </c:pt>
                <c:pt idx="102">
                  <c:v>2027.6666666666667</c:v>
                </c:pt>
                <c:pt idx="103">
                  <c:v>2042.3333333333333</c:v>
                </c:pt>
                <c:pt idx="104">
                  <c:v>2057</c:v>
                </c:pt>
                <c:pt idx="105">
                  <c:v>2071.6666666666665</c:v>
                </c:pt>
                <c:pt idx="106">
                  <c:v>2086.3333333333335</c:v>
                </c:pt>
                <c:pt idx="107">
                  <c:v>2101</c:v>
                </c:pt>
                <c:pt idx="108">
                  <c:v>2115.6666666666665</c:v>
                </c:pt>
                <c:pt idx="109">
                  <c:v>2130.3333333333335</c:v>
                </c:pt>
                <c:pt idx="110">
                  <c:v>2145</c:v>
                </c:pt>
                <c:pt idx="111">
                  <c:v>2159.6666666666665</c:v>
                </c:pt>
                <c:pt idx="112">
                  <c:v>2174.3333333333335</c:v>
                </c:pt>
                <c:pt idx="113">
                  <c:v>2189</c:v>
                </c:pt>
                <c:pt idx="114">
                  <c:v>2203.6666666666665</c:v>
                </c:pt>
                <c:pt idx="115">
                  <c:v>2218.3333333333335</c:v>
                </c:pt>
                <c:pt idx="116">
                  <c:v>2233</c:v>
                </c:pt>
                <c:pt idx="117">
                  <c:v>2247.6666666666665</c:v>
                </c:pt>
                <c:pt idx="118">
                  <c:v>2262.3333333333335</c:v>
                </c:pt>
                <c:pt idx="119">
                  <c:v>2277</c:v>
                </c:pt>
                <c:pt idx="120">
                  <c:v>2291.6666666666665</c:v>
                </c:pt>
                <c:pt idx="121">
                  <c:v>2306.3333333333335</c:v>
                </c:pt>
                <c:pt idx="122">
                  <c:v>2321</c:v>
                </c:pt>
                <c:pt idx="123">
                  <c:v>2335.6666666666665</c:v>
                </c:pt>
                <c:pt idx="124">
                  <c:v>2350.3333333333335</c:v>
                </c:pt>
                <c:pt idx="125">
                  <c:v>2365</c:v>
                </c:pt>
                <c:pt idx="126">
                  <c:v>2379.6666666666665</c:v>
                </c:pt>
                <c:pt idx="127">
                  <c:v>2394.3333333333335</c:v>
                </c:pt>
                <c:pt idx="128">
                  <c:v>2409</c:v>
                </c:pt>
                <c:pt idx="129">
                  <c:v>2423.6666666666665</c:v>
                </c:pt>
                <c:pt idx="130">
                  <c:v>2438.3333333333335</c:v>
                </c:pt>
                <c:pt idx="131">
                  <c:v>2453</c:v>
                </c:pt>
                <c:pt idx="132">
                  <c:v>2467.6666666666665</c:v>
                </c:pt>
                <c:pt idx="133">
                  <c:v>2482.3333333333335</c:v>
                </c:pt>
                <c:pt idx="134">
                  <c:v>2497</c:v>
                </c:pt>
                <c:pt idx="135">
                  <c:v>2511.6666666666665</c:v>
                </c:pt>
                <c:pt idx="136">
                  <c:v>2526.3333333333335</c:v>
                </c:pt>
                <c:pt idx="137">
                  <c:v>2541</c:v>
                </c:pt>
                <c:pt idx="138">
                  <c:v>2555.6666666666665</c:v>
                </c:pt>
                <c:pt idx="139">
                  <c:v>2570.3333333333335</c:v>
                </c:pt>
                <c:pt idx="140">
                  <c:v>2585</c:v>
                </c:pt>
                <c:pt idx="141">
                  <c:v>2599.6666666666665</c:v>
                </c:pt>
                <c:pt idx="142">
                  <c:v>2614.3333333333335</c:v>
                </c:pt>
                <c:pt idx="143">
                  <c:v>2629</c:v>
                </c:pt>
                <c:pt idx="144">
                  <c:v>2643.6666666666665</c:v>
                </c:pt>
                <c:pt idx="145">
                  <c:v>2658.3333333333335</c:v>
                </c:pt>
                <c:pt idx="146">
                  <c:v>2673</c:v>
                </c:pt>
                <c:pt idx="147">
                  <c:v>2687.6666666666665</c:v>
                </c:pt>
                <c:pt idx="148">
                  <c:v>2702.3333333333335</c:v>
                </c:pt>
                <c:pt idx="149">
                  <c:v>2717</c:v>
                </c:pt>
              </c:numCache>
            </c:numRef>
          </c:yVal>
          <c:smooth val="1"/>
        </c:ser>
        <c:axId val="71481984"/>
        <c:axId val="71496064"/>
      </c:scatterChart>
      <c:valAx>
        <c:axId val="71481984"/>
        <c:scaling>
          <c:orientation val="minMax"/>
        </c:scaling>
        <c:axPos val="b"/>
        <c:numFmt formatCode="General" sourceLinked="1"/>
        <c:tickLblPos val="nextTo"/>
        <c:crossAx val="71496064"/>
        <c:crosses val="autoZero"/>
        <c:crossBetween val="midCat"/>
      </c:valAx>
      <c:valAx>
        <c:axId val="71496064"/>
        <c:scaling>
          <c:orientation val="minMax"/>
          <c:max val="6000"/>
        </c:scaling>
        <c:axPos val="l"/>
        <c:majorGridlines/>
        <c:numFmt formatCode="0" sourceLinked="1"/>
        <c:tickLblPos val="nextTo"/>
        <c:crossAx val="71481984"/>
        <c:crosses val="autoZero"/>
        <c:crossBetween val="midCat"/>
      </c:valAx>
    </c:plotArea>
    <c:legend>
      <c:legendPos val="r"/>
    </c:legend>
    <c:plotVisOnly val="1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8"/>
  <sheetViews>
    <sheetView zoomScale="13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9"/>
  <sheetViews>
    <sheetView zoomScale="13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9130" cy="629478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9130" cy="629478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arams"/>
  <dimension ref="A1:B20"/>
  <sheetViews>
    <sheetView workbookViewId="0">
      <selection activeCell="A20" sqref="A20"/>
    </sheetView>
  </sheetViews>
  <sheetFormatPr defaultRowHeight="15"/>
  <cols>
    <col min="1" max="1" width="11.85546875" style="2" customWidth="1"/>
    <col min="2" max="2" width="32.140625" bestFit="1" customWidth="1"/>
  </cols>
  <sheetData>
    <row r="1" spans="1:2">
      <c r="A1" s="2">
        <v>25</v>
      </c>
      <c r="B1" t="s">
        <v>37</v>
      </c>
    </row>
    <row r="2" spans="1:2">
      <c r="A2" s="2">
        <v>10</v>
      </c>
      <c r="B2" t="s">
        <v>40</v>
      </c>
    </row>
    <row r="3" spans="1:2">
      <c r="A3" s="16">
        <f>4/15</f>
        <v>0.26666666666666666</v>
      </c>
      <c r="B3" t="s">
        <v>38</v>
      </c>
    </row>
    <row r="4" spans="1:2">
      <c r="A4" s="2">
        <f>A1</f>
        <v>25</v>
      </c>
      <c r="B4" t="s">
        <v>41</v>
      </c>
    </row>
    <row r="5" spans="1:2">
      <c r="A5" s="2">
        <v>13</v>
      </c>
      <c r="B5" t="s">
        <v>39</v>
      </c>
    </row>
    <row r="6" spans="1:2">
      <c r="A6" s="2">
        <v>26</v>
      </c>
      <c r="B6" t="s">
        <v>46</v>
      </c>
    </row>
    <row r="7" spans="1:2">
      <c r="A7" s="2">
        <v>10</v>
      </c>
      <c r="B7" t="s">
        <v>42</v>
      </c>
    </row>
    <row r="8" spans="1:2">
      <c r="A8" s="2">
        <f>2/15</f>
        <v>0.13333333333333333</v>
      </c>
      <c r="B8" t="s">
        <v>43</v>
      </c>
    </row>
    <row r="9" spans="1:2">
      <c r="A9" s="2">
        <f>A6</f>
        <v>26</v>
      </c>
      <c r="B9" t="s">
        <v>44</v>
      </c>
    </row>
    <row r="10" spans="1:2">
      <c r="A10" s="2">
        <v>5</v>
      </c>
      <c r="B10" t="s">
        <v>45</v>
      </c>
    </row>
    <row r="11" spans="1:2">
      <c r="A11" s="2">
        <v>17</v>
      </c>
      <c r="B11" t="s">
        <v>59</v>
      </c>
    </row>
    <row r="12" spans="1:2">
      <c r="A12" s="2">
        <v>10</v>
      </c>
      <c r="B12" t="s">
        <v>60</v>
      </c>
    </row>
    <row r="13" spans="1:2">
      <c r="A13" s="16">
        <f>8/15</f>
        <v>0.53333333333333333</v>
      </c>
      <c r="B13" t="s">
        <v>61</v>
      </c>
    </row>
    <row r="14" spans="1:2">
      <c r="A14" s="2">
        <f>A11</f>
        <v>17</v>
      </c>
      <c r="B14" t="s">
        <v>62</v>
      </c>
    </row>
    <row r="15" spans="1:2">
      <c r="A15" s="2">
        <v>13</v>
      </c>
      <c r="B15" t="s">
        <v>63</v>
      </c>
    </row>
    <row r="16" spans="1:2">
      <c r="A16" s="2">
        <v>21</v>
      </c>
      <c r="B16" t="s">
        <v>64</v>
      </c>
    </row>
    <row r="17" spans="1:2">
      <c r="A17" s="2">
        <v>10</v>
      </c>
      <c r="B17" t="s">
        <v>65</v>
      </c>
    </row>
    <row r="18" spans="1:2">
      <c r="A18" s="2">
        <f>2/15</f>
        <v>0.13333333333333333</v>
      </c>
      <c r="B18" t="s">
        <v>66</v>
      </c>
    </row>
    <row r="19" spans="1:2">
      <c r="A19" s="2">
        <f>A16</f>
        <v>21</v>
      </c>
      <c r="B19" t="s">
        <v>67</v>
      </c>
    </row>
    <row r="20" spans="1:2">
      <c r="A20" s="2">
        <v>6</v>
      </c>
      <c r="B20" t="s">
        <v>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Avatars"/>
  <dimension ref="A1:P174"/>
  <sheetViews>
    <sheetView workbookViewId="0">
      <selection activeCell="G21" sqref="G21"/>
    </sheetView>
  </sheetViews>
  <sheetFormatPr defaultRowHeight="15"/>
  <cols>
    <col min="1" max="1" width="11.85546875" style="1" customWidth="1"/>
    <col min="2" max="11" width="10.7109375" style="2" customWidth="1"/>
  </cols>
  <sheetData>
    <row r="1" spans="1:16">
      <c r="A1" s="14"/>
      <c r="B1" s="10" t="s">
        <v>29</v>
      </c>
      <c r="C1" s="10" t="s">
        <v>30</v>
      </c>
      <c r="D1" s="10" t="s">
        <v>31</v>
      </c>
      <c r="E1" s="10" t="s">
        <v>32</v>
      </c>
      <c r="G1" s="10" t="s">
        <v>29</v>
      </c>
      <c r="H1" s="10" t="s">
        <v>30</v>
      </c>
      <c r="I1" s="10" t="s">
        <v>31</v>
      </c>
      <c r="J1" s="10" t="s">
        <v>32</v>
      </c>
      <c r="K1" s="10" t="s">
        <v>17</v>
      </c>
      <c r="M1" s="10" t="s">
        <v>204</v>
      </c>
    </row>
    <row r="2" spans="1:16">
      <c r="A2" s="15" t="s">
        <v>8</v>
      </c>
      <c r="B2" s="2">
        <v>2</v>
      </c>
      <c r="C2" s="2">
        <v>10</v>
      </c>
      <c r="D2" s="2">
        <v>4</v>
      </c>
      <c r="E2" s="2">
        <v>5</v>
      </c>
      <c r="G2" s="4">
        <f t="shared" ref="G2:J7" si="0">B2/9*(B$10-B$9)+B$9</f>
        <v>9.5555555555555554</v>
      </c>
      <c r="H2" s="4">
        <f t="shared" si="0"/>
        <v>14.333333333333334</v>
      </c>
      <c r="I2" s="5">
        <f t="shared" si="0"/>
        <v>4.4444444444444446E-2</v>
      </c>
      <c r="J2" s="5">
        <f t="shared" si="0"/>
        <v>5.5555555555555566E-3</v>
      </c>
      <c r="K2" s="5">
        <v>0.2</v>
      </c>
      <c r="M2" t="s">
        <v>305</v>
      </c>
    </row>
    <row r="3" spans="1:16">
      <c r="A3" s="15" t="s">
        <v>70</v>
      </c>
      <c r="B3" s="2">
        <v>4</v>
      </c>
      <c r="C3" s="2">
        <v>7</v>
      </c>
      <c r="D3" s="2">
        <v>6</v>
      </c>
      <c r="E3" s="2">
        <v>4</v>
      </c>
      <c r="G3" s="4">
        <f t="shared" si="0"/>
        <v>11.111111111111111</v>
      </c>
      <c r="H3" s="4">
        <f t="shared" si="0"/>
        <v>10.333333333333334</v>
      </c>
      <c r="I3" s="5">
        <f t="shared" si="0"/>
        <v>6.6666666666666666E-2</v>
      </c>
      <c r="J3" s="5">
        <f t="shared" si="0"/>
        <v>-5.5555555555555566E-3</v>
      </c>
      <c r="K3" s="5">
        <v>0.2</v>
      </c>
      <c r="M3" t="s">
        <v>304</v>
      </c>
    </row>
    <row r="4" spans="1:16">
      <c r="A4" s="15" t="s">
        <v>12</v>
      </c>
      <c r="B4" s="2">
        <v>5</v>
      </c>
      <c r="C4" s="2">
        <v>6</v>
      </c>
      <c r="D4" s="2">
        <v>5</v>
      </c>
      <c r="E4" s="2">
        <v>6</v>
      </c>
      <c r="G4" s="4">
        <f t="shared" si="0"/>
        <v>11.888888888888889</v>
      </c>
      <c r="H4" s="4">
        <f t="shared" si="0"/>
        <v>9</v>
      </c>
      <c r="I4" s="5">
        <f t="shared" si="0"/>
        <v>5.5555555555555559E-2</v>
      </c>
      <c r="J4" s="5">
        <f t="shared" si="0"/>
        <v>1.6666666666666663E-2</v>
      </c>
      <c r="K4" s="5">
        <v>0.2</v>
      </c>
    </row>
    <row r="5" spans="1:16">
      <c r="A5" s="15" t="s">
        <v>9</v>
      </c>
      <c r="B5" s="2">
        <v>7</v>
      </c>
      <c r="C5" s="2">
        <v>1</v>
      </c>
      <c r="D5" s="2">
        <v>9</v>
      </c>
      <c r="E5" s="2">
        <v>9</v>
      </c>
      <c r="G5" s="4">
        <f t="shared" si="0"/>
        <v>13.444444444444445</v>
      </c>
      <c r="H5" s="4">
        <f t="shared" si="0"/>
        <v>2.333333333333333</v>
      </c>
      <c r="I5" s="5">
        <f t="shared" si="0"/>
        <v>0.1</v>
      </c>
      <c r="J5" s="5">
        <f t="shared" si="0"/>
        <v>0.05</v>
      </c>
      <c r="K5" s="5">
        <v>0</v>
      </c>
      <c r="M5" t="s">
        <v>363</v>
      </c>
    </row>
    <row r="6" spans="1:16">
      <c r="A6" s="15" t="s">
        <v>11</v>
      </c>
      <c r="B6" s="2">
        <v>8</v>
      </c>
      <c r="C6" s="2">
        <v>2</v>
      </c>
      <c r="D6" s="2">
        <v>8</v>
      </c>
      <c r="E6" s="2">
        <v>7</v>
      </c>
      <c r="G6" s="4">
        <f t="shared" si="0"/>
        <v>14.222222222222221</v>
      </c>
      <c r="H6" s="4">
        <f t="shared" si="0"/>
        <v>3.6666666666666665</v>
      </c>
      <c r="I6" s="5">
        <f t="shared" si="0"/>
        <v>8.8888888888888892E-2</v>
      </c>
      <c r="J6" s="5">
        <f t="shared" si="0"/>
        <v>2.7777777777777776E-2</v>
      </c>
      <c r="K6" s="5">
        <v>0</v>
      </c>
      <c r="M6" t="s">
        <v>361</v>
      </c>
    </row>
    <row r="7" spans="1:16">
      <c r="A7" s="15" t="s">
        <v>10</v>
      </c>
      <c r="B7" s="2">
        <v>9</v>
      </c>
      <c r="C7" s="2">
        <v>0.5</v>
      </c>
      <c r="D7" s="2">
        <v>7</v>
      </c>
      <c r="E7" s="2">
        <v>8</v>
      </c>
      <c r="G7" s="4">
        <f t="shared" si="0"/>
        <v>15</v>
      </c>
      <c r="H7" s="4">
        <f t="shared" si="0"/>
        <v>1.6666666666666665</v>
      </c>
      <c r="I7" s="5">
        <f t="shared" si="0"/>
        <v>7.7777777777777779E-2</v>
      </c>
      <c r="J7" s="5">
        <f t="shared" si="0"/>
        <v>3.888888888888889E-2</v>
      </c>
      <c r="K7" s="5">
        <v>0</v>
      </c>
      <c r="M7" t="s">
        <v>362</v>
      </c>
    </row>
    <row r="8" spans="1:16">
      <c r="A8" s="15"/>
      <c r="G8" s="4"/>
      <c r="H8" s="4"/>
      <c r="I8" s="5"/>
      <c r="J8" s="5"/>
      <c r="K8" s="5"/>
    </row>
    <row r="9" spans="1:16">
      <c r="A9" s="15" t="s">
        <v>23</v>
      </c>
      <c r="B9" s="2">
        <v>8</v>
      </c>
      <c r="C9" s="2">
        <v>1</v>
      </c>
      <c r="D9" s="6">
        <v>0</v>
      </c>
      <c r="E9" s="7">
        <v>-0.05</v>
      </c>
      <c r="G9" s="4"/>
      <c r="H9" s="4"/>
      <c r="I9" s="5"/>
      <c r="J9" s="5"/>
      <c r="K9" s="5"/>
    </row>
    <row r="10" spans="1:16">
      <c r="A10" s="15" t="s">
        <v>24</v>
      </c>
      <c r="B10" s="2">
        <v>15</v>
      </c>
      <c r="C10" s="2">
        <v>13</v>
      </c>
      <c r="D10" s="6">
        <v>0.1</v>
      </c>
      <c r="E10" s="7">
        <v>0.05</v>
      </c>
      <c r="G10" s="4"/>
      <c r="H10" s="4"/>
      <c r="I10" s="5"/>
      <c r="J10" s="5"/>
      <c r="K10" s="5"/>
    </row>
    <row r="11" spans="1:16">
      <c r="A11" s="15"/>
      <c r="D11" s="6"/>
      <c r="E11" s="7"/>
      <c r="G11" s="4"/>
      <c r="H11" s="4"/>
      <c r="I11" s="5"/>
      <c r="J11" s="5"/>
      <c r="K11" s="5"/>
      <c r="L11" s="102" t="s">
        <v>52</v>
      </c>
      <c r="M11" s="102"/>
      <c r="N11" s="102"/>
      <c r="O11" s="102"/>
      <c r="P11" s="102"/>
    </row>
    <row r="12" spans="1:16">
      <c r="A12" s="15"/>
      <c r="G12" s="11" t="s">
        <v>27</v>
      </c>
      <c r="H12" s="11" t="s">
        <v>28</v>
      </c>
      <c r="I12" s="12" t="s">
        <v>31</v>
      </c>
      <c r="J12" s="13" t="s">
        <v>32</v>
      </c>
      <c r="K12" s="8"/>
      <c r="L12" s="10" t="s">
        <v>47</v>
      </c>
      <c r="M12" s="10" t="s">
        <v>48</v>
      </c>
      <c r="N12" s="10" t="s">
        <v>49</v>
      </c>
      <c r="O12" s="10" t="s">
        <v>50</v>
      </c>
      <c r="P12" s="10" t="s">
        <v>51</v>
      </c>
    </row>
    <row r="13" spans="1:16">
      <c r="A13" s="15" t="s">
        <v>18</v>
      </c>
      <c r="B13" s="2">
        <v>5</v>
      </c>
      <c r="C13" s="2">
        <v>5</v>
      </c>
      <c r="D13" s="2">
        <v>5</v>
      </c>
      <c r="E13" s="2">
        <v>5</v>
      </c>
      <c r="G13" s="4">
        <f t="shared" ref="G13:J17" si="1">B13/9*(B$20-B$19)+B$19</f>
        <v>41.111111111111114</v>
      </c>
      <c r="H13" s="4">
        <f t="shared" si="1"/>
        <v>7.3333333333333339</v>
      </c>
      <c r="I13" s="5">
        <f t="shared" si="1"/>
        <v>2.777777777777778E-2</v>
      </c>
      <c r="J13" s="5">
        <f t="shared" si="1"/>
        <v>5.5555555555555566E-3</v>
      </c>
      <c r="K13" s="5"/>
      <c r="L13" s="2">
        <v>18</v>
      </c>
      <c r="M13" s="2">
        <v>18</v>
      </c>
      <c r="N13" s="2">
        <v>18</v>
      </c>
      <c r="O13" s="2">
        <v>18</v>
      </c>
      <c r="P13" s="2">
        <v>18</v>
      </c>
    </row>
    <row r="14" spans="1:16">
      <c r="A14" s="15" t="s">
        <v>19</v>
      </c>
      <c r="B14" s="2">
        <v>1</v>
      </c>
      <c r="C14" s="2">
        <v>9</v>
      </c>
      <c r="D14" s="2">
        <v>3</v>
      </c>
      <c r="E14" s="2">
        <v>7</v>
      </c>
      <c r="G14" s="4">
        <f t="shared" si="1"/>
        <v>32.222222222222221</v>
      </c>
      <c r="H14" s="4">
        <f t="shared" si="1"/>
        <v>10</v>
      </c>
      <c r="I14" s="5">
        <f t="shared" si="1"/>
        <v>1.6666666666666666E-2</v>
      </c>
      <c r="J14" s="5">
        <f t="shared" si="1"/>
        <v>2.7777777777777776E-2</v>
      </c>
      <c r="K14" s="5"/>
      <c r="L14" s="2">
        <v>16</v>
      </c>
      <c r="M14" s="2">
        <v>15</v>
      </c>
      <c r="N14" s="2">
        <v>17</v>
      </c>
      <c r="O14" s="2">
        <v>22</v>
      </c>
      <c r="P14" s="2">
        <v>20</v>
      </c>
    </row>
    <row r="15" spans="1:16">
      <c r="A15" s="15" t="s">
        <v>20</v>
      </c>
      <c r="B15" s="2">
        <v>7</v>
      </c>
      <c r="C15" s="2">
        <v>3</v>
      </c>
      <c r="D15" s="2">
        <v>9</v>
      </c>
      <c r="E15" s="2">
        <v>1</v>
      </c>
      <c r="G15" s="4">
        <f t="shared" si="1"/>
        <v>45.555555555555557</v>
      </c>
      <c r="H15" s="4">
        <f t="shared" si="1"/>
        <v>6</v>
      </c>
      <c r="I15" s="5">
        <f t="shared" si="1"/>
        <v>0.05</v>
      </c>
      <c r="J15" s="5">
        <f t="shared" si="1"/>
        <v>-3.888888888888889E-2</v>
      </c>
      <c r="K15" s="5"/>
      <c r="L15" s="2">
        <v>18</v>
      </c>
      <c r="M15" s="2">
        <v>22</v>
      </c>
      <c r="N15" s="2">
        <v>18</v>
      </c>
      <c r="O15" s="2">
        <v>15</v>
      </c>
      <c r="P15" s="2">
        <v>17</v>
      </c>
    </row>
    <row r="16" spans="1:16">
      <c r="A16" s="15" t="s">
        <v>21</v>
      </c>
      <c r="B16" s="2">
        <v>3</v>
      </c>
      <c r="C16" s="2">
        <v>7</v>
      </c>
      <c r="D16" s="2">
        <v>1</v>
      </c>
      <c r="E16" s="2">
        <v>9</v>
      </c>
      <c r="G16" s="4">
        <f t="shared" si="1"/>
        <v>36.666666666666664</v>
      </c>
      <c r="H16" s="4">
        <f t="shared" si="1"/>
        <v>8.6666666666666679</v>
      </c>
      <c r="I16" s="5">
        <f t="shared" si="1"/>
        <v>5.5555555555555558E-3</v>
      </c>
      <c r="J16" s="5">
        <f t="shared" si="1"/>
        <v>0.05</v>
      </c>
      <c r="K16" s="5"/>
      <c r="L16" s="2">
        <v>15</v>
      </c>
      <c r="M16" s="2">
        <v>17</v>
      </c>
      <c r="N16" s="2">
        <v>19</v>
      </c>
      <c r="O16" s="2">
        <v>18</v>
      </c>
      <c r="P16" s="2">
        <v>21</v>
      </c>
    </row>
    <row r="17" spans="1:16">
      <c r="A17" s="15" t="s">
        <v>22</v>
      </c>
      <c r="B17" s="2">
        <v>9</v>
      </c>
      <c r="C17" s="2">
        <v>1</v>
      </c>
      <c r="D17" s="2">
        <v>7</v>
      </c>
      <c r="E17" s="2">
        <v>3</v>
      </c>
      <c r="G17" s="4">
        <f t="shared" si="1"/>
        <v>50</v>
      </c>
      <c r="H17" s="4">
        <f t="shared" si="1"/>
        <v>4.666666666666667</v>
      </c>
      <c r="I17" s="5">
        <f t="shared" si="1"/>
        <v>3.888888888888889E-2</v>
      </c>
      <c r="J17" s="5">
        <f t="shared" si="1"/>
        <v>-1.666666666666667E-2</v>
      </c>
      <c r="K17" s="5"/>
      <c r="L17" s="2">
        <v>23</v>
      </c>
      <c r="M17" s="2">
        <v>17</v>
      </c>
      <c r="N17" s="2">
        <v>20</v>
      </c>
      <c r="O17" s="2">
        <v>16</v>
      </c>
      <c r="P17" s="2">
        <v>14</v>
      </c>
    </row>
    <row r="18" spans="1:16">
      <c r="A18" s="15"/>
    </row>
    <row r="19" spans="1:16">
      <c r="A19" s="15" t="s">
        <v>25</v>
      </c>
      <c r="B19" s="2">
        <v>30</v>
      </c>
      <c r="C19" s="2">
        <v>4</v>
      </c>
      <c r="D19" s="6">
        <v>0</v>
      </c>
      <c r="E19" s="7">
        <v>-0.05</v>
      </c>
    </row>
    <row r="20" spans="1:16">
      <c r="A20" s="15" t="s">
        <v>26</v>
      </c>
      <c r="B20" s="2">
        <v>50</v>
      </c>
      <c r="C20" s="2">
        <v>10</v>
      </c>
      <c r="D20" s="6">
        <v>0.05</v>
      </c>
      <c r="E20" s="7">
        <v>0.05</v>
      </c>
      <c r="G20" s="2">
        <f>HP(3,0,3,10,18)</f>
        <v>68.266666666666666</v>
      </c>
    </row>
    <row r="22" spans="1:16">
      <c r="K22" s="9"/>
    </row>
    <row r="23" spans="1:16">
      <c r="B23" s="26"/>
    </row>
    <row r="24" spans="1:16">
      <c r="A24" s="10"/>
      <c r="B24" s="39"/>
      <c r="C24" s="39"/>
      <c r="D24" s="36"/>
      <c r="E24" s="36"/>
    </row>
    <row r="25" spans="1:16">
      <c r="A25" s="10"/>
      <c r="B25" s="40"/>
      <c r="C25" s="40"/>
      <c r="D25" s="40"/>
      <c r="E25" s="40"/>
    </row>
    <row r="26" spans="1:16">
      <c r="A26" s="10"/>
      <c r="B26" s="40"/>
      <c r="C26" s="40"/>
      <c r="D26" s="40"/>
      <c r="E26" s="40"/>
    </row>
    <row r="27" spans="1:16">
      <c r="A27" s="10"/>
      <c r="B27" s="40"/>
      <c r="C27" s="40"/>
      <c r="D27" s="40"/>
      <c r="E27" s="40"/>
    </row>
    <row r="28" spans="1:16">
      <c r="A28" s="10"/>
      <c r="B28" s="40"/>
      <c r="C28" s="40"/>
      <c r="D28" s="40"/>
      <c r="E28" s="40"/>
    </row>
    <row r="29" spans="1:16">
      <c r="A29" s="10"/>
      <c r="B29" s="40"/>
      <c r="C29" s="40"/>
      <c r="D29" s="40"/>
      <c r="E29" s="40"/>
    </row>
    <row r="30" spans="1:16">
      <c r="A30" s="10"/>
      <c r="B30" s="40"/>
      <c r="C30" s="40"/>
      <c r="D30" s="40"/>
      <c r="E30" s="40"/>
    </row>
    <row r="31" spans="1:16">
      <c r="A31" s="10"/>
      <c r="B31" s="40"/>
      <c r="C31" s="40"/>
      <c r="D31" s="40"/>
      <c r="E31" s="40"/>
    </row>
    <row r="32" spans="1:16">
      <c r="A32" s="10"/>
      <c r="B32" s="40"/>
      <c r="C32" s="40"/>
      <c r="D32" s="40"/>
      <c r="E32" s="40"/>
    </row>
    <row r="33" spans="1:5">
      <c r="A33" s="10"/>
      <c r="B33" s="40"/>
      <c r="C33" s="40"/>
      <c r="D33" s="40"/>
      <c r="E33" s="40"/>
    </row>
    <row r="34" spans="1:5">
      <c r="A34" s="10"/>
      <c r="B34" s="40"/>
      <c r="C34" s="40"/>
      <c r="D34" s="40"/>
      <c r="E34" s="40"/>
    </row>
    <row r="35" spans="1:5">
      <c r="A35" s="10"/>
      <c r="B35" s="40"/>
      <c r="C35" s="40"/>
      <c r="D35" s="40"/>
      <c r="E35" s="40"/>
    </row>
    <row r="36" spans="1:5">
      <c r="A36" s="10"/>
      <c r="B36" s="40"/>
      <c r="C36" s="40"/>
      <c r="D36" s="40"/>
      <c r="E36" s="40"/>
    </row>
    <row r="37" spans="1:5">
      <c r="A37" s="10"/>
      <c r="B37" s="40"/>
      <c r="C37" s="40"/>
      <c r="D37" s="40"/>
      <c r="E37" s="40"/>
    </row>
    <row r="38" spans="1:5">
      <c r="A38" s="10"/>
      <c r="B38" s="40"/>
      <c r="C38" s="40"/>
      <c r="D38" s="40"/>
      <c r="E38" s="40"/>
    </row>
    <row r="39" spans="1:5">
      <c r="A39" s="10"/>
      <c r="B39" s="40"/>
      <c r="C39" s="40"/>
      <c r="D39" s="40"/>
      <c r="E39" s="40"/>
    </row>
    <row r="40" spans="1:5">
      <c r="A40" s="10"/>
      <c r="B40" s="40"/>
      <c r="C40" s="40"/>
      <c r="D40" s="40"/>
      <c r="E40" s="40"/>
    </row>
    <row r="41" spans="1:5">
      <c r="A41" s="10"/>
      <c r="B41" s="40"/>
      <c r="C41" s="40"/>
      <c r="D41" s="40"/>
      <c r="E41" s="40"/>
    </row>
    <row r="42" spans="1:5">
      <c r="A42" s="10"/>
      <c r="B42" s="40"/>
      <c r="C42" s="40"/>
      <c r="D42" s="40"/>
      <c r="E42" s="40"/>
    </row>
    <row r="43" spans="1:5">
      <c r="A43" s="10"/>
      <c r="B43" s="40"/>
      <c r="C43" s="40"/>
      <c r="D43" s="40"/>
      <c r="E43" s="40"/>
    </row>
    <row r="44" spans="1:5">
      <c r="A44" s="10"/>
      <c r="B44" s="40"/>
      <c r="C44" s="40"/>
      <c r="D44" s="40"/>
      <c r="E44" s="40"/>
    </row>
    <row r="45" spans="1:5">
      <c r="A45" s="10"/>
      <c r="B45" s="40"/>
      <c r="C45" s="40"/>
      <c r="D45" s="40"/>
      <c r="E45" s="40"/>
    </row>
    <row r="46" spans="1:5">
      <c r="A46" s="10"/>
      <c r="B46" s="40"/>
      <c r="C46" s="40"/>
      <c r="D46" s="40"/>
      <c r="E46" s="40"/>
    </row>
    <row r="47" spans="1:5">
      <c r="A47" s="10"/>
      <c r="B47" s="40"/>
      <c r="C47" s="40"/>
      <c r="D47" s="40"/>
      <c r="E47" s="40"/>
    </row>
    <row r="48" spans="1:5">
      <c r="A48" s="10"/>
      <c r="B48" s="40"/>
      <c r="C48" s="40"/>
      <c r="D48" s="40"/>
      <c r="E48" s="40"/>
    </row>
    <row r="49" spans="1:5">
      <c r="A49" s="10"/>
      <c r="B49" s="40"/>
      <c r="C49" s="40"/>
      <c r="D49" s="40"/>
      <c r="E49" s="40"/>
    </row>
    <row r="50" spans="1:5">
      <c r="A50" s="10"/>
      <c r="B50" s="40"/>
      <c r="C50" s="40"/>
      <c r="D50" s="40"/>
      <c r="E50" s="40"/>
    </row>
    <row r="51" spans="1:5">
      <c r="A51" s="10"/>
      <c r="B51" s="40"/>
      <c r="C51" s="40"/>
      <c r="D51" s="40"/>
      <c r="E51" s="40"/>
    </row>
    <row r="52" spans="1:5">
      <c r="A52" s="10"/>
      <c r="B52" s="40"/>
      <c r="C52" s="40"/>
      <c r="D52" s="40"/>
      <c r="E52" s="40"/>
    </row>
    <row r="53" spans="1:5">
      <c r="A53" s="10"/>
      <c r="B53" s="40"/>
      <c r="C53" s="40"/>
      <c r="D53" s="40"/>
      <c r="E53" s="40"/>
    </row>
    <row r="54" spans="1:5">
      <c r="A54" s="10"/>
      <c r="B54" s="40"/>
      <c r="C54" s="40"/>
      <c r="D54" s="40"/>
      <c r="E54" s="40"/>
    </row>
    <row r="55" spans="1:5">
      <c r="A55" s="10"/>
      <c r="B55" s="40"/>
      <c r="C55" s="40"/>
      <c r="D55" s="40"/>
      <c r="E55" s="40"/>
    </row>
    <row r="56" spans="1:5">
      <c r="A56" s="10"/>
      <c r="B56" s="40"/>
      <c r="C56" s="40"/>
      <c r="D56" s="40"/>
      <c r="E56" s="40"/>
    </row>
    <row r="57" spans="1:5">
      <c r="A57" s="10"/>
      <c r="B57" s="40"/>
      <c r="C57" s="40"/>
      <c r="D57" s="40"/>
      <c r="E57" s="40"/>
    </row>
    <row r="58" spans="1:5">
      <c r="A58" s="10"/>
      <c r="B58" s="40"/>
      <c r="C58" s="40"/>
      <c r="D58" s="40"/>
      <c r="E58" s="40"/>
    </row>
    <row r="59" spans="1:5">
      <c r="A59" s="10"/>
      <c r="B59" s="40"/>
      <c r="C59" s="40"/>
      <c r="D59" s="40"/>
      <c r="E59" s="40"/>
    </row>
    <row r="60" spans="1:5">
      <c r="A60" s="10"/>
      <c r="B60" s="40"/>
      <c r="C60" s="40"/>
      <c r="D60" s="40"/>
      <c r="E60" s="40"/>
    </row>
    <row r="61" spans="1:5">
      <c r="A61" s="10"/>
      <c r="B61" s="40"/>
      <c r="C61" s="40"/>
      <c r="D61" s="40"/>
      <c r="E61" s="40"/>
    </row>
    <row r="62" spans="1:5">
      <c r="A62" s="10"/>
      <c r="B62" s="40"/>
      <c r="C62" s="40"/>
      <c r="D62" s="40"/>
      <c r="E62" s="40"/>
    </row>
    <row r="63" spans="1:5">
      <c r="A63" s="10"/>
      <c r="B63" s="40"/>
      <c r="C63" s="40"/>
      <c r="D63" s="40"/>
      <c r="E63" s="40"/>
    </row>
    <row r="64" spans="1:5">
      <c r="A64" s="10"/>
      <c r="B64" s="40"/>
      <c r="C64" s="40"/>
      <c r="D64" s="40"/>
      <c r="E64" s="40"/>
    </row>
    <row r="65" spans="1:5">
      <c r="A65" s="10"/>
      <c r="B65" s="40"/>
      <c r="C65" s="40"/>
      <c r="D65" s="40"/>
      <c r="E65" s="40"/>
    </row>
    <row r="66" spans="1:5">
      <c r="A66" s="10"/>
      <c r="B66" s="40"/>
      <c r="C66" s="40"/>
      <c r="D66" s="40"/>
      <c r="E66" s="40"/>
    </row>
    <row r="67" spans="1:5">
      <c r="A67" s="10"/>
      <c r="B67" s="40"/>
      <c r="C67" s="40"/>
      <c r="D67" s="40"/>
      <c r="E67" s="40"/>
    </row>
    <row r="68" spans="1:5">
      <c r="A68" s="10"/>
      <c r="B68" s="40"/>
      <c r="C68" s="40"/>
      <c r="D68" s="40"/>
      <c r="E68" s="40"/>
    </row>
    <row r="69" spans="1:5">
      <c r="A69" s="10"/>
      <c r="B69" s="40"/>
      <c r="C69" s="40"/>
      <c r="D69" s="40"/>
      <c r="E69" s="40"/>
    </row>
    <row r="70" spans="1:5">
      <c r="A70" s="10"/>
      <c r="B70" s="40"/>
      <c r="C70" s="40"/>
      <c r="D70" s="40"/>
      <c r="E70" s="40"/>
    </row>
    <row r="71" spans="1:5">
      <c r="A71" s="10"/>
      <c r="B71" s="40"/>
      <c r="C71" s="40"/>
      <c r="D71" s="40"/>
      <c r="E71" s="40"/>
    </row>
    <row r="72" spans="1:5">
      <c r="A72" s="10"/>
      <c r="B72" s="40"/>
      <c r="C72" s="40"/>
      <c r="D72" s="40"/>
      <c r="E72" s="40"/>
    </row>
    <row r="73" spans="1:5">
      <c r="A73" s="10"/>
      <c r="B73" s="40"/>
      <c r="C73" s="40"/>
      <c r="D73" s="40"/>
      <c r="E73" s="40"/>
    </row>
    <row r="74" spans="1:5">
      <c r="A74" s="10"/>
      <c r="B74" s="40"/>
      <c r="C74" s="40"/>
      <c r="D74" s="40"/>
      <c r="E74" s="40"/>
    </row>
    <row r="75" spans="1:5">
      <c r="A75" s="10"/>
      <c r="B75" s="40"/>
      <c r="C75" s="40"/>
      <c r="D75" s="40"/>
      <c r="E75" s="40"/>
    </row>
    <row r="76" spans="1:5">
      <c r="A76" s="10"/>
      <c r="B76" s="40"/>
      <c r="C76" s="40"/>
      <c r="D76" s="40"/>
      <c r="E76" s="40"/>
    </row>
    <row r="77" spans="1:5">
      <c r="A77" s="10"/>
      <c r="B77" s="40"/>
      <c r="C77" s="40"/>
      <c r="D77" s="40"/>
      <c r="E77" s="40"/>
    </row>
    <row r="78" spans="1:5">
      <c r="A78" s="10"/>
      <c r="B78" s="40"/>
      <c r="C78" s="40"/>
      <c r="D78" s="40"/>
      <c r="E78" s="40"/>
    </row>
    <row r="79" spans="1:5">
      <c r="A79" s="10"/>
      <c r="B79" s="40"/>
      <c r="C79" s="40"/>
      <c r="D79" s="40"/>
      <c r="E79" s="40"/>
    </row>
    <row r="80" spans="1:5">
      <c r="A80" s="10"/>
      <c r="B80" s="40"/>
      <c r="C80" s="40"/>
      <c r="D80" s="40"/>
      <c r="E80" s="40"/>
    </row>
    <row r="81" spans="1:5">
      <c r="A81" s="10"/>
      <c r="B81" s="40"/>
      <c r="C81" s="40"/>
      <c r="D81" s="40"/>
      <c r="E81" s="40"/>
    </row>
    <row r="82" spans="1:5">
      <c r="A82" s="10"/>
      <c r="B82" s="40"/>
      <c r="C82" s="40"/>
      <c r="D82" s="40"/>
      <c r="E82" s="40"/>
    </row>
    <row r="83" spans="1:5">
      <c r="A83" s="10"/>
      <c r="B83" s="40"/>
      <c r="C83" s="40"/>
      <c r="D83" s="40"/>
      <c r="E83" s="40"/>
    </row>
    <row r="84" spans="1:5">
      <c r="A84" s="10"/>
      <c r="B84" s="40"/>
      <c r="C84" s="40"/>
      <c r="D84" s="40"/>
      <c r="E84" s="40"/>
    </row>
    <row r="85" spans="1:5">
      <c r="A85" s="10"/>
      <c r="B85" s="40"/>
      <c r="C85" s="40"/>
      <c r="D85" s="40"/>
      <c r="E85" s="40"/>
    </row>
    <row r="86" spans="1:5">
      <c r="A86" s="10"/>
      <c r="B86" s="40"/>
      <c r="C86" s="40"/>
      <c r="D86" s="40"/>
      <c r="E86" s="40"/>
    </row>
    <row r="87" spans="1:5">
      <c r="A87" s="10"/>
      <c r="B87" s="40"/>
      <c r="C87" s="40"/>
      <c r="D87" s="40"/>
      <c r="E87" s="40"/>
    </row>
    <row r="88" spans="1:5">
      <c r="A88" s="10"/>
      <c r="B88" s="40"/>
      <c r="C88" s="40"/>
      <c r="D88" s="40"/>
      <c r="E88" s="40"/>
    </row>
    <row r="89" spans="1:5">
      <c r="A89" s="10"/>
      <c r="B89" s="40"/>
      <c r="C89" s="40"/>
      <c r="D89" s="40"/>
      <c r="E89" s="40"/>
    </row>
    <row r="90" spans="1:5">
      <c r="A90" s="10"/>
      <c r="B90" s="40"/>
      <c r="C90" s="40"/>
      <c r="D90" s="40"/>
      <c r="E90" s="40"/>
    </row>
    <row r="91" spans="1:5">
      <c r="A91" s="10"/>
      <c r="B91" s="40"/>
      <c r="C91" s="40"/>
      <c r="D91" s="40"/>
      <c r="E91" s="40"/>
    </row>
    <row r="92" spans="1:5">
      <c r="A92" s="10"/>
      <c r="B92" s="40"/>
      <c r="C92" s="40"/>
      <c r="D92" s="40"/>
      <c r="E92" s="40"/>
    </row>
    <row r="93" spans="1:5">
      <c r="A93" s="10"/>
      <c r="B93" s="40"/>
      <c r="C93" s="40"/>
      <c r="D93" s="40"/>
      <c r="E93" s="40"/>
    </row>
    <row r="94" spans="1:5">
      <c r="A94" s="10"/>
      <c r="B94" s="40"/>
      <c r="C94" s="40"/>
      <c r="D94" s="40"/>
      <c r="E94" s="40"/>
    </row>
    <row r="95" spans="1:5">
      <c r="A95" s="10"/>
      <c r="B95" s="40"/>
      <c r="C95" s="40"/>
      <c r="D95" s="40"/>
      <c r="E95" s="40"/>
    </row>
    <row r="96" spans="1:5">
      <c r="A96" s="10"/>
      <c r="B96" s="40"/>
      <c r="C96" s="40"/>
      <c r="D96" s="40"/>
      <c r="E96" s="40"/>
    </row>
    <row r="97" spans="1:5">
      <c r="A97" s="10"/>
      <c r="B97" s="40"/>
      <c r="C97" s="40"/>
      <c r="D97" s="40"/>
      <c r="E97" s="40"/>
    </row>
    <row r="98" spans="1:5">
      <c r="A98" s="10"/>
      <c r="B98" s="40"/>
      <c r="C98" s="40"/>
      <c r="D98" s="40"/>
      <c r="E98" s="40"/>
    </row>
    <row r="99" spans="1:5">
      <c r="A99" s="10"/>
      <c r="B99" s="40"/>
      <c r="C99" s="40"/>
      <c r="D99" s="40"/>
      <c r="E99" s="40"/>
    </row>
    <row r="100" spans="1:5">
      <c r="A100" s="10"/>
      <c r="B100" s="40"/>
      <c r="C100" s="40"/>
      <c r="D100" s="40"/>
      <c r="E100" s="40"/>
    </row>
    <row r="101" spans="1:5">
      <c r="A101" s="10"/>
      <c r="B101" s="40"/>
      <c r="C101" s="40"/>
      <c r="D101" s="40"/>
      <c r="E101" s="40"/>
    </row>
    <row r="102" spans="1:5">
      <c r="A102" s="10"/>
      <c r="B102" s="40"/>
      <c r="C102" s="40"/>
      <c r="D102" s="40"/>
      <c r="E102" s="40"/>
    </row>
    <row r="103" spans="1:5">
      <c r="A103" s="10"/>
      <c r="B103" s="40"/>
      <c r="C103" s="40"/>
      <c r="D103" s="40"/>
      <c r="E103" s="40"/>
    </row>
    <row r="104" spans="1:5">
      <c r="A104" s="10"/>
      <c r="B104" s="40"/>
      <c r="C104" s="40"/>
      <c r="D104" s="40"/>
      <c r="E104" s="40"/>
    </row>
    <row r="105" spans="1:5">
      <c r="A105" s="10"/>
      <c r="B105" s="40"/>
      <c r="C105" s="40"/>
      <c r="D105" s="40"/>
      <c r="E105" s="40"/>
    </row>
    <row r="106" spans="1:5">
      <c r="A106" s="10"/>
      <c r="B106" s="40"/>
      <c r="C106" s="40"/>
      <c r="D106" s="40"/>
      <c r="E106" s="40"/>
    </row>
    <row r="107" spans="1:5">
      <c r="A107" s="10"/>
      <c r="B107" s="40"/>
      <c r="C107" s="40"/>
      <c r="D107" s="40"/>
      <c r="E107" s="40"/>
    </row>
    <row r="108" spans="1:5">
      <c r="A108" s="10"/>
      <c r="B108" s="40"/>
      <c r="C108" s="40"/>
      <c r="D108" s="40"/>
      <c r="E108" s="40"/>
    </row>
    <row r="109" spans="1:5">
      <c r="A109" s="10"/>
      <c r="B109" s="40"/>
      <c r="C109" s="40"/>
      <c r="D109" s="40"/>
      <c r="E109" s="40"/>
    </row>
    <row r="110" spans="1:5">
      <c r="A110" s="10"/>
      <c r="B110" s="40"/>
      <c r="C110" s="40"/>
      <c r="D110" s="40"/>
      <c r="E110" s="40"/>
    </row>
    <row r="111" spans="1:5">
      <c r="A111" s="10"/>
      <c r="B111" s="40"/>
      <c r="C111" s="40"/>
      <c r="D111" s="40"/>
      <c r="E111" s="40"/>
    </row>
    <row r="112" spans="1:5">
      <c r="A112" s="10"/>
      <c r="B112" s="40"/>
      <c r="C112" s="40"/>
      <c r="D112" s="40"/>
      <c r="E112" s="40"/>
    </row>
    <row r="113" spans="1:5">
      <c r="A113" s="10"/>
      <c r="B113" s="40"/>
      <c r="C113" s="40"/>
      <c r="D113" s="40"/>
      <c r="E113" s="40"/>
    </row>
    <row r="114" spans="1:5">
      <c r="A114" s="10"/>
      <c r="B114" s="40"/>
      <c r="C114" s="40"/>
      <c r="D114" s="40"/>
      <c r="E114" s="40"/>
    </row>
    <row r="115" spans="1:5">
      <c r="A115" s="10"/>
      <c r="B115" s="40"/>
      <c r="C115" s="40"/>
      <c r="D115" s="40"/>
      <c r="E115" s="40"/>
    </row>
    <row r="116" spans="1:5">
      <c r="A116" s="10"/>
      <c r="B116" s="40"/>
      <c r="C116" s="40"/>
      <c r="D116" s="40"/>
      <c r="E116" s="40"/>
    </row>
    <row r="117" spans="1:5">
      <c r="A117" s="10"/>
      <c r="B117" s="40"/>
      <c r="C117" s="40"/>
      <c r="D117" s="40"/>
      <c r="E117" s="40"/>
    </row>
    <row r="118" spans="1:5">
      <c r="A118" s="10"/>
      <c r="B118" s="40"/>
      <c r="C118" s="40"/>
      <c r="D118" s="40"/>
      <c r="E118" s="40"/>
    </row>
    <row r="119" spans="1:5">
      <c r="A119" s="10"/>
      <c r="B119" s="40"/>
      <c r="C119" s="40"/>
      <c r="D119" s="40"/>
      <c r="E119" s="40"/>
    </row>
    <row r="120" spans="1:5">
      <c r="A120" s="10"/>
      <c r="B120" s="40"/>
      <c r="C120" s="40"/>
      <c r="D120" s="40"/>
      <c r="E120" s="40"/>
    </row>
    <row r="121" spans="1:5">
      <c r="A121" s="10"/>
      <c r="B121" s="40"/>
      <c r="C121" s="40"/>
      <c r="D121" s="40"/>
      <c r="E121" s="40"/>
    </row>
    <row r="122" spans="1:5">
      <c r="A122" s="10"/>
      <c r="B122" s="40"/>
      <c r="C122" s="40"/>
      <c r="D122" s="40"/>
      <c r="E122" s="40"/>
    </row>
    <row r="123" spans="1:5">
      <c r="A123" s="10"/>
      <c r="B123" s="40"/>
      <c r="C123" s="40"/>
      <c r="D123" s="40"/>
      <c r="E123" s="40"/>
    </row>
    <row r="124" spans="1:5">
      <c r="A124" s="10"/>
      <c r="B124" s="40"/>
      <c r="C124" s="40"/>
      <c r="D124" s="40"/>
      <c r="E124" s="40"/>
    </row>
    <row r="125" spans="1:5">
      <c r="A125" s="10"/>
      <c r="B125" s="40"/>
      <c r="C125" s="40"/>
      <c r="D125" s="40"/>
      <c r="E125" s="40"/>
    </row>
    <row r="126" spans="1:5">
      <c r="A126" s="10"/>
      <c r="B126" s="40"/>
      <c r="C126" s="40"/>
      <c r="D126" s="40"/>
      <c r="E126" s="40"/>
    </row>
    <row r="127" spans="1:5">
      <c r="A127" s="10"/>
      <c r="B127" s="40"/>
      <c r="C127" s="40"/>
      <c r="D127" s="40"/>
      <c r="E127" s="40"/>
    </row>
    <row r="128" spans="1:5">
      <c r="A128" s="10"/>
      <c r="B128" s="40"/>
      <c r="C128" s="40"/>
      <c r="D128" s="40"/>
      <c r="E128" s="40"/>
    </row>
    <row r="129" spans="1:5">
      <c r="A129" s="10"/>
      <c r="B129" s="40"/>
      <c r="C129" s="40"/>
      <c r="D129" s="40"/>
      <c r="E129" s="40"/>
    </row>
    <row r="130" spans="1:5">
      <c r="A130" s="10"/>
      <c r="B130" s="40"/>
      <c r="C130" s="40"/>
      <c r="D130" s="40"/>
      <c r="E130" s="40"/>
    </row>
    <row r="131" spans="1:5">
      <c r="A131" s="10"/>
      <c r="B131" s="40"/>
      <c r="C131" s="40"/>
      <c r="D131" s="40"/>
      <c r="E131" s="40"/>
    </row>
    <row r="132" spans="1:5">
      <c r="A132" s="10"/>
      <c r="B132" s="40"/>
      <c r="C132" s="40"/>
      <c r="D132" s="40"/>
      <c r="E132" s="40"/>
    </row>
    <row r="133" spans="1:5">
      <c r="A133" s="10"/>
      <c r="B133" s="40"/>
      <c r="C133" s="40"/>
      <c r="D133" s="40"/>
      <c r="E133" s="40"/>
    </row>
    <row r="134" spans="1:5">
      <c r="A134" s="10"/>
      <c r="B134" s="40"/>
      <c r="C134" s="40"/>
      <c r="D134" s="40"/>
      <c r="E134" s="40"/>
    </row>
    <row r="135" spans="1:5">
      <c r="A135" s="10"/>
      <c r="B135" s="40"/>
      <c r="C135" s="40"/>
      <c r="D135" s="40"/>
      <c r="E135" s="40"/>
    </row>
    <row r="136" spans="1:5">
      <c r="A136" s="10"/>
      <c r="B136" s="40"/>
      <c r="C136" s="40"/>
      <c r="D136" s="40"/>
      <c r="E136" s="40"/>
    </row>
    <row r="137" spans="1:5">
      <c r="A137" s="10"/>
      <c r="B137" s="40"/>
      <c r="C137" s="40"/>
      <c r="D137" s="40"/>
      <c r="E137" s="40"/>
    </row>
    <row r="138" spans="1:5">
      <c r="A138" s="10"/>
      <c r="B138" s="40"/>
      <c r="C138" s="40"/>
      <c r="D138" s="40"/>
      <c r="E138" s="40"/>
    </row>
    <row r="139" spans="1:5">
      <c r="A139" s="10"/>
      <c r="B139" s="40"/>
      <c r="C139" s="40"/>
      <c r="D139" s="40"/>
      <c r="E139" s="40"/>
    </row>
    <row r="140" spans="1:5">
      <c r="A140" s="10"/>
      <c r="B140" s="40"/>
      <c r="C140" s="40"/>
      <c r="D140" s="40"/>
      <c r="E140" s="40"/>
    </row>
    <row r="141" spans="1:5">
      <c r="A141" s="10"/>
      <c r="B141" s="40"/>
      <c r="C141" s="40"/>
      <c r="D141" s="40"/>
      <c r="E141" s="40"/>
    </row>
    <row r="142" spans="1:5">
      <c r="A142" s="10"/>
      <c r="B142" s="40"/>
      <c r="C142" s="40"/>
      <c r="D142" s="40"/>
      <c r="E142" s="40"/>
    </row>
    <row r="143" spans="1:5">
      <c r="A143" s="10"/>
      <c r="B143" s="40"/>
      <c r="C143" s="40"/>
      <c r="D143" s="40"/>
      <c r="E143" s="40"/>
    </row>
    <row r="144" spans="1:5">
      <c r="A144" s="10"/>
      <c r="B144" s="40"/>
      <c r="C144" s="40"/>
      <c r="D144" s="40"/>
      <c r="E144" s="40"/>
    </row>
    <row r="145" spans="1:5">
      <c r="A145" s="10"/>
      <c r="B145" s="40"/>
      <c r="C145" s="40"/>
      <c r="D145" s="40"/>
      <c r="E145" s="40"/>
    </row>
    <row r="146" spans="1:5">
      <c r="A146" s="10"/>
      <c r="B146" s="40"/>
      <c r="C146" s="40"/>
      <c r="D146" s="40"/>
      <c r="E146" s="40"/>
    </row>
    <row r="147" spans="1:5">
      <c r="A147" s="10"/>
      <c r="B147" s="40"/>
      <c r="C147" s="40"/>
      <c r="D147" s="40"/>
      <c r="E147" s="40"/>
    </row>
    <row r="148" spans="1:5">
      <c r="A148" s="10"/>
      <c r="B148" s="40"/>
      <c r="C148" s="40"/>
      <c r="D148" s="40"/>
      <c r="E148" s="40"/>
    </row>
    <row r="149" spans="1:5">
      <c r="A149" s="10"/>
      <c r="B149" s="40"/>
      <c r="C149" s="40"/>
      <c r="D149" s="40"/>
      <c r="E149" s="40"/>
    </row>
    <row r="150" spans="1:5">
      <c r="A150" s="10"/>
      <c r="B150" s="40"/>
      <c r="C150" s="40"/>
      <c r="D150" s="40"/>
      <c r="E150" s="40"/>
    </row>
    <row r="151" spans="1:5">
      <c r="A151" s="10"/>
      <c r="B151" s="40"/>
      <c r="C151" s="40"/>
      <c r="D151" s="40"/>
      <c r="E151" s="40"/>
    </row>
    <row r="152" spans="1:5">
      <c r="A152" s="10"/>
      <c r="B152" s="40"/>
      <c r="C152" s="40"/>
      <c r="D152" s="40"/>
      <c r="E152" s="40"/>
    </row>
    <row r="153" spans="1:5">
      <c r="A153" s="10"/>
      <c r="B153" s="40"/>
      <c r="C153" s="40"/>
      <c r="D153" s="40"/>
      <c r="E153" s="40"/>
    </row>
    <row r="154" spans="1:5">
      <c r="A154" s="10"/>
      <c r="B154" s="40"/>
      <c r="C154" s="40"/>
      <c r="D154" s="40"/>
      <c r="E154" s="40"/>
    </row>
    <row r="155" spans="1:5">
      <c r="A155" s="10"/>
      <c r="B155" s="40"/>
      <c r="C155" s="40"/>
      <c r="D155" s="40"/>
      <c r="E155" s="40"/>
    </row>
    <row r="156" spans="1:5">
      <c r="A156" s="10"/>
      <c r="B156" s="40"/>
      <c r="C156" s="40"/>
      <c r="D156" s="40"/>
      <c r="E156" s="40"/>
    </row>
    <row r="157" spans="1:5">
      <c r="A157" s="10"/>
      <c r="B157" s="40"/>
      <c r="C157" s="40"/>
      <c r="D157" s="40"/>
      <c r="E157" s="40"/>
    </row>
    <row r="158" spans="1:5">
      <c r="A158" s="10"/>
      <c r="B158" s="40"/>
      <c r="C158" s="40"/>
      <c r="D158" s="40"/>
      <c r="E158" s="40"/>
    </row>
    <row r="159" spans="1:5">
      <c r="A159" s="10"/>
      <c r="B159" s="40"/>
      <c r="C159" s="40"/>
      <c r="D159" s="40"/>
      <c r="E159" s="40"/>
    </row>
    <row r="160" spans="1:5">
      <c r="A160" s="10"/>
      <c r="B160" s="40"/>
      <c r="C160" s="40"/>
      <c r="D160" s="40"/>
      <c r="E160" s="40"/>
    </row>
    <row r="161" spans="1:5">
      <c r="A161" s="10"/>
      <c r="B161" s="40"/>
      <c r="C161" s="40"/>
      <c r="D161" s="40"/>
      <c r="E161" s="40"/>
    </row>
    <row r="162" spans="1:5">
      <c r="A162" s="10"/>
      <c r="B162" s="40"/>
      <c r="C162" s="40"/>
      <c r="D162" s="40"/>
      <c r="E162" s="40"/>
    </row>
    <row r="163" spans="1:5">
      <c r="A163" s="10"/>
      <c r="B163" s="40"/>
      <c r="C163" s="40"/>
      <c r="D163" s="40"/>
      <c r="E163" s="40"/>
    </row>
    <row r="164" spans="1:5">
      <c r="A164" s="10"/>
      <c r="B164" s="40"/>
      <c r="C164" s="40"/>
      <c r="D164" s="40"/>
      <c r="E164" s="40"/>
    </row>
    <row r="165" spans="1:5">
      <c r="A165" s="10"/>
      <c r="B165" s="40"/>
      <c r="C165" s="40"/>
      <c r="D165" s="40"/>
      <c r="E165" s="40"/>
    </row>
    <row r="166" spans="1:5">
      <c r="A166" s="10"/>
      <c r="B166" s="40"/>
      <c r="C166" s="40"/>
      <c r="D166" s="40"/>
      <c r="E166" s="40"/>
    </row>
    <row r="167" spans="1:5">
      <c r="A167" s="10"/>
      <c r="B167" s="40"/>
      <c r="C167" s="40"/>
      <c r="D167" s="40"/>
      <c r="E167" s="40"/>
    </row>
    <row r="168" spans="1:5">
      <c r="A168" s="10"/>
      <c r="B168" s="40"/>
      <c r="C168" s="40"/>
      <c r="D168" s="40"/>
      <c r="E168" s="40"/>
    </row>
    <row r="169" spans="1:5">
      <c r="A169" s="10"/>
      <c r="B169" s="40"/>
      <c r="C169" s="40"/>
      <c r="D169" s="40"/>
      <c r="E169" s="40"/>
    </row>
    <row r="170" spans="1:5">
      <c r="A170" s="10"/>
      <c r="B170" s="40"/>
      <c r="C170" s="40"/>
      <c r="D170" s="40"/>
      <c r="E170" s="40"/>
    </row>
    <row r="171" spans="1:5">
      <c r="A171" s="10"/>
      <c r="B171" s="40"/>
      <c r="C171" s="40"/>
      <c r="D171" s="40"/>
      <c r="E171" s="40"/>
    </row>
    <row r="172" spans="1:5">
      <c r="A172" s="10"/>
      <c r="B172" s="40"/>
      <c r="C172" s="40"/>
      <c r="D172" s="40"/>
      <c r="E172" s="40"/>
    </row>
    <row r="173" spans="1:5">
      <c r="A173" s="10"/>
      <c r="B173" s="40"/>
      <c r="C173" s="40"/>
      <c r="D173" s="40"/>
      <c r="E173" s="40"/>
    </row>
    <row r="174" spans="1:5">
      <c r="A174" s="10"/>
      <c r="B174" s="40"/>
      <c r="C174" s="40"/>
      <c r="D174" s="40"/>
      <c r="E174" s="40"/>
    </row>
  </sheetData>
  <mergeCells count="1">
    <mergeCell ref="L11:P1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Z156"/>
  <sheetViews>
    <sheetView topLeftCell="C1" workbookViewId="0">
      <selection activeCell="J17" sqref="J17"/>
    </sheetView>
  </sheetViews>
  <sheetFormatPr defaultRowHeight="15"/>
  <cols>
    <col min="7" max="7" width="10" bestFit="1" customWidth="1"/>
    <col min="21" max="21" width="9.140625" customWidth="1"/>
  </cols>
  <sheetData>
    <row r="1" spans="1:26" s="2" customFormat="1">
      <c r="A1" s="17"/>
      <c r="B1" s="17"/>
      <c r="C1" s="18" t="s">
        <v>54</v>
      </c>
      <c r="D1" s="18" t="s">
        <v>54</v>
      </c>
      <c r="E1" s="18" t="s">
        <v>54</v>
      </c>
      <c r="F1" s="18" t="s">
        <v>54</v>
      </c>
      <c r="G1" s="18" t="s">
        <v>54</v>
      </c>
      <c r="H1" s="18" t="s">
        <v>54</v>
      </c>
      <c r="I1" s="18" t="s">
        <v>55</v>
      </c>
      <c r="J1" s="18" t="s">
        <v>55</v>
      </c>
      <c r="K1" s="18" t="s">
        <v>55</v>
      </c>
      <c r="L1" s="18" t="s">
        <v>55</v>
      </c>
      <c r="M1" s="18" t="s">
        <v>55</v>
      </c>
      <c r="N1" s="18" t="s">
        <v>55</v>
      </c>
      <c r="O1" s="20" t="s">
        <v>54</v>
      </c>
      <c r="P1" s="20" t="s">
        <v>54</v>
      </c>
      <c r="Q1" s="20" t="s">
        <v>54</v>
      </c>
      <c r="R1" s="20" t="s">
        <v>54</v>
      </c>
      <c r="S1" s="20" t="s">
        <v>54</v>
      </c>
      <c r="T1" s="20" t="s">
        <v>54</v>
      </c>
      <c r="U1" s="20" t="s">
        <v>55</v>
      </c>
      <c r="V1" s="20" t="s">
        <v>55</v>
      </c>
      <c r="W1" s="20" t="s">
        <v>55</v>
      </c>
      <c r="X1" s="20" t="s">
        <v>55</v>
      </c>
      <c r="Y1" s="20" t="s">
        <v>55</v>
      </c>
      <c r="Z1" s="20" t="s">
        <v>55</v>
      </c>
    </row>
    <row r="2" spans="1:26" s="2" customFormat="1">
      <c r="A2" s="17"/>
      <c r="B2" s="17" t="s">
        <v>57</v>
      </c>
      <c r="C2" s="18">
        <v>3</v>
      </c>
      <c r="D2" s="18">
        <v>3</v>
      </c>
      <c r="E2" s="18">
        <v>3</v>
      </c>
      <c r="F2" s="18">
        <v>3</v>
      </c>
      <c r="G2" s="18">
        <v>3</v>
      </c>
      <c r="H2" s="18">
        <v>3</v>
      </c>
      <c r="I2" s="18">
        <v>4</v>
      </c>
      <c r="J2" s="18">
        <v>4</v>
      </c>
      <c r="K2" s="18">
        <v>4</v>
      </c>
      <c r="L2" s="18">
        <v>4</v>
      </c>
      <c r="M2" s="18">
        <v>4</v>
      </c>
      <c r="N2" s="18">
        <v>4</v>
      </c>
      <c r="O2" s="21">
        <v>4</v>
      </c>
      <c r="P2" s="21">
        <v>4</v>
      </c>
      <c r="Q2" s="21">
        <v>4</v>
      </c>
      <c r="R2" s="21">
        <v>4</v>
      </c>
      <c r="S2" s="21">
        <v>4</v>
      </c>
      <c r="T2" s="21">
        <v>4</v>
      </c>
      <c r="U2" s="21">
        <v>1</v>
      </c>
      <c r="V2" s="21">
        <v>1</v>
      </c>
      <c r="W2" s="21">
        <v>1</v>
      </c>
      <c r="X2" s="21">
        <v>1</v>
      </c>
      <c r="Y2" s="21">
        <v>1</v>
      </c>
      <c r="Z2" s="21">
        <v>1</v>
      </c>
    </row>
    <row r="3" spans="1:26" s="2" customFormat="1">
      <c r="A3" s="24" t="s">
        <v>58</v>
      </c>
      <c r="B3" s="25"/>
      <c r="C3" s="19" t="str">
        <f ca="1">INDIRECT("'Avatars'!"&amp;ADDRESS(ROW(Avatars!$A$13)+C$2,COLUMN(Avatars!$A$13)))</f>
        <v>Volucris</v>
      </c>
      <c r="D3" s="19" t="str">
        <f ca="1">INDIRECT("'Avatars'!"&amp;ADDRESS(ROW(Avatars!$A$13)+D$2,COLUMN(Avatars!$A$13)))</f>
        <v>Volucris</v>
      </c>
      <c r="E3" s="19" t="str">
        <f ca="1">INDIRECT("'Avatars'!"&amp;ADDRESS(ROW(Avatars!$A$13)+E$2,COLUMN(Avatars!$A$13)))</f>
        <v>Volucris</v>
      </c>
      <c r="F3" s="19" t="str">
        <f ca="1">INDIRECT("'Avatars'!"&amp;ADDRESS(ROW(Avatars!$A$13)+F$2,COLUMN(Avatars!$A$13)))</f>
        <v>Volucris</v>
      </c>
      <c r="G3" s="19" t="str">
        <f ca="1">INDIRECT("'Avatars'!"&amp;ADDRESS(ROW(Avatars!$A$13)+G$2,COLUMN(Avatars!$A$13)))</f>
        <v>Volucris</v>
      </c>
      <c r="H3" s="19" t="str">
        <f ca="1">INDIRECT("'Avatars'!"&amp;ADDRESS(ROW(Avatars!$A$13)+H$2,COLUMN(Avatars!$A$13)))</f>
        <v>Volucris</v>
      </c>
      <c r="I3" s="19" t="str">
        <f ca="1">INDIRECT("'Avatars'!"&amp;ADDRESS(ROW(Avatars!$A$13)+I$2,COLUMN(Avatars!$A$13)))</f>
        <v>Dantalian</v>
      </c>
      <c r="J3" s="19" t="str">
        <f ca="1">INDIRECT("'Avatars'!"&amp;ADDRESS(ROW(Avatars!$A$13)+J$2,COLUMN(Avatars!$A$13)))</f>
        <v>Dantalian</v>
      </c>
      <c r="K3" s="19" t="str">
        <f ca="1">INDIRECT("'Avatars'!"&amp;ADDRESS(ROW(Avatars!$A$13)+K$2,COLUMN(Avatars!$A$13)))</f>
        <v>Dantalian</v>
      </c>
      <c r="L3" s="19" t="str">
        <f ca="1">INDIRECT("'Avatars'!"&amp;ADDRESS(ROW(Avatars!$A$13)+L$2,COLUMN(Avatars!$A$13)))</f>
        <v>Dantalian</v>
      </c>
      <c r="M3" s="19" t="str">
        <f ca="1">INDIRECT("'Avatars'!"&amp;ADDRESS(ROW(Avatars!$A$13)+M$2,COLUMN(Avatars!$A$13)))</f>
        <v>Dantalian</v>
      </c>
      <c r="N3" s="19" t="str">
        <f ca="1">INDIRECT("'Avatars'!"&amp;ADDRESS(ROW(Avatars!$A$13)+N$2,COLUMN(Avatars!$A$13)))</f>
        <v>Dantalian</v>
      </c>
      <c r="O3" s="20" t="str">
        <f ca="1">INDIRECT("'Avatars'!"&amp;ADDRESS(ROW(Avatars!$A$13)+O$2,COLUMN(Avatars!$A$13)))</f>
        <v>Dantalian</v>
      </c>
      <c r="P3" s="20" t="str">
        <f ca="1">INDIRECT("'Avatars'!"&amp;ADDRESS(ROW(Avatars!$A$13)+P$2,COLUMN(Avatars!$A$13)))</f>
        <v>Dantalian</v>
      </c>
      <c r="Q3" s="20" t="str">
        <f ca="1">INDIRECT("'Avatars'!"&amp;ADDRESS(ROW(Avatars!$A$13)+Q$2,COLUMN(Avatars!$A$13)))</f>
        <v>Dantalian</v>
      </c>
      <c r="R3" s="20" t="str">
        <f ca="1">INDIRECT("'Avatars'!"&amp;ADDRESS(ROW(Avatars!$A$13)+R$2,COLUMN(Avatars!$A$13)))</f>
        <v>Dantalian</v>
      </c>
      <c r="S3" s="20" t="str">
        <f ca="1">INDIRECT("'Avatars'!"&amp;ADDRESS(ROW(Avatars!$A$13)+S$2,COLUMN(Avatars!$A$13)))</f>
        <v>Dantalian</v>
      </c>
      <c r="T3" s="20" t="str">
        <f ca="1">INDIRECT("'Avatars'!"&amp;ADDRESS(ROW(Avatars!$A$13)+T$2,COLUMN(Avatars!$A$13)))</f>
        <v>Dantalian</v>
      </c>
      <c r="U3" s="20" t="str">
        <f ca="1">INDIRECT("'Avatars'!"&amp;ADDRESS(ROW(Avatars!$A$13)+U$2,COLUMN(Avatars!$A$13)))</f>
        <v>Geonan</v>
      </c>
      <c r="V3" s="20" t="str">
        <f ca="1">INDIRECT("'Avatars'!"&amp;ADDRESS(ROW(Avatars!$A$13)+V$2,COLUMN(Avatars!$A$13)))</f>
        <v>Geonan</v>
      </c>
      <c r="W3" s="20" t="str">
        <f ca="1">INDIRECT("'Avatars'!"&amp;ADDRESS(ROW(Avatars!$A$13)+W$2,COLUMN(Avatars!$A$13)))</f>
        <v>Geonan</v>
      </c>
      <c r="X3" s="20" t="str">
        <f ca="1">INDIRECT("'Avatars'!"&amp;ADDRESS(ROW(Avatars!$A$13)+X$2,COLUMN(Avatars!$A$13)))</f>
        <v>Geonan</v>
      </c>
      <c r="Y3" s="20" t="str">
        <f ca="1">INDIRECT("'Avatars'!"&amp;ADDRESS(ROW(Avatars!$A$13)+Y$2,COLUMN(Avatars!$A$13)))</f>
        <v>Geonan</v>
      </c>
      <c r="Z3" s="20" t="str">
        <f ca="1">INDIRECT("'Avatars'!"&amp;ADDRESS(ROW(Avatars!$A$13)+Z$2,COLUMN(Avatars!$A$13)))</f>
        <v>Geonan</v>
      </c>
    </row>
    <row r="4" spans="1:26" s="2" customFormat="1">
      <c r="A4" s="17"/>
      <c r="B4" s="17" t="s">
        <v>56</v>
      </c>
      <c r="C4" s="18">
        <v>0</v>
      </c>
      <c r="D4" s="18">
        <v>1</v>
      </c>
      <c r="E4" s="18">
        <v>2</v>
      </c>
      <c r="F4" s="18">
        <v>3</v>
      </c>
      <c r="G4" s="18">
        <v>4</v>
      </c>
      <c r="H4" s="18">
        <v>5</v>
      </c>
      <c r="I4" s="18">
        <v>0</v>
      </c>
      <c r="J4" s="18">
        <v>1</v>
      </c>
      <c r="K4" s="18">
        <v>2</v>
      </c>
      <c r="L4" s="18">
        <v>3</v>
      </c>
      <c r="M4" s="18">
        <v>4</v>
      </c>
      <c r="N4" s="18">
        <v>5</v>
      </c>
      <c r="O4" s="20">
        <v>0</v>
      </c>
      <c r="P4" s="20">
        <v>1</v>
      </c>
      <c r="Q4" s="20">
        <v>2</v>
      </c>
      <c r="R4" s="20">
        <v>3</v>
      </c>
      <c r="S4" s="20">
        <v>4</v>
      </c>
      <c r="T4" s="20">
        <v>5</v>
      </c>
      <c r="U4" s="20">
        <v>0</v>
      </c>
      <c r="V4" s="20">
        <v>1</v>
      </c>
      <c r="W4" s="20">
        <v>2</v>
      </c>
      <c r="X4" s="20">
        <v>3</v>
      </c>
      <c r="Y4" s="20">
        <v>4</v>
      </c>
      <c r="Z4" s="20">
        <v>5</v>
      </c>
    </row>
    <row r="5" spans="1:26" s="10" customFormat="1">
      <c r="A5" s="17" t="s">
        <v>53</v>
      </c>
      <c r="B5" s="17"/>
      <c r="C5" s="19" t="str">
        <f ca="1">INDIRECT("'Avatars'!"&amp;ADDRESS(ROW(Avatars!$A$2)+C$4,COLUMN(Avatars!$A$2)))</f>
        <v>Adept</v>
      </c>
      <c r="D5" s="19" t="str">
        <f ca="1">INDIRECT("'Avatars'!"&amp;ADDRESS(ROW(Avatars!$A$2)+D$4,COLUMN(Avatars!$A$2)))</f>
        <v>Sorcerer</v>
      </c>
      <c r="E5" s="19" t="str">
        <f ca="1">INDIRECT("'Avatars'!"&amp;ADDRESS(ROW(Avatars!$A$2)+E$4,COLUMN(Avatars!$A$2)))</f>
        <v>Leyshaper</v>
      </c>
      <c r="F5" s="19" t="str">
        <f ca="1">INDIRECT("'Avatars'!"&amp;ADDRESS(ROW(Avatars!$A$2)+F$4,COLUMN(Avatars!$A$2)))</f>
        <v>Hunter</v>
      </c>
      <c r="G5" s="19" t="str">
        <f ca="1">INDIRECT("'Avatars'!"&amp;ADDRESS(ROW(Avatars!$A$2)+G$4,COLUMN(Avatars!$A$2)))</f>
        <v>Paladin</v>
      </c>
      <c r="H5" s="19" t="str">
        <f ca="1">INDIRECT("'Avatars'!"&amp;ADDRESS(ROW(Avatars!$A$2)+H$4,COLUMN(Avatars!$A$2)))</f>
        <v>Warrior</v>
      </c>
      <c r="I5" s="19" t="str">
        <f ca="1">INDIRECT("'Avatars'!"&amp;ADDRESS(ROW(Avatars!$A$2)+I$4,COLUMN(Avatars!$A$2)))</f>
        <v>Adept</v>
      </c>
      <c r="J5" s="19" t="str">
        <f ca="1">INDIRECT("'Avatars'!"&amp;ADDRESS(ROW(Avatars!$A$2)+J$4,COLUMN(Avatars!$A$2)))</f>
        <v>Sorcerer</v>
      </c>
      <c r="K5" s="19" t="str">
        <f ca="1">INDIRECT("'Avatars'!"&amp;ADDRESS(ROW(Avatars!$A$2)+K$4,COLUMN(Avatars!$A$2)))</f>
        <v>Leyshaper</v>
      </c>
      <c r="L5" s="19" t="str">
        <f ca="1">INDIRECT("'Avatars'!"&amp;ADDRESS(ROW(Avatars!$A$2)+L$4,COLUMN(Avatars!$A$2)))</f>
        <v>Hunter</v>
      </c>
      <c r="M5" s="19" t="str">
        <f ca="1">INDIRECT("'Avatars'!"&amp;ADDRESS(ROW(Avatars!$A$2)+M$4,COLUMN(Avatars!$A$2)))</f>
        <v>Paladin</v>
      </c>
      <c r="N5" s="19" t="str">
        <f ca="1">INDIRECT("'Avatars'!"&amp;ADDRESS(ROW(Avatars!$A$2)+N$4,COLUMN(Avatars!$A$2)))</f>
        <v>Warrior</v>
      </c>
      <c r="O5" s="21" t="str">
        <f ca="1">INDIRECT("'Avatars'!"&amp;ADDRESS(ROW(Avatars!$A$2)+O$4,COLUMN(Avatars!$A$2)))</f>
        <v>Adept</v>
      </c>
      <c r="P5" s="21" t="str">
        <f ca="1">INDIRECT("'Avatars'!"&amp;ADDRESS(ROW(Avatars!$A$2)+P$4,COLUMN(Avatars!$A$2)))</f>
        <v>Sorcerer</v>
      </c>
      <c r="Q5" s="21" t="str">
        <f ca="1">INDIRECT("'Avatars'!"&amp;ADDRESS(ROW(Avatars!$A$2)+Q$4,COLUMN(Avatars!$A$2)))</f>
        <v>Leyshaper</v>
      </c>
      <c r="R5" s="21" t="str">
        <f ca="1">INDIRECT("'Avatars'!"&amp;ADDRESS(ROW(Avatars!$A$2)+R$4,COLUMN(Avatars!$A$2)))</f>
        <v>Hunter</v>
      </c>
      <c r="S5" s="21" t="str">
        <f ca="1">INDIRECT("'Avatars'!"&amp;ADDRESS(ROW(Avatars!$A$2)+S$4,COLUMN(Avatars!$A$2)))</f>
        <v>Paladin</v>
      </c>
      <c r="T5" s="21" t="str">
        <f ca="1">INDIRECT("'Avatars'!"&amp;ADDRESS(ROW(Avatars!$A$2)+T$4,COLUMN(Avatars!$A$2)))</f>
        <v>Warrior</v>
      </c>
      <c r="U5" s="21" t="str">
        <f ca="1">INDIRECT("'Avatars'!"&amp;ADDRESS(ROW(Avatars!$A$2)+U$4,COLUMN(Avatars!$A$2)))</f>
        <v>Adept</v>
      </c>
      <c r="V5" s="21" t="str">
        <f ca="1">INDIRECT("'Avatars'!"&amp;ADDRESS(ROW(Avatars!$A$2)+V$4,COLUMN(Avatars!$A$2)))</f>
        <v>Sorcerer</v>
      </c>
      <c r="W5" s="21" t="str">
        <f ca="1">INDIRECT("'Avatars'!"&amp;ADDRESS(ROW(Avatars!$A$2)+W$4,COLUMN(Avatars!$A$2)))</f>
        <v>Leyshaper</v>
      </c>
      <c r="X5" s="21" t="str">
        <f ca="1">INDIRECT("'Avatars'!"&amp;ADDRESS(ROW(Avatars!$A$2)+X$4,COLUMN(Avatars!$A$2)))</f>
        <v>Hunter</v>
      </c>
      <c r="Y5" s="21" t="str">
        <f ca="1">INDIRECT("'Avatars'!"&amp;ADDRESS(ROW(Avatars!$A$2)+Y$4,COLUMN(Avatars!$A$2)))</f>
        <v>Paladin</v>
      </c>
      <c r="Z5" s="21" t="str">
        <f ca="1">INDIRECT("'Avatars'!"&amp;ADDRESS(ROW(Avatars!$A$2)+Z$4,COLUMN(Avatars!$A$2)))</f>
        <v>Warrior</v>
      </c>
    </row>
    <row r="6" spans="1:26" s="10" customFormat="1">
      <c r="A6" s="17"/>
      <c r="B6" s="17"/>
      <c r="C6" s="19" t="str">
        <f ca="1">C3&amp;" "&amp;C5</f>
        <v>Volucris Adept</v>
      </c>
      <c r="D6" s="19" t="str">
        <f t="shared" ref="D6:X6" ca="1" si="0">D3&amp;" "&amp;D5</f>
        <v>Volucris Sorcerer</v>
      </c>
      <c r="E6" s="19" t="str">
        <f t="shared" ca="1" si="0"/>
        <v>Volucris Leyshaper</v>
      </c>
      <c r="F6" s="19" t="str">
        <f t="shared" ca="1" si="0"/>
        <v>Volucris Hunter</v>
      </c>
      <c r="G6" s="19" t="str">
        <f t="shared" ca="1" si="0"/>
        <v>Volucris Paladin</v>
      </c>
      <c r="H6" s="19" t="str">
        <f t="shared" ca="1" si="0"/>
        <v>Volucris Warrior</v>
      </c>
      <c r="I6" s="19" t="str">
        <f t="shared" ca="1" si="0"/>
        <v>Dantalian Adept</v>
      </c>
      <c r="J6" s="19" t="str">
        <f t="shared" ca="1" si="0"/>
        <v>Dantalian Sorcerer</v>
      </c>
      <c r="K6" s="19" t="str">
        <f t="shared" ca="1" si="0"/>
        <v>Dantalian Leyshaper</v>
      </c>
      <c r="L6" s="19" t="str">
        <f t="shared" ca="1" si="0"/>
        <v>Dantalian Hunter</v>
      </c>
      <c r="M6" s="19" t="str">
        <f t="shared" ca="1" si="0"/>
        <v>Dantalian Paladin</v>
      </c>
      <c r="N6" s="19" t="str">
        <f t="shared" ca="1" si="0"/>
        <v>Dantalian Warrior</v>
      </c>
      <c r="O6" s="21" t="str">
        <f t="shared" ca="1" si="0"/>
        <v>Dantalian Adept</v>
      </c>
      <c r="P6" s="21" t="str">
        <f t="shared" ca="1" si="0"/>
        <v>Dantalian Sorcerer</v>
      </c>
      <c r="Q6" s="21" t="str">
        <f t="shared" ca="1" si="0"/>
        <v>Dantalian Leyshaper</v>
      </c>
      <c r="R6" s="21" t="str">
        <f t="shared" ca="1" si="0"/>
        <v>Dantalian Hunter</v>
      </c>
      <c r="S6" s="21" t="str">
        <f t="shared" ca="1" si="0"/>
        <v>Dantalian Paladin</v>
      </c>
      <c r="T6" s="21" t="str">
        <f t="shared" ca="1" si="0"/>
        <v>Dantalian Warrior</v>
      </c>
      <c r="U6" s="21" t="str">
        <f t="shared" ca="1" si="0"/>
        <v>Geonan Adept</v>
      </c>
      <c r="V6" s="21" t="str">
        <f t="shared" ca="1" si="0"/>
        <v>Geonan Sorcerer</v>
      </c>
      <c r="W6" s="21" t="str">
        <f t="shared" ca="1" si="0"/>
        <v>Geonan Leyshaper</v>
      </c>
      <c r="X6" s="21" t="str">
        <f t="shared" ca="1" si="0"/>
        <v>Geonan Hunter</v>
      </c>
      <c r="Y6" s="21" t="str">
        <f t="shared" ref="Y6" ca="1" si="1">Y3&amp;" "&amp;Y5</f>
        <v>Geonan Paladin</v>
      </c>
      <c r="Z6" s="21" t="str">
        <f t="shared" ref="Z6" ca="1" si="2">Z3&amp;" "&amp;Z5</f>
        <v>Geonan Warrior</v>
      </c>
    </row>
    <row r="7" spans="1:26" s="2" customFormat="1">
      <c r="A7" s="17">
        <v>1</v>
      </c>
      <c r="B7" s="17"/>
      <c r="C7" s="22">
        <f t="shared" ref="C7:H22" si="3">HP(C$2,C$4,$A7,10,10)+$A$1</f>
        <v>46.222222222222221</v>
      </c>
      <c r="D7" s="22">
        <f t="shared" si="3"/>
        <v>47.777777777777771</v>
      </c>
      <c r="E7" s="22">
        <f t="shared" si="3"/>
        <v>48.555555555555557</v>
      </c>
      <c r="F7" s="22">
        <f t="shared" si="3"/>
        <v>50.111111111111107</v>
      </c>
      <c r="G7" s="22">
        <f t="shared" si="3"/>
        <v>50.888888888888886</v>
      </c>
      <c r="H7" s="22">
        <f t="shared" si="3"/>
        <v>51.666666666666664</v>
      </c>
      <c r="I7" s="22">
        <f>HP(I$2,I$4,$A7,Avatars!$L$17,Avatars!$N$17+$A7-1)+$A$1</f>
        <v>73.288888888888891</v>
      </c>
      <c r="J7" s="22">
        <f>HP(J$2,J$4,$A7,Avatars!$L$17,Avatars!$N$17+$A7-1)+$A$1</f>
        <v>74.844444444444449</v>
      </c>
      <c r="K7" s="22">
        <f>HP(K$2,K$4,$A7,Avatars!$L$17,Avatars!$N$17+$A7-1)+$A$1</f>
        <v>75.62222222222222</v>
      </c>
      <c r="L7" s="22">
        <f>HP(L$2,L$4,$A7,Avatars!$L$17,Avatars!$N$17+$A7-1)+$A$1</f>
        <v>77.177777777777777</v>
      </c>
      <c r="M7" s="22">
        <f>HP(M$2,M$4,$A7,Avatars!$L$17,Avatars!$N$17+$A7-1)+$A$1</f>
        <v>77.955555555555549</v>
      </c>
      <c r="N7" s="22">
        <f>HP(N$2,N$4,$A7,Avatars!$L$17,Avatars!$N$17+$A7-1)+$A$1</f>
        <v>78.733333333333334</v>
      </c>
      <c r="O7" s="23">
        <f>mp(O$2,O$4,$A7,10,10)+$A$1</f>
        <v>19</v>
      </c>
      <c r="P7" s="23">
        <f t="shared" ref="P7:T22" si="4">mp(P$2,P$4,$A7,10,10)+$A$1</f>
        <v>15</v>
      </c>
      <c r="Q7" s="23">
        <f t="shared" si="4"/>
        <v>13.666666666666668</v>
      </c>
      <c r="R7" s="23">
        <f t="shared" si="4"/>
        <v>7</v>
      </c>
      <c r="S7" s="23">
        <f t="shared" si="4"/>
        <v>8.3333333333333339</v>
      </c>
      <c r="T7" s="23">
        <f t="shared" si="4"/>
        <v>6.3333333333333339</v>
      </c>
      <c r="U7" s="23">
        <f>mp(U$2,U$4,$A7,Avatars!$O$16,Avatars!$O$17+$A7)+$A$1</f>
        <v>63.333333333333336</v>
      </c>
      <c r="V7" s="23">
        <f>mp(V$2,V$4,$A7,Avatars!$O$16,Avatars!$O$17+$A7)+$A$1</f>
        <v>59.333333333333336</v>
      </c>
      <c r="W7" s="23">
        <f>mp(W$2,W$4,$A7,Avatars!$O$16,Avatars!$O$17+$A7)+$A$1</f>
        <v>58</v>
      </c>
      <c r="X7" s="23">
        <f>mp(X$2,X$4,$A7,Avatars!$O$16,Avatars!$O$17+$A7)+$A$1</f>
        <v>51.333333333333336</v>
      </c>
      <c r="Y7" s="23">
        <f>mp(Y$2,Y$4,$A7,Avatars!$O$16,Avatars!$O$17+$A7)+$A$1</f>
        <v>52.666666666666664</v>
      </c>
      <c r="Z7" s="23">
        <f>mp(Z$2,Z$4,$A7,Avatars!$O$16,Avatars!$O$17+$A7)+$A$1</f>
        <v>50.666666666666664</v>
      </c>
    </row>
    <row r="8" spans="1:26" s="2" customFormat="1">
      <c r="A8" s="17">
        <v>2</v>
      </c>
      <c r="B8" s="17"/>
      <c r="C8" s="22">
        <f t="shared" si="3"/>
        <v>55.777777777777771</v>
      </c>
      <c r="D8" s="22">
        <f t="shared" si="3"/>
        <v>58.888888888888886</v>
      </c>
      <c r="E8" s="22">
        <f t="shared" si="3"/>
        <v>60.444444444444443</v>
      </c>
      <c r="F8" s="22">
        <f t="shared" si="3"/>
        <v>63.555555555555557</v>
      </c>
      <c r="G8" s="22">
        <f t="shared" si="3"/>
        <v>65.111111111111114</v>
      </c>
      <c r="H8" s="22">
        <f t="shared" si="3"/>
        <v>66.666666666666657</v>
      </c>
      <c r="I8" s="22">
        <f>HP(I$2,I$4,$A8,Avatars!$L$17,Avatars!$N$17+$A8-1)+$A$1</f>
        <v>92.111111111111114</v>
      </c>
      <c r="J8" s="22">
        <f>HP(J$2,J$4,$A8,Avatars!$L$17,Avatars!$N$17+$A8-1)+$A$1</f>
        <v>95.222222222222229</v>
      </c>
      <c r="K8" s="22">
        <f>HP(K$2,K$4,$A8,Avatars!$L$17,Avatars!$N$17+$A8-1)+$A$1</f>
        <v>96.777777777777771</v>
      </c>
      <c r="L8" s="22">
        <f>HP(L$2,L$4,$A8,Avatars!$L$17,Avatars!$N$17+$A8-1)+$A$1</f>
        <v>99.888888888888886</v>
      </c>
      <c r="M8" s="22">
        <f>HP(M$2,M$4,$A8,Avatars!$L$17,Avatars!$N$17+$A8-1)+$A$1</f>
        <v>101.44444444444444</v>
      </c>
      <c r="N8" s="22">
        <f>HP(N$2,N$4,$A8,Avatars!$L$17,Avatars!$N$17+$A8-1)+$A$1</f>
        <v>103</v>
      </c>
      <c r="O8" s="23">
        <f t="shared" ref="O8:T39" si="5">mp(O$2,O$4,$A8,10,10)+$A$1</f>
        <v>33.333333333333336</v>
      </c>
      <c r="P8" s="23">
        <f t="shared" si="4"/>
        <v>25.333333333333336</v>
      </c>
      <c r="Q8" s="23">
        <f t="shared" si="4"/>
        <v>22.666666666666668</v>
      </c>
      <c r="R8" s="23">
        <f t="shared" si="4"/>
        <v>9.3333333333333321</v>
      </c>
      <c r="S8" s="23">
        <f t="shared" si="4"/>
        <v>12</v>
      </c>
      <c r="T8" s="23">
        <f t="shared" si="4"/>
        <v>8</v>
      </c>
      <c r="U8" s="23">
        <f>mp(U$2,U$4,$A8,Avatars!$O$16,Avatars!$O$17+$A8)+$A$1</f>
        <v>90.666666666666671</v>
      </c>
      <c r="V8" s="23">
        <f>mp(V$2,V$4,$A8,Avatars!$O$16,Avatars!$O$17+$A8)+$A$1</f>
        <v>82.666666666666671</v>
      </c>
      <c r="W8" s="23">
        <f>mp(W$2,W$4,$A8,Avatars!$O$16,Avatars!$O$17+$A8)+$A$1</f>
        <v>80</v>
      </c>
      <c r="X8" s="23">
        <f>mp(X$2,X$4,$A8,Avatars!$O$16,Avatars!$O$17+$A8)+$A$1</f>
        <v>66.666666666666671</v>
      </c>
      <c r="Y8" s="23">
        <f>mp(Y$2,Y$4,$A8,Avatars!$O$16,Avatars!$O$17+$A8)+$A$1</f>
        <v>69.333333333333329</v>
      </c>
      <c r="Z8" s="23">
        <f>mp(Z$2,Z$4,$A8,Avatars!$O$16,Avatars!$O$17+$A8)+$A$1</f>
        <v>65.333333333333329</v>
      </c>
    </row>
    <row r="9" spans="1:26" s="2" customFormat="1">
      <c r="A9" s="17">
        <v>3</v>
      </c>
      <c r="B9" s="17"/>
      <c r="C9" s="22">
        <f t="shared" si="3"/>
        <v>65.333333333333329</v>
      </c>
      <c r="D9" s="22">
        <f t="shared" si="3"/>
        <v>70</v>
      </c>
      <c r="E9" s="22">
        <f t="shared" si="3"/>
        <v>72.333333333333329</v>
      </c>
      <c r="F9" s="22">
        <f t="shared" si="3"/>
        <v>77</v>
      </c>
      <c r="G9" s="22">
        <f t="shared" si="3"/>
        <v>79.333333333333329</v>
      </c>
      <c r="H9" s="22">
        <f t="shared" si="3"/>
        <v>81.666666666666657</v>
      </c>
      <c r="I9" s="22">
        <f>HP(I$2,I$4,$A9,Avatars!$L$17,Avatars!$N$17+$A9-1)+$A$1</f>
        <v>114.66666666666667</v>
      </c>
      <c r="J9" s="22">
        <f>HP(J$2,J$4,$A9,Avatars!$L$17,Avatars!$N$17+$A9-1)+$A$1</f>
        <v>119.33333333333333</v>
      </c>
      <c r="K9" s="22">
        <f>HP(K$2,K$4,$A9,Avatars!$L$17,Avatars!$N$17+$A9-1)+$A$1</f>
        <v>121.66666666666667</v>
      </c>
      <c r="L9" s="22">
        <f>HP(L$2,L$4,$A9,Avatars!$L$17,Avatars!$N$17+$A9-1)+$A$1</f>
        <v>126.33333333333333</v>
      </c>
      <c r="M9" s="22">
        <f>HP(M$2,M$4,$A9,Avatars!$L$17,Avatars!$N$17+$A9-1)+$A$1</f>
        <v>128.66666666666666</v>
      </c>
      <c r="N9" s="22">
        <f>HP(N$2,N$4,$A9,Avatars!$L$17,Avatars!$N$17+$A9-1)+$A$1</f>
        <v>131</v>
      </c>
      <c r="O9" s="23">
        <f t="shared" si="5"/>
        <v>47.666666666666671</v>
      </c>
      <c r="P9" s="23">
        <f t="shared" si="4"/>
        <v>35.666666666666671</v>
      </c>
      <c r="Q9" s="23">
        <f t="shared" si="4"/>
        <v>31.666666666666668</v>
      </c>
      <c r="R9" s="23">
        <f t="shared" si="4"/>
        <v>11.666666666666666</v>
      </c>
      <c r="S9" s="23">
        <f t="shared" si="4"/>
        <v>15.666666666666666</v>
      </c>
      <c r="T9" s="23">
        <f t="shared" si="4"/>
        <v>9.6666666666666661</v>
      </c>
      <c r="U9" s="23">
        <f>mp(U$2,U$4,$A9,Avatars!$O$16,Avatars!$O$17+$A9)+$A$1</f>
        <v>131</v>
      </c>
      <c r="V9" s="23">
        <f>mp(V$2,V$4,$A9,Avatars!$O$16,Avatars!$O$17+$A9)+$A$1</f>
        <v>119</v>
      </c>
      <c r="W9" s="23">
        <f>mp(W$2,W$4,$A9,Avatars!$O$16,Avatars!$O$17+$A9)+$A$1</f>
        <v>115</v>
      </c>
      <c r="X9" s="23">
        <f>mp(X$2,X$4,$A9,Avatars!$O$16,Avatars!$O$17+$A9)+$A$1</f>
        <v>95</v>
      </c>
      <c r="Y9" s="23">
        <f>mp(Y$2,Y$4,$A9,Avatars!$O$16,Avatars!$O$17+$A9)+$A$1</f>
        <v>99</v>
      </c>
      <c r="Z9" s="23">
        <f>mp(Z$2,Z$4,$A9,Avatars!$O$16,Avatars!$O$17+$A9)+$A$1</f>
        <v>93</v>
      </c>
    </row>
    <row r="10" spans="1:26" s="2" customFormat="1">
      <c r="A10" s="17">
        <v>4</v>
      </c>
      <c r="B10" s="17"/>
      <c r="C10" s="22">
        <f t="shared" si="3"/>
        <v>74.888888888888886</v>
      </c>
      <c r="D10" s="22">
        <f t="shared" si="3"/>
        <v>81.111111111111114</v>
      </c>
      <c r="E10" s="22">
        <f t="shared" si="3"/>
        <v>84.222222222222229</v>
      </c>
      <c r="F10" s="22">
        <f t="shared" si="3"/>
        <v>90.444444444444443</v>
      </c>
      <c r="G10" s="22">
        <f t="shared" si="3"/>
        <v>93.555555555555543</v>
      </c>
      <c r="H10" s="22">
        <f t="shared" si="3"/>
        <v>96.666666666666657</v>
      </c>
      <c r="I10" s="22">
        <f>HP(I$2,I$4,$A10,Avatars!$L$17,Avatars!$N$17+$A10-1)+$A$1</f>
        <v>137.22222222222223</v>
      </c>
      <c r="J10" s="22">
        <f>HP(J$2,J$4,$A10,Avatars!$L$17,Avatars!$N$17+$A10-1)+$A$1</f>
        <v>143.44444444444446</v>
      </c>
      <c r="K10" s="22">
        <f>HP(K$2,K$4,$A10,Avatars!$L$17,Avatars!$N$17+$A10-1)+$A$1</f>
        <v>146.55555555555554</v>
      </c>
      <c r="L10" s="22">
        <f>HP(L$2,L$4,$A10,Avatars!$L$17,Avatars!$N$17+$A10-1)+$A$1</f>
        <v>152.77777777777777</v>
      </c>
      <c r="M10" s="22">
        <f>HP(M$2,M$4,$A10,Avatars!$L$17,Avatars!$N$17+$A10-1)+$A$1</f>
        <v>155.88888888888889</v>
      </c>
      <c r="N10" s="22">
        <f>HP(N$2,N$4,$A10,Avatars!$L$17,Avatars!$N$17+$A10-1)+$A$1</f>
        <v>159</v>
      </c>
      <c r="O10" s="23">
        <f t="shared" si="5"/>
        <v>62</v>
      </c>
      <c r="P10" s="23">
        <f t="shared" si="4"/>
        <v>46</v>
      </c>
      <c r="Q10" s="23">
        <f t="shared" si="4"/>
        <v>40.666666666666664</v>
      </c>
      <c r="R10" s="23">
        <f t="shared" si="4"/>
        <v>14</v>
      </c>
      <c r="S10" s="23">
        <f t="shared" si="4"/>
        <v>19.333333333333332</v>
      </c>
      <c r="T10" s="23">
        <f t="shared" si="4"/>
        <v>11.333333333333332</v>
      </c>
      <c r="U10" s="23">
        <f>mp(U$2,U$4,$A10,Avatars!$O$16,Avatars!$O$17+$A10)+$A$1</f>
        <v>158.33333333333334</v>
      </c>
      <c r="V10" s="23">
        <f>mp(V$2,V$4,$A10,Avatars!$O$16,Avatars!$O$17+$A10)+$A$1</f>
        <v>142.33333333333334</v>
      </c>
      <c r="W10" s="23">
        <f>mp(W$2,W$4,$A10,Avatars!$O$16,Avatars!$O$17+$A10)+$A$1</f>
        <v>137</v>
      </c>
      <c r="X10" s="23">
        <f>mp(X$2,X$4,$A10,Avatars!$O$16,Avatars!$O$17+$A10)+$A$1</f>
        <v>110.33333333333333</v>
      </c>
      <c r="Y10" s="23">
        <f>mp(Y$2,Y$4,$A10,Avatars!$O$16,Avatars!$O$17+$A10)+$A$1</f>
        <v>115.66666666666667</v>
      </c>
      <c r="Z10" s="23">
        <f>mp(Z$2,Z$4,$A10,Avatars!$O$16,Avatars!$O$17+$A10)+$A$1</f>
        <v>107.66666666666667</v>
      </c>
    </row>
    <row r="11" spans="1:26" s="2" customFormat="1">
      <c r="A11" s="17">
        <v>5</v>
      </c>
      <c r="B11" s="17"/>
      <c r="C11" s="22">
        <f t="shared" si="3"/>
        <v>84.444444444444443</v>
      </c>
      <c r="D11" s="22">
        <f t="shared" si="3"/>
        <v>92.222222222222214</v>
      </c>
      <c r="E11" s="22">
        <f t="shared" si="3"/>
        <v>96.111111111111114</v>
      </c>
      <c r="F11" s="22">
        <f t="shared" si="3"/>
        <v>103.88888888888889</v>
      </c>
      <c r="G11" s="22">
        <f t="shared" si="3"/>
        <v>107.77777777777777</v>
      </c>
      <c r="H11" s="22">
        <f t="shared" si="3"/>
        <v>111.66666666666666</v>
      </c>
      <c r="I11" s="22">
        <f>HP(I$2,I$4,$A11,Avatars!$L$17,Avatars!$N$17+$A11-1)+$A$1</f>
        <v>159.77777777777777</v>
      </c>
      <c r="J11" s="22">
        <f>HP(J$2,J$4,$A11,Avatars!$L$17,Avatars!$N$17+$A11-1)+$A$1</f>
        <v>167.55555555555554</v>
      </c>
      <c r="K11" s="22">
        <f>HP(K$2,K$4,$A11,Avatars!$L$17,Avatars!$N$17+$A11-1)+$A$1</f>
        <v>171.44444444444446</v>
      </c>
      <c r="L11" s="22">
        <f>HP(L$2,L$4,$A11,Avatars!$L$17,Avatars!$N$17+$A11-1)+$A$1</f>
        <v>179.22222222222223</v>
      </c>
      <c r="M11" s="22">
        <f>HP(M$2,M$4,$A11,Avatars!$L$17,Avatars!$N$17+$A11-1)+$A$1</f>
        <v>183.11111111111111</v>
      </c>
      <c r="N11" s="22">
        <f>HP(N$2,N$4,$A11,Avatars!$L$17,Avatars!$N$17+$A11-1)+$A$1</f>
        <v>187</v>
      </c>
      <c r="O11" s="23">
        <f t="shared" si="5"/>
        <v>76.333333333333343</v>
      </c>
      <c r="P11" s="23">
        <f t="shared" si="4"/>
        <v>56.333333333333336</v>
      </c>
      <c r="Q11" s="23">
        <f t="shared" si="4"/>
        <v>49.666666666666664</v>
      </c>
      <c r="R11" s="23">
        <f t="shared" si="4"/>
        <v>16.333333333333332</v>
      </c>
      <c r="S11" s="23">
        <f t="shared" si="4"/>
        <v>23</v>
      </c>
      <c r="T11" s="23">
        <f t="shared" si="4"/>
        <v>13</v>
      </c>
      <c r="U11" s="23">
        <f>mp(U$2,U$4,$A11,Avatars!$O$16,Avatars!$O$17+$A11)+$A$1</f>
        <v>198.66666666666666</v>
      </c>
      <c r="V11" s="23">
        <f>mp(V$2,V$4,$A11,Avatars!$O$16,Avatars!$O$17+$A11)+$A$1</f>
        <v>178.66666666666666</v>
      </c>
      <c r="W11" s="23">
        <f>mp(W$2,W$4,$A11,Avatars!$O$16,Avatars!$O$17+$A11)+$A$1</f>
        <v>172</v>
      </c>
      <c r="X11" s="23">
        <f>mp(X$2,X$4,$A11,Avatars!$O$16,Avatars!$O$17+$A11)+$A$1</f>
        <v>138.66666666666666</v>
      </c>
      <c r="Y11" s="23">
        <f>mp(Y$2,Y$4,$A11,Avatars!$O$16,Avatars!$O$17+$A11)+$A$1</f>
        <v>145.33333333333334</v>
      </c>
      <c r="Z11" s="23">
        <f>mp(Z$2,Z$4,$A11,Avatars!$O$16,Avatars!$O$17+$A11)+$A$1</f>
        <v>135.33333333333334</v>
      </c>
    </row>
    <row r="12" spans="1:26" s="2" customFormat="1">
      <c r="A12" s="17">
        <v>6</v>
      </c>
      <c r="B12" s="17"/>
      <c r="C12" s="22">
        <f t="shared" si="3"/>
        <v>94</v>
      </c>
      <c r="D12" s="22">
        <f t="shared" si="3"/>
        <v>103.33333333333333</v>
      </c>
      <c r="E12" s="22">
        <f t="shared" si="3"/>
        <v>108</v>
      </c>
      <c r="F12" s="22">
        <f t="shared" si="3"/>
        <v>117.33333333333333</v>
      </c>
      <c r="G12" s="22">
        <f t="shared" si="3"/>
        <v>122</v>
      </c>
      <c r="H12" s="22">
        <f t="shared" si="3"/>
        <v>126.66666666666666</v>
      </c>
      <c r="I12" s="22">
        <f>HP(I$2,I$4,$A12,Avatars!$L$17,Avatars!$N$17+$A12-1)+$A$1</f>
        <v>195.33333333333334</v>
      </c>
      <c r="J12" s="22">
        <f>HP(J$2,J$4,$A12,Avatars!$L$17,Avatars!$N$17+$A12-1)+$A$1</f>
        <v>204.66666666666666</v>
      </c>
      <c r="K12" s="22">
        <f>HP(K$2,K$4,$A12,Avatars!$L$17,Avatars!$N$17+$A12-1)+$A$1</f>
        <v>209.33333333333334</v>
      </c>
      <c r="L12" s="22">
        <f>HP(L$2,L$4,$A12,Avatars!$L$17,Avatars!$N$17+$A12-1)+$A$1</f>
        <v>218.66666666666666</v>
      </c>
      <c r="M12" s="22">
        <f>HP(M$2,M$4,$A12,Avatars!$L$17,Avatars!$N$17+$A12-1)+$A$1</f>
        <v>223.33333333333331</v>
      </c>
      <c r="N12" s="22">
        <f>HP(N$2,N$4,$A12,Avatars!$L$17,Avatars!$N$17+$A12-1)+$A$1</f>
        <v>228</v>
      </c>
      <c r="O12" s="23">
        <f t="shared" si="5"/>
        <v>90.666666666666671</v>
      </c>
      <c r="P12" s="23">
        <f t="shared" si="4"/>
        <v>66.666666666666671</v>
      </c>
      <c r="Q12" s="23">
        <f t="shared" si="4"/>
        <v>58.666666666666664</v>
      </c>
      <c r="R12" s="23">
        <f t="shared" si="4"/>
        <v>18.666666666666664</v>
      </c>
      <c r="S12" s="23">
        <f t="shared" si="4"/>
        <v>26.666666666666664</v>
      </c>
      <c r="T12" s="23">
        <f t="shared" si="4"/>
        <v>14.666666666666666</v>
      </c>
      <c r="U12" s="23">
        <f>mp(U$2,U$4,$A12,Avatars!$O$16,Avatars!$O$17+$A12)+$A$1</f>
        <v>226</v>
      </c>
      <c r="V12" s="23">
        <f>mp(V$2,V$4,$A12,Avatars!$O$16,Avatars!$O$17+$A12)+$A$1</f>
        <v>202</v>
      </c>
      <c r="W12" s="23">
        <f>mp(W$2,W$4,$A12,Avatars!$O$16,Avatars!$O$17+$A12)+$A$1</f>
        <v>194</v>
      </c>
      <c r="X12" s="23">
        <f>mp(X$2,X$4,$A12,Avatars!$O$16,Avatars!$O$17+$A12)+$A$1</f>
        <v>154</v>
      </c>
      <c r="Y12" s="23">
        <f>mp(Y$2,Y$4,$A12,Avatars!$O$16,Avatars!$O$17+$A12)+$A$1</f>
        <v>162</v>
      </c>
      <c r="Z12" s="23">
        <f>mp(Z$2,Z$4,$A12,Avatars!$O$16,Avatars!$O$17+$A12)+$A$1</f>
        <v>150</v>
      </c>
    </row>
    <row r="13" spans="1:26" s="2" customFormat="1">
      <c r="A13" s="17">
        <v>7</v>
      </c>
      <c r="B13" s="17"/>
      <c r="C13" s="22">
        <f t="shared" si="3"/>
        <v>103.55555555555556</v>
      </c>
      <c r="D13" s="22">
        <f t="shared" si="3"/>
        <v>114.44444444444444</v>
      </c>
      <c r="E13" s="22">
        <f t="shared" si="3"/>
        <v>119.88888888888889</v>
      </c>
      <c r="F13" s="22">
        <f t="shared" si="3"/>
        <v>130.77777777777777</v>
      </c>
      <c r="G13" s="22">
        <f t="shared" si="3"/>
        <v>136.22222222222223</v>
      </c>
      <c r="H13" s="22">
        <f t="shared" si="3"/>
        <v>141.66666666666666</v>
      </c>
      <c r="I13" s="22">
        <f>HP(I$2,I$4,$A13,Avatars!$L$17,Avatars!$N$17+$A13-1)+$A$1</f>
        <v>217.88888888888889</v>
      </c>
      <c r="J13" s="22">
        <f>HP(J$2,J$4,$A13,Avatars!$L$17,Avatars!$N$17+$A13-1)+$A$1</f>
        <v>228.77777777777777</v>
      </c>
      <c r="K13" s="22">
        <f>HP(K$2,K$4,$A13,Avatars!$L$17,Avatars!$N$17+$A13-1)+$A$1</f>
        <v>234.22222222222223</v>
      </c>
      <c r="L13" s="22">
        <f>HP(L$2,L$4,$A13,Avatars!$L$17,Avatars!$N$17+$A13-1)+$A$1</f>
        <v>245.11111111111111</v>
      </c>
      <c r="M13" s="22">
        <f>HP(M$2,M$4,$A13,Avatars!$L$17,Avatars!$N$17+$A13-1)+$A$1</f>
        <v>250.55555555555554</v>
      </c>
      <c r="N13" s="22">
        <f>HP(N$2,N$4,$A13,Avatars!$L$17,Avatars!$N$17+$A13-1)+$A$1</f>
        <v>256</v>
      </c>
      <c r="O13" s="23">
        <f t="shared" si="5"/>
        <v>105</v>
      </c>
      <c r="P13" s="23">
        <f t="shared" si="4"/>
        <v>77</v>
      </c>
      <c r="Q13" s="23">
        <f t="shared" si="4"/>
        <v>67.666666666666671</v>
      </c>
      <c r="R13" s="23">
        <f t="shared" si="4"/>
        <v>21</v>
      </c>
      <c r="S13" s="23">
        <f t="shared" si="4"/>
        <v>30.333333333333332</v>
      </c>
      <c r="T13" s="23">
        <f t="shared" si="4"/>
        <v>16.333333333333332</v>
      </c>
      <c r="U13" s="23">
        <f>mp(U$2,U$4,$A13,Avatars!$O$16,Avatars!$O$17+$A13)+$A$1</f>
        <v>253.33333333333334</v>
      </c>
      <c r="V13" s="23">
        <f>mp(V$2,V$4,$A13,Avatars!$O$16,Avatars!$O$17+$A13)+$A$1</f>
        <v>225.33333333333334</v>
      </c>
      <c r="W13" s="23">
        <f>mp(W$2,W$4,$A13,Avatars!$O$16,Avatars!$O$17+$A13)+$A$1</f>
        <v>216</v>
      </c>
      <c r="X13" s="23">
        <f>mp(X$2,X$4,$A13,Avatars!$O$16,Avatars!$O$17+$A13)+$A$1</f>
        <v>169.33333333333334</v>
      </c>
      <c r="Y13" s="23">
        <f>mp(Y$2,Y$4,$A13,Avatars!$O$16,Avatars!$O$17+$A13)+$A$1</f>
        <v>178.66666666666666</v>
      </c>
      <c r="Z13" s="23">
        <f>mp(Z$2,Z$4,$A13,Avatars!$O$16,Avatars!$O$17+$A13)+$A$1</f>
        <v>164.66666666666666</v>
      </c>
    </row>
    <row r="14" spans="1:26" s="2" customFormat="1">
      <c r="A14" s="17">
        <v>8</v>
      </c>
      <c r="B14" s="17"/>
      <c r="C14" s="22">
        <f t="shared" si="3"/>
        <v>113.11111111111111</v>
      </c>
      <c r="D14" s="22">
        <f t="shared" si="3"/>
        <v>125.55555555555554</v>
      </c>
      <c r="E14" s="22">
        <f t="shared" si="3"/>
        <v>131.77777777777777</v>
      </c>
      <c r="F14" s="22">
        <f t="shared" si="3"/>
        <v>144.22222222222223</v>
      </c>
      <c r="G14" s="22">
        <f t="shared" si="3"/>
        <v>150.44444444444443</v>
      </c>
      <c r="H14" s="22">
        <f t="shared" si="3"/>
        <v>156.66666666666666</v>
      </c>
      <c r="I14" s="22">
        <f>HP(I$2,I$4,$A14,Avatars!$L$17,Avatars!$N$17+$A14-1)+$A$1</f>
        <v>240.44444444444446</v>
      </c>
      <c r="J14" s="22">
        <f>HP(J$2,J$4,$A14,Avatars!$L$17,Avatars!$N$17+$A14-1)+$A$1</f>
        <v>252.88888888888889</v>
      </c>
      <c r="K14" s="22">
        <f>HP(K$2,K$4,$A14,Avatars!$L$17,Avatars!$N$17+$A14-1)+$A$1</f>
        <v>259.11111111111109</v>
      </c>
      <c r="L14" s="22">
        <f>HP(L$2,L$4,$A14,Avatars!$L$17,Avatars!$N$17+$A14-1)+$A$1</f>
        <v>271.55555555555554</v>
      </c>
      <c r="M14" s="22">
        <f>HP(M$2,M$4,$A14,Avatars!$L$17,Avatars!$N$17+$A14-1)+$A$1</f>
        <v>277.77777777777777</v>
      </c>
      <c r="N14" s="22">
        <f>HP(N$2,N$4,$A14,Avatars!$L$17,Avatars!$N$17+$A14-1)+$A$1</f>
        <v>284</v>
      </c>
      <c r="O14" s="23">
        <f t="shared" si="5"/>
        <v>119.33333333333334</v>
      </c>
      <c r="P14" s="23">
        <f t="shared" si="4"/>
        <v>87.333333333333343</v>
      </c>
      <c r="Q14" s="23">
        <f t="shared" si="4"/>
        <v>76.666666666666671</v>
      </c>
      <c r="R14" s="23">
        <f t="shared" si="4"/>
        <v>23.333333333333332</v>
      </c>
      <c r="S14" s="23">
        <f t="shared" si="4"/>
        <v>34</v>
      </c>
      <c r="T14" s="23">
        <f t="shared" si="4"/>
        <v>18</v>
      </c>
      <c r="U14" s="23">
        <f>mp(U$2,U$4,$A14,Avatars!$O$16,Avatars!$O$17+$A14)+$A$1</f>
        <v>280.66666666666669</v>
      </c>
      <c r="V14" s="23">
        <f>mp(V$2,V$4,$A14,Avatars!$O$16,Avatars!$O$17+$A14)+$A$1</f>
        <v>248.66666666666669</v>
      </c>
      <c r="W14" s="23">
        <f>mp(W$2,W$4,$A14,Avatars!$O$16,Avatars!$O$17+$A14)+$A$1</f>
        <v>238</v>
      </c>
      <c r="X14" s="23">
        <f>mp(X$2,X$4,$A14,Avatars!$O$16,Avatars!$O$17+$A14)+$A$1</f>
        <v>184.66666666666666</v>
      </c>
      <c r="Y14" s="23">
        <f>mp(Y$2,Y$4,$A14,Avatars!$O$16,Avatars!$O$17+$A14)+$A$1</f>
        <v>195.33333333333334</v>
      </c>
      <c r="Z14" s="23">
        <f>mp(Z$2,Z$4,$A14,Avatars!$O$16,Avatars!$O$17+$A14)+$A$1</f>
        <v>179.33333333333334</v>
      </c>
    </row>
    <row r="15" spans="1:26" s="2" customFormat="1">
      <c r="A15" s="17">
        <v>9</v>
      </c>
      <c r="B15" s="17"/>
      <c r="C15" s="22">
        <f t="shared" si="3"/>
        <v>122.66666666666666</v>
      </c>
      <c r="D15" s="22">
        <f t="shared" si="3"/>
        <v>136.66666666666666</v>
      </c>
      <c r="E15" s="22">
        <f t="shared" si="3"/>
        <v>143.66666666666666</v>
      </c>
      <c r="F15" s="22">
        <f t="shared" si="3"/>
        <v>157.66666666666666</v>
      </c>
      <c r="G15" s="22">
        <f t="shared" si="3"/>
        <v>164.66666666666666</v>
      </c>
      <c r="H15" s="22">
        <f t="shared" si="3"/>
        <v>171.66666666666666</v>
      </c>
      <c r="I15" s="22">
        <f>HP(I$2,I$4,$A15,Avatars!$L$17,Avatars!$N$17+$A15-1)+$A$1</f>
        <v>263</v>
      </c>
      <c r="J15" s="22">
        <f>HP(J$2,J$4,$A15,Avatars!$L$17,Avatars!$N$17+$A15-1)+$A$1</f>
        <v>277</v>
      </c>
      <c r="K15" s="22">
        <f>HP(K$2,K$4,$A15,Avatars!$L$17,Avatars!$N$17+$A15-1)+$A$1</f>
        <v>284</v>
      </c>
      <c r="L15" s="22">
        <f>HP(L$2,L$4,$A15,Avatars!$L$17,Avatars!$N$17+$A15-1)+$A$1</f>
        <v>298</v>
      </c>
      <c r="M15" s="22">
        <f>HP(M$2,M$4,$A15,Avatars!$L$17,Avatars!$N$17+$A15-1)+$A$1</f>
        <v>305</v>
      </c>
      <c r="N15" s="22">
        <f>HP(N$2,N$4,$A15,Avatars!$L$17,Avatars!$N$17+$A15-1)+$A$1</f>
        <v>312</v>
      </c>
      <c r="O15" s="23">
        <f t="shared" si="5"/>
        <v>133.66666666666669</v>
      </c>
      <c r="P15" s="23">
        <f t="shared" si="4"/>
        <v>97.666666666666671</v>
      </c>
      <c r="Q15" s="23">
        <f t="shared" si="4"/>
        <v>85.666666666666671</v>
      </c>
      <c r="R15" s="23">
        <f t="shared" si="4"/>
        <v>25.666666666666664</v>
      </c>
      <c r="S15" s="23">
        <f t="shared" si="4"/>
        <v>37.666666666666664</v>
      </c>
      <c r="T15" s="23">
        <f t="shared" si="4"/>
        <v>19.666666666666664</v>
      </c>
      <c r="U15" s="23">
        <f>mp(U$2,U$4,$A15,Avatars!$O$16,Avatars!$O$17+$A15)+$A$1</f>
        <v>321</v>
      </c>
      <c r="V15" s="23">
        <f>mp(V$2,V$4,$A15,Avatars!$O$16,Avatars!$O$17+$A15)+$A$1</f>
        <v>285</v>
      </c>
      <c r="W15" s="23">
        <f>mp(W$2,W$4,$A15,Avatars!$O$16,Avatars!$O$17+$A15)+$A$1</f>
        <v>273</v>
      </c>
      <c r="X15" s="23">
        <f>mp(X$2,X$4,$A15,Avatars!$O$16,Avatars!$O$17+$A15)+$A$1</f>
        <v>213</v>
      </c>
      <c r="Y15" s="23">
        <f>mp(Y$2,Y$4,$A15,Avatars!$O$16,Avatars!$O$17+$A15)+$A$1</f>
        <v>225</v>
      </c>
      <c r="Z15" s="23">
        <f>mp(Z$2,Z$4,$A15,Avatars!$O$16,Avatars!$O$17+$A15)+$A$1</f>
        <v>207</v>
      </c>
    </row>
    <row r="16" spans="1:26" s="2" customFormat="1">
      <c r="A16" s="17">
        <v>10</v>
      </c>
      <c r="B16" s="17"/>
      <c r="C16" s="22">
        <f t="shared" si="3"/>
        <v>132.22222222222223</v>
      </c>
      <c r="D16" s="22">
        <f t="shared" si="3"/>
        <v>147.77777777777777</v>
      </c>
      <c r="E16" s="22">
        <f t="shared" si="3"/>
        <v>155.55555555555554</v>
      </c>
      <c r="F16" s="22">
        <f t="shared" si="3"/>
        <v>171.11111111111111</v>
      </c>
      <c r="G16" s="22">
        <f t="shared" si="3"/>
        <v>178.88888888888889</v>
      </c>
      <c r="H16" s="22">
        <f t="shared" si="3"/>
        <v>186.66666666666666</v>
      </c>
      <c r="I16" s="22">
        <f>HP(I$2,I$4,$A16,Avatars!$L$17,Avatars!$N$17+$A16-1)+$A$1</f>
        <v>298.55555555555554</v>
      </c>
      <c r="J16" s="22">
        <f>HP(J$2,J$4,$A16,Avatars!$L$17,Avatars!$N$17+$A16-1)+$A$1</f>
        <v>314.11111111111109</v>
      </c>
      <c r="K16" s="22">
        <f>HP(K$2,K$4,$A16,Avatars!$L$17,Avatars!$N$17+$A16-1)+$A$1</f>
        <v>321.88888888888891</v>
      </c>
      <c r="L16" s="22">
        <f>HP(L$2,L$4,$A16,Avatars!$L$17,Avatars!$N$17+$A16-1)+$A$1</f>
        <v>337.44444444444446</v>
      </c>
      <c r="M16" s="22">
        <f>HP(M$2,M$4,$A16,Avatars!$L$17,Avatars!$N$17+$A16-1)+$A$1</f>
        <v>345.22222222222223</v>
      </c>
      <c r="N16" s="22">
        <f>HP(N$2,N$4,$A16,Avatars!$L$17,Avatars!$N$17+$A16-1)+$A$1</f>
        <v>353</v>
      </c>
      <c r="O16" s="23">
        <f t="shared" si="5"/>
        <v>148</v>
      </c>
      <c r="P16" s="23">
        <f t="shared" si="4"/>
        <v>108</v>
      </c>
      <c r="Q16" s="23">
        <f t="shared" si="4"/>
        <v>94.666666666666671</v>
      </c>
      <c r="R16" s="23">
        <f t="shared" si="4"/>
        <v>27.999999999999996</v>
      </c>
      <c r="S16" s="23">
        <f t="shared" si="4"/>
        <v>41.333333333333329</v>
      </c>
      <c r="T16" s="23">
        <f t="shared" si="4"/>
        <v>21.333333333333332</v>
      </c>
      <c r="U16" s="23">
        <f>mp(U$2,U$4,$A16,Avatars!$O$16,Avatars!$O$17+$A16)+$A$1</f>
        <v>348.33333333333331</v>
      </c>
      <c r="V16" s="23">
        <f>mp(V$2,V$4,$A16,Avatars!$O$16,Avatars!$O$17+$A16)+$A$1</f>
        <v>308.33333333333331</v>
      </c>
      <c r="W16" s="23">
        <f>mp(W$2,W$4,$A16,Avatars!$O$16,Avatars!$O$17+$A16)+$A$1</f>
        <v>295</v>
      </c>
      <c r="X16" s="23">
        <f>mp(X$2,X$4,$A16,Avatars!$O$16,Avatars!$O$17+$A16)+$A$1</f>
        <v>228.33333333333334</v>
      </c>
      <c r="Y16" s="23">
        <f>mp(Y$2,Y$4,$A16,Avatars!$O$16,Avatars!$O$17+$A16)+$A$1</f>
        <v>241.66666666666666</v>
      </c>
      <c r="Z16" s="23">
        <f>mp(Z$2,Z$4,$A16,Avatars!$O$16,Avatars!$O$17+$A16)+$A$1</f>
        <v>221.66666666666666</v>
      </c>
    </row>
    <row r="17" spans="1:26" s="2" customFormat="1">
      <c r="A17" s="17">
        <v>11</v>
      </c>
      <c r="B17" s="17"/>
      <c r="C17" s="22">
        <f t="shared" si="3"/>
        <v>141.77777777777777</v>
      </c>
      <c r="D17" s="22">
        <f t="shared" si="3"/>
        <v>158.88888888888889</v>
      </c>
      <c r="E17" s="22">
        <f t="shared" si="3"/>
        <v>167.44444444444446</v>
      </c>
      <c r="F17" s="22">
        <f t="shared" si="3"/>
        <v>184.55555555555554</v>
      </c>
      <c r="G17" s="22">
        <f t="shared" si="3"/>
        <v>193.11111111111109</v>
      </c>
      <c r="H17" s="22">
        <f t="shared" si="3"/>
        <v>201.66666666666666</v>
      </c>
      <c r="I17" s="22">
        <f>HP(I$2,I$4,$A17,Avatars!$L$17,Avatars!$N$17+$A17-1)+$A$1</f>
        <v>321.11111111111109</v>
      </c>
      <c r="J17" s="22">
        <f>HP(J$2,J$4,$A17,Avatars!$L$17,Avatars!$N$17+$A17-1)+$A$1</f>
        <v>338.22222222222223</v>
      </c>
      <c r="K17" s="22">
        <f>HP(K$2,K$4,$A17,Avatars!$L$17,Avatars!$N$17+$A17-1)+$A$1</f>
        <v>346.77777777777777</v>
      </c>
      <c r="L17" s="22">
        <f>HP(L$2,L$4,$A17,Avatars!$L$17,Avatars!$N$17+$A17-1)+$A$1</f>
        <v>363.88888888888891</v>
      </c>
      <c r="M17" s="22">
        <f>HP(M$2,M$4,$A17,Avatars!$L$17,Avatars!$N$17+$A17-1)+$A$1</f>
        <v>372.44444444444446</v>
      </c>
      <c r="N17" s="22">
        <f>HP(N$2,N$4,$A17,Avatars!$L$17,Avatars!$N$17+$A17-1)+$A$1</f>
        <v>381</v>
      </c>
      <c r="O17" s="23">
        <f t="shared" si="5"/>
        <v>162.33333333333334</v>
      </c>
      <c r="P17" s="23">
        <f t="shared" si="4"/>
        <v>118.33333333333334</v>
      </c>
      <c r="Q17" s="23">
        <f t="shared" si="4"/>
        <v>103.66666666666667</v>
      </c>
      <c r="R17" s="23">
        <f t="shared" si="4"/>
        <v>30.333333333333329</v>
      </c>
      <c r="S17" s="23">
        <f t="shared" si="4"/>
        <v>45</v>
      </c>
      <c r="T17" s="23">
        <f t="shared" si="4"/>
        <v>23</v>
      </c>
      <c r="U17" s="23">
        <f>mp(U$2,U$4,$A17,Avatars!$O$16,Avatars!$O$17+$A17)+$A$1</f>
        <v>375.66666666666669</v>
      </c>
      <c r="V17" s="23">
        <f>mp(V$2,V$4,$A17,Avatars!$O$16,Avatars!$O$17+$A17)+$A$1</f>
        <v>331.66666666666669</v>
      </c>
      <c r="W17" s="23">
        <f>mp(W$2,W$4,$A17,Avatars!$O$16,Avatars!$O$17+$A17)+$A$1</f>
        <v>317</v>
      </c>
      <c r="X17" s="23">
        <f>mp(X$2,X$4,$A17,Avatars!$O$16,Avatars!$O$17+$A17)+$A$1</f>
        <v>243.66666666666666</v>
      </c>
      <c r="Y17" s="23">
        <f>mp(Y$2,Y$4,$A17,Avatars!$O$16,Avatars!$O$17+$A17)+$A$1</f>
        <v>258.33333333333331</v>
      </c>
      <c r="Z17" s="23">
        <f>mp(Z$2,Z$4,$A17,Avatars!$O$16,Avatars!$O$17+$A17)+$A$1</f>
        <v>236.33333333333334</v>
      </c>
    </row>
    <row r="18" spans="1:26" s="2" customFormat="1">
      <c r="A18" s="17">
        <v>12</v>
      </c>
      <c r="B18" s="17"/>
      <c r="C18" s="22">
        <f t="shared" si="3"/>
        <v>151.33333333333331</v>
      </c>
      <c r="D18" s="22">
        <f t="shared" si="3"/>
        <v>170</v>
      </c>
      <c r="E18" s="22">
        <f t="shared" si="3"/>
        <v>179.33333333333334</v>
      </c>
      <c r="F18" s="22">
        <f t="shared" si="3"/>
        <v>198</v>
      </c>
      <c r="G18" s="22">
        <f t="shared" si="3"/>
        <v>207.33333333333331</v>
      </c>
      <c r="H18" s="22">
        <f t="shared" si="3"/>
        <v>216.66666666666666</v>
      </c>
      <c r="I18" s="22">
        <f>HP(I$2,I$4,$A18,Avatars!$L$17,Avatars!$N$17+$A18-1)+$A$1</f>
        <v>343.66666666666669</v>
      </c>
      <c r="J18" s="22">
        <f>HP(J$2,J$4,$A18,Avatars!$L$17,Avatars!$N$17+$A18-1)+$A$1</f>
        <v>362.33333333333331</v>
      </c>
      <c r="K18" s="22">
        <f>HP(K$2,K$4,$A18,Avatars!$L$17,Avatars!$N$17+$A18-1)+$A$1</f>
        <v>371.66666666666669</v>
      </c>
      <c r="L18" s="22">
        <f>HP(L$2,L$4,$A18,Avatars!$L$17,Avatars!$N$17+$A18-1)+$A$1</f>
        <v>390.33333333333331</v>
      </c>
      <c r="M18" s="22">
        <f>HP(M$2,M$4,$A18,Avatars!$L$17,Avatars!$N$17+$A18-1)+$A$1</f>
        <v>399.66666666666663</v>
      </c>
      <c r="N18" s="22">
        <f>HP(N$2,N$4,$A18,Avatars!$L$17,Avatars!$N$17+$A18-1)+$A$1</f>
        <v>409</v>
      </c>
      <c r="O18" s="23">
        <f t="shared" si="5"/>
        <v>176.66666666666669</v>
      </c>
      <c r="P18" s="23">
        <f t="shared" si="4"/>
        <v>128.66666666666669</v>
      </c>
      <c r="Q18" s="23">
        <f t="shared" si="4"/>
        <v>112.66666666666667</v>
      </c>
      <c r="R18" s="23">
        <f t="shared" si="4"/>
        <v>32.666666666666664</v>
      </c>
      <c r="S18" s="23">
        <f t="shared" si="4"/>
        <v>48.666666666666664</v>
      </c>
      <c r="T18" s="23">
        <f t="shared" si="4"/>
        <v>24.666666666666664</v>
      </c>
      <c r="U18" s="23">
        <f>mp(U$2,U$4,$A18,Avatars!$O$16,Avatars!$O$17+$A18)+$A$1</f>
        <v>403</v>
      </c>
      <c r="V18" s="23">
        <f>mp(V$2,V$4,$A18,Avatars!$O$16,Avatars!$O$17+$A18)+$A$1</f>
        <v>355</v>
      </c>
      <c r="W18" s="23">
        <f>mp(W$2,W$4,$A18,Avatars!$O$16,Avatars!$O$17+$A18)+$A$1</f>
        <v>339</v>
      </c>
      <c r="X18" s="23">
        <f>mp(X$2,X$4,$A18,Avatars!$O$16,Avatars!$O$17+$A18)+$A$1</f>
        <v>259</v>
      </c>
      <c r="Y18" s="23">
        <f>mp(Y$2,Y$4,$A18,Avatars!$O$16,Avatars!$O$17+$A18)+$A$1</f>
        <v>275</v>
      </c>
      <c r="Z18" s="23">
        <f>mp(Z$2,Z$4,$A18,Avatars!$O$16,Avatars!$O$17+$A18)+$A$1</f>
        <v>251</v>
      </c>
    </row>
    <row r="19" spans="1:26" s="2" customFormat="1">
      <c r="A19" s="17">
        <v>13</v>
      </c>
      <c r="B19" s="17"/>
      <c r="C19" s="22">
        <f t="shared" si="3"/>
        <v>160.88888888888889</v>
      </c>
      <c r="D19" s="22">
        <f t="shared" si="3"/>
        <v>181.11111111111111</v>
      </c>
      <c r="E19" s="22">
        <f t="shared" si="3"/>
        <v>191.22222222222223</v>
      </c>
      <c r="F19" s="22">
        <f t="shared" si="3"/>
        <v>211.44444444444446</v>
      </c>
      <c r="G19" s="22">
        <f t="shared" si="3"/>
        <v>221.55555555555554</v>
      </c>
      <c r="H19" s="22">
        <f t="shared" si="3"/>
        <v>231.66666666666666</v>
      </c>
      <c r="I19" s="22">
        <f>HP(I$2,I$4,$A19,Avatars!$L$17,Avatars!$N$17+$A19-1)+$A$1</f>
        <v>366.22222222222223</v>
      </c>
      <c r="J19" s="22">
        <f>HP(J$2,J$4,$A19,Avatars!$L$17,Avatars!$N$17+$A19-1)+$A$1</f>
        <v>386.44444444444446</v>
      </c>
      <c r="K19" s="22">
        <f>HP(K$2,K$4,$A19,Avatars!$L$17,Avatars!$N$17+$A19-1)+$A$1</f>
        <v>396.55555555555554</v>
      </c>
      <c r="L19" s="22">
        <f>HP(L$2,L$4,$A19,Avatars!$L$17,Avatars!$N$17+$A19-1)+$A$1</f>
        <v>416.77777777777777</v>
      </c>
      <c r="M19" s="22">
        <f>HP(M$2,M$4,$A19,Avatars!$L$17,Avatars!$N$17+$A19-1)+$A$1</f>
        <v>426.88888888888886</v>
      </c>
      <c r="N19" s="22">
        <f>HP(N$2,N$4,$A19,Avatars!$L$17,Avatars!$N$17+$A19-1)+$A$1</f>
        <v>437</v>
      </c>
      <c r="O19" s="23">
        <f t="shared" si="5"/>
        <v>191</v>
      </c>
      <c r="P19" s="23">
        <f t="shared" si="4"/>
        <v>139</v>
      </c>
      <c r="Q19" s="23">
        <f t="shared" si="4"/>
        <v>121.66666666666667</v>
      </c>
      <c r="R19" s="23">
        <f t="shared" si="4"/>
        <v>35</v>
      </c>
      <c r="S19" s="23">
        <f t="shared" si="4"/>
        <v>52.333333333333329</v>
      </c>
      <c r="T19" s="23">
        <f t="shared" si="4"/>
        <v>26.333333333333332</v>
      </c>
      <c r="U19" s="23">
        <f>mp(U$2,U$4,$A19,Avatars!$O$16,Avatars!$O$17+$A19)+$A$1</f>
        <v>443.33333333333331</v>
      </c>
      <c r="V19" s="23">
        <f>mp(V$2,V$4,$A19,Avatars!$O$16,Avatars!$O$17+$A19)+$A$1</f>
        <v>391.33333333333331</v>
      </c>
      <c r="W19" s="23">
        <f>mp(W$2,W$4,$A19,Avatars!$O$16,Avatars!$O$17+$A19)+$A$1</f>
        <v>374</v>
      </c>
      <c r="X19" s="23">
        <f>mp(X$2,X$4,$A19,Avatars!$O$16,Avatars!$O$17+$A19)+$A$1</f>
        <v>287.33333333333331</v>
      </c>
      <c r="Y19" s="23">
        <f>mp(Y$2,Y$4,$A19,Avatars!$O$16,Avatars!$O$17+$A19)+$A$1</f>
        <v>304.66666666666669</v>
      </c>
      <c r="Z19" s="23">
        <f>mp(Z$2,Z$4,$A19,Avatars!$O$16,Avatars!$O$17+$A19)+$A$1</f>
        <v>278.66666666666669</v>
      </c>
    </row>
    <row r="20" spans="1:26" s="2" customFormat="1">
      <c r="A20" s="17">
        <v>14</v>
      </c>
      <c r="B20" s="17"/>
      <c r="C20" s="22">
        <f t="shared" si="3"/>
        <v>170.44444444444443</v>
      </c>
      <c r="D20" s="22">
        <f t="shared" si="3"/>
        <v>192.22222222222223</v>
      </c>
      <c r="E20" s="22">
        <f t="shared" si="3"/>
        <v>203.11111111111111</v>
      </c>
      <c r="F20" s="22">
        <f t="shared" si="3"/>
        <v>224.88888888888889</v>
      </c>
      <c r="G20" s="22">
        <f t="shared" si="3"/>
        <v>235.77777777777777</v>
      </c>
      <c r="H20" s="22">
        <f t="shared" si="3"/>
        <v>246.66666666666666</v>
      </c>
      <c r="I20" s="22">
        <f>HP(I$2,I$4,$A20,Avatars!$L$17,Avatars!$N$17+$A20-1)+$A$1</f>
        <v>388.77777777777777</v>
      </c>
      <c r="J20" s="22">
        <f>HP(J$2,J$4,$A20,Avatars!$L$17,Avatars!$N$17+$A20-1)+$A$1</f>
        <v>410.55555555555554</v>
      </c>
      <c r="K20" s="22">
        <f>HP(K$2,K$4,$A20,Avatars!$L$17,Avatars!$N$17+$A20-1)+$A$1</f>
        <v>421.44444444444446</v>
      </c>
      <c r="L20" s="22">
        <f>HP(L$2,L$4,$A20,Avatars!$L$17,Avatars!$N$17+$A20-1)+$A$1</f>
        <v>443.22222222222223</v>
      </c>
      <c r="M20" s="22">
        <f>HP(M$2,M$4,$A20,Avatars!$L$17,Avatars!$N$17+$A20-1)+$A$1</f>
        <v>454.11111111111109</v>
      </c>
      <c r="N20" s="22">
        <f>HP(N$2,N$4,$A20,Avatars!$L$17,Avatars!$N$17+$A20-1)+$A$1</f>
        <v>465</v>
      </c>
      <c r="O20" s="23">
        <f t="shared" si="5"/>
        <v>205.33333333333334</v>
      </c>
      <c r="P20" s="23">
        <f t="shared" si="4"/>
        <v>149.33333333333334</v>
      </c>
      <c r="Q20" s="23">
        <f t="shared" si="4"/>
        <v>130.66666666666666</v>
      </c>
      <c r="R20" s="23">
        <f t="shared" si="4"/>
        <v>37.333333333333329</v>
      </c>
      <c r="S20" s="23">
        <f t="shared" si="4"/>
        <v>56</v>
      </c>
      <c r="T20" s="23">
        <f t="shared" si="4"/>
        <v>28</v>
      </c>
      <c r="U20" s="23">
        <f>mp(U$2,U$4,$A20,Avatars!$O$16,Avatars!$O$17+$A20)+$A$1</f>
        <v>470.66666666666669</v>
      </c>
      <c r="V20" s="23">
        <f>mp(V$2,V$4,$A20,Avatars!$O$16,Avatars!$O$17+$A20)+$A$1</f>
        <v>414.66666666666669</v>
      </c>
      <c r="W20" s="23">
        <f>mp(W$2,W$4,$A20,Avatars!$O$16,Avatars!$O$17+$A20)+$A$1</f>
        <v>396</v>
      </c>
      <c r="X20" s="23">
        <f>mp(X$2,X$4,$A20,Avatars!$O$16,Avatars!$O$17+$A20)+$A$1</f>
        <v>302.66666666666669</v>
      </c>
      <c r="Y20" s="23">
        <f>mp(Y$2,Y$4,$A20,Avatars!$O$16,Avatars!$O$17+$A20)+$A$1</f>
        <v>321.33333333333331</v>
      </c>
      <c r="Z20" s="23">
        <f>mp(Z$2,Z$4,$A20,Avatars!$O$16,Avatars!$O$17+$A20)+$A$1</f>
        <v>293.33333333333331</v>
      </c>
    </row>
    <row r="21" spans="1:26" s="2" customFormat="1">
      <c r="A21" s="17">
        <v>15</v>
      </c>
      <c r="B21" s="17"/>
      <c r="C21" s="22">
        <f t="shared" si="3"/>
        <v>180</v>
      </c>
      <c r="D21" s="22">
        <f t="shared" si="3"/>
        <v>203.33333333333331</v>
      </c>
      <c r="E21" s="22">
        <f t="shared" si="3"/>
        <v>215</v>
      </c>
      <c r="F21" s="22">
        <f t="shared" si="3"/>
        <v>238.33333333333334</v>
      </c>
      <c r="G21" s="22">
        <f t="shared" si="3"/>
        <v>250</v>
      </c>
      <c r="H21" s="22">
        <f t="shared" si="3"/>
        <v>261.66666666666669</v>
      </c>
      <c r="I21" s="22">
        <f>HP(I$2,I$4,$A21,Avatars!$L$17,Avatars!$N$17+$A21-1)+$A$1</f>
        <v>424.33333333333331</v>
      </c>
      <c r="J21" s="22">
        <f>HP(J$2,J$4,$A21,Avatars!$L$17,Avatars!$N$17+$A21-1)+$A$1</f>
        <v>447.66666666666669</v>
      </c>
      <c r="K21" s="22">
        <f>HP(K$2,K$4,$A21,Avatars!$L$17,Avatars!$N$17+$A21-1)+$A$1</f>
        <v>459.33333333333331</v>
      </c>
      <c r="L21" s="22">
        <f>HP(L$2,L$4,$A21,Avatars!$L$17,Avatars!$N$17+$A21-1)+$A$1</f>
        <v>482.66666666666669</v>
      </c>
      <c r="M21" s="22">
        <f>HP(M$2,M$4,$A21,Avatars!$L$17,Avatars!$N$17+$A21-1)+$A$1</f>
        <v>494.33333333333331</v>
      </c>
      <c r="N21" s="22">
        <f>HP(N$2,N$4,$A21,Avatars!$L$17,Avatars!$N$17+$A21-1)+$A$1</f>
        <v>506</v>
      </c>
      <c r="O21" s="23">
        <f t="shared" si="5"/>
        <v>219.66666666666669</v>
      </c>
      <c r="P21" s="23">
        <f t="shared" si="4"/>
        <v>159.66666666666669</v>
      </c>
      <c r="Q21" s="23">
        <f t="shared" si="4"/>
        <v>139.66666666666666</v>
      </c>
      <c r="R21" s="23">
        <f t="shared" si="4"/>
        <v>39.666666666666664</v>
      </c>
      <c r="S21" s="23">
        <f t="shared" si="4"/>
        <v>59.666666666666664</v>
      </c>
      <c r="T21" s="23">
        <f t="shared" si="4"/>
        <v>29.666666666666664</v>
      </c>
      <c r="U21" s="23">
        <f>mp(U$2,U$4,$A21,Avatars!$O$16,Avatars!$O$17+$A21)+$A$1</f>
        <v>498</v>
      </c>
      <c r="V21" s="23">
        <f>mp(V$2,V$4,$A21,Avatars!$O$16,Avatars!$O$17+$A21)+$A$1</f>
        <v>438</v>
      </c>
      <c r="W21" s="23">
        <f>mp(W$2,W$4,$A21,Avatars!$O$16,Avatars!$O$17+$A21)+$A$1</f>
        <v>418</v>
      </c>
      <c r="X21" s="23">
        <f>mp(X$2,X$4,$A21,Avatars!$O$16,Avatars!$O$17+$A21)+$A$1</f>
        <v>318</v>
      </c>
      <c r="Y21" s="23">
        <f>mp(Y$2,Y$4,$A21,Avatars!$O$16,Avatars!$O$17+$A21)+$A$1</f>
        <v>338</v>
      </c>
      <c r="Z21" s="23">
        <f>mp(Z$2,Z$4,$A21,Avatars!$O$16,Avatars!$O$17+$A21)+$A$1</f>
        <v>308</v>
      </c>
    </row>
    <row r="22" spans="1:26" s="2" customFormat="1">
      <c r="A22" s="17">
        <v>16</v>
      </c>
      <c r="B22" s="17"/>
      <c r="C22" s="22">
        <f t="shared" si="3"/>
        <v>189.55555555555554</v>
      </c>
      <c r="D22" s="22">
        <f t="shared" si="3"/>
        <v>214.44444444444443</v>
      </c>
      <c r="E22" s="22">
        <f t="shared" si="3"/>
        <v>226.88888888888889</v>
      </c>
      <c r="F22" s="22">
        <f t="shared" si="3"/>
        <v>251.77777777777777</v>
      </c>
      <c r="G22" s="22">
        <f t="shared" si="3"/>
        <v>264.22222222222223</v>
      </c>
      <c r="H22" s="22">
        <f t="shared" si="3"/>
        <v>276.66666666666669</v>
      </c>
      <c r="I22" s="22">
        <f>HP(I$2,I$4,$A22,Avatars!$L$17,Avatars!$N$17+$A22-1)+$A$1</f>
        <v>446.88888888888891</v>
      </c>
      <c r="J22" s="22">
        <f>HP(J$2,J$4,$A22,Avatars!$L$17,Avatars!$N$17+$A22-1)+$A$1</f>
        <v>471.77777777777777</v>
      </c>
      <c r="K22" s="22">
        <f>HP(K$2,K$4,$A22,Avatars!$L$17,Avatars!$N$17+$A22-1)+$A$1</f>
        <v>484.22222222222223</v>
      </c>
      <c r="L22" s="22">
        <f>HP(L$2,L$4,$A22,Avatars!$L$17,Avatars!$N$17+$A22-1)+$A$1</f>
        <v>509.11111111111109</v>
      </c>
      <c r="M22" s="22">
        <f>HP(M$2,M$4,$A22,Avatars!$L$17,Avatars!$N$17+$A22-1)+$A$1</f>
        <v>521.55555555555554</v>
      </c>
      <c r="N22" s="22">
        <f>HP(N$2,N$4,$A22,Avatars!$L$17,Avatars!$N$17+$A22-1)+$A$1</f>
        <v>534</v>
      </c>
      <c r="O22" s="23">
        <f t="shared" si="5"/>
        <v>234</v>
      </c>
      <c r="P22" s="23">
        <f t="shared" si="4"/>
        <v>170</v>
      </c>
      <c r="Q22" s="23">
        <f t="shared" si="4"/>
        <v>148.66666666666666</v>
      </c>
      <c r="R22" s="23">
        <f t="shared" si="4"/>
        <v>41.999999999999993</v>
      </c>
      <c r="S22" s="23">
        <f t="shared" si="4"/>
        <v>63.333333333333329</v>
      </c>
      <c r="T22" s="23">
        <f t="shared" si="4"/>
        <v>31.333333333333332</v>
      </c>
      <c r="U22" s="23">
        <f>mp(U$2,U$4,$A22,Avatars!$O$16,Avatars!$O$17+$A22)+$A$1</f>
        <v>525.33333333333337</v>
      </c>
      <c r="V22" s="23">
        <f>mp(V$2,V$4,$A22,Avatars!$O$16,Avatars!$O$17+$A22)+$A$1</f>
        <v>461.33333333333337</v>
      </c>
      <c r="W22" s="23">
        <f>mp(W$2,W$4,$A22,Avatars!$O$16,Avatars!$O$17+$A22)+$A$1</f>
        <v>440</v>
      </c>
      <c r="X22" s="23">
        <f>mp(X$2,X$4,$A22,Avatars!$O$16,Avatars!$O$17+$A22)+$A$1</f>
        <v>333.33333333333331</v>
      </c>
      <c r="Y22" s="23">
        <f>mp(Y$2,Y$4,$A22,Avatars!$O$16,Avatars!$O$17+$A22)+$A$1</f>
        <v>354.66666666666669</v>
      </c>
      <c r="Z22" s="23">
        <f>mp(Z$2,Z$4,$A22,Avatars!$O$16,Avatars!$O$17+$A22)+$A$1</f>
        <v>322.66666666666669</v>
      </c>
    </row>
    <row r="23" spans="1:26" s="2" customFormat="1">
      <c r="A23" s="17">
        <v>17</v>
      </c>
      <c r="B23" s="17"/>
      <c r="C23" s="22">
        <f t="shared" ref="C23:H65" si="6">HP(C$2,C$4,$A23,10,10)+$A$1</f>
        <v>199.11111111111111</v>
      </c>
      <c r="D23" s="22">
        <f t="shared" si="6"/>
        <v>225.55555555555554</v>
      </c>
      <c r="E23" s="22">
        <f t="shared" si="6"/>
        <v>238.77777777777777</v>
      </c>
      <c r="F23" s="22">
        <f t="shared" si="6"/>
        <v>265.22222222222223</v>
      </c>
      <c r="G23" s="22">
        <f t="shared" si="6"/>
        <v>278.44444444444446</v>
      </c>
      <c r="H23" s="22">
        <f t="shared" si="6"/>
        <v>291.66666666666669</v>
      </c>
      <c r="I23" s="22">
        <f>HP(I$2,I$4,$A23,Avatars!$L$17,Avatars!$N$17+$A23-1)+$A$1</f>
        <v>469.44444444444446</v>
      </c>
      <c r="J23" s="22">
        <f>HP(J$2,J$4,$A23,Avatars!$L$17,Avatars!$N$17+$A23-1)+$A$1</f>
        <v>495.88888888888886</v>
      </c>
      <c r="K23" s="22">
        <f>HP(K$2,K$4,$A23,Avatars!$L$17,Avatars!$N$17+$A23-1)+$A$1</f>
        <v>509.11111111111114</v>
      </c>
      <c r="L23" s="22">
        <f>HP(L$2,L$4,$A23,Avatars!$L$17,Avatars!$N$17+$A23-1)+$A$1</f>
        <v>535.55555555555554</v>
      </c>
      <c r="M23" s="22">
        <f>HP(M$2,M$4,$A23,Avatars!$L$17,Avatars!$N$17+$A23-1)+$A$1</f>
        <v>548.77777777777771</v>
      </c>
      <c r="N23" s="22">
        <f>HP(N$2,N$4,$A23,Avatars!$L$17,Avatars!$N$17+$A23-1)+$A$1</f>
        <v>562</v>
      </c>
      <c r="O23" s="23">
        <f t="shared" si="5"/>
        <v>248.33333333333334</v>
      </c>
      <c r="P23" s="23">
        <f t="shared" si="5"/>
        <v>180.33333333333334</v>
      </c>
      <c r="Q23" s="23">
        <f t="shared" si="5"/>
        <v>157.66666666666666</v>
      </c>
      <c r="R23" s="23">
        <f t="shared" si="5"/>
        <v>44.333333333333329</v>
      </c>
      <c r="S23" s="23">
        <f t="shared" si="5"/>
        <v>67</v>
      </c>
      <c r="T23" s="23">
        <f t="shared" si="5"/>
        <v>33</v>
      </c>
      <c r="U23" s="23">
        <f>mp(U$2,U$4,$A23,Avatars!$O$16,Avatars!$O$17+$A23)+$A$1</f>
        <v>552.66666666666663</v>
      </c>
      <c r="V23" s="23">
        <f>mp(V$2,V$4,$A23,Avatars!$O$16,Avatars!$O$17+$A23)+$A$1</f>
        <v>484.66666666666669</v>
      </c>
      <c r="W23" s="23">
        <f>mp(W$2,W$4,$A23,Avatars!$O$16,Avatars!$O$17+$A23)+$A$1</f>
        <v>462</v>
      </c>
      <c r="X23" s="23">
        <f>mp(X$2,X$4,$A23,Avatars!$O$16,Avatars!$O$17+$A23)+$A$1</f>
        <v>348.66666666666669</v>
      </c>
      <c r="Y23" s="23">
        <f>mp(Y$2,Y$4,$A23,Avatars!$O$16,Avatars!$O$17+$A23)+$A$1</f>
        <v>371.33333333333331</v>
      </c>
      <c r="Z23" s="23">
        <f>mp(Z$2,Z$4,$A23,Avatars!$O$16,Avatars!$O$17+$A23)+$A$1</f>
        <v>337.33333333333331</v>
      </c>
    </row>
    <row r="24" spans="1:26" s="2" customFormat="1">
      <c r="A24" s="17">
        <v>18</v>
      </c>
      <c r="B24" s="17"/>
      <c r="C24" s="22">
        <f t="shared" si="6"/>
        <v>208.66666666666666</v>
      </c>
      <c r="D24" s="22">
        <f t="shared" si="6"/>
        <v>236.66666666666666</v>
      </c>
      <c r="E24" s="22">
        <f t="shared" si="6"/>
        <v>250.66666666666669</v>
      </c>
      <c r="F24" s="22">
        <f t="shared" si="6"/>
        <v>278.66666666666669</v>
      </c>
      <c r="G24" s="22">
        <f t="shared" si="6"/>
        <v>292.66666666666663</v>
      </c>
      <c r="H24" s="22">
        <f t="shared" si="6"/>
        <v>306.66666666666669</v>
      </c>
      <c r="I24" s="22">
        <f>HP(I$2,I$4,$A24,Avatars!$L$17,Avatars!$N$17+$A24-1)+$A$1</f>
        <v>492</v>
      </c>
      <c r="J24" s="22">
        <f>HP(J$2,J$4,$A24,Avatars!$L$17,Avatars!$N$17+$A24-1)+$A$1</f>
        <v>520</v>
      </c>
      <c r="K24" s="22">
        <f>HP(K$2,K$4,$A24,Avatars!$L$17,Avatars!$N$17+$A24-1)+$A$1</f>
        <v>534</v>
      </c>
      <c r="L24" s="22">
        <f>HP(L$2,L$4,$A24,Avatars!$L$17,Avatars!$N$17+$A24-1)+$A$1</f>
        <v>562</v>
      </c>
      <c r="M24" s="22">
        <f>HP(M$2,M$4,$A24,Avatars!$L$17,Avatars!$N$17+$A24-1)+$A$1</f>
        <v>576</v>
      </c>
      <c r="N24" s="22">
        <f>HP(N$2,N$4,$A24,Avatars!$L$17,Avatars!$N$17+$A24-1)+$A$1</f>
        <v>590</v>
      </c>
      <c r="O24" s="23">
        <f t="shared" si="5"/>
        <v>262.66666666666669</v>
      </c>
      <c r="P24" s="23">
        <f t="shared" si="5"/>
        <v>190.66666666666669</v>
      </c>
      <c r="Q24" s="23">
        <f t="shared" si="5"/>
        <v>166.66666666666666</v>
      </c>
      <c r="R24" s="23">
        <f t="shared" si="5"/>
        <v>46.666666666666664</v>
      </c>
      <c r="S24" s="23">
        <f t="shared" si="5"/>
        <v>70.666666666666657</v>
      </c>
      <c r="T24" s="23">
        <f t="shared" si="5"/>
        <v>34.666666666666664</v>
      </c>
      <c r="U24" s="23">
        <f>mp(U$2,U$4,$A24,Avatars!$O$16,Avatars!$O$17+$A24)+$A$1</f>
        <v>593</v>
      </c>
      <c r="V24" s="23">
        <f>mp(V$2,V$4,$A24,Avatars!$O$16,Avatars!$O$17+$A24)+$A$1</f>
        <v>521</v>
      </c>
      <c r="W24" s="23">
        <f>mp(W$2,W$4,$A24,Avatars!$O$16,Avatars!$O$17+$A24)+$A$1</f>
        <v>497</v>
      </c>
      <c r="X24" s="23">
        <f>mp(X$2,X$4,$A24,Avatars!$O$16,Avatars!$O$17+$A24)+$A$1</f>
        <v>377</v>
      </c>
      <c r="Y24" s="23">
        <f>mp(Y$2,Y$4,$A24,Avatars!$O$16,Avatars!$O$17+$A24)+$A$1</f>
        <v>401</v>
      </c>
      <c r="Z24" s="23">
        <f>mp(Z$2,Z$4,$A24,Avatars!$O$16,Avatars!$O$17+$A24)+$A$1</f>
        <v>365</v>
      </c>
    </row>
    <row r="25" spans="1:26" s="2" customFormat="1">
      <c r="A25" s="17">
        <v>19</v>
      </c>
      <c r="B25" s="17"/>
      <c r="C25" s="22">
        <f t="shared" si="6"/>
        <v>218.22222222222223</v>
      </c>
      <c r="D25" s="22">
        <f t="shared" si="6"/>
        <v>247.77777777777777</v>
      </c>
      <c r="E25" s="22">
        <f t="shared" si="6"/>
        <v>262.55555555555554</v>
      </c>
      <c r="F25" s="22">
        <f t="shared" si="6"/>
        <v>292.11111111111109</v>
      </c>
      <c r="G25" s="22">
        <f t="shared" si="6"/>
        <v>306.88888888888886</v>
      </c>
      <c r="H25" s="22">
        <f t="shared" si="6"/>
        <v>321.66666666666669</v>
      </c>
      <c r="I25" s="22">
        <f>HP(I$2,I$4,$A25,Avatars!$L$17,Avatars!$N$17+$A25-1)+$A$1</f>
        <v>514.55555555555554</v>
      </c>
      <c r="J25" s="22">
        <f>HP(J$2,J$4,$A25,Avatars!$L$17,Avatars!$N$17+$A25-1)+$A$1</f>
        <v>544.11111111111109</v>
      </c>
      <c r="K25" s="22">
        <f>HP(K$2,K$4,$A25,Avatars!$L$17,Avatars!$N$17+$A25-1)+$A$1</f>
        <v>558.88888888888891</v>
      </c>
      <c r="L25" s="22">
        <f>HP(L$2,L$4,$A25,Avatars!$L$17,Avatars!$N$17+$A25-1)+$A$1</f>
        <v>588.44444444444446</v>
      </c>
      <c r="M25" s="22">
        <f>HP(M$2,M$4,$A25,Avatars!$L$17,Avatars!$N$17+$A25-1)+$A$1</f>
        <v>603.22222222222217</v>
      </c>
      <c r="N25" s="22">
        <f>HP(N$2,N$4,$A25,Avatars!$L$17,Avatars!$N$17+$A25-1)+$A$1</f>
        <v>618</v>
      </c>
      <c r="O25" s="23">
        <f t="shared" si="5"/>
        <v>277</v>
      </c>
      <c r="P25" s="23">
        <f t="shared" si="5"/>
        <v>201</v>
      </c>
      <c r="Q25" s="23">
        <f t="shared" si="5"/>
        <v>175.66666666666666</v>
      </c>
      <c r="R25" s="23">
        <f t="shared" si="5"/>
        <v>48.999999999999993</v>
      </c>
      <c r="S25" s="23">
        <f t="shared" si="5"/>
        <v>74.333333333333329</v>
      </c>
      <c r="T25" s="23">
        <f t="shared" si="5"/>
        <v>36.333333333333329</v>
      </c>
      <c r="U25" s="23">
        <f>mp(U$2,U$4,$A25,Avatars!$O$16,Avatars!$O$17+$A25)+$A$1</f>
        <v>620.33333333333337</v>
      </c>
      <c r="V25" s="23">
        <f>mp(V$2,V$4,$A25,Avatars!$O$16,Avatars!$O$17+$A25)+$A$1</f>
        <v>544.33333333333337</v>
      </c>
      <c r="W25" s="23">
        <f>mp(W$2,W$4,$A25,Avatars!$O$16,Avatars!$O$17+$A25)+$A$1</f>
        <v>519</v>
      </c>
      <c r="X25" s="23">
        <f>mp(X$2,X$4,$A25,Avatars!$O$16,Avatars!$O$17+$A25)+$A$1</f>
        <v>392.33333333333331</v>
      </c>
      <c r="Y25" s="23">
        <f>mp(Y$2,Y$4,$A25,Avatars!$O$16,Avatars!$O$17+$A25)+$A$1</f>
        <v>417.66666666666669</v>
      </c>
      <c r="Z25" s="23">
        <f>mp(Z$2,Z$4,$A25,Avatars!$O$16,Avatars!$O$17+$A25)+$A$1</f>
        <v>379.66666666666669</v>
      </c>
    </row>
    <row r="26" spans="1:26" s="2" customFormat="1">
      <c r="A26" s="17">
        <v>20</v>
      </c>
      <c r="B26" s="17"/>
      <c r="C26" s="22">
        <f t="shared" si="6"/>
        <v>227.77777777777777</v>
      </c>
      <c r="D26" s="22">
        <f t="shared" si="6"/>
        <v>258.88888888888886</v>
      </c>
      <c r="E26" s="22">
        <f t="shared" si="6"/>
        <v>274.44444444444446</v>
      </c>
      <c r="F26" s="22">
        <f t="shared" si="6"/>
        <v>305.55555555555554</v>
      </c>
      <c r="G26" s="22">
        <f t="shared" si="6"/>
        <v>321.11111111111109</v>
      </c>
      <c r="H26" s="22">
        <f t="shared" si="6"/>
        <v>336.66666666666669</v>
      </c>
      <c r="I26" s="22">
        <f>HP(I$2,I$4,$A26,Avatars!$L$17,Avatars!$N$17+$A26-1)+$A$1</f>
        <v>563.11111111111109</v>
      </c>
      <c r="J26" s="22">
        <f>HP(J$2,J$4,$A26,Avatars!$L$17,Avatars!$N$17+$A26-1)+$A$1</f>
        <v>594.22222222222217</v>
      </c>
      <c r="K26" s="22">
        <f>HP(K$2,K$4,$A26,Avatars!$L$17,Avatars!$N$17+$A26-1)+$A$1</f>
        <v>609.77777777777783</v>
      </c>
      <c r="L26" s="22">
        <f>HP(L$2,L$4,$A26,Avatars!$L$17,Avatars!$N$17+$A26-1)+$A$1</f>
        <v>640.88888888888891</v>
      </c>
      <c r="M26" s="22">
        <f>HP(M$2,M$4,$A26,Avatars!$L$17,Avatars!$N$17+$A26-1)+$A$1</f>
        <v>656.44444444444446</v>
      </c>
      <c r="N26" s="22">
        <f>HP(N$2,N$4,$A26,Avatars!$L$17,Avatars!$N$17+$A26-1)+$A$1</f>
        <v>672</v>
      </c>
      <c r="O26" s="23">
        <f t="shared" si="5"/>
        <v>291.33333333333337</v>
      </c>
      <c r="P26" s="23">
        <f t="shared" si="5"/>
        <v>211.33333333333334</v>
      </c>
      <c r="Q26" s="23">
        <f t="shared" si="5"/>
        <v>184.66666666666666</v>
      </c>
      <c r="R26" s="23">
        <f t="shared" si="5"/>
        <v>51.333333333333329</v>
      </c>
      <c r="S26" s="23">
        <f t="shared" si="5"/>
        <v>78</v>
      </c>
      <c r="T26" s="23">
        <f t="shared" si="5"/>
        <v>38</v>
      </c>
      <c r="U26" s="23">
        <f>mp(U$2,U$4,$A26,Avatars!$O$16,Avatars!$O$17+$A26)+$A$1</f>
        <v>647.66666666666663</v>
      </c>
      <c r="V26" s="23">
        <f>mp(V$2,V$4,$A26,Avatars!$O$16,Avatars!$O$17+$A26)+$A$1</f>
        <v>567.66666666666663</v>
      </c>
      <c r="W26" s="23">
        <f>mp(W$2,W$4,$A26,Avatars!$O$16,Avatars!$O$17+$A26)+$A$1</f>
        <v>541</v>
      </c>
      <c r="X26" s="23">
        <f>mp(X$2,X$4,$A26,Avatars!$O$16,Avatars!$O$17+$A26)+$A$1</f>
        <v>407.66666666666669</v>
      </c>
      <c r="Y26" s="23">
        <f>mp(Y$2,Y$4,$A26,Avatars!$O$16,Avatars!$O$17+$A26)+$A$1</f>
        <v>434.33333333333331</v>
      </c>
      <c r="Z26" s="23">
        <f>mp(Z$2,Z$4,$A26,Avatars!$O$16,Avatars!$O$17+$A26)+$A$1</f>
        <v>394.33333333333331</v>
      </c>
    </row>
    <row r="27" spans="1:26" s="2" customFormat="1">
      <c r="A27" s="17">
        <v>21</v>
      </c>
      <c r="B27" s="17"/>
      <c r="C27" s="22">
        <f t="shared" si="6"/>
        <v>237.33333333333331</v>
      </c>
      <c r="D27" s="22">
        <f t="shared" si="6"/>
        <v>270</v>
      </c>
      <c r="E27" s="22">
        <f t="shared" si="6"/>
        <v>286.33333333333331</v>
      </c>
      <c r="F27" s="22">
        <f t="shared" si="6"/>
        <v>319</v>
      </c>
      <c r="G27" s="22">
        <f t="shared" si="6"/>
        <v>335.33333333333331</v>
      </c>
      <c r="H27" s="22">
        <f t="shared" si="6"/>
        <v>351.66666666666669</v>
      </c>
      <c r="I27" s="22">
        <f>HP(I$2,I$4,$A27,Avatars!$L$17,Avatars!$N$17+$A27-1)+$A$1</f>
        <v>585.66666666666663</v>
      </c>
      <c r="J27" s="22">
        <f>HP(J$2,J$4,$A27,Avatars!$L$17,Avatars!$N$17+$A27-1)+$A$1</f>
        <v>618.33333333333337</v>
      </c>
      <c r="K27" s="22">
        <f>HP(K$2,K$4,$A27,Avatars!$L$17,Avatars!$N$17+$A27-1)+$A$1</f>
        <v>634.66666666666663</v>
      </c>
      <c r="L27" s="22">
        <f>HP(L$2,L$4,$A27,Avatars!$L$17,Avatars!$N$17+$A27-1)+$A$1</f>
        <v>667.33333333333337</v>
      </c>
      <c r="M27" s="22">
        <f>HP(M$2,M$4,$A27,Avatars!$L$17,Avatars!$N$17+$A27-1)+$A$1</f>
        <v>683.66666666666663</v>
      </c>
      <c r="N27" s="22">
        <f>HP(N$2,N$4,$A27,Avatars!$L$17,Avatars!$N$17+$A27-1)+$A$1</f>
        <v>700</v>
      </c>
      <c r="O27" s="23">
        <f t="shared" si="5"/>
        <v>305.66666666666669</v>
      </c>
      <c r="P27" s="23">
        <f t="shared" si="5"/>
        <v>221.66666666666669</v>
      </c>
      <c r="Q27" s="23">
        <f t="shared" si="5"/>
        <v>193.66666666666666</v>
      </c>
      <c r="R27" s="23">
        <f t="shared" si="5"/>
        <v>53.666666666666657</v>
      </c>
      <c r="S27" s="23">
        <f t="shared" si="5"/>
        <v>81.666666666666657</v>
      </c>
      <c r="T27" s="23">
        <f t="shared" si="5"/>
        <v>39.666666666666664</v>
      </c>
      <c r="U27" s="23">
        <f>mp(U$2,U$4,$A27,Avatars!$O$16,Avatars!$O$17+$A27)+$A$1</f>
        <v>675</v>
      </c>
      <c r="V27" s="23">
        <f>mp(V$2,V$4,$A27,Avatars!$O$16,Avatars!$O$17+$A27)+$A$1</f>
        <v>591</v>
      </c>
      <c r="W27" s="23">
        <f>mp(W$2,W$4,$A27,Avatars!$O$16,Avatars!$O$17+$A27)+$A$1</f>
        <v>563</v>
      </c>
      <c r="X27" s="23">
        <f>mp(X$2,X$4,$A27,Avatars!$O$16,Avatars!$O$17+$A27)+$A$1</f>
        <v>423</v>
      </c>
      <c r="Y27" s="23">
        <f>mp(Y$2,Y$4,$A27,Avatars!$O$16,Avatars!$O$17+$A27)+$A$1</f>
        <v>451</v>
      </c>
      <c r="Z27" s="23">
        <f>mp(Z$2,Z$4,$A27,Avatars!$O$16,Avatars!$O$17+$A27)+$A$1</f>
        <v>409</v>
      </c>
    </row>
    <row r="28" spans="1:26" s="2" customFormat="1">
      <c r="A28" s="17">
        <v>22</v>
      </c>
      <c r="B28" s="17"/>
      <c r="C28" s="22">
        <f t="shared" si="6"/>
        <v>246.88888888888889</v>
      </c>
      <c r="D28" s="22">
        <f t="shared" si="6"/>
        <v>281.11111111111109</v>
      </c>
      <c r="E28" s="22">
        <f t="shared" si="6"/>
        <v>298.22222222222223</v>
      </c>
      <c r="F28" s="22">
        <f t="shared" si="6"/>
        <v>332.44444444444446</v>
      </c>
      <c r="G28" s="22">
        <f t="shared" si="6"/>
        <v>349.55555555555554</v>
      </c>
      <c r="H28" s="22">
        <f t="shared" si="6"/>
        <v>366.66666666666669</v>
      </c>
      <c r="I28" s="22">
        <f>HP(I$2,I$4,$A28,Avatars!$L$17,Avatars!$N$17+$A28-1)+$A$1</f>
        <v>608.22222222222217</v>
      </c>
      <c r="J28" s="22">
        <f>HP(J$2,J$4,$A28,Avatars!$L$17,Avatars!$N$17+$A28-1)+$A$1</f>
        <v>642.44444444444446</v>
      </c>
      <c r="K28" s="22">
        <f>HP(K$2,K$4,$A28,Avatars!$L$17,Avatars!$N$17+$A28-1)+$A$1</f>
        <v>659.55555555555554</v>
      </c>
      <c r="L28" s="22">
        <f>HP(L$2,L$4,$A28,Avatars!$L$17,Avatars!$N$17+$A28-1)+$A$1</f>
        <v>693.77777777777783</v>
      </c>
      <c r="M28" s="22">
        <f>HP(M$2,M$4,$A28,Avatars!$L$17,Avatars!$N$17+$A28-1)+$A$1</f>
        <v>710.88888888888891</v>
      </c>
      <c r="N28" s="22">
        <f>HP(N$2,N$4,$A28,Avatars!$L$17,Avatars!$N$17+$A28-1)+$A$1</f>
        <v>728</v>
      </c>
      <c r="O28" s="23">
        <f t="shared" si="5"/>
        <v>320</v>
      </c>
      <c r="P28" s="23">
        <f t="shared" si="5"/>
        <v>232</v>
      </c>
      <c r="Q28" s="23">
        <f t="shared" si="5"/>
        <v>202.66666666666666</v>
      </c>
      <c r="R28" s="23">
        <f t="shared" si="5"/>
        <v>55.999999999999993</v>
      </c>
      <c r="S28" s="23">
        <f t="shared" si="5"/>
        <v>85.333333333333329</v>
      </c>
      <c r="T28" s="23">
        <f t="shared" si="5"/>
        <v>41.333333333333329</v>
      </c>
      <c r="U28" s="23">
        <f>mp(U$2,U$4,$A28,Avatars!$O$16,Avatars!$O$17+$A28)+$A$1</f>
        <v>702.33333333333337</v>
      </c>
      <c r="V28" s="23">
        <f>mp(V$2,V$4,$A28,Avatars!$O$16,Avatars!$O$17+$A28)+$A$1</f>
        <v>614.33333333333337</v>
      </c>
      <c r="W28" s="23">
        <f>mp(W$2,W$4,$A28,Avatars!$O$16,Avatars!$O$17+$A28)+$A$1</f>
        <v>585</v>
      </c>
      <c r="X28" s="23">
        <f>mp(X$2,X$4,$A28,Avatars!$O$16,Avatars!$O$17+$A28)+$A$1</f>
        <v>438.33333333333331</v>
      </c>
      <c r="Y28" s="23">
        <f>mp(Y$2,Y$4,$A28,Avatars!$O$16,Avatars!$O$17+$A28)+$A$1</f>
        <v>467.66666666666669</v>
      </c>
      <c r="Z28" s="23">
        <f>mp(Z$2,Z$4,$A28,Avatars!$O$16,Avatars!$O$17+$A28)+$A$1</f>
        <v>423.66666666666669</v>
      </c>
    </row>
    <row r="29" spans="1:26" s="2" customFormat="1">
      <c r="A29" s="17">
        <v>23</v>
      </c>
      <c r="B29" s="17"/>
      <c r="C29" s="22">
        <f t="shared" si="6"/>
        <v>256.44444444444446</v>
      </c>
      <c r="D29" s="22">
        <f t="shared" si="6"/>
        <v>292.22222222222223</v>
      </c>
      <c r="E29" s="22">
        <f t="shared" si="6"/>
        <v>310.11111111111114</v>
      </c>
      <c r="F29" s="22">
        <f t="shared" si="6"/>
        <v>345.88888888888891</v>
      </c>
      <c r="G29" s="22">
        <f t="shared" si="6"/>
        <v>363.77777777777777</v>
      </c>
      <c r="H29" s="22">
        <f t="shared" si="6"/>
        <v>381.66666666666669</v>
      </c>
      <c r="I29" s="22">
        <f>HP(I$2,I$4,$A29,Avatars!$L$17,Avatars!$N$17+$A29-1)+$A$1</f>
        <v>630.77777777777783</v>
      </c>
      <c r="J29" s="22">
        <f>HP(J$2,J$4,$A29,Avatars!$L$17,Avatars!$N$17+$A29-1)+$A$1</f>
        <v>666.55555555555554</v>
      </c>
      <c r="K29" s="22">
        <f>HP(K$2,K$4,$A29,Avatars!$L$17,Avatars!$N$17+$A29-1)+$A$1</f>
        <v>684.44444444444446</v>
      </c>
      <c r="L29" s="22">
        <f>HP(L$2,L$4,$A29,Avatars!$L$17,Avatars!$N$17+$A29-1)+$A$1</f>
        <v>720.22222222222217</v>
      </c>
      <c r="M29" s="22">
        <f>HP(M$2,M$4,$A29,Avatars!$L$17,Avatars!$N$17+$A29-1)+$A$1</f>
        <v>738.11111111111109</v>
      </c>
      <c r="N29" s="22">
        <f>HP(N$2,N$4,$A29,Avatars!$L$17,Avatars!$N$17+$A29-1)+$A$1</f>
        <v>756</v>
      </c>
      <c r="O29" s="23">
        <f t="shared" si="5"/>
        <v>334.33333333333337</v>
      </c>
      <c r="P29" s="23">
        <f t="shared" si="5"/>
        <v>242.33333333333334</v>
      </c>
      <c r="Q29" s="23">
        <f t="shared" si="5"/>
        <v>211.66666666666666</v>
      </c>
      <c r="R29" s="23">
        <f t="shared" si="5"/>
        <v>58.333333333333329</v>
      </c>
      <c r="S29" s="23">
        <f t="shared" si="5"/>
        <v>89</v>
      </c>
      <c r="T29" s="23">
        <f t="shared" si="5"/>
        <v>43</v>
      </c>
      <c r="U29" s="23">
        <f>mp(U$2,U$4,$A29,Avatars!$O$16,Avatars!$O$17+$A29)+$A$1</f>
        <v>755.66666666666663</v>
      </c>
      <c r="V29" s="23">
        <f>mp(V$2,V$4,$A29,Avatars!$O$16,Avatars!$O$17+$A29)+$A$1</f>
        <v>663.66666666666663</v>
      </c>
      <c r="W29" s="23">
        <f>mp(W$2,W$4,$A29,Avatars!$O$16,Avatars!$O$17+$A29)+$A$1</f>
        <v>633</v>
      </c>
      <c r="X29" s="23">
        <f>mp(X$2,X$4,$A29,Avatars!$O$16,Avatars!$O$17+$A29)+$A$1</f>
        <v>479.66666666666669</v>
      </c>
      <c r="Y29" s="23">
        <f>mp(Y$2,Y$4,$A29,Avatars!$O$16,Avatars!$O$17+$A29)+$A$1</f>
        <v>510.33333333333331</v>
      </c>
      <c r="Z29" s="23">
        <f>mp(Z$2,Z$4,$A29,Avatars!$O$16,Avatars!$O$17+$A29)+$A$1</f>
        <v>464.33333333333331</v>
      </c>
    </row>
    <row r="30" spans="1:26" s="2" customFormat="1">
      <c r="A30" s="17">
        <v>24</v>
      </c>
      <c r="B30" s="17"/>
      <c r="C30" s="22">
        <f t="shared" si="6"/>
        <v>266</v>
      </c>
      <c r="D30" s="22">
        <f t="shared" si="6"/>
        <v>303.33333333333331</v>
      </c>
      <c r="E30" s="22">
        <f t="shared" si="6"/>
        <v>322</v>
      </c>
      <c r="F30" s="22">
        <f t="shared" si="6"/>
        <v>359.33333333333331</v>
      </c>
      <c r="G30" s="22">
        <f t="shared" si="6"/>
        <v>378</v>
      </c>
      <c r="H30" s="22">
        <f t="shared" si="6"/>
        <v>396.66666666666669</v>
      </c>
      <c r="I30" s="22">
        <f>HP(I$2,I$4,$A30,Avatars!$L$17,Avatars!$N$17+$A30-1)+$A$1</f>
        <v>653.33333333333337</v>
      </c>
      <c r="J30" s="22">
        <f>HP(J$2,J$4,$A30,Avatars!$L$17,Avatars!$N$17+$A30-1)+$A$1</f>
        <v>690.66666666666663</v>
      </c>
      <c r="K30" s="22">
        <f>HP(K$2,K$4,$A30,Avatars!$L$17,Avatars!$N$17+$A30-1)+$A$1</f>
        <v>709.33333333333337</v>
      </c>
      <c r="L30" s="22">
        <f>HP(L$2,L$4,$A30,Avatars!$L$17,Avatars!$N$17+$A30-1)+$A$1</f>
        <v>746.66666666666663</v>
      </c>
      <c r="M30" s="22">
        <f>HP(M$2,M$4,$A30,Avatars!$L$17,Avatars!$N$17+$A30-1)+$A$1</f>
        <v>765.33333333333326</v>
      </c>
      <c r="N30" s="22">
        <f>HP(N$2,N$4,$A30,Avatars!$L$17,Avatars!$N$17+$A30-1)+$A$1</f>
        <v>784</v>
      </c>
      <c r="O30" s="23">
        <f t="shared" si="5"/>
        <v>348.66666666666669</v>
      </c>
      <c r="P30" s="23">
        <f t="shared" si="5"/>
        <v>252.66666666666669</v>
      </c>
      <c r="Q30" s="23">
        <f t="shared" si="5"/>
        <v>220.66666666666666</v>
      </c>
      <c r="R30" s="23">
        <f t="shared" si="5"/>
        <v>60.666666666666657</v>
      </c>
      <c r="S30" s="23">
        <f t="shared" si="5"/>
        <v>92.666666666666657</v>
      </c>
      <c r="T30" s="23">
        <f t="shared" si="5"/>
        <v>44.666666666666664</v>
      </c>
      <c r="U30" s="23">
        <f>mp(U$2,U$4,$A30,Avatars!$O$16,Avatars!$O$17+$A30)+$A$1</f>
        <v>783</v>
      </c>
      <c r="V30" s="23">
        <f>mp(V$2,V$4,$A30,Avatars!$O$16,Avatars!$O$17+$A30)+$A$1</f>
        <v>687</v>
      </c>
      <c r="W30" s="23">
        <f>mp(W$2,W$4,$A30,Avatars!$O$16,Avatars!$O$17+$A30)+$A$1</f>
        <v>655</v>
      </c>
      <c r="X30" s="23">
        <f>mp(X$2,X$4,$A30,Avatars!$O$16,Avatars!$O$17+$A30)+$A$1</f>
        <v>495</v>
      </c>
      <c r="Y30" s="23">
        <f>mp(Y$2,Y$4,$A30,Avatars!$O$16,Avatars!$O$17+$A30)+$A$1</f>
        <v>527</v>
      </c>
      <c r="Z30" s="23">
        <f>mp(Z$2,Z$4,$A30,Avatars!$O$16,Avatars!$O$17+$A30)+$A$1</f>
        <v>479</v>
      </c>
    </row>
    <row r="31" spans="1:26" s="2" customFormat="1">
      <c r="A31" s="17">
        <v>25</v>
      </c>
      <c r="B31" s="17"/>
      <c r="C31" s="22">
        <f t="shared" si="6"/>
        <v>275.55555555555554</v>
      </c>
      <c r="D31" s="22">
        <f t="shared" si="6"/>
        <v>314.44444444444446</v>
      </c>
      <c r="E31" s="22">
        <f t="shared" si="6"/>
        <v>333.88888888888891</v>
      </c>
      <c r="F31" s="22">
        <f t="shared" si="6"/>
        <v>372.77777777777777</v>
      </c>
      <c r="G31" s="22">
        <f t="shared" si="6"/>
        <v>392.22222222222217</v>
      </c>
      <c r="H31" s="22">
        <f t="shared" si="6"/>
        <v>411.66666666666669</v>
      </c>
      <c r="I31" s="22">
        <f>HP(I$2,I$4,$A31,Avatars!$L$17,Avatars!$N$17+$A31-1)+$A$1</f>
        <v>675.88888888888891</v>
      </c>
      <c r="J31" s="22">
        <f>HP(J$2,J$4,$A31,Avatars!$L$17,Avatars!$N$17+$A31-1)+$A$1</f>
        <v>714.77777777777771</v>
      </c>
      <c r="K31" s="22">
        <f>HP(K$2,K$4,$A31,Avatars!$L$17,Avatars!$N$17+$A31-1)+$A$1</f>
        <v>734.22222222222229</v>
      </c>
      <c r="L31" s="22">
        <f>HP(L$2,L$4,$A31,Avatars!$L$17,Avatars!$N$17+$A31-1)+$A$1</f>
        <v>773.11111111111109</v>
      </c>
      <c r="M31" s="22">
        <f>HP(M$2,M$4,$A31,Avatars!$L$17,Avatars!$N$17+$A31-1)+$A$1</f>
        <v>792.55555555555554</v>
      </c>
      <c r="N31" s="22">
        <f>HP(N$2,N$4,$A31,Avatars!$L$17,Avatars!$N$17+$A31-1)+$A$1</f>
        <v>812</v>
      </c>
      <c r="O31" s="23">
        <f t="shared" si="5"/>
        <v>363</v>
      </c>
      <c r="P31" s="23">
        <f t="shared" si="5"/>
        <v>263</v>
      </c>
      <c r="Q31" s="23">
        <f t="shared" si="5"/>
        <v>229.66666666666666</v>
      </c>
      <c r="R31" s="23">
        <f t="shared" si="5"/>
        <v>62.999999999999993</v>
      </c>
      <c r="S31" s="23">
        <f t="shared" si="5"/>
        <v>96.333333333333329</v>
      </c>
      <c r="T31" s="23">
        <f t="shared" si="5"/>
        <v>46.333333333333329</v>
      </c>
      <c r="U31" s="23">
        <f>mp(U$2,U$4,$A31,Avatars!$O$16,Avatars!$O$17+$A31)+$A$1</f>
        <v>810.33333333333337</v>
      </c>
      <c r="V31" s="23">
        <f>mp(V$2,V$4,$A31,Avatars!$O$16,Avatars!$O$17+$A31)+$A$1</f>
        <v>710.33333333333337</v>
      </c>
      <c r="W31" s="23">
        <f>mp(W$2,W$4,$A31,Avatars!$O$16,Avatars!$O$17+$A31)+$A$1</f>
        <v>677</v>
      </c>
      <c r="X31" s="23">
        <f>mp(X$2,X$4,$A31,Avatars!$O$16,Avatars!$O$17+$A31)+$A$1</f>
        <v>510.33333333333331</v>
      </c>
      <c r="Y31" s="23">
        <f>mp(Y$2,Y$4,$A31,Avatars!$O$16,Avatars!$O$17+$A31)+$A$1</f>
        <v>543.66666666666663</v>
      </c>
      <c r="Z31" s="23">
        <f>mp(Z$2,Z$4,$A31,Avatars!$O$16,Avatars!$O$17+$A31)+$A$1</f>
        <v>493.66666666666669</v>
      </c>
    </row>
    <row r="32" spans="1:26" s="2" customFormat="1">
      <c r="A32" s="17">
        <v>26</v>
      </c>
      <c r="B32" s="17"/>
      <c r="C32" s="22">
        <f t="shared" si="6"/>
        <v>285.11111111111109</v>
      </c>
      <c r="D32" s="22">
        <f t="shared" si="6"/>
        <v>325.55555555555554</v>
      </c>
      <c r="E32" s="22">
        <f t="shared" si="6"/>
        <v>345.77777777777777</v>
      </c>
      <c r="F32" s="22">
        <f t="shared" si="6"/>
        <v>386.22222222222223</v>
      </c>
      <c r="G32" s="22">
        <f t="shared" si="6"/>
        <v>406.4444444444444</v>
      </c>
      <c r="H32" s="22">
        <f t="shared" si="6"/>
        <v>426.66666666666669</v>
      </c>
      <c r="I32" s="22">
        <f>HP(I$2,I$4,$A32,Avatars!$L$17,Avatars!$N$17+$A32-1)+$A$1</f>
        <v>724.44444444444446</v>
      </c>
      <c r="J32" s="22">
        <f>HP(J$2,J$4,$A32,Avatars!$L$17,Avatars!$N$17+$A32-1)+$A$1</f>
        <v>764.88888888888891</v>
      </c>
      <c r="K32" s="22">
        <f>HP(K$2,K$4,$A32,Avatars!$L$17,Avatars!$N$17+$A32-1)+$A$1</f>
        <v>785.11111111111109</v>
      </c>
      <c r="L32" s="22">
        <f>HP(L$2,L$4,$A32,Avatars!$L$17,Avatars!$N$17+$A32-1)+$A$1</f>
        <v>825.55555555555554</v>
      </c>
      <c r="M32" s="22">
        <f>HP(M$2,M$4,$A32,Avatars!$L$17,Avatars!$N$17+$A32-1)+$A$1</f>
        <v>845.77777777777771</v>
      </c>
      <c r="N32" s="22">
        <f>HP(N$2,N$4,$A32,Avatars!$L$17,Avatars!$N$17+$A32-1)+$A$1</f>
        <v>866</v>
      </c>
      <c r="O32" s="23">
        <f t="shared" si="5"/>
        <v>377.33333333333337</v>
      </c>
      <c r="P32" s="23">
        <f t="shared" si="5"/>
        <v>273.33333333333337</v>
      </c>
      <c r="Q32" s="23">
        <f t="shared" si="5"/>
        <v>238.66666666666666</v>
      </c>
      <c r="R32" s="23">
        <f t="shared" si="5"/>
        <v>65.333333333333329</v>
      </c>
      <c r="S32" s="23">
        <f t="shared" si="5"/>
        <v>100</v>
      </c>
      <c r="T32" s="23">
        <f t="shared" si="5"/>
        <v>48</v>
      </c>
      <c r="U32" s="23">
        <f>mp(U$2,U$4,$A32,Avatars!$O$16,Avatars!$O$17+$A32)+$A$1</f>
        <v>837.66666666666663</v>
      </c>
      <c r="V32" s="23">
        <f>mp(V$2,V$4,$A32,Avatars!$O$16,Avatars!$O$17+$A32)+$A$1</f>
        <v>733.66666666666663</v>
      </c>
      <c r="W32" s="23">
        <f>mp(W$2,W$4,$A32,Avatars!$O$16,Avatars!$O$17+$A32)+$A$1</f>
        <v>699</v>
      </c>
      <c r="X32" s="23">
        <f>mp(X$2,X$4,$A32,Avatars!$O$16,Avatars!$O$17+$A32)+$A$1</f>
        <v>525.66666666666663</v>
      </c>
      <c r="Y32" s="23">
        <f>mp(Y$2,Y$4,$A32,Avatars!$O$16,Avatars!$O$17+$A32)+$A$1</f>
        <v>560.33333333333337</v>
      </c>
      <c r="Z32" s="23">
        <f>mp(Z$2,Z$4,$A32,Avatars!$O$16,Avatars!$O$17+$A32)+$A$1</f>
        <v>508.33333333333331</v>
      </c>
    </row>
    <row r="33" spans="1:26" s="2" customFormat="1">
      <c r="A33" s="17">
        <v>27</v>
      </c>
      <c r="B33" s="17"/>
      <c r="C33" s="22">
        <f t="shared" si="6"/>
        <v>294.66666666666669</v>
      </c>
      <c r="D33" s="22">
        <f t="shared" si="6"/>
        <v>336.66666666666663</v>
      </c>
      <c r="E33" s="22">
        <f t="shared" si="6"/>
        <v>357.66666666666669</v>
      </c>
      <c r="F33" s="22">
        <f t="shared" si="6"/>
        <v>399.66666666666669</v>
      </c>
      <c r="G33" s="22">
        <f t="shared" si="6"/>
        <v>420.66666666666663</v>
      </c>
      <c r="H33" s="22">
        <f t="shared" si="6"/>
        <v>441.66666666666669</v>
      </c>
      <c r="I33" s="22">
        <f>HP(I$2,I$4,$A33,Avatars!$L$17,Avatars!$N$17+$A33-1)+$A$1</f>
        <v>747</v>
      </c>
      <c r="J33" s="22">
        <f>HP(J$2,J$4,$A33,Avatars!$L$17,Avatars!$N$17+$A33-1)+$A$1</f>
        <v>789</v>
      </c>
      <c r="K33" s="22">
        <f>HP(K$2,K$4,$A33,Avatars!$L$17,Avatars!$N$17+$A33-1)+$A$1</f>
        <v>810</v>
      </c>
      <c r="L33" s="22">
        <f>HP(L$2,L$4,$A33,Avatars!$L$17,Avatars!$N$17+$A33-1)+$A$1</f>
        <v>852</v>
      </c>
      <c r="M33" s="22">
        <f>HP(M$2,M$4,$A33,Avatars!$L$17,Avatars!$N$17+$A33-1)+$A$1</f>
        <v>873</v>
      </c>
      <c r="N33" s="22">
        <f>HP(N$2,N$4,$A33,Avatars!$L$17,Avatars!$N$17+$A33-1)+$A$1</f>
        <v>894</v>
      </c>
      <c r="O33" s="23">
        <f t="shared" si="5"/>
        <v>391.66666666666669</v>
      </c>
      <c r="P33" s="23">
        <f t="shared" si="5"/>
        <v>283.66666666666669</v>
      </c>
      <c r="Q33" s="23">
        <f t="shared" si="5"/>
        <v>247.66666666666666</v>
      </c>
      <c r="R33" s="23">
        <f t="shared" si="5"/>
        <v>67.666666666666657</v>
      </c>
      <c r="S33" s="23">
        <f t="shared" si="5"/>
        <v>103.66666666666666</v>
      </c>
      <c r="T33" s="23">
        <f t="shared" si="5"/>
        <v>49.666666666666664</v>
      </c>
      <c r="U33" s="23">
        <f>mp(U$2,U$4,$A33,Avatars!$O$16,Avatars!$O$17+$A33)+$A$1</f>
        <v>865</v>
      </c>
      <c r="V33" s="23">
        <f>mp(V$2,V$4,$A33,Avatars!$O$16,Avatars!$O$17+$A33)+$A$1</f>
        <v>757</v>
      </c>
      <c r="W33" s="23">
        <f>mp(W$2,W$4,$A33,Avatars!$O$16,Avatars!$O$17+$A33)+$A$1</f>
        <v>721</v>
      </c>
      <c r="X33" s="23">
        <f>mp(X$2,X$4,$A33,Avatars!$O$16,Avatars!$O$17+$A33)+$A$1</f>
        <v>541</v>
      </c>
      <c r="Y33" s="23">
        <f>mp(Y$2,Y$4,$A33,Avatars!$O$16,Avatars!$O$17+$A33)+$A$1</f>
        <v>577</v>
      </c>
      <c r="Z33" s="23">
        <f>mp(Z$2,Z$4,$A33,Avatars!$O$16,Avatars!$O$17+$A33)+$A$1</f>
        <v>523</v>
      </c>
    </row>
    <row r="34" spans="1:26" s="2" customFormat="1">
      <c r="A34" s="17">
        <v>28</v>
      </c>
      <c r="B34" s="17"/>
      <c r="C34" s="22">
        <f t="shared" si="6"/>
        <v>304.22222222222223</v>
      </c>
      <c r="D34" s="22">
        <f t="shared" si="6"/>
        <v>347.77777777777777</v>
      </c>
      <c r="E34" s="22">
        <f t="shared" si="6"/>
        <v>369.55555555555554</v>
      </c>
      <c r="F34" s="22">
        <f t="shared" si="6"/>
        <v>413.11111111111109</v>
      </c>
      <c r="G34" s="22">
        <f t="shared" si="6"/>
        <v>434.88888888888886</v>
      </c>
      <c r="H34" s="22">
        <f t="shared" si="6"/>
        <v>456.66666666666669</v>
      </c>
      <c r="I34" s="22">
        <f>HP(I$2,I$4,$A34,Avatars!$L$17,Avatars!$N$17+$A34-1)+$A$1</f>
        <v>769.55555555555554</v>
      </c>
      <c r="J34" s="22">
        <f>HP(J$2,J$4,$A34,Avatars!$L$17,Avatars!$N$17+$A34-1)+$A$1</f>
        <v>813.11111111111109</v>
      </c>
      <c r="K34" s="22">
        <f>HP(K$2,K$4,$A34,Avatars!$L$17,Avatars!$N$17+$A34-1)+$A$1</f>
        <v>834.88888888888891</v>
      </c>
      <c r="L34" s="22">
        <f>HP(L$2,L$4,$A34,Avatars!$L$17,Avatars!$N$17+$A34-1)+$A$1</f>
        <v>878.44444444444446</v>
      </c>
      <c r="M34" s="22">
        <f>HP(M$2,M$4,$A34,Avatars!$L$17,Avatars!$N$17+$A34-1)+$A$1</f>
        <v>900.22222222222217</v>
      </c>
      <c r="N34" s="22">
        <f>HP(N$2,N$4,$A34,Avatars!$L$17,Avatars!$N$17+$A34-1)+$A$1</f>
        <v>922</v>
      </c>
      <c r="O34" s="23">
        <f t="shared" si="5"/>
        <v>406</v>
      </c>
      <c r="P34" s="23">
        <f t="shared" si="5"/>
        <v>294</v>
      </c>
      <c r="Q34" s="23">
        <f t="shared" si="5"/>
        <v>256.66666666666669</v>
      </c>
      <c r="R34" s="23">
        <f t="shared" si="5"/>
        <v>69.999999999999986</v>
      </c>
      <c r="S34" s="23">
        <f t="shared" si="5"/>
        <v>107.33333333333333</v>
      </c>
      <c r="T34" s="23">
        <f t="shared" si="5"/>
        <v>51.333333333333329</v>
      </c>
      <c r="U34" s="23">
        <f>mp(U$2,U$4,$A34,Avatars!$O$16,Avatars!$O$17+$A34)+$A$1</f>
        <v>892.33333333333337</v>
      </c>
      <c r="V34" s="23">
        <f>mp(V$2,V$4,$A34,Avatars!$O$16,Avatars!$O$17+$A34)+$A$1</f>
        <v>780.33333333333337</v>
      </c>
      <c r="W34" s="23">
        <f>mp(W$2,W$4,$A34,Avatars!$O$16,Avatars!$O$17+$A34)+$A$1</f>
        <v>743</v>
      </c>
      <c r="X34" s="23">
        <f>mp(X$2,X$4,$A34,Avatars!$O$16,Avatars!$O$17+$A34)+$A$1</f>
        <v>556.33333333333337</v>
      </c>
      <c r="Y34" s="23">
        <f>mp(Y$2,Y$4,$A34,Avatars!$O$16,Avatars!$O$17+$A34)+$A$1</f>
        <v>593.66666666666663</v>
      </c>
      <c r="Z34" s="23">
        <f>mp(Z$2,Z$4,$A34,Avatars!$O$16,Avatars!$O$17+$A34)+$A$1</f>
        <v>537.66666666666663</v>
      </c>
    </row>
    <row r="35" spans="1:26" s="2" customFormat="1">
      <c r="A35" s="17">
        <v>29</v>
      </c>
      <c r="B35" s="17"/>
      <c r="C35" s="22">
        <f t="shared" si="6"/>
        <v>313.77777777777777</v>
      </c>
      <c r="D35" s="22">
        <f t="shared" si="6"/>
        <v>358.88888888888886</v>
      </c>
      <c r="E35" s="22">
        <f t="shared" si="6"/>
        <v>381.44444444444446</v>
      </c>
      <c r="F35" s="22">
        <f t="shared" si="6"/>
        <v>426.55555555555554</v>
      </c>
      <c r="G35" s="22">
        <f t="shared" si="6"/>
        <v>449.11111111111109</v>
      </c>
      <c r="H35" s="22">
        <f t="shared" si="6"/>
        <v>471.66666666666669</v>
      </c>
      <c r="I35" s="22">
        <f>HP(I$2,I$4,$A35,Avatars!$L$17,Avatars!$N$17+$A35-1)+$A$1</f>
        <v>792.11111111111109</v>
      </c>
      <c r="J35" s="22">
        <f>HP(J$2,J$4,$A35,Avatars!$L$17,Avatars!$N$17+$A35-1)+$A$1</f>
        <v>837.22222222222217</v>
      </c>
      <c r="K35" s="22">
        <f>HP(K$2,K$4,$A35,Avatars!$L$17,Avatars!$N$17+$A35-1)+$A$1</f>
        <v>859.77777777777783</v>
      </c>
      <c r="L35" s="22">
        <f>HP(L$2,L$4,$A35,Avatars!$L$17,Avatars!$N$17+$A35-1)+$A$1</f>
        <v>904.88888888888891</v>
      </c>
      <c r="M35" s="22">
        <f>HP(M$2,M$4,$A35,Avatars!$L$17,Avatars!$N$17+$A35-1)+$A$1</f>
        <v>927.44444444444446</v>
      </c>
      <c r="N35" s="22">
        <f>HP(N$2,N$4,$A35,Avatars!$L$17,Avatars!$N$17+$A35-1)+$A$1</f>
        <v>950</v>
      </c>
      <c r="O35" s="23">
        <f t="shared" si="5"/>
        <v>420.33333333333337</v>
      </c>
      <c r="P35" s="23">
        <f t="shared" si="5"/>
        <v>304.33333333333337</v>
      </c>
      <c r="Q35" s="23">
        <f t="shared" si="5"/>
        <v>265.66666666666669</v>
      </c>
      <c r="R35" s="23">
        <f t="shared" si="5"/>
        <v>72.333333333333329</v>
      </c>
      <c r="S35" s="23">
        <f t="shared" si="5"/>
        <v>111</v>
      </c>
      <c r="T35" s="23">
        <f t="shared" si="5"/>
        <v>52.999999999999993</v>
      </c>
      <c r="U35" s="23">
        <f>mp(U$2,U$4,$A35,Avatars!$O$16,Avatars!$O$17+$A35)+$A$1</f>
        <v>945.66666666666663</v>
      </c>
      <c r="V35" s="23">
        <f>mp(V$2,V$4,$A35,Avatars!$O$16,Avatars!$O$17+$A35)+$A$1</f>
        <v>829.66666666666663</v>
      </c>
      <c r="W35" s="23">
        <f>mp(W$2,W$4,$A35,Avatars!$O$16,Avatars!$O$17+$A35)+$A$1</f>
        <v>791</v>
      </c>
      <c r="X35" s="23">
        <f>mp(X$2,X$4,$A35,Avatars!$O$16,Avatars!$O$17+$A35)+$A$1</f>
        <v>597.66666666666663</v>
      </c>
      <c r="Y35" s="23">
        <f>mp(Y$2,Y$4,$A35,Avatars!$O$16,Avatars!$O$17+$A35)+$A$1</f>
        <v>636.33333333333337</v>
      </c>
      <c r="Z35" s="23">
        <f>mp(Z$2,Z$4,$A35,Avatars!$O$16,Avatars!$O$17+$A35)+$A$1</f>
        <v>578.33333333333337</v>
      </c>
    </row>
    <row r="36" spans="1:26" s="2" customFormat="1">
      <c r="A36" s="17">
        <v>30</v>
      </c>
      <c r="B36" s="17"/>
      <c r="C36" s="22">
        <f t="shared" si="6"/>
        <v>323.33333333333331</v>
      </c>
      <c r="D36" s="22">
        <f t="shared" si="6"/>
        <v>370</v>
      </c>
      <c r="E36" s="22">
        <f t="shared" si="6"/>
        <v>393.33333333333337</v>
      </c>
      <c r="F36" s="22">
        <f t="shared" si="6"/>
        <v>440</v>
      </c>
      <c r="G36" s="22">
        <f t="shared" si="6"/>
        <v>463.33333333333331</v>
      </c>
      <c r="H36" s="22">
        <f t="shared" si="6"/>
        <v>486.66666666666669</v>
      </c>
      <c r="I36" s="22">
        <f>HP(I$2,I$4,$A36,Avatars!$L$17,Avatars!$N$17+$A36-1)+$A$1</f>
        <v>814.66666666666663</v>
      </c>
      <c r="J36" s="22">
        <f>HP(J$2,J$4,$A36,Avatars!$L$17,Avatars!$N$17+$A36-1)+$A$1</f>
        <v>861.33333333333337</v>
      </c>
      <c r="K36" s="22">
        <f>HP(K$2,K$4,$A36,Avatars!$L$17,Avatars!$N$17+$A36-1)+$A$1</f>
        <v>884.66666666666663</v>
      </c>
      <c r="L36" s="22">
        <f>HP(L$2,L$4,$A36,Avatars!$L$17,Avatars!$N$17+$A36-1)+$A$1</f>
        <v>931.33333333333337</v>
      </c>
      <c r="M36" s="22">
        <f>HP(M$2,M$4,$A36,Avatars!$L$17,Avatars!$N$17+$A36-1)+$A$1</f>
        <v>954.66666666666663</v>
      </c>
      <c r="N36" s="22">
        <f>HP(N$2,N$4,$A36,Avatars!$L$17,Avatars!$N$17+$A36-1)+$A$1</f>
        <v>978</v>
      </c>
      <c r="O36" s="23">
        <f t="shared" si="5"/>
        <v>434.66666666666669</v>
      </c>
      <c r="P36" s="23">
        <f t="shared" si="5"/>
        <v>314.66666666666669</v>
      </c>
      <c r="Q36" s="23">
        <f t="shared" si="5"/>
        <v>274.66666666666669</v>
      </c>
      <c r="R36" s="23">
        <f t="shared" si="5"/>
        <v>74.666666666666657</v>
      </c>
      <c r="S36" s="23">
        <f t="shared" si="5"/>
        <v>114.66666666666666</v>
      </c>
      <c r="T36" s="23">
        <f t="shared" si="5"/>
        <v>54.666666666666664</v>
      </c>
      <c r="U36" s="23">
        <f>mp(U$2,U$4,$A36,Avatars!$O$16,Avatars!$O$17+$A36)+$A$1</f>
        <v>973</v>
      </c>
      <c r="V36" s="23">
        <f>mp(V$2,V$4,$A36,Avatars!$O$16,Avatars!$O$17+$A36)+$A$1</f>
        <v>853</v>
      </c>
      <c r="W36" s="23">
        <f>mp(W$2,W$4,$A36,Avatars!$O$16,Avatars!$O$17+$A36)+$A$1</f>
        <v>813</v>
      </c>
      <c r="X36" s="23">
        <f>mp(X$2,X$4,$A36,Avatars!$O$16,Avatars!$O$17+$A36)+$A$1</f>
        <v>613</v>
      </c>
      <c r="Y36" s="23">
        <f>mp(Y$2,Y$4,$A36,Avatars!$O$16,Avatars!$O$17+$A36)+$A$1</f>
        <v>653</v>
      </c>
      <c r="Z36" s="23">
        <f>mp(Z$2,Z$4,$A36,Avatars!$O$16,Avatars!$O$17+$A36)+$A$1</f>
        <v>593</v>
      </c>
    </row>
    <row r="37" spans="1:26" s="2" customFormat="1">
      <c r="A37" s="17">
        <v>31</v>
      </c>
      <c r="B37" s="17"/>
      <c r="C37" s="22">
        <f t="shared" si="6"/>
        <v>332.88888888888886</v>
      </c>
      <c r="D37" s="22">
        <f t="shared" si="6"/>
        <v>381.11111111111109</v>
      </c>
      <c r="E37" s="22">
        <f t="shared" si="6"/>
        <v>405.22222222222223</v>
      </c>
      <c r="F37" s="22">
        <f t="shared" si="6"/>
        <v>453.44444444444446</v>
      </c>
      <c r="G37" s="22">
        <f t="shared" si="6"/>
        <v>477.55555555555554</v>
      </c>
      <c r="H37" s="22">
        <f t="shared" si="6"/>
        <v>501.66666666666669</v>
      </c>
      <c r="I37" s="22">
        <f>HP(I$2,I$4,$A37,Avatars!$L$17,Avatars!$N$17+$A37-1)+$A$1</f>
        <v>837.22222222222217</v>
      </c>
      <c r="J37" s="22">
        <f>HP(J$2,J$4,$A37,Avatars!$L$17,Avatars!$N$17+$A37-1)+$A$1</f>
        <v>885.44444444444446</v>
      </c>
      <c r="K37" s="22">
        <f>HP(K$2,K$4,$A37,Avatars!$L$17,Avatars!$N$17+$A37-1)+$A$1</f>
        <v>909.55555555555554</v>
      </c>
      <c r="L37" s="22">
        <f>HP(L$2,L$4,$A37,Avatars!$L$17,Avatars!$N$17+$A37-1)+$A$1</f>
        <v>957.77777777777783</v>
      </c>
      <c r="M37" s="22">
        <f>HP(M$2,M$4,$A37,Avatars!$L$17,Avatars!$N$17+$A37-1)+$A$1</f>
        <v>981.88888888888891</v>
      </c>
      <c r="N37" s="22">
        <f>HP(N$2,N$4,$A37,Avatars!$L$17,Avatars!$N$17+$A37-1)+$A$1</f>
        <v>1006</v>
      </c>
      <c r="O37" s="23">
        <f t="shared" si="5"/>
        <v>449</v>
      </c>
      <c r="P37" s="23">
        <f t="shared" si="5"/>
        <v>325</v>
      </c>
      <c r="Q37" s="23">
        <f t="shared" si="5"/>
        <v>283.66666666666669</v>
      </c>
      <c r="R37" s="23">
        <f t="shared" si="5"/>
        <v>76.999999999999986</v>
      </c>
      <c r="S37" s="23">
        <f t="shared" si="5"/>
        <v>118.33333333333333</v>
      </c>
      <c r="T37" s="23">
        <f t="shared" si="5"/>
        <v>56.333333333333329</v>
      </c>
      <c r="U37" s="23">
        <f>mp(U$2,U$4,$A37,Avatars!$O$16,Avatars!$O$17+$A37)+$A$1</f>
        <v>1000.3333333333334</v>
      </c>
      <c r="V37" s="23">
        <f>mp(V$2,V$4,$A37,Avatars!$O$16,Avatars!$O$17+$A37)+$A$1</f>
        <v>876.33333333333337</v>
      </c>
      <c r="W37" s="23">
        <f>mp(W$2,W$4,$A37,Avatars!$O$16,Avatars!$O$17+$A37)+$A$1</f>
        <v>835</v>
      </c>
      <c r="X37" s="23">
        <f>mp(X$2,X$4,$A37,Avatars!$O$16,Avatars!$O$17+$A37)+$A$1</f>
        <v>628.33333333333337</v>
      </c>
      <c r="Y37" s="23">
        <f>mp(Y$2,Y$4,$A37,Avatars!$O$16,Avatars!$O$17+$A37)+$A$1</f>
        <v>669.66666666666663</v>
      </c>
      <c r="Z37" s="23">
        <f>mp(Z$2,Z$4,$A37,Avatars!$O$16,Avatars!$O$17+$A37)+$A$1</f>
        <v>607.66666666666663</v>
      </c>
    </row>
    <row r="38" spans="1:26" s="2" customFormat="1">
      <c r="A38" s="17">
        <v>32</v>
      </c>
      <c r="B38" s="17"/>
      <c r="C38" s="22">
        <f t="shared" si="6"/>
        <v>342.44444444444446</v>
      </c>
      <c r="D38" s="22">
        <f t="shared" si="6"/>
        <v>392.22222222222223</v>
      </c>
      <c r="E38" s="22">
        <f t="shared" si="6"/>
        <v>417.11111111111114</v>
      </c>
      <c r="F38" s="22">
        <f t="shared" si="6"/>
        <v>466.88888888888891</v>
      </c>
      <c r="G38" s="22">
        <f t="shared" si="6"/>
        <v>491.77777777777777</v>
      </c>
      <c r="H38" s="22">
        <f t="shared" si="6"/>
        <v>516.66666666666663</v>
      </c>
      <c r="I38" s="22">
        <f>HP(I$2,I$4,$A38,Avatars!$L$17,Avatars!$N$17+$A38-1)+$A$1</f>
        <v>885.77777777777783</v>
      </c>
      <c r="J38" s="22">
        <f>HP(J$2,J$4,$A38,Avatars!$L$17,Avatars!$N$17+$A38-1)+$A$1</f>
        <v>935.55555555555554</v>
      </c>
      <c r="K38" s="22">
        <f>HP(K$2,K$4,$A38,Avatars!$L$17,Avatars!$N$17+$A38-1)+$A$1</f>
        <v>960.44444444444446</v>
      </c>
      <c r="L38" s="22">
        <f>HP(L$2,L$4,$A38,Avatars!$L$17,Avatars!$N$17+$A38-1)+$A$1</f>
        <v>1010.2222222222222</v>
      </c>
      <c r="M38" s="22">
        <f>HP(M$2,M$4,$A38,Avatars!$L$17,Avatars!$N$17+$A38-1)+$A$1</f>
        <v>1035.1111111111111</v>
      </c>
      <c r="N38" s="22">
        <f>HP(N$2,N$4,$A38,Avatars!$L$17,Avatars!$N$17+$A38-1)+$A$1</f>
        <v>1060</v>
      </c>
      <c r="O38" s="23">
        <f t="shared" si="5"/>
        <v>463.33333333333337</v>
      </c>
      <c r="P38" s="23">
        <f t="shared" si="5"/>
        <v>335.33333333333337</v>
      </c>
      <c r="Q38" s="23">
        <f t="shared" si="5"/>
        <v>292.66666666666669</v>
      </c>
      <c r="R38" s="23">
        <f t="shared" si="5"/>
        <v>79.333333333333329</v>
      </c>
      <c r="S38" s="23">
        <f t="shared" si="5"/>
        <v>122</v>
      </c>
      <c r="T38" s="23">
        <f t="shared" si="5"/>
        <v>57.999999999999993</v>
      </c>
      <c r="U38" s="23">
        <f>mp(U$2,U$4,$A38,Avatars!$O$16,Avatars!$O$17+$A38)+$A$1</f>
        <v>1027.6666666666667</v>
      </c>
      <c r="V38" s="23">
        <f>mp(V$2,V$4,$A38,Avatars!$O$16,Avatars!$O$17+$A38)+$A$1</f>
        <v>899.66666666666674</v>
      </c>
      <c r="W38" s="23">
        <f>mp(W$2,W$4,$A38,Avatars!$O$16,Avatars!$O$17+$A38)+$A$1</f>
        <v>857</v>
      </c>
      <c r="X38" s="23">
        <f>mp(X$2,X$4,$A38,Avatars!$O$16,Avatars!$O$17+$A38)+$A$1</f>
        <v>643.66666666666663</v>
      </c>
      <c r="Y38" s="23">
        <f>mp(Y$2,Y$4,$A38,Avatars!$O$16,Avatars!$O$17+$A38)+$A$1</f>
        <v>686.33333333333337</v>
      </c>
      <c r="Z38" s="23">
        <f>mp(Z$2,Z$4,$A38,Avatars!$O$16,Avatars!$O$17+$A38)+$A$1</f>
        <v>622.33333333333337</v>
      </c>
    </row>
    <row r="39" spans="1:26" s="2" customFormat="1">
      <c r="A39" s="17">
        <v>33</v>
      </c>
      <c r="B39" s="17"/>
      <c r="C39" s="22">
        <f t="shared" si="6"/>
        <v>352</v>
      </c>
      <c r="D39" s="22">
        <f t="shared" si="6"/>
        <v>403.33333333333331</v>
      </c>
      <c r="E39" s="22">
        <f t="shared" si="6"/>
        <v>429</v>
      </c>
      <c r="F39" s="22">
        <f t="shared" si="6"/>
        <v>480.33333333333331</v>
      </c>
      <c r="G39" s="22">
        <f t="shared" si="6"/>
        <v>506</v>
      </c>
      <c r="H39" s="22">
        <f t="shared" si="6"/>
        <v>531.66666666666663</v>
      </c>
      <c r="I39" s="22">
        <f>HP(I$2,I$4,$A39,Avatars!$L$17,Avatars!$N$17+$A39-1)+$A$1</f>
        <v>908.33333333333337</v>
      </c>
      <c r="J39" s="22">
        <f>HP(J$2,J$4,$A39,Avatars!$L$17,Avatars!$N$17+$A39-1)+$A$1</f>
        <v>959.66666666666663</v>
      </c>
      <c r="K39" s="22">
        <f>HP(K$2,K$4,$A39,Avatars!$L$17,Avatars!$N$17+$A39-1)+$A$1</f>
        <v>985.33333333333337</v>
      </c>
      <c r="L39" s="22">
        <f>HP(L$2,L$4,$A39,Avatars!$L$17,Avatars!$N$17+$A39-1)+$A$1</f>
        <v>1036.6666666666667</v>
      </c>
      <c r="M39" s="22">
        <f>HP(M$2,M$4,$A39,Avatars!$L$17,Avatars!$N$17+$A39-1)+$A$1</f>
        <v>1062.3333333333333</v>
      </c>
      <c r="N39" s="22">
        <f>HP(N$2,N$4,$A39,Avatars!$L$17,Avatars!$N$17+$A39-1)+$A$1</f>
        <v>1088</v>
      </c>
      <c r="O39" s="23">
        <f t="shared" si="5"/>
        <v>477.66666666666669</v>
      </c>
      <c r="P39" s="23">
        <f t="shared" si="5"/>
        <v>345.66666666666669</v>
      </c>
      <c r="Q39" s="23">
        <f t="shared" si="5"/>
        <v>301.66666666666669</v>
      </c>
      <c r="R39" s="23">
        <f t="shared" si="5"/>
        <v>81.666666666666657</v>
      </c>
      <c r="S39" s="23">
        <f t="shared" si="5"/>
        <v>125.66666666666666</v>
      </c>
      <c r="T39" s="23">
        <f t="shared" si="5"/>
        <v>59.666666666666664</v>
      </c>
      <c r="U39" s="23">
        <f>mp(U$2,U$4,$A39,Avatars!$O$16,Avatars!$O$17+$A39)+$A$1</f>
        <v>1055</v>
      </c>
      <c r="V39" s="23">
        <f>mp(V$2,V$4,$A39,Avatars!$O$16,Avatars!$O$17+$A39)+$A$1</f>
        <v>923</v>
      </c>
      <c r="W39" s="23">
        <f>mp(W$2,W$4,$A39,Avatars!$O$16,Avatars!$O$17+$A39)+$A$1</f>
        <v>879</v>
      </c>
      <c r="X39" s="23">
        <f>mp(X$2,X$4,$A39,Avatars!$O$16,Avatars!$O$17+$A39)+$A$1</f>
        <v>659</v>
      </c>
      <c r="Y39" s="23">
        <f>mp(Y$2,Y$4,$A39,Avatars!$O$16,Avatars!$O$17+$A39)+$A$1</f>
        <v>703</v>
      </c>
      <c r="Z39" s="23">
        <f>mp(Z$2,Z$4,$A39,Avatars!$O$16,Avatars!$O$17+$A39)+$A$1</f>
        <v>637</v>
      </c>
    </row>
    <row r="40" spans="1:26" s="2" customFormat="1">
      <c r="A40" s="17">
        <v>34</v>
      </c>
      <c r="B40" s="17"/>
      <c r="C40" s="22">
        <f t="shared" si="6"/>
        <v>361.55555555555554</v>
      </c>
      <c r="D40" s="22">
        <f t="shared" si="6"/>
        <v>414.44444444444446</v>
      </c>
      <c r="E40" s="22">
        <f t="shared" si="6"/>
        <v>440.88888888888891</v>
      </c>
      <c r="F40" s="22">
        <f t="shared" si="6"/>
        <v>493.77777777777777</v>
      </c>
      <c r="G40" s="22">
        <f t="shared" si="6"/>
        <v>520.22222222222217</v>
      </c>
      <c r="H40" s="22">
        <f t="shared" si="6"/>
        <v>546.66666666666663</v>
      </c>
      <c r="I40" s="22">
        <f>HP(I$2,I$4,$A40,Avatars!$L$17,Avatars!$N$17+$A40-1)+$A$1</f>
        <v>930.88888888888891</v>
      </c>
      <c r="J40" s="22">
        <f>HP(J$2,J$4,$A40,Avatars!$L$17,Avatars!$N$17+$A40-1)+$A$1</f>
        <v>983.77777777777771</v>
      </c>
      <c r="K40" s="22">
        <f>HP(K$2,K$4,$A40,Avatars!$L$17,Avatars!$N$17+$A40-1)+$A$1</f>
        <v>1010.2222222222223</v>
      </c>
      <c r="L40" s="22">
        <f>HP(L$2,L$4,$A40,Avatars!$L$17,Avatars!$N$17+$A40-1)+$A$1</f>
        <v>1063.1111111111111</v>
      </c>
      <c r="M40" s="22">
        <f>HP(M$2,M$4,$A40,Avatars!$L$17,Avatars!$N$17+$A40-1)+$A$1</f>
        <v>1089.5555555555554</v>
      </c>
      <c r="N40" s="22">
        <f>HP(N$2,N$4,$A40,Avatars!$L$17,Avatars!$N$17+$A40-1)+$A$1</f>
        <v>1116</v>
      </c>
      <c r="O40" s="23">
        <f t="shared" ref="O40:T71" si="7">mp(O$2,O$4,$A40,10,10)+$A$1</f>
        <v>492</v>
      </c>
      <c r="P40" s="23">
        <f t="shared" si="7"/>
        <v>356</v>
      </c>
      <c r="Q40" s="23">
        <f t="shared" si="7"/>
        <v>310.66666666666669</v>
      </c>
      <c r="R40" s="23">
        <f t="shared" si="7"/>
        <v>83.999999999999986</v>
      </c>
      <c r="S40" s="23">
        <f t="shared" si="7"/>
        <v>129.33333333333331</v>
      </c>
      <c r="T40" s="23">
        <f t="shared" si="7"/>
        <v>61.333333333333329</v>
      </c>
      <c r="U40" s="23">
        <f>mp(U$2,U$4,$A40,Avatars!$O$16,Avatars!$O$17+$A40)+$A$1</f>
        <v>1082.3333333333333</v>
      </c>
      <c r="V40" s="23">
        <f>mp(V$2,V$4,$A40,Avatars!$O$16,Avatars!$O$17+$A40)+$A$1</f>
        <v>946.33333333333337</v>
      </c>
      <c r="W40" s="23">
        <f>mp(W$2,W$4,$A40,Avatars!$O$16,Avatars!$O$17+$A40)+$A$1</f>
        <v>901</v>
      </c>
      <c r="X40" s="23">
        <f>mp(X$2,X$4,$A40,Avatars!$O$16,Avatars!$O$17+$A40)+$A$1</f>
        <v>674.33333333333337</v>
      </c>
      <c r="Y40" s="23">
        <f>mp(Y$2,Y$4,$A40,Avatars!$O$16,Avatars!$O$17+$A40)+$A$1</f>
        <v>719.66666666666663</v>
      </c>
      <c r="Z40" s="23">
        <f>mp(Z$2,Z$4,$A40,Avatars!$O$16,Avatars!$O$17+$A40)+$A$1</f>
        <v>651.66666666666663</v>
      </c>
    </row>
    <row r="41" spans="1:26" s="2" customFormat="1">
      <c r="A41" s="17">
        <v>35</v>
      </c>
      <c r="B41" s="17"/>
      <c r="C41" s="22">
        <f t="shared" si="6"/>
        <v>371.11111111111109</v>
      </c>
      <c r="D41" s="22">
        <f t="shared" si="6"/>
        <v>425.55555555555554</v>
      </c>
      <c r="E41" s="22">
        <f t="shared" si="6"/>
        <v>452.77777777777777</v>
      </c>
      <c r="F41" s="22">
        <f t="shared" si="6"/>
        <v>507.22222222222223</v>
      </c>
      <c r="G41" s="22">
        <f t="shared" si="6"/>
        <v>534.44444444444446</v>
      </c>
      <c r="H41" s="22">
        <f t="shared" si="6"/>
        <v>561.66666666666663</v>
      </c>
      <c r="I41" s="22">
        <f>HP(I$2,I$4,$A41,Avatars!$L$17,Avatars!$N$17+$A41-1)+$A$1</f>
        <v>953.44444444444446</v>
      </c>
      <c r="J41" s="22">
        <f>HP(J$2,J$4,$A41,Avatars!$L$17,Avatars!$N$17+$A41-1)+$A$1</f>
        <v>1007.8888888888889</v>
      </c>
      <c r="K41" s="22">
        <f>HP(K$2,K$4,$A41,Avatars!$L$17,Avatars!$N$17+$A41-1)+$A$1</f>
        <v>1035.1111111111111</v>
      </c>
      <c r="L41" s="22">
        <f>HP(L$2,L$4,$A41,Avatars!$L$17,Avatars!$N$17+$A41-1)+$A$1</f>
        <v>1089.5555555555557</v>
      </c>
      <c r="M41" s="22">
        <f>HP(M$2,M$4,$A41,Avatars!$L$17,Avatars!$N$17+$A41-1)+$A$1</f>
        <v>1116.7777777777778</v>
      </c>
      <c r="N41" s="22">
        <f>HP(N$2,N$4,$A41,Avatars!$L$17,Avatars!$N$17+$A41-1)+$A$1</f>
        <v>1144</v>
      </c>
      <c r="O41" s="23">
        <f t="shared" si="7"/>
        <v>506.33333333333337</v>
      </c>
      <c r="P41" s="23">
        <f t="shared" si="7"/>
        <v>366.33333333333337</v>
      </c>
      <c r="Q41" s="23">
        <f t="shared" si="7"/>
        <v>319.66666666666669</v>
      </c>
      <c r="R41" s="23">
        <f t="shared" si="7"/>
        <v>86.333333333333329</v>
      </c>
      <c r="S41" s="23">
        <f t="shared" si="7"/>
        <v>133</v>
      </c>
      <c r="T41" s="23">
        <f t="shared" si="7"/>
        <v>62.999999999999993</v>
      </c>
      <c r="U41" s="23">
        <f>mp(U$2,U$4,$A41,Avatars!$O$16,Avatars!$O$17+$A41)+$A$1</f>
        <v>1135.6666666666667</v>
      </c>
      <c r="V41" s="23">
        <f>mp(V$2,V$4,$A41,Avatars!$O$16,Avatars!$O$17+$A41)+$A$1</f>
        <v>995.66666666666674</v>
      </c>
      <c r="W41" s="23">
        <f>mp(W$2,W$4,$A41,Avatars!$O$16,Avatars!$O$17+$A41)+$A$1</f>
        <v>949</v>
      </c>
      <c r="X41" s="23">
        <f>mp(X$2,X$4,$A41,Avatars!$O$16,Avatars!$O$17+$A41)+$A$1</f>
        <v>715.66666666666663</v>
      </c>
      <c r="Y41" s="23">
        <f>mp(Y$2,Y$4,$A41,Avatars!$O$16,Avatars!$O$17+$A41)+$A$1</f>
        <v>762.33333333333337</v>
      </c>
      <c r="Z41" s="23">
        <f>mp(Z$2,Z$4,$A41,Avatars!$O$16,Avatars!$O$17+$A41)+$A$1</f>
        <v>692.33333333333337</v>
      </c>
    </row>
    <row r="42" spans="1:26" s="2" customFormat="1">
      <c r="A42" s="17">
        <v>36</v>
      </c>
      <c r="B42" s="17"/>
      <c r="C42" s="22">
        <f t="shared" si="6"/>
        <v>380.66666666666663</v>
      </c>
      <c r="D42" s="22">
        <f t="shared" si="6"/>
        <v>436.66666666666663</v>
      </c>
      <c r="E42" s="22">
        <f t="shared" si="6"/>
        <v>464.66666666666669</v>
      </c>
      <c r="F42" s="22">
        <f t="shared" si="6"/>
        <v>520.66666666666663</v>
      </c>
      <c r="G42" s="22">
        <f t="shared" si="6"/>
        <v>548.66666666666663</v>
      </c>
      <c r="H42" s="22">
        <f t="shared" si="6"/>
        <v>576.66666666666663</v>
      </c>
      <c r="I42" s="22">
        <f>HP(I$2,I$4,$A42,Avatars!$L$17,Avatars!$N$17+$A42-1)+$A$1</f>
        <v>976</v>
      </c>
      <c r="J42" s="22">
        <f>HP(J$2,J$4,$A42,Avatars!$L$17,Avatars!$N$17+$A42-1)+$A$1</f>
        <v>1032</v>
      </c>
      <c r="K42" s="22">
        <f>HP(K$2,K$4,$A42,Avatars!$L$17,Avatars!$N$17+$A42-1)+$A$1</f>
        <v>1060</v>
      </c>
      <c r="L42" s="22">
        <f>HP(L$2,L$4,$A42,Avatars!$L$17,Avatars!$N$17+$A42-1)+$A$1</f>
        <v>1116</v>
      </c>
      <c r="M42" s="22">
        <f>HP(M$2,M$4,$A42,Avatars!$L$17,Avatars!$N$17+$A42-1)+$A$1</f>
        <v>1144</v>
      </c>
      <c r="N42" s="22">
        <f>HP(N$2,N$4,$A42,Avatars!$L$17,Avatars!$N$17+$A42-1)+$A$1</f>
        <v>1172</v>
      </c>
      <c r="O42" s="23">
        <f t="shared" si="7"/>
        <v>520.66666666666674</v>
      </c>
      <c r="P42" s="23">
        <f t="shared" si="7"/>
        <v>376.66666666666669</v>
      </c>
      <c r="Q42" s="23">
        <f t="shared" si="7"/>
        <v>328.66666666666669</v>
      </c>
      <c r="R42" s="23">
        <f t="shared" si="7"/>
        <v>88.666666666666657</v>
      </c>
      <c r="S42" s="23">
        <f t="shared" si="7"/>
        <v>136.66666666666666</v>
      </c>
      <c r="T42" s="23">
        <f t="shared" si="7"/>
        <v>64.666666666666657</v>
      </c>
      <c r="U42" s="23">
        <f>mp(U$2,U$4,$A42,Avatars!$O$16,Avatars!$O$17+$A42)+$A$1</f>
        <v>1163</v>
      </c>
      <c r="V42" s="23">
        <f>mp(V$2,V$4,$A42,Avatars!$O$16,Avatars!$O$17+$A42)+$A$1</f>
        <v>1019</v>
      </c>
      <c r="W42" s="23">
        <f>mp(W$2,W$4,$A42,Avatars!$O$16,Avatars!$O$17+$A42)+$A$1</f>
        <v>971</v>
      </c>
      <c r="X42" s="23">
        <f>mp(X$2,X$4,$A42,Avatars!$O$16,Avatars!$O$17+$A42)+$A$1</f>
        <v>731</v>
      </c>
      <c r="Y42" s="23">
        <f>mp(Y$2,Y$4,$A42,Avatars!$O$16,Avatars!$O$17+$A42)+$A$1</f>
        <v>779</v>
      </c>
      <c r="Z42" s="23">
        <f>mp(Z$2,Z$4,$A42,Avatars!$O$16,Avatars!$O$17+$A42)+$A$1</f>
        <v>707</v>
      </c>
    </row>
    <row r="43" spans="1:26" s="2" customFormat="1">
      <c r="A43" s="17">
        <v>37</v>
      </c>
      <c r="B43" s="17"/>
      <c r="C43" s="22">
        <f t="shared" si="6"/>
        <v>390.22222222222223</v>
      </c>
      <c r="D43" s="22">
        <f t="shared" si="6"/>
        <v>447.77777777777777</v>
      </c>
      <c r="E43" s="22">
        <f t="shared" si="6"/>
        <v>476.55555555555554</v>
      </c>
      <c r="F43" s="22">
        <f t="shared" si="6"/>
        <v>534.11111111111109</v>
      </c>
      <c r="G43" s="22">
        <f t="shared" si="6"/>
        <v>562.88888888888891</v>
      </c>
      <c r="H43" s="22">
        <f t="shared" si="6"/>
        <v>591.66666666666663</v>
      </c>
      <c r="I43" s="22">
        <f>HP(I$2,I$4,$A43,Avatars!$L$17,Avatars!$N$17+$A43-1)+$A$1</f>
        <v>998.55555555555554</v>
      </c>
      <c r="J43" s="22">
        <f>HP(J$2,J$4,$A43,Avatars!$L$17,Avatars!$N$17+$A43-1)+$A$1</f>
        <v>1056.1111111111111</v>
      </c>
      <c r="K43" s="22">
        <f>HP(K$2,K$4,$A43,Avatars!$L$17,Avatars!$N$17+$A43-1)+$A$1</f>
        <v>1084.8888888888889</v>
      </c>
      <c r="L43" s="22">
        <f>HP(L$2,L$4,$A43,Avatars!$L$17,Avatars!$N$17+$A43-1)+$A$1</f>
        <v>1142.4444444444443</v>
      </c>
      <c r="M43" s="22">
        <f>HP(M$2,M$4,$A43,Avatars!$L$17,Avatars!$N$17+$A43-1)+$A$1</f>
        <v>1171.2222222222222</v>
      </c>
      <c r="N43" s="22">
        <f>HP(N$2,N$4,$A43,Avatars!$L$17,Avatars!$N$17+$A43-1)+$A$1</f>
        <v>1200</v>
      </c>
      <c r="O43" s="23">
        <f t="shared" si="7"/>
        <v>535</v>
      </c>
      <c r="P43" s="23">
        <f t="shared" si="7"/>
        <v>387</v>
      </c>
      <c r="Q43" s="23">
        <f t="shared" si="7"/>
        <v>337.66666666666669</v>
      </c>
      <c r="R43" s="23">
        <f t="shared" si="7"/>
        <v>90.999999999999986</v>
      </c>
      <c r="S43" s="23">
        <f t="shared" si="7"/>
        <v>140.33333333333331</v>
      </c>
      <c r="T43" s="23">
        <f t="shared" si="7"/>
        <v>66.333333333333329</v>
      </c>
      <c r="U43" s="23">
        <f>mp(U$2,U$4,$A43,Avatars!$O$16,Avatars!$O$17+$A43)+$A$1</f>
        <v>1190.3333333333333</v>
      </c>
      <c r="V43" s="23">
        <f>mp(V$2,V$4,$A43,Avatars!$O$16,Avatars!$O$17+$A43)+$A$1</f>
        <v>1042.3333333333333</v>
      </c>
      <c r="W43" s="23">
        <f>mp(W$2,W$4,$A43,Avatars!$O$16,Avatars!$O$17+$A43)+$A$1</f>
        <v>993</v>
      </c>
      <c r="X43" s="23">
        <f>mp(X$2,X$4,$A43,Avatars!$O$16,Avatars!$O$17+$A43)+$A$1</f>
        <v>746.33333333333337</v>
      </c>
      <c r="Y43" s="23">
        <f>mp(Y$2,Y$4,$A43,Avatars!$O$16,Avatars!$O$17+$A43)+$A$1</f>
        <v>795.66666666666663</v>
      </c>
      <c r="Z43" s="23">
        <f>mp(Z$2,Z$4,$A43,Avatars!$O$16,Avatars!$O$17+$A43)+$A$1</f>
        <v>721.66666666666663</v>
      </c>
    </row>
    <row r="44" spans="1:26" s="2" customFormat="1">
      <c r="A44" s="17">
        <v>38</v>
      </c>
      <c r="B44" s="17"/>
      <c r="C44" s="22">
        <f t="shared" si="6"/>
        <v>399.77777777777777</v>
      </c>
      <c r="D44" s="22">
        <f t="shared" si="6"/>
        <v>458.88888888888886</v>
      </c>
      <c r="E44" s="22">
        <f t="shared" si="6"/>
        <v>488.44444444444446</v>
      </c>
      <c r="F44" s="22">
        <f t="shared" si="6"/>
        <v>547.55555555555554</v>
      </c>
      <c r="G44" s="22">
        <f t="shared" si="6"/>
        <v>577.11111111111109</v>
      </c>
      <c r="H44" s="22">
        <f t="shared" si="6"/>
        <v>606.66666666666663</v>
      </c>
      <c r="I44" s="22">
        <f>HP(I$2,I$4,$A44,Avatars!$L$17,Avatars!$N$17+$A44-1)+$A$1</f>
        <v>1047.1111111111111</v>
      </c>
      <c r="J44" s="22">
        <f>HP(J$2,J$4,$A44,Avatars!$L$17,Avatars!$N$17+$A44-1)+$A$1</f>
        <v>1106.2222222222222</v>
      </c>
      <c r="K44" s="22">
        <f>HP(K$2,K$4,$A44,Avatars!$L$17,Avatars!$N$17+$A44-1)+$A$1</f>
        <v>1135.7777777777778</v>
      </c>
      <c r="L44" s="22">
        <f>HP(L$2,L$4,$A44,Avatars!$L$17,Avatars!$N$17+$A44-1)+$A$1</f>
        <v>1194.8888888888889</v>
      </c>
      <c r="M44" s="22">
        <f>HP(M$2,M$4,$A44,Avatars!$L$17,Avatars!$N$17+$A44-1)+$A$1</f>
        <v>1224.4444444444443</v>
      </c>
      <c r="N44" s="22">
        <f>HP(N$2,N$4,$A44,Avatars!$L$17,Avatars!$N$17+$A44-1)+$A$1</f>
        <v>1254</v>
      </c>
      <c r="O44" s="23">
        <f t="shared" si="7"/>
        <v>549.33333333333337</v>
      </c>
      <c r="P44" s="23">
        <f t="shared" si="7"/>
        <v>397.33333333333337</v>
      </c>
      <c r="Q44" s="23">
        <f t="shared" si="7"/>
        <v>346.66666666666669</v>
      </c>
      <c r="R44" s="23">
        <f t="shared" si="7"/>
        <v>93.333333333333329</v>
      </c>
      <c r="S44" s="23">
        <f t="shared" si="7"/>
        <v>144</v>
      </c>
      <c r="T44" s="23">
        <f t="shared" si="7"/>
        <v>68</v>
      </c>
      <c r="U44" s="23">
        <f>mp(U$2,U$4,$A44,Avatars!$O$16,Avatars!$O$17+$A44)+$A$1</f>
        <v>1217.6666666666667</v>
      </c>
      <c r="V44" s="23">
        <f>mp(V$2,V$4,$A44,Avatars!$O$16,Avatars!$O$17+$A44)+$A$1</f>
        <v>1065.6666666666667</v>
      </c>
      <c r="W44" s="23">
        <f>mp(W$2,W$4,$A44,Avatars!$O$16,Avatars!$O$17+$A44)+$A$1</f>
        <v>1015</v>
      </c>
      <c r="X44" s="23">
        <f>mp(X$2,X$4,$A44,Avatars!$O$16,Avatars!$O$17+$A44)+$A$1</f>
        <v>761.66666666666663</v>
      </c>
      <c r="Y44" s="23">
        <f>mp(Y$2,Y$4,$A44,Avatars!$O$16,Avatars!$O$17+$A44)+$A$1</f>
        <v>812.33333333333337</v>
      </c>
      <c r="Z44" s="23">
        <f>mp(Z$2,Z$4,$A44,Avatars!$O$16,Avatars!$O$17+$A44)+$A$1</f>
        <v>736.33333333333337</v>
      </c>
    </row>
    <row r="45" spans="1:26" s="2" customFormat="1">
      <c r="A45" s="17">
        <v>39</v>
      </c>
      <c r="B45" s="17"/>
      <c r="C45" s="22">
        <f t="shared" si="6"/>
        <v>409.33333333333331</v>
      </c>
      <c r="D45" s="22">
        <f t="shared" si="6"/>
        <v>470</v>
      </c>
      <c r="E45" s="22">
        <f t="shared" si="6"/>
        <v>500.33333333333337</v>
      </c>
      <c r="F45" s="22">
        <f t="shared" si="6"/>
        <v>561</v>
      </c>
      <c r="G45" s="22">
        <f t="shared" si="6"/>
        <v>591.33333333333326</v>
      </c>
      <c r="H45" s="22">
        <f t="shared" si="6"/>
        <v>621.66666666666663</v>
      </c>
      <c r="I45" s="22">
        <f>HP(I$2,I$4,$A45,Avatars!$L$17,Avatars!$N$17+$A45-1)+$A$1</f>
        <v>1069.6666666666667</v>
      </c>
      <c r="J45" s="22">
        <f>HP(J$2,J$4,$A45,Avatars!$L$17,Avatars!$N$17+$A45-1)+$A$1</f>
        <v>1130.3333333333333</v>
      </c>
      <c r="K45" s="22">
        <f>HP(K$2,K$4,$A45,Avatars!$L$17,Avatars!$N$17+$A45-1)+$A$1</f>
        <v>1160.6666666666667</v>
      </c>
      <c r="L45" s="22">
        <f>HP(L$2,L$4,$A45,Avatars!$L$17,Avatars!$N$17+$A45-1)+$A$1</f>
        <v>1221.3333333333333</v>
      </c>
      <c r="M45" s="22">
        <f>HP(M$2,M$4,$A45,Avatars!$L$17,Avatars!$N$17+$A45-1)+$A$1</f>
        <v>1251.6666666666667</v>
      </c>
      <c r="N45" s="22">
        <f>HP(N$2,N$4,$A45,Avatars!$L$17,Avatars!$N$17+$A45-1)+$A$1</f>
        <v>1282</v>
      </c>
      <c r="O45" s="23">
        <f t="shared" si="7"/>
        <v>563.66666666666674</v>
      </c>
      <c r="P45" s="23">
        <f t="shared" si="7"/>
        <v>407.66666666666669</v>
      </c>
      <c r="Q45" s="23">
        <f t="shared" si="7"/>
        <v>355.66666666666669</v>
      </c>
      <c r="R45" s="23">
        <f t="shared" si="7"/>
        <v>95.666666666666657</v>
      </c>
      <c r="S45" s="23">
        <f t="shared" si="7"/>
        <v>147.66666666666666</v>
      </c>
      <c r="T45" s="23">
        <f t="shared" si="7"/>
        <v>69.666666666666657</v>
      </c>
      <c r="U45" s="23">
        <f>mp(U$2,U$4,$A45,Avatars!$O$16,Avatars!$O$17+$A45)+$A$1</f>
        <v>1245</v>
      </c>
      <c r="V45" s="23">
        <f>mp(V$2,V$4,$A45,Avatars!$O$16,Avatars!$O$17+$A45)+$A$1</f>
        <v>1089</v>
      </c>
      <c r="W45" s="23">
        <f>mp(W$2,W$4,$A45,Avatars!$O$16,Avatars!$O$17+$A45)+$A$1</f>
        <v>1037</v>
      </c>
      <c r="X45" s="23">
        <f>mp(X$2,X$4,$A45,Avatars!$O$16,Avatars!$O$17+$A45)+$A$1</f>
        <v>777</v>
      </c>
      <c r="Y45" s="23">
        <f>mp(Y$2,Y$4,$A45,Avatars!$O$16,Avatars!$O$17+$A45)+$A$1</f>
        <v>829</v>
      </c>
      <c r="Z45" s="23">
        <f>mp(Z$2,Z$4,$A45,Avatars!$O$16,Avatars!$O$17+$A45)+$A$1</f>
        <v>751</v>
      </c>
    </row>
    <row r="46" spans="1:26" s="2" customFormat="1">
      <c r="A46" s="17">
        <v>40</v>
      </c>
      <c r="B46" s="17"/>
      <c r="C46" s="22">
        <f t="shared" si="6"/>
        <v>418.88888888888886</v>
      </c>
      <c r="D46" s="22">
        <f t="shared" si="6"/>
        <v>481.11111111111109</v>
      </c>
      <c r="E46" s="22">
        <f t="shared" si="6"/>
        <v>512.22222222222229</v>
      </c>
      <c r="F46" s="22">
        <f t="shared" si="6"/>
        <v>574.44444444444446</v>
      </c>
      <c r="G46" s="22">
        <f t="shared" si="6"/>
        <v>605.55555555555554</v>
      </c>
      <c r="H46" s="22">
        <f t="shared" si="6"/>
        <v>636.66666666666663</v>
      </c>
      <c r="I46" s="22">
        <f>HP(I$2,I$4,$A46,Avatars!$L$17,Avatars!$N$17+$A46-1)+$A$1</f>
        <v>1092.2222222222222</v>
      </c>
      <c r="J46" s="22">
        <f>HP(J$2,J$4,$A46,Avatars!$L$17,Avatars!$N$17+$A46-1)+$A$1</f>
        <v>1154.4444444444443</v>
      </c>
      <c r="K46" s="22">
        <f>HP(K$2,K$4,$A46,Avatars!$L$17,Avatars!$N$17+$A46-1)+$A$1</f>
        <v>1185.5555555555557</v>
      </c>
      <c r="L46" s="22">
        <f>HP(L$2,L$4,$A46,Avatars!$L$17,Avatars!$N$17+$A46-1)+$A$1</f>
        <v>1247.7777777777778</v>
      </c>
      <c r="M46" s="22">
        <f>HP(M$2,M$4,$A46,Avatars!$L$17,Avatars!$N$17+$A46-1)+$A$1</f>
        <v>1278.8888888888889</v>
      </c>
      <c r="N46" s="22">
        <f>HP(N$2,N$4,$A46,Avatars!$L$17,Avatars!$N$17+$A46-1)+$A$1</f>
        <v>1310</v>
      </c>
      <c r="O46" s="23">
        <f t="shared" si="7"/>
        <v>578</v>
      </c>
      <c r="P46" s="23">
        <f t="shared" si="7"/>
        <v>418</v>
      </c>
      <c r="Q46" s="23">
        <f t="shared" si="7"/>
        <v>364.66666666666669</v>
      </c>
      <c r="R46" s="23">
        <f t="shared" si="7"/>
        <v>97.999999999999986</v>
      </c>
      <c r="S46" s="23">
        <f t="shared" si="7"/>
        <v>151.33333333333331</v>
      </c>
      <c r="T46" s="23">
        <f t="shared" si="7"/>
        <v>71.333333333333329</v>
      </c>
      <c r="U46" s="23">
        <f>mp(U$2,U$4,$A46,Avatars!$O$16,Avatars!$O$17+$A46)+$A$1</f>
        <v>1272.3333333333333</v>
      </c>
      <c r="V46" s="23">
        <f>mp(V$2,V$4,$A46,Avatars!$O$16,Avatars!$O$17+$A46)+$A$1</f>
        <v>1112.3333333333333</v>
      </c>
      <c r="W46" s="23">
        <f>mp(W$2,W$4,$A46,Avatars!$O$16,Avatars!$O$17+$A46)+$A$1</f>
        <v>1059</v>
      </c>
      <c r="X46" s="23">
        <f>mp(X$2,X$4,$A46,Avatars!$O$16,Avatars!$O$17+$A46)+$A$1</f>
        <v>792.33333333333337</v>
      </c>
      <c r="Y46" s="23">
        <f>mp(Y$2,Y$4,$A46,Avatars!$O$16,Avatars!$O$17+$A46)+$A$1</f>
        <v>845.66666666666663</v>
      </c>
      <c r="Z46" s="23">
        <f>mp(Z$2,Z$4,$A46,Avatars!$O$16,Avatars!$O$17+$A46)+$A$1</f>
        <v>765.66666666666663</v>
      </c>
    </row>
    <row r="47" spans="1:26" s="2" customFormat="1">
      <c r="A47" s="17">
        <v>41</v>
      </c>
      <c r="B47" s="17"/>
      <c r="C47" s="22">
        <f t="shared" si="6"/>
        <v>428.44444444444446</v>
      </c>
      <c r="D47" s="22">
        <f t="shared" si="6"/>
        <v>492.22222222222223</v>
      </c>
      <c r="E47" s="22">
        <f t="shared" si="6"/>
        <v>524.11111111111109</v>
      </c>
      <c r="F47" s="22">
        <f t="shared" si="6"/>
        <v>587.88888888888891</v>
      </c>
      <c r="G47" s="22">
        <f t="shared" si="6"/>
        <v>619.77777777777771</v>
      </c>
      <c r="H47" s="22">
        <f t="shared" si="6"/>
        <v>651.66666666666663</v>
      </c>
      <c r="I47" s="22">
        <f>HP(I$2,I$4,$A47,Avatars!$L$17,Avatars!$N$17+$A47-1)+$A$1</f>
        <v>1140.7777777777778</v>
      </c>
      <c r="J47" s="22">
        <f>HP(J$2,J$4,$A47,Avatars!$L$17,Avatars!$N$17+$A47-1)+$A$1</f>
        <v>1204.5555555555554</v>
      </c>
      <c r="K47" s="22">
        <f>HP(K$2,K$4,$A47,Avatars!$L$17,Avatars!$N$17+$A47-1)+$A$1</f>
        <v>1236.4444444444446</v>
      </c>
      <c r="L47" s="22">
        <f>HP(L$2,L$4,$A47,Avatars!$L$17,Avatars!$N$17+$A47-1)+$A$1</f>
        <v>1300.2222222222222</v>
      </c>
      <c r="M47" s="22">
        <f>HP(M$2,M$4,$A47,Avatars!$L$17,Avatars!$N$17+$A47-1)+$A$1</f>
        <v>1332.1111111111111</v>
      </c>
      <c r="N47" s="22">
        <f>HP(N$2,N$4,$A47,Avatars!$L$17,Avatars!$N$17+$A47-1)+$A$1</f>
        <v>1364</v>
      </c>
      <c r="O47" s="23">
        <f t="shared" si="7"/>
        <v>592.33333333333337</v>
      </c>
      <c r="P47" s="23">
        <f t="shared" si="7"/>
        <v>428.33333333333337</v>
      </c>
      <c r="Q47" s="23">
        <f t="shared" si="7"/>
        <v>373.66666666666669</v>
      </c>
      <c r="R47" s="23">
        <f t="shared" si="7"/>
        <v>100.33333333333331</v>
      </c>
      <c r="S47" s="23">
        <f t="shared" si="7"/>
        <v>155</v>
      </c>
      <c r="T47" s="23">
        <f t="shared" si="7"/>
        <v>73</v>
      </c>
      <c r="U47" s="23">
        <f>mp(U$2,U$4,$A47,Avatars!$O$16,Avatars!$O$17+$A47)+$A$1</f>
        <v>1325.6666666666667</v>
      </c>
      <c r="V47" s="23">
        <f>mp(V$2,V$4,$A47,Avatars!$O$16,Avatars!$O$17+$A47)+$A$1</f>
        <v>1161.6666666666667</v>
      </c>
      <c r="W47" s="23">
        <f>mp(W$2,W$4,$A47,Avatars!$O$16,Avatars!$O$17+$A47)+$A$1</f>
        <v>1107</v>
      </c>
      <c r="X47" s="23">
        <f>mp(X$2,X$4,$A47,Avatars!$O$16,Avatars!$O$17+$A47)+$A$1</f>
        <v>833.66666666666663</v>
      </c>
      <c r="Y47" s="23">
        <f>mp(Y$2,Y$4,$A47,Avatars!$O$16,Avatars!$O$17+$A47)+$A$1</f>
        <v>888.33333333333337</v>
      </c>
      <c r="Z47" s="23">
        <f>mp(Z$2,Z$4,$A47,Avatars!$O$16,Avatars!$O$17+$A47)+$A$1</f>
        <v>806.33333333333337</v>
      </c>
    </row>
    <row r="48" spans="1:26" s="2" customFormat="1">
      <c r="A48" s="17">
        <v>42</v>
      </c>
      <c r="B48" s="17"/>
      <c r="C48" s="22">
        <f t="shared" si="6"/>
        <v>438</v>
      </c>
      <c r="D48" s="22">
        <f t="shared" si="6"/>
        <v>503.33333333333331</v>
      </c>
      <c r="E48" s="22">
        <f t="shared" si="6"/>
        <v>536</v>
      </c>
      <c r="F48" s="22">
        <f t="shared" si="6"/>
        <v>601.33333333333337</v>
      </c>
      <c r="G48" s="22">
        <f t="shared" si="6"/>
        <v>634</v>
      </c>
      <c r="H48" s="22">
        <f t="shared" si="6"/>
        <v>666.66666666666663</v>
      </c>
      <c r="I48" s="22">
        <f>HP(I$2,I$4,$A48,Avatars!$L$17,Avatars!$N$17+$A48-1)+$A$1</f>
        <v>1163.3333333333333</v>
      </c>
      <c r="J48" s="22">
        <f>HP(J$2,J$4,$A48,Avatars!$L$17,Avatars!$N$17+$A48-1)+$A$1</f>
        <v>1228.6666666666667</v>
      </c>
      <c r="K48" s="22">
        <f>HP(K$2,K$4,$A48,Avatars!$L$17,Avatars!$N$17+$A48-1)+$A$1</f>
        <v>1261.3333333333333</v>
      </c>
      <c r="L48" s="22">
        <f>HP(L$2,L$4,$A48,Avatars!$L$17,Avatars!$N$17+$A48-1)+$A$1</f>
        <v>1326.6666666666667</v>
      </c>
      <c r="M48" s="22">
        <f>HP(M$2,M$4,$A48,Avatars!$L$17,Avatars!$N$17+$A48-1)+$A$1</f>
        <v>1359.3333333333333</v>
      </c>
      <c r="N48" s="22">
        <f>HP(N$2,N$4,$A48,Avatars!$L$17,Avatars!$N$17+$A48-1)+$A$1</f>
        <v>1392</v>
      </c>
      <c r="O48" s="23">
        <f t="shared" si="7"/>
        <v>606.66666666666674</v>
      </c>
      <c r="P48" s="23">
        <f t="shared" si="7"/>
        <v>438.66666666666669</v>
      </c>
      <c r="Q48" s="23">
        <f t="shared" si="7"/>
        <v>382.66666666666669</v>
      </c>
      <c r="R48" s="23">
        <f t="shared" si="7"/>
        <v>102.66666666666666</v>
      </c>
      <c r="S48" s="23">
        <f t="shared" si="7"/>
        <v>158.66666666666666</v>
      </c>
      <c r="T48" s="23">
        <f t="shared" si="7"/>
        <v>74.666666666666657</v>
      </c>
      <c r="U48" s="23">
        <f>mp(U$2,U$4,$A48,Avatars!$O$16,Avatars!$O$17+$A48)+$A$1</f>
        <v>1353</v>
      </c>
      <c r="V48" s="23">
        <f>mp(V$2,V$4,$A48,Avatars!$O$16,Avatars!$O$17+$A48)+$A$1</f>
        <v>1185</v>
      </c>
      <c r="W48" s="23">
        <f>mp(W$2,W$4,$A48,Avatars!$O$16,Avatars!$O$17+$A48)+$A$1</f>
        <v>1129</v>
      </c>
      <c r="X48" s="23">
        <f>mp(X$2,X$4,$A48,Avatars!$O$16,Avatars!$O$17+$A48)+$A$1</f>
        <v>849</v>
      </c>
      <c r="Y48" s="23">
        <f>mp(Y$2,Y$4,$A48,Avatars!$O$16,Avatars!$O$17+$A48)+$A$1</f>
        <v>905</v>
      </c>
      <c r="Z48" s="23">
        <f>mp(Z$2,Z$4,$A48,Avatars!$O$16,Avatars!$O$17+$A48)+$A$1</f>
        <v>821</v>
      </c>
    </row>
    <row r="49" spans="1:26" s="2" customFormat="1">
      <c r="A49" s="17">
        <v>43</v>
      </c>
      <c r="B49" s="17"/>
      <c r="C49" s="22">
        <f t="shared" si="6"/>
        <v>447.55555555555554</v>
      </c>
      <c r="D49" s="22">
        <f t="shared" si="6"/>
        <v>514.44444444444446</v>
      </c>
      <c r="E49" s="22">
        <f t="shared" si="6"/>
        <v>547.88888888888891</v>
      </c>
      <c r="F49" s="22">
        <f t="shared" si="6"/>
        <v>614.77777777777783</v>
      </c>
      <c r="G49" s="22">
        <f t="shared" si="6"/>
        <v>648.22222222222217</v>
      </c>
      <c r="H49" s="22">
        <f t="shared" si="6"/>
        <v>681.66666666666663</v>
      </c>
      <c r="I49" s="22">
        <f>HP(I$2,I$4,$A49,Avatars!$L$17,Avatars!$N$17+$A49-1)+$A$1</f>
        <v>1185.8888888888889</v>
      </c>
      <c r="J49" s="22">
        <f>HP(J$2,J$4,$A49,Avatars!$L$17,Avatars!$N$17+$A49-1)+$A$1</f>
        <v>1252.7777777777778</v>
      </c>
      <c r="K49" s="22">
        <f>HP(K$2,K$4,$A49,Avatars!$L$17,Avatars!$N$17+$A49-1)+$A$1</f>
        <v>1286.2222222222222</v>
      </c>
      <c r="L49" s="22">
        <f>HP(L$2,L$4,$A49,Avatars!$L$17,Avatars!$N$17+$A49-1)+$A$1</f>
        <v>1353.1111111111111</v>
      </c>
      <c r="M49" s="22">
        <f>HP(M$2,M$4,$A49,Avatars!$L$17,Avatars!$N$17+$A49-1)+$A$1</f>
        <v>1386.5555555555554</v>
      </c>
      <c r="N49" s="22">
        <f>HP(N$2,N$4,$A49,Avatars!$L$17,Avatars!$N$17+$A49-1)+$A$1</f>
        <v>1420</v>
      </c>
      <c r="O49" s="23">
        <f t="shared" si="7"/>
        <v>621</v>
      </c>
      <c r="P49" s="23">
        <f t="shared" si="7"/>
        <v>449</v>
      </c>
      <c r="Q49" s="23">
        <f t="shared" si="7"/>
        <v>391.66666666666669</v>
      </c>
      <c r="R49" s="23">
        <f t="shared" si="7"/>
        <v>104.99999999999999</v>
      </c>
      <c r="S49" s="23">
        <f t="shared" si="7"/>
        <v>162.33333333333331</v>
      </c>
      <c r="T49" s="23">
        <f t="shared" si="7"/>
        <v>76.333333333333329</v>
      </c>
      <c r="U49" s="23">
        <f>mp(U$2,U$4,$A49,Avatars!$O$16,Avatars!$O$17+$A49)+$A$1</f>
        <v>1380.3333333333333</v>
      </c>
      <c r="V49" s="23">
        <f>mp(V$2,V$4,$A49,Avatars!$O$16,Avatars!$O$17+$A49)+$A$1</f>
        <v>1208.3333333333333</v>
      </c>
      <c r="W49" s="23">
        <f>mp(W$2,W$4,$A49,Avatars!$O$16,Avatars!$O$17+$A49)+$A$1</f>
        <v>1151</v>
      </c>
      <c r="X49" s="23">
        <f>mp(X$2,X$4,$A49,Avatars!$O$16,Avatars!$O$17+$A49)+$A$1</f>
        <v>864.33333333333337</v>
      </c>
      <c r="Y49" s="23">
        <f>mp(Y$2,Y$4,$A49,Avatars!$O$16,Avatars!$O$17+$A49)+$A$1</f>
        <v>921.66666666666663</v>
      </c>
      <c r="Z49" s="23">
        <f>mp(Z$2,Z$4,$A49,Avatars!$O$16,Avatars!$O$17+$A49)+$A$1</f>
        <v>835.66666666666663</v>
      </c>
    </row>
    <row r="50" spans="1:26" s="2" customFormat="1">
      <c r="A50" s="17">
        <v>44</v>
      </c>
      <c r="B50" s="17"/>
      <c r="C50" s="22">
        <f t="shared" si="6"/>
        <v>457.11111111111109</v>
      </c>
      <c r="D50" s="22">
        <f t="shared" si="6"/>
        <v>525.55555555555554</v>
      </c>
      <c r="E50" s="22">
        <f t="shared" si="6"/>
        <v>559.77777777777783</v>
      </c>
      <c r="F50" s="22">
        <f t="shared" si="6"/>
        <v>628.22222222222217</v>
      </c>
      <c r="G50" s="22">
        <f t="shared" si="6"/>
        <v>662.44444444444446</v>
      </c>
      <c r="H50" s="22">
        <f t="shared" si="6"/>
        <v>696.66666666666663</v>
      </c>
      <c r="I50" s="22">
        <f>HP(I$2,I$4,$A50,Avatars!$L$17,Avatars!$N$17+$A50-1)+$A$1</f>
        <v>1208.4444444444443</v>
      </c>
      <c r="J50" s="22">
        <f>HP(J$2,J$4,$A50,Avatars!$L$17,Avatars!$N$17+$A50-1)+$A$1</f>
        <v>1276.8888888888889</v>
      </c>
      <c r="K50" s="22">
        <f>HP(K$2,K$4,$A50,Avatars!$L$17,Avatars!$N$17+$A50-1)+$A$1</f>
        <v>1311.1111111111111</v>
      </c>
      <c r="L50" s="22">
        <f>HP(L$2,L$4,$A50,Avatars!$L$17,Avatars!$N$17+$A50-1)+$A$1</f>
        <v>1379.5555555555557</v>
      </c>
      <c r="M50" s="22">
        <f>HP(M$2,M$4,$A50,Avatars!$L$17,Avatars!$N$17+$A50-1)+$A$1</f>
        <v>1413.7777777777778</v>
      </c>
      <c r="N50" s="22">
        <f>HP(N$2,N$4,$A50,Avatars!$L$17,Avatars!$N$17+$A50-1)+$A$1</f>
        <v>1448</v>
      </c>
      <c r="O50" s="23">
        <f t="shared" si="7"/>
        <v>635.33333333333337</v>
      </c>
      <c r="P50" s="23">
        <f t="shared" si="7"/>
        <v>459.33333333333337</v>
      </c>
      <c r="Q50" s="23">
        <f t="shared" si="7"/>
        <v>400.66666666666669</v>
      </c>
      <c r="R50" s="23">
        <f t="shared" si="7"/>
        <v>107.33333333333331</v>
      </c>
      <c r="S50" s="23">
        <f t="shared" si="7"/>
        <v>166</v>
      </c>
      <c r="T50" s="23">
        <f t="shared" si="7"/>
        <v>78</v>
      </c>
      <c r="U50" s="23">
        <f>mp(U$2,U$4,$A50,Avatars!$O$16,Avatars!$O$17+$A50)+$A$1</f>
        <v>1433.6666666666667</v>
      </c>
      <c r="V50" s="23">
        <f>mp(V$2,V$4,$A50,Avatars!$O$16,Avatars!$O$17+$A50)+$A$1</f>
        <v>1257.6666666666667</v>
      </c>
      <c r="W50" s="23">
        <f>mp(W$2,W$4,$A50,Avatars!$O$16,Avatars!$O$17+$A50)+$A$1</f>
        <v>1199</v>
      </c>
      <c r="X50" s="23">
        <f>mp(X$2,X$4,$A50,Avatars!$O$16,Avatars!$O$17+$A50)+$A$1</f>
        <v>905.66666666666663</v>
      </c>
      <c r="Y50" s="23">
        <f>mp(Y$2,Y$4,$A50,Avatars!$O$16,Avatars!$O$17+$A50)+$A$1</f>
        <v>964.33333333333337</v>
      </c>
      <c r="Z50" s="23">
        <f>mp(Z$2,Z$4,$A50,Avatars!$O$16,Avatars!$O$17+$A50)+$A$1</f>
        <v>876.33333333333337</v>
      </c>
    </row>
    <row r="51" spans="1:26" s="2" customFormat="1">
      <c r="A51" s="17">
        <v>45</v>
      </c>
      <c r="B51" s="17"/>
      <c r="C51" s="22">
        <f t="shared" si="6"/>
        <v>466.66666666666663</v>
      </c>
      <c r="D51" s="22">
        <f t="shared" si="6"/>
        <v>536.66666666666663</v>
      </c>
      <c r="E51" s="22">
        <f t="shared" si="6"/>
        <v>571.66666666666663</v>
      </c>
      <c r="F51" s="22">
        <f t="shared" si="6"/>
        <v>641.66666666666663</v>
      </c>
      <c r="G51" s="22">
        <f t="shared" si="6"/>
        <v>676.66666666666663</v>
      </c>
      <c r="H51" s="22">
        <f t="shared" si="6"/>
        <v>711.66666666666663</v>
      </c>
      <c r="I51" s="22">
        <f>HP(I$2,I$4,$A51,Avatars!$L$17,Avatars!$N$17+$A51-1)+$A$1</f>
        <v>1231</v>
      </c>
      <c r="J51" s="22">
        <f>HP(J$2,J$4,$A51,Avatars!$L$17,Avatars!$N$17+$A51-1)+$A$1</f>
        <v>1301</v>
      </c>
      <c r="K51" s="22">
        <f>HP(K$2,K$4,$A51,Avatars!$L$17,Avatars!$N$17+$A51-1)+$A$1</f>
        <v>1336</v>
      </c>
      <c r="L51" s="22">
        <f>HP(L$2,L$4,$A51,Avatars!$L$17,Avatars!$N$17+$A51-1)+$A$1</f>
        <v>1406</v>
      </c>
      <c r="M51" s="22">
        <f>HP(M$2,M$4,$A51,Avatars!$L$17,Avatars!$N$17+$A51-1)+$A$1</f>
        <v>1441</v>
      </c>
      <c r="N51" s="22">
        <f>HP(N$2,N$4,$A51,Avatars!$L$17,Avatars!$N$17+$A51-1)+$A$1</f>
        <v>1476</v>
      </c>
      <c r="O51" s="23">
        <f t="shared" si="7"/>
        <v>649.66666666666674</v>
      </c>
      <c r="P51" s="23">
        <f t="shared" si="7"/>
        <v>469.66666666666669</v>
      </c>
      <c r="Q51" s="23">
        <f t="shared" si="7"/>
        <v>409.66666666666669</v>
      </c>
      <c r="R51" s="23">
        <f t="shared" si="7"/>
        <v>109.66666666666666</v>
      </c>
      <c r="S51" s="23">
        <f t="shared" si="7"/>
        <v>169.66666666666666</v>
      </c>
      <c r="T51" s="23">
        <f t="shared" si="7"/>
        <v>79.666666666666657</v>
      </c>
      <c r="U51" s="23">
        <f>mp(U$2,U$4,$A51,Avatars!$O$16,Avatars!$O$17+$A51)+$A$1</f>
        <v>1461</v>
      </c>
      <c r="V51" s="23">
        <f>mp(V$2,V$4,$A51,Avatars!$O$16,Avatars!$O$17+$A51)+$A$1</f>
        <v>1281</v>
      </c>
      <c r="W51" s="23">
        <f>mp(W$2,W$4,$A51,Avatars!$O$16,Avatars!$O$17+$A51)+$A$1</f>
        <v>1221</v>
      </c>
      <c r="X51" s="23">
        <f>mp(X$2,X$4,$A51,Avatars!$O$16,Avatars!$O$17+$A51)+$A$1</f>
        <v>921</v>
      </c>
      <c r="Y51" s="23">
        <f>mp(Y$2,Y$4,$A51,Avatars!$O$16,Avatars!$O$17+$A51)+$A$1</f>
        <v>981</v>
      </c>
      <c r="Z51" s="23">
        <f>mp(Z$2,Z$4,$A51,Avatars!$O$16,Avatars!$O$17+$A51)+$A$1</f>
        <v>891</v>
      </c>
    </row>
    <row r="52" spans="1:26" s="2" customFormat="1">
      <c r="A52" s="17">
        <v>46</v>
      </c>
      <c r="B52" s="17"/>
      <c r="C52" s="22">
        <f t="shared" si="6"/>
        <v>476.22222222222223</v>
      </c>
      <c r="D52" s="22">
        <f t="shared" si="6"/>
        <v>547.77777777777771</v>
      </c>
      <c r="E52" s="22">
        <f t="shared" si="6"/>
        <v>583.55555555555554</v>
      </c>
      <c r="F52" s="22">
        <f t="shared" si="6"/>
        <v>655.11111111111109</v>
      </c>
      <c r="G52" s="22">
        <f t="shared" si="6"/>
        <v>690.8888888888888</v>
      </c>
      <c r="H52" s="22">
        <f t="shared" si="6"/>
        <v>726.66666666666663</v>
      </c>
      <c r="I52" s="22">
        <f>HP(I$2,I$4,$A52,Avatars!$L$17,Avatars!$N$17+$A52-1)+$A$1</f>
        <v>1253.5555555555557</v>
      </c>
      <c r="J52" s="22">
        <f>HP(J$2,J$4,$A52,Avatars!$L$17,Avatars!$N$17+$A52-1)+$A$1</f>
        <v>1325.1111111111111</v>
      </c>
      <c r="K52" s="22">
        <f>HP(K$2,K$4,$A52,Avatars!$L$17,Avatars!$N$17+$A52-1)+$A$1</f>
        <v>1360.8888888888889</v>
      </c>
      <c r="L52" s="22">
        <f>HP(L$2,L$4,$A52,Avatars!$L$17,Avatars!$N$17+$A52-1)+$A$1</f>
        <v>1432.4444444444443</v>
      </c>
      <c r="M52" s="22">
        <f>HP(M$2,M$4,$A52,Avatars!$L$17,Avatars!$N$17+$A52-1)+$A$1</f>
        <v>1468.2222222222222</v>
      </c>
      <c r="N52" s="22">
        <f>HP(N$2,N$4,$A52,Avatars!$L$17,Avatars!$N$17+$A52-1)+$A$1</f>
        <v>1504</v>
      </c>
      <c r="O52" s="23">
        <f t="shared" si="7"/>
        <v>664</v>
      </c>
      <c r="P52" s="23">
        <f t="shared" si="7"/>
        <v>480</v>
      </c>
      <c r="Q52" s="23">
        <f t="shared" si="7"/>
        <v>418.66666666666669</v>
      </c>
      <c r="R52" s="23">
        <f t="shared" si="7"/>
        <v>111.99999999999999</v>
      </c>
      <c r="S52" s="23">
        <f t="shared" si="7"/>
        <v>173.33333333333331</v>
      </c>
      <c r="T52" s="23">
        <f t="shared" si="7"/>
        <v>81.333333333333329</v>
      </c>
      <c r="U52" s="23">
        <f>mp(U$2,U$4,$A52,Avatars!$O$16,Avatars!$O$17+$A52)+$A$1</f>
        <v>1488.3333333333333</v>
      </c>
      <c r="V52" s="23">
        <f>mp(V$2,V$4,$A52,Avatars!$O$16,Avatars!$O$17+$A52)+$A$1</f>
        <v>1304.3333333333333</v>
      </c>
      <c r="W52" s="23">
        <f>mp(W$2,W$4,$A52,Avatars!$O$16,Avatars!$O$17+$A52)+$A$1</f>
        <v>1243</v>
      </c>
      <c r="X52" s="23">
        <f>mp(X$2,X$4,$A52,Avatars!$O$16,Avatars!$O$17+$A52)+$A$1</f>
        <v>936.33333333333337</v>
      </c>
      <c r="Y52" s="23">
        <f>mp(Y$2,Y$4,$A52,Avatars!$O$16,Avatars!$O$17+$A52)+$A$1</f>
        <v>997.66666666666663</v>
      </c>
      <c r="Z52" s="23">
        <f>mp(Z$2,Z$4,$A52,Avatars!$O$16,Avatars!$O$17+$A52)+$A$1</f>
        <v>905.66666666666663</v>
      </c>
    </row>
    <row r="53" spans="1:26" s="2" customFormat="1">
      <c r="A53" s="17">
        <v>47</v>
      </c>
      <c r="B53" s="17"/>
      <c r="C53" s="22">
        <f t="shared" si="6"/>
        <v>485.77777777777777</v>
      </c>
      <c r="D53" s="22">
        <f t="shared" si="6"/>
        <v>558.88888888888891</v>
      </c>
      <c r="E53" s="22">
        <f t="shared" si="6"/>
        <v>595.44444444444446</v>
      </c>
      <c r="F53" s="22">
        <f t="shared" si="6"/>
        <v>668.55555555555554</v>
      </c>
      <c r="G53" s="22">
        <f t="shared" si="6"/>
        <v>705.11111111111109</v>
      </c>
      <c r="H53" s="22">
        <f t="shared" si="6"/>
        <v>741.66666666666663</v>
      </c>
      <c r="I53" s="22">
        <f>HP(I$2,I$4,$A53,Avatars!$L$17,Avatars!$N$17+$A53-1)+$A$1</f>
        <v>1315.1111111111111</v>
      </c>
      <c r="J53" s="22">
        <f>HP(J$2,J$4,$A53,Avatars!$L$17,Avatars!$N$17+$A53-1)+$A$1</f>
        <v>1388.2222222222222</v>
      </c>
      <c r="K53" s="22">
        <f>HP(K$2,K$4,$A53,Avatars!$L$17,Avatars!$N$17+$A53-1)+$A$1</f>
        <v>1424.7777777777778</v>
      </c>
      <c r="L53" s="22">
        <f>HP(L$2,L$4,$A53,Avatars!$L$17,Avatars!$N$17+$A53-1)+$A$1</f>
        <v>1497.8888888888889</v>
      </c>
      <c r="M53" s="22">
        <f>HP(M$2,M$4,$A53,Avatars!$L$17,Avatars!$N$17+$A53-1)+$A$1</f>
        <v>1534.4444444444443</v>
      </c>
      <c r="N53" s="22">
        <f>HP(N$2,N$4,$A53,Avatars!$L$17,Avatars!$N$17+$A53-1)+$A$1</f>
        <v>1571</v>
      </c>
      <c r="O53" s="23">
        <f t="shared" si="7"/>
        <v>678.33333333333337</v>
      </c>
      <c r="P53" s="23">
        <f t="shared" si="7"/>
        <v>490.33333333333337</v>
      </c>
      <c r="Q53" s="23">
        <f t="shared" si="7"/>
        <v>427.66666666666669</v>
      </c>
      <c r="R53" s="23">
        <f t="shared" si="7"/>
        <v>114.33333333333331</v>
      </c>
      <c r="S53" s="23">
        <f t="shared" si="7"/>
        <v>177</v>
      </c>
      <c r="T53" s="23">
        <f t="shared" si="7"/>
        <v>83</v>
      </c>
      <c r="U53" s="23">
        <f>mp(U$2,U$4,$A53,Avatars!$O$16,Avatars!$O$17+$A53)+$A$1</f>
        <v>1515.6666666666667</v>
      </c>
      <c r="V53" s="23">
        <f>mp(V$2,V$4,$A53,Avatars!$O$16,Avatars!$O$17+$A53)+$A$1</f>
        <v>1327.6666666666667</v>
      </c>
      <c r="W53" s="23">
        <f>mp(W$2,W$4,$A53,Avatars!$O$16,Avatars!$O$17+$A53)+$A$1</f>
        <v>1265</v>
      </c>
      <c r="X53" s="23">
        <f>mp(X$2,X$4,$A53,Avatars!$O$16,Avatars!$O$17+$A53)+$A$1</f>
        <v>951.66666666666663</v>
      </c>
      <c r="Y53" s="23">
        <f>mp(Y$2,Y$4,$A53,Avatars!$O$16,Avatars!$O$17+$A53)+$A$1</f>
        <v>1014.3333333333334</v>
      </c>
      <c r="Z53" s="23">
        <f>mp(Z$2,Z$4,$A53,Avatars!$O$16,Avatars!$O$17+$A53)+$A$1</f>
        <v>920.33333333333337</v>
      </c>
    </row>
    <row r="54" spans="1:26" s="2" customFormat="1">
      <c r="A54" s="17">
        <v>48</v>
      </c>
      <c r="B54" s="17"/>
      <c r="C54" s="22">
        <f t="shared" si="6"/>
        <v>495.33333333333331</v>
      </c>
      <c r="D54" s="22">
        <f t="shared" si="6"/>
        <v>570</v>
      </c>
      <c r="E54" s="22">
        <f t="shared" si="6"/>
        <v>607.33333333333337</v>
      </c>
      <c r="F54" s="22">
        <f t="shared" si="6"/>
        <v>682</v>
      </c>
      <c r="G54" s="22">
        <f t="shared" si="6"/>
        <v>719.33333333333326</v>
      </c>
      <c r="H54" s="22">
        <f t="shared" si="6"/>
        <v>756.66666666666663</v>
      </c>
      <c r="I54" s="22">
        <f>HP(I$2,I$4,$A54,Avatars!$L$17,Avatars!$N$17+$A54-1)+$A$1</f>
        <v>1337.6666666666667</v>
      </c>
      <c r="J54" s="22">
        <f>HP(J$2,J$4,$A54,Avatars!$L$17,Avatars!$N$17+$A54-1)+$A$1</f>
        <v>1412.3333333333333</v>
      </c>
      <c r="K54" s="22">
        <f>HP(K$2,K$4,$A54,Avatars!$L$17,Avatars!$N$17+$A54-1)+$A$1</f>
        <v>1449.6666666666667</v>
      </c>
      <c r="L54" s="22">
        <f>HP(L$2,L$4,$A54,Avatars!$L$17,Avatars!$N$17+$A54-1)+$A$1</f>
        <v>1524.3333333333333</v>
      </c>
      <c r="M54" s="22">
        <f>HP(M$2,M$4,$A54,Avatars!$L$17,Avatars!$N$17+$A54-1)+$A$1</f>
        <v>1561.6666666666665</v>
      </c>
      <c r="N54" s="22">
        <f>HP(N$2,N$4,$A54,Avatars!$L$17,Avatars!$N$17+$A54-1)+$A$1</f>
        <v>1599</v>
      </c>
      <c r="O54" s="23">
        <f t="shared" si="7"/>
        <v>692.66666666666674</v>
      </c>
      <c r="P54" s="23">
        <f t="shared" si="7"/>
        <v>500.66666666666669</v>
      </c>
      <c r="Q54" s="23">
        <f t="shared" si="7"/>
        <v>436.66666666666669</v>
      </c>
      <c r="R54" s="23">
        <f t="shared" si="7"/>
        <v>116.66666666666666</v>
      </c>
      <c r="S54" s="23">
        <f t="shared" si="7"/>
        <v>180.66666666666666</v>
      </c>
      <c r="T54" s="23">
        <f t="shared" si="7"/>
        <v>84.666666666666657</v>
      </c>
      <c r="U54" s="23">
        <f>mp(U$2,U$4,$A54,Avatars!$O$16,Avatars!$O$17+$A54)+$A$1</f>
        <v>1543</v>
      </c>
      <c r="V54" s="23">
        <f>mp(V$2,V$4,$A54,Avatars!$O$16,Avatars!$O$17+$A54)+$A$1</f>
        <v>1351</v>
      </c>
      <c r="W54" s="23">
        <f>mp(W$2,W$4,$A54,Avatars!$O$16,Avatars!$O$17+$A54)+$A$1</f>
        <v>1287</v>
      </c>
      <c r="X54" s="23">
        <f>mp(X$2,X$4,$A54,Avatars!$O$16,Avatars!$O$17+$A54)+$A$1</f>
        <v>967</v>
      </c>
      <c r="Y54" s="23">
        <f>mp(Y$2,Y$4,$A54,Avatars!$O$16,Avatars!$O$17+$A54)+$A$1</f>
        <v>1031</v>
      </c>
      <c r="Z54" s="23">
        <f>mp(Z$2,Z$4,$A54,Avatars!$O$16,Avatars!$O$17+$A54)+$A$1</f>
        <v>935</v>
      </c>
    </row>
    <row r="55" spans="1:26" s="2" customFormat="1">
      <c r="A55" s="17">
        <v>49</v>
      </c>
      <c r="B55" s="17"/>
      <c r="C55" s="22">
        <f t="shared" si="6"/>
        <v>504.88888888888886</v>
      </c>
      <c r="D55" s="22">
        <f t="shared" si="6"/>
        <v>581.11111111111109</v>
      </c>
      <c r="E55" s="22">
        <f t="shared" si="6"/>
        <v>619.22222222222229</v>
      </c>
      <c r="F55" s="22">
        <f t="shared" si="6"/>
        <v>695.44444444444446</v>
      </c>
      <c r="G55" s="22">
        <f t="shared" si="6"/>
        <v>733.55555555555554</v>
      </c>
      <c r="H55" s="22">
        <f t="shared" si="6"/>
        <v>771.66666666666663</v>
      </c>
      <c r="I55" s="22">
        <f>HP(I$2,I$4,$A55,Avatars!$L$17,Avatars!$N$17+$A55-1)+$A$1</f>
        <v>1360.2222222222222</v>
      </c>
      <c r="J55" s="22">
        <f>HP(J$2,J$4,$A55,Avatars!$L$17,Avatars!$N$17+$A55-1)+$A$1</f>
        <v>1436.4444444444443</v>
      </c>
      <c r="K55" s="22">
        <f>HP(K$2,K$4,$A55,Avatars!$L$17,Avatars!$N$17+$A55-1)+$A$1</f>
        <v>1474.5555555555557</v>
      </c>
      <c r="L55" s="22">
        <f>HP(L$2,L$4,$A55,Avatars!$L$17,Avatars!$N$17+$A55-1)+$A$1</f>
        <v>1550.7777777777778</v>
      </c>
      <c r="M55" s="22">
        <f>HP(M$2,M$4,$A55,Avatars!$L$17,Avatars!$N$17+$A55-1)+$A$1</f>
        <v>1588.8888888888889</v>
      </c>
      <c r="N55" s="22">
        <f>HP(N$2,N$4,$A55,Avatars!$L$17,Avatars!$N$17+$A55-1)+$A$1</f>
        <v>1627</v>
      </c>
      <c r="O55" s="23">
        <f t="shared" si="7"/>
        <v>707</v>
      </c>
      <c r="P55" s="23">
        <f t="shared" si="7"/>
        <v>511.00000000000006</v>
      </c>
      <c r="Q55" s="23">
        <f t="shared" si="7"/>
        <v>445.66666666666669</v>
      </c>
      <c r="R55" s="23">
        <f t="shared" si="7"/>
        <v>118.99999999999999</v>
      </c>
      <c r="S55" s="23">
        <f t="shared" si="7"/>
        <v>184.33333333333331</v>
      </c>
      <c r="T55" s="23">
        <f t="shared" si="7"/>
        <v>86.333333333333329</v>
      </c>
      <c r="U55" s="23">
        <f>mp(U$2,U$4,$A55,Avatars!$O$16,Avatars!$O$17+$A55)+$A$1</f>
        <v>1570.3333333333333</v>
      </c>
      <c r="V55" s="23">
        <f>mp(V$2,V$4,$A55,Avatars!$O$16,Avatars!$O$17+$A55)+$A$1</f>
        <v>1374.3333333333333</v>
      </c>
      <c r="W55" s="23">
        <f>mp(W$2,W$4,$A55,Avatars!$O$16,Avatars!$O$17+$A55)+$A$1</f>
        <v>1309</v>
      </c>
      <c r="X55" s="23">
        <f>mp(X$2,X$4,$A55,Avatars!$O$16,Avatars!$O$17+$A55)+$A$1</f>
        <v>982.33333333333337</v>
      </c>
      <c r="Y55" s="23">
        <f>mp(Y$2,Y$4,$A55,Avatars!$O$16,Avatars!$O$17+$A55)+$A$1</f>
        <v>1047.6666666666667</v>
      </c>
      <c r="Z55" s="23">
        <f>mp(Z$2,Z$4,$A55,Avatars!$O$16,Avatars!$O$17+$A55)+$A$1</f>
        <v>949.66666666666663</v>
      </c>
    </row>
    <row r="56" spans="1:26" s="2" customFormat="1">
      <c r="A56" s="17">
        <v>50</v>
      </c>
      <c r="B56" s="17"/>
      <c r="C56" s="22">
        <f t="shared" si="6"/>
        <v>514.44444444444446</v>
      </c>
      <c r="D56" s="22">
        <f t="shared" si="6"/>
        <v>592.22222222222217</v>
      </c>
      <c r="E56" s="22">
        <f t="shared" si="6"/>
        <v>631.11111111111109</v>
      </c>
      <c r="F56" s="22">
        <f t="shared" si="6"/>
        <v>708.88888888888891</v>
      </c>
      <c r="G56" s="22">
        <f t="shared" si="6"/>
        <v>747.77777777777771</v>
      </c>
      <c r="H56" s="22">
        <f t="shared" si="6"/>
        <v>786.66666666666663</v>
      </c>
      <c r="I56" s="22">
        <f>HP(I$2,I$4,$A56,Avatars!$L$17,Avatars!$N$17+$A56-1)+$A$1</f>
        <v>1382.7777777777778</v>
      </c>
      <c r="J56" s="22">
        <f>HP(J$2,J$4,$A56,Avatars!$L$17,Avatars!$N$17+$A56-1)+$A$1</f>
        <v>1460.5555555555554</v>
      </c>
      <c r="K56" s="22">
        <f>HP(K$2,K$4,$A56,Avatars!$L$17,Avatars!$N$17+$A56-1)+$A$1</f>
        <v>1499.4444444444446</v>
      </c>
      <c r="L56" s="22">
        <f>HP(L$2,L$4,$A56,Avatars!$L$17,Avatars!$N$17+$A56-1)+$A$1</f>
        <v>1577.2222222222222</v>
      </c>
      <c r="M56" s="22">
        <f>HP(M$2,M$4,$A56,Avatars!$L$17,Avatars!$N$17+$A56-1)+$A$1</f>
        <v>1616.1111111111111</v>
      </c>
      <c r="N56" s="22">
        <f>HP(N$2,N$4,$A56,Avatars!$L$17,Avatars!$N$17+$A56-1)+$A$1</f>
        <v>1655</v>
      </c>
      <c r="O56" s="23">
        <f t="shared" si="7"/>
        <v>721.33333333333337</v>
      </c>
      <c r="P56" s="23">
        <f t="shared" si="7"/>
        <v>521.33333333333337</v>
      </c>
      <c r="Q56" s="23">
        <f t="shared" si="7"/>
        <v>454.66666666666669</v>
      </c>
      <c r="R56" s="23">
        <f t="shared" si="7"/>
        <v>121.33333333333331</v>
      </c>
      <c r="S56" s="23">
        <f t="shared" si="7"/>
        <v>188</v>
      </c>
      <c r="T56" s="23">
        <f t="shared" si="7"/>
        <v>88</v>
      </c>
      <c r="U56" s="23">
        <f>mp(U$2,U$4,$A56,Avatars!$O$16,Avatars!$O$17+$A56)+$A$1</f>
        <v>1636.6666666666667</v>
      </c>
      <c r="V56" s="23">
        <f>mp(V$2,V$4,$A56,Avatars!$O$16,Avatars!$O$17+$A56)+$A$1</f>
        <v>1436.6666666666667</v>
      </c>
      <c r="W56" s="23">
        <f>mp(W$2,W$4,$A56,Avatars!$O$16,Avatars!$O$17+$A56)+$A$1</f>
        <v>1370</v>
      </c>
      <c r="X56" s="23">
        <f>mp(X$2,X$4,$A56,Avatars!$O$16,Avatars!$O$17+$A56)+$A$1</f>
        <v>1036.6666666666667</v>
      </c>
      <c r="Y56" s="23">
        <f>mp(Y$2,Y$4,$A56,Avatars!$O$16,Avatars!$O$17+$A56)+$A$1</f>
        <v>1103.3333333333333</v>
      </c>
      <c r="Z56" s="23">
        <f>mp(Z$2,Z$4,$A56,Avatars!$O$16,Avatars!$O$17+$A56)+$A$1</f>
        <v>1003.3333333333334</v>
      </c>
    </row>
    <row r="57" spans="1:26" s="2" customFormat="1">
      <c r="A57" s="17">
        <v>51</v>
      </c>
      <c r="B57" s="17"/>
      <c r="C57" s="22">
        <f t="shared" si="6"/>
        <v>524</v>
      </c>
      <c r="D57" s="22">
        <f t="shared" si="6"/>
        <v>603.33333333333326</v>
      </c>
      <c r="E57" s="22">
        <f t="shared" si="6"/>
        <v>643</v>
      </c>
      <c r="F57" s="22">
        <f t="shared" si="6"/>
        <v>722.33333333333337</v>
      </c>
      <c r="G57" s="22">
        <f t="shared" si="6"/>
        <v>762</v>
      </c>
      <c r="H57" s="22">
        <f t="shared" si="6"/>
        <v>801.66666666666663</v>
      </c>
      <c r="I57" s="22">
        <f>HP(I$2,I$4,$A57,Avatars!$L$17,Avatars!$N$17+$A57-1)+$A$1</f>
        <v>1405.3333333333333</v>
      </c>
      <c r="J57" s="22">
        <f>HP(J$2,J$4,$A57,Avatars!$L$17,Avatars!$N$17+$A57-1)+$A$1</f>
        <v>1484.6666666666667</v>
      </c>
      <c r="K57" s="22">
        <f>HP(K$2,K$4,$A57,Avatars!$L$17,Avatars!$N$17+$A57-1)+$A$1</f>
        <v>1524.3333333333333</v>
      </c>
      <c r="L57" s="22">
        <f>HP(L$2,L$4,$A57,Avatars!$L$17,Avatars!$N$17+$A57-1)+$A$1</f>
        <v>1603.6666666666667</v>
      </c>
      <c r="M57" s="22">
        <f>HP(M$2,M$4,$A57,Avatars!$L$17,Avatars!$N$17+$A57-1)+$A$1</f>
        <v>1643.3333333333333</v>
      </c>
      <c r="N57" s="22">
        <f>HP(N$2,N$4,$A57,Avatars!$L$17,Avatars!$N$17+$A57-1)+$A$1</f>
        <v>1683</v>
      </c>
      <c r="O57" s="23">
        <f t="shared" si="7"/>
        <v>735.66666666666674</v>
      </c>
      <c r="P57" s="23">
        <f t="shared" si="7"/>
        <v>531.66666666666674</v>
      </c>
      <c r="Q57" s="23">
        <f t="shared" si="7"/>
        <v>463.66666666666669</v>
      </c>
      <c r="R57" s="23">
        <f t="shared" si="7"/>
        <v>123.66666666666666</v>
      </c>
      <c r="S57" s="23">
        <f t="shared" si="7"/>
        <v>191.66666666666666</v>
      </c>
      <c r="T57" s="23">
        <f t="shared" si="7"/>
        <v>89.666666666666657</v>
      </c>
      <c r="U57" s="23">
        <f>mp(U$2,U$4,$A57,Avatars!$O$16,Avatars!$O$17+$A57)+$A$1</f>
        <v>1664</v>
      </c>
      <c r="V57" s="23">
        <f>mp(V$2,V$4,$A57,Avatars!$O$16,Avatars!$O$17+$A57)+$A$1</f>
        <v>1460</v>
      </c>
      <c r="W57" s="23">
        <f>mp(W$2,W$4,$A57,Avatars!$O$16,Avatars!$O$17+$A57)+$A$1</f>
        <v>1392</v>
      </c>
      <c r="X57" s="23">
        <f>mp(X$2,X$4,$A57,Avatars!$O$16,Avatars!$O$17+$A57)+$A$1</f>
        <v>1052</v>
      </c>
      <c r="Y57" s="23">
        <f>mp(Y$2,Y$4,$A57,Avatars!$O$16,Avatars!$O$17+$A57)+$A$1</f>
        <v>1120</v>
      </c>
      <c r="Z57" s="23">
        <f>mp(Z$2,Z$4,$A57,Avatars!$O$16,Avatars!$O$17+$A57)+$A$1</f>
        <v>1018</v>
      </c>
    </row>
    <row r="58" spans="1:26" s="2" customFormat="1">
      <c r="A58" s="17">
        <v>52</v>
      </c>
      <c r="B58" s="17"/>
      <c r="C58" s="22">
        <f t="shared" si="6"/>
        <v>533.55555555555554</v>
      </c>
      <c r="D58" s="22">
        <f t="shared" si="6"/>
        <v>614.44444444444446</v>
      </c>
      <c r="E58" s="22">
        <f t="shared" si="6"/>
        <v>654.88888888888891</v>
      </c>
      <c r="F58" s="22">
        <f t="shared" si="6"/>
        <v>735.77777777777783</v>
      </c>
      <c r="G58" s="22">
        <f t="shared" si="6"/>
        <v>776.22222222222217</v>
      </c>
      <c r="H58" s="22">
        <f t="shared" si="6"/>
        <v>816.66666666666663</v>
      </c>
      <c r="I58" s="22">
        <f>HP(I$2,I$4,$A58,Avatars!$L$17,Avatars!$N$17+$A58-1)+$A$1</f>
        <v>1427.8888888888889</v>
      </c>
      <c r="J58" s="22">
        <f>HP(J$2,J$4,$A58,Avatars!$L$17,Avatars!$N$17+$A58-1)+$A$1</f>
        <v>1508.7777777777778</v>
      </c>
      <c r="K58" s="22">
        <f>HP(K$2,K$4,$A58,Avatars!$L$17,Avatars!$N$17+$A58-1)+$A$1</f>
        <v>1549.2222222222222</v>
      </c>
      <c r="L58" s="22">
        <f>HP(L$2,L$4,$A58,Avatars!$L$17,Avatars!$N$17+$A58-1)+$A$1</f>
        <v>1630.1111111111111</v>
      </c>
      <c r="M58" s="22">
        <f>HP(M$2,M$4,$A58,Avatars!$L$17,Avatars!$N$17+$A58-1)+$A$1</f>
        <v>1670.5555555555554</v>
      </c>
      <c r="N58" s="22">
        <f>HP(N$2,N$4,$A58,Avatars!$L$17,Avatars!$N$17+$A58-1)+$A$1</f>
        <v>1711</v>
      </c>
      <c r="O58" s="23">
        <f t="shared" si="7"/>
        <v>750</v>
      </c>
      <c r="P58" s="23">
        <f t="shared" si="7"/>
        <v>542</v>
      </c>
      <c r="Q58" s="23">
        <f t="shared" si="7"/>
        <v>472.66666666666669</v>
      </c>
      <c r="R58" s="23">
        <f t="shared" si="7"/>
        <v>125.99999999999999</v>
      </c>
      <c r="S58" s="23">
        <f t="shared" si="7"/>
        <v>195.33333333333331</v>
      </c>
      <c r="T58" s="23">
        <f t="shared" si="7"/>
        <v>91.333333333333329</v>
      </c>
      <c r="U58" s="23">
        <f>mp(U$2,U$4,$A58,Avatars!$O$16,Avatars!$O$17+$A58)+$A$1</f>
        <v>1691.3333333333333</v>
      </c>
      <c r="V58" s="23">
        <f>mp(V$2,V$4,$A58,Avatars!$O$16,Avatars!$O$17+$A58)+$A$1</f>
        <v>1483.3333333333333</v>
      </c>
      <c r="W58" s="23">
        <f>mp(W$2,W$4,$A58,Avatars!$O$16,Avatars!$O$17+$A58)+$A$1</f>
        <v>1414</v>
      </c>
      <c r="X58" s="23">
        <f>mp(X$2,X$4,$A58,Avatars!$O$16,Avatars!$O$17+$A58)+$A$1</f>
        <v>1067.3333333333333</v>
      </c>
      <c r="Y58" s="23">
        <f>mp(Y$2,Y$4,$A58,Avatars!$O$16,Avatars!$O$17+$A58)+$A$1</f>
        <v>1136.6666666666667</v>
      </c>
      <c r="Z58" s="23">
        <f>mp(Z$2,Z$4,$A58,Avatars!$O$16,Avatars!$O$17+$A58)+$A$1</f>
        <v>1032.6666666666667</v>
      </c>
    </row>
    <row r="59" spans="1:26" s="2" customFormat="1">
      <c r="A59" s="17">
        <v>53</v>
      </c>
      <c r="B59" s="17"/>
      <c r="C59" s="22">
        <f t="shared" si="6"/>
        <v>543.11111111111109</v>
      </c>
      <c r="D59" s="22">
        <f t="shared" si="6"/>
        <v>625.55555555555554</v>
      </c>
      <c r="E59" s="22">
        <f t="shared" si="6"/>
        <v>666.77777777777783</v>
      </c>
      <c r="F59" s="22">
        <f t="shared" si="6"/>
        <v>749.22222222222229</v>
      </c>
      <c r="G59" s="22">
        <f t="shared" si="6"/>
        <v>790.44444444444434</v>
      </c>
      <c r="H59" s="22">
        <f t="shared" si="6"/>
        <v>831.66666666666663</v>
      </c>
      <c r="I59" s="22">
        <f>HP(I$2,I$4,$A59,Avatars!$L$17,Avatars!$N$17+$A59-1)+$A$1</f>
        <v>1489.4444444444443</v>
      </c>
      <c r="J59" s="22">
        <f>HP(J$2,J$4,$A59,Avatars!$L$17,Avatars!$N$17+$A59-1)+$A$1</f>
        <v>1571.8888888888889</v>
      </c>
      <c r="K59" s="22">
        <f>HP(K$2,K$4,$A59,Avatars!$L$17,Avatars!$N$17+$A59-1)+$A$1</f>
        <v>1613.1111111111111</v>
      </c>
      <c r="L59" s="22">
        <f>HP(L$2,L$4,$A59,Avatars!$L$17,Avatars!$N$17+$A59-1)+$A$1</f>
        <v>1695.5555555555557</v>
      </c>
      <c r="M59" s="22">
        <f>HP(M$2,M$4,$A59,Avatars!$L$17,Avatars!$N$17+$A59-1)+$A$1</f>
        <v>1736.7777777777778</v>
      </c>
      <c r="N59" s="22">
        <f>HP(N$2,N$4,$A59,Avatars!$L$17,Avatars!$N$17+$A59-1)+$A$1</f>
        <v>1778</v>
      </c>
      <c r="O59" s="23">
        <f t="shared" si="7"/>
        <v>764.33333333333337</v>
      </c>
      <c r="P59" s="23">
        <f t="shared" si="7"/>
        <v>552.33333333333337</v>
      </c>
      <c r="Q59" s="23">
        <f t="shared" si="7"/>
        <v>481.66666666666669</v>
      </c>
      <c r="R59" s="23">
        <f t="shared" si="7"/>
        <v>128.33333333333331</v>
      </c>
      <c r="S59" s="23">
        <f t="shared" si="7"/>
        <v>199</v>
      </c>
      <c r="T59" s="23">
        <f t="shared" si="7"/>
        <v>92.999999999999986</v>
      </c>
      <c r="U59" s="23">
        <f>mp(U$2,U$4,$A59,Avatars!$O$16,Avatars!$O$17+$A59)+$A$1</f>
        <v>1718.6666666666667</v>
      </c>
      <c r="V59" s="23">
        <f>mp(V$2,V$4,$A59,Avatars!$O$16,Avatars!$O$17+$A59)+$A$1</f>
        <v>1506.6666666666667</v>
      </c>
      <c r="W59" s="23">
        <f>mp(W$2,W$4,$A59,Avatars!$O$16,Avatars!$O$17+$A59)+$A$1</f>
        <v>1436</v>
      </c>
      <c r="X59" s="23">
        <f>mp(X$2,X$4,$A59,Avatars!$O$16,Avatars!$O$17+$A59)+$A$1</f>
        <v>1082.6666666666667</v>
      </c>
      <c r="Y59" s="23">
        <f>mp(Y$2,Y$4,$A59,Avatars!$O$16,Avatars!$O$17+$A59)+$A$1</f>
        <v>1153.3333333333333</v>
      </c>
      <c r="Z59" s="23">
        <f>mp(Z$2,Z$4,$A59,Avatars!$O$16,Avatars!$O$17+$A59)+$A$1</f>
        <v>1047.3333333333333</v>
      </c>
    </row>
    <row r="60" spans="1:26" s="2" customFormat="1">
      <c r="A60" s="17">
        <v>54</v>
      </c>
      <c r="B60" s="17"/>
      <c r="C60" s="22">
        <f t="shared" si="6"/>
        <v>552.66666666666663</v>
      </c>
      <c r="D60" s="22">
        <f t="shared" si="6"/>
        <v>636.66666666666663</v>
      </c>
      <c r="E60" s="22">
        <f t="shared" si="6"/>
        <v>678.66666666666674</v>
      </c>
      <c r="F60" s="22">
        <f t="shared" si="6"/>
        <v>762.66666666666663</v>
      </c>
      <c r="G60" s="22">
        <f t="shared" si="6"/>
        <v>804.66666666666663</v>
      </c>
      <c r="H60" s="22">
        <f t="shared" si="6"/>
        <v>846.66666666666663</v>
      </c>
      <c r="I60" s="22">
        <f>HP(I$2,I$4,$A60,Avatars!$L$17,Avatars!$N$17+$A60-1)+$A$1</f>
        <v>1512</v>
      </c>
      <c r="J60" s="22">
        <f>HP(J$2,J$4,$A60,Avatars!$L$17,Avatars!$N$17+$A60-1)+$A$1</f>
        <v>1596</v>
      </c>
      <c r="K60" s="22">
        <f>HP(K$2,K$4,$A60,Avatars!$L$17,Avatars!$N$17+$A60-1)+$A$1</f>
        <v>1638</v>
      </c>
      <c r="L60" s="22">
        <f>HP(L$2,L$4,$A60,Avatars!$L$17,Avatars!$N$17+$A60-1)+$A$1</f>
        <v>1722</v>
      </c>
      <c r="M60" s="22">
        <f>HP(M$2,M$4,$A60,Avatars!$L$17,Avatars!$N$17+$A60-1)+$A$1</f>
        <v>1764</v>
      </c>
      <c r="N60" s="22">
        <f>HP(N$2,N$4,$A60,Avatars!$L$17,Avatars!$N$17+$A60-1)+$A$1</f>
        <v>1806</v>
      </c>
      <c r="O60" s="23">
        <f t="shared" si="7"/>
        <v>778.66666666666674</v>
      </c>
      <c r="P60" s="23">
        <f t="shared" si="7"/>
        <v>562.66666666666674</v>
      </c>
      <c r="Q60" s="23">
        <f t="shared" si="7"/>
        <v>490.66666666666669</v>
      </c>
      <c r="R60" s="23">
        <f t="shared" si="7"/>
        <v>130.66666666666666</v>
      </c>
      <c r="S60" s="23">
        <f t="shared" si="7"/>
        <v>202.66666666666666</v>
      </c>
      <c r="T60" s="23">
        <f t="shared" si="7"/>
        <v>94.666666666666657</v>
      </c>
      <c r="U60" s="23">
        <f>mp(U$2,U$4,$A60,Avatars!$O$16,Avatars!$O$17+$A60)+$A$1</f>
        <v>1746</v>
      </c>
      <c r="V60" s="23">
        <f>mp(V$2,V$4,$A60,Avatars!$O$16,Avatars!$O$17+$A60)+$A$1</f>
        <v>1530</v>
      </c>
      <c r="W60" s="23">
        <f>mp(W$2,W$4,$A60,Avatars!$O$16,Avatars!$O$17+$A60)+$A$1</f>
        <v>1458</v>
      </c>
      <c r="X60" s="23">
        <f>mp(X$2,X$4,$A60,Avatars!$O$16,Avatars!$O$17+$A60)+$A$1</f>
        <v>1098</v>
      </c>
      <c r="Y60" s="23">
        <f>mp(Y$2,Y$4,$A60,Avatars!$O$16,Avatars!$O$17+$A60)+$A$1</f>
        <v>1170</v>
      </c>
      <c r="Z60" s="23">
        <f>mp(Z$2,Z$4,$A60,Avatars!$O$16,Avatars!$O$17+$A60)+$A$1</f>
        <v>1062</v>
      </c>
    </row>
    <row r="61" spans="1:26" s="2" customFormat="1">
      <c r="A61" s="17">
        <v>55</v>
      </c>
      <c r="B61" s="17"/>
      <c r="C61" s="22">
        <f t="shared" si="6"/>
        <v>562.22222222222217</v>
      </c>
      <c r="D61" s="22">
        <f t="shared" si="6"/>
        <v>647.77777777777771</v>
      </c>
      <c r="E61" s="22">
        <f t="shared" si="6"/>
        <v>690.55555555555554</v>
      </c>
      <c r="F61" s="22">
        <f t="shared" si="6"/>
        <v>776.11111111111109</v>
      </c>
      <c r="G61" s="22">
        <f t="shared" si="6"/>
        <v>818.8888888888888</v>
      </c>
      <c r="H61" s="22">
        <f t="shared" si="6"/>
        <v>861.66666666666663</v>
      </c>
      <c r="I61" s="22">
        <f>HP(I$2,I$4,$A61,Avatars!$L$17,Avatars!$N$17+$A61-1)+$A$1</f>
        <v>1534.5555555555557</v>
      </c>
      <c r="J61" s="22">
        <f>HP(J$2,J$4,$A61,Avatars!$L$17,Avatars!$N$17+$A61-1)+$A$1</f>
        <v>1620.1111111111111</v>
      </c>
      <c r="K61" s="22">
        <f>HP(K$2,K$4,$A61,Avatars!$L$17,Avatars!$N$17+$A61-1)+$A$1</f>
        <v>1662.8888888888889</v>
      </c>
      <c r="L61" s="22">
        <f>HP(L$2,L$4,$A61,Avatars!$L$17,Avatars!$N$17+$A61-1)+$A$1</f>
        <v>1748.4444444444443</v>
      </c>
      <c r="M61" s="22">
        <f>HP(M$2,M$4,$A61,Avatars!$L$17,Avatars!$N$17+$A61-1)+$A$1</f>
        <v>1791.2222222222222</v>
      </c>
      <c r="N61" s="22">
        <f>HP(N$2,N$4,$A61,Avatars!$L$17,Avatars!$N$17+$A61-1)+$A$1</f>
        <v>1834</v>
      </c>
      <c r="O61" s="23">
        <f t="shared" si="7"/>
        <v>793</v>
      </c>
      <c r="P61" s="23">
        <f t="shared" si="7"/>
        <v>573</v>
      </c>
      <c r="Q61" s="23">
        <f t="shared" si="7"/>
        <v>499.66666666666669</v>
      </c>
      <c r="R61" s="23">
        <f t="shared" si="7"/>
        <v>132.99999999999997</v>
      </c>
      <c r="S61" s="23">
        <f t="shared" si="7"/>
        <v>206.33333333333331</v>
      </c>
      <c r="T61" s="23">
        <f t="shared" si="7"/>
        <v>96.333333333333329</v>
      </c>
      <c r="U61" s="23">
        <f>mp(U$2,U$4,$A61,Avatars!$O$16,Avatars!$O$17+$A61)+$A$1</f>
        <v>1773.3333333333333</v>
      </c>
      <c r="V61" s="23">
        <f>mp(V$2,V$4,$A61,Avatars!$O$16,Avatars!$O$17+$A61)+$A$1</f>
        <v>1553.3333333333333</v>
      </c>
      <c r="W61" s="23">
        <f>mp(W$2,W$4,$A61,Avatars!$O$16,Avatars!$O$17+$A61)+$A$1</f>
        <v>1480</v>
      </c>
      <c r="X61" s="23">
        <f>mp(X$2,X$4,$A61,Avatars!$O$16,Avatars!$O$17+$A61)+$A$1</f>
        <v>1113.3333333333333</v>
      </c>
      <c r="Y61" s="23">
        <f>mp(Y$2,Y$4,$A61,Avatars!$O$16,Avatars!$O$17+$A61)+$A$1</f>
        <v>1186.6666666666667</v>
      </c>
      <c r="Z61" s="23">
        <f>mp(Z$2,Z$4,$A61,Avatars!$O$16,Avatars!$O$17+$A61)+$A$1</f>
        <v>1076.6666666666667</v>
      </c>
    </row>
    <row r="62" spans="1:26" s="2" customFormat="1">
      <c r="A62" s="17">
        <v>56</v>
      </c>
      <c r="B62" s="17"/>
      <c r="C62" s="22">
        <f t="shared" si="6"/>
        <v>571.77777777777771</v>
      </c>
      <c r="D62" s="22">
        <f t="shared" si="6"/>
        <v>658.88888888888891</v>
      </c>
      <c r="E62" s="22">
        <f t="shared" si="6"/>
        <v>702.44444444444446</v>
      </c>
      <c r="F62" s="22">
        <f t="shared" si="6"/>
        <v>789.55555555555554</v>
      </c>
      <c r="G62" s="22">
        <f t="shared" si="6"/>
        <v>833.11111111111109</v>
      </c>
      <c r="H62" s="22">
        <f t="shared" si="6"/>
        <v>876.66666666666663</v>
      </c>
      <c r="I62" s="22">
        <f>HP(I$2,I$4,$A62,Avatars!$L$17,Avatars!$N$17+$A62-1)+$A$1</f>
        <v>1557.1111111111111</v>
      </c>
      <c r="J62" s="22">
        <f>HP(J$2,J$4,$A62,Avatars!$L$17,Avatars!$N$17+$A62-1)+$A$1</f>
        <v>1644.2222222222222</v>
      </c>
      <c r="K62" s="22">
        <f>HP(K$2,K$4,$A62,Avatars!$L$17,Avatars!$N$17+$A62-1)+$A$1</f>
        <v>1687.7777777777778</v>
      </c>
      <c r="L62" s="22">
        <f>HP(L$2,L$4,$A62,Avatars!$L$17,Avatars!$N$17+$A62-1)+$A$1</f>
        <v>1774.8888888888889</v>
      </c>
      <c r="M62" s="22">
        <f>HP(M$2,M$4,$A62,Avatars!$L$17,Avatars!$N$17+$A62-1)+$A$1</f>
        <v>1818.4444444444443</v>
      </c>
      <c r="N62" s="22">
        <f>HP(N$2,N$4,$A62,Avatars!$L$17,Avatars!$N$17+$A62-1)+$A$1</f>
        <v>1862</v>
      </c>
      <c r="O62" s="23">
        <f t="shared" si="7"/>
        <v>807.33333333333337</v>
      </c>
      <c r="P62" s="23">
        <f t="shared" si="7"/>
        <v>583.33333333333337</v>
      </c>
      <c r="Q62" s="23">
        <f t="shared" si="7"/>
        <v>508.66666666666669</v>
      </c>
      <c r="R62" s="23">
        <f t="shared" si="7"/>
        <v>135.33333333333331</v>
      </c>
      <c r="S62" s="23">
        <f t="shared" si="7"/>
        <v>210</v>
      </c>
      <c r="T62" s="23">
        <f t="shared" si="7"/>
        <v>97.999999999999986</v>
      </c>
      <c r="U62" s="23">
        <f>mp(U$2,U$4,$A62,Avatars!$O$16,Avatars!$O$17+$A62)+$A$1</f>
        <v>1839.6666666666667</v>
      </c>
      <c r="V62" s="23">
        <f>mp(V$2,V$4,$A62,Avatars!$O$16,Avatars!$O$17+$A62)+$A$1</f>
        <v>1615.6666666666667</v>
      </c>
      <c r="W62" s="23">
        <f>mp(W$2,W$4,$A62,Avatars!$O$16,Avatars!$O$17+$A62)+$A$1</f>
        <v>1541</v>
      </c>
      <c r="X62" s="23">
        <f>mp(X$2,X$4,$A62,Avatars!$O$16,Avatars!$O$17+$A62)+$A$1</f>
        <v>1167.6666666666667</v>
      </c>
      <c r="Y62" s="23">
        <f>mp(Y$2,Y$4,$A62,Avatars!$O$16,Avatars!$O$17+$A62)+$A$1</f>
        <v>1242.3333333333333</v>
      </c>
      <c r="Z62" s="23">
        <f>mp(Z$2,Z$4,$A62,Avatars!$O$16,Avatars!$O$17+$A62)+$A$1</f>
        <v>1130.3333333333333</v>
      </c>
    </row>
    <row r="63" spans="1:26" s="2" customFormat="1">
      <c r="A63" s="17">
        <v>57</v>
      </c>
      <c r="B63" s="17"/>
      <c r="C63" s="22">
        <f t="shared" si="6"/>
        <v>581.33333333333337</v>
      </c>
      <c r="D63" s="22">
        <f t="shared" si="6"/>
        <v>670</v>
      </c>
      <c r="E63" s="22">
        <f t="shared" si="6"/>
        <v>714.33333333333337</v>
      </c>
      <c r="F63" s="22">
        <f t="shared" si="6"/>
        <v>803</v>
      </c>
      <c r="G63" s="22">
        <f t="shared" si="6"/>
        <v>847.33333333333326</v>
      </c>
      <c r="H63" s="22">
        <f t="shared" si="6"/>
        <v>891.66666666666663</v>
      </c>
      <c r="I63" s="22">
        <f>HP(I$2,I$4,$A63,Avatars!$L$17,Avatars!$N$17+$A63-1)+$A$1</f>
        <v>1579.6666666666667</v>
      </c>
      <c r="J63" s="22">
        <f>HP(J$2,J$4,$A63,Avatars!$L$17,Avatars!$N$17+$A63-1)+$A$1</f>
        <v>1668.3333333333333</v>
      </c>
      <c r="K63" s="22">
        <f>HP(K$2,K$4,$A63,Avatars!$L$17,Avatars!$N$17+$A63-1)+$A$1</f>
        <v>1712.6666666666667</v>
      </c>
      <c r="L63" s="22">
        <f>HP(L$2,L$4,$A63,Avatars!$L$17,Avatars!$N$17+$A63-1)+$A$1</f>
        <v>1801.3333333333333</v>
      </c>
      <c r="M63" s="22">
        <f>HP(M$2,M$4,$A63,Avatars!$L$17,Avatars!$N$17+$A63-1)+$A$1</f>
        <v>1845.6666666666665</v>
      </c>
      <c r="N63" s="22">
        <f>HP(N$2,N$4,$A63,Avatars!$L$17,Avatars!$N$17+$A63-1)+$A$1</f>
        <v>1890</v>
      </c>
      <c r="O63" s="23">
        <f t="shared" si="7"/>
        <v>821.66666666666674</v>
      </c>
      <c r="P63" s="23">
        <f t="shared" si="7"/>
        <v>593.66666666666674</v>
      </c>
      <c r="Q63" s="23">
        <f t="shared" si="7"/>
        <v>517.66666666666663</v>
      </c>
      <c r="R63" s="23">
        <f t="shared" si="7"/>
        <v>137.66666666666666</v>
      </c>
      <c r="S63" s="23">
        <f t="shared" si="7"/>
        <v>213.66666666666666</v>
      </c>
      <c r="T63" s="23">
        <f t="shared" si="7"/>
        <v>99.666666666666657</v>
      </c>
      <c r="U63" s="23">
        <f>mp(U$2,U$4,$A63,Avatars!$O$16,Avatars!$O$17+$A63)+$A$1</f>
        <v>1867</v>
      </c>
      <c r="V63" s="23">
        <f>mp(V$2,V$4,$A63,Avatars!$O$16,Avatars!$O$17+$A63)+$A$1</f>
        <v>1639</v>
      </c>
      <c r="W63" s="23">
        <f>mp(W$2,W$4,$A63,Avatars!$O$16,Avatars!$O$17+$A63)+$A$1</f>
        <v>1563</v>
      </c>
      <c r="X63" s="23">
        <f>mp(X$2,X$4,$A63,Avatars!$O$16,Avatars!$O$17+$A63)+$A$1</f>
        <v>1183</v>
      </c>
      <c r="Y63" s="23">
        <f>mp(Y$2,Y$4,$A63,Avatars!$O$16,Avatars!$O$17+$A63)+$A$1</f>
        <v>1259</v>
      </c>
      <c r="Z63" s="23">
        <f>mp(Z$2,Z$4,$A63,Avatars!$O$16,Avatars!$O$17+$A63)+$A$1</f>
        <v>1145</v>
      </c>
    </row>
    <row r="64" spans="1:26" s="2" customFormat="1">
      <c r="A64" s="17">
        <v>58</v>
      </c>
      <c r="B64" s="17"/>
      <c r="C64" s="22">
        <f t="shared" si="6"/>
        <v>590.88888888888891</v>
      </c>
      <c r="D64" s="22">
        <f t="shared" si="6"/>
        <v>681.11111111111109</v>
      </c>
      <c r="E64" s="22">
        <f t="shared" si="6"/>
        <v>726.22222222222229</v>
      </c>
      <c r="F64" s="22">
        <f t="shared" si="6"/>
        <v>816.44444444444446</v>
      </c>
      <c r="G64" s="22">
        <f t="shared" si="6"/>
        <v>861.55555555555554</v>
      </c>
      <c r="H64" s="22">
        <f t="shared" si="6"/>
        <v>906.66666666666663</v>
      </c>
      <c r="I64" s="22">
        <f>HP(I$2,I$4,$A64,Avatars!$L$17,Avatars!$N$17+$A64-1)+$A$1</f>
        <v>1602.2222222222222</v>
      </c>
      <c r="J64" s="22">
        <f>HP(J$2,J$4,$A64,Avatars!$L$17,Avatars!$N$17+$A64-1)+$A$1</f>
        <v>1692.4444444444443</v>
      </c>
      <c r="K64" s="22">
        <f>HP(K$2,K$4,$A64,Avatars!$L$17,Avatars!$N$17+$A64-1)+$A$1</f>
        <v>1737.5555555555557</v>
      </c>
      <c r="L64" s="22">
        <f>HP(L$2,L$4,$A64,Avatars!$L$17,Avatars!$N$17+$A64-1)+$A$1</f>
        <v>1827.7777777777778</v>
      </c>
      <c r="M64" s="22">
        <f>HP(M$2,M$4,$A64,Avatars!$L$17,Avatars!$N$17+$A64-1)+$A$1</f>
        <v>1872.8888888888889</v>
      </c>
      <c r="N64" s="22">
        <f>HP(N$2,N$4,$A64,Avatars!$L$17,Avatars!$N$17+$A64-1)+$A$1</f>
        <v>1918</v>
      </c>
      <c r="O64" s="23">
        <f t="shared" si="7"/>
        <v>836</v>
      </c>
      <c r="P64" s="23">
        <f t="shared" si="7"/>
        <v>604</v>
      </c>
      <c r="Q64" s="23">
        <f t="shared" si="7"/>
        <v>526.66666666666663</v>
      </c>
      <c r="R64" s="23">
        <f t="shared" si="7"/>
        <v>139.99999999999997</v>
      </c>
      <c r="S64" s="23">
        <f t="shared" si="7"/>
        <v>217.33333333333331</v>
      </c>
      <c r="T64" s="23">
        <f t="shared" si="7"/>
        <v>101.33333333333333</v>
      </c>
      <c r="U64" s="23">
        <f>mp(U$2,U$4,$A64,Avatars!$O$16,Avatars!$O$17+$A64)+$A$1</f>
        <v>1894.3333333333333</v>
      </c>
      <c r="V64" s="23">
        <f>mp(V$2,V$4,$A64,Avatars!$O$16,Avatars!$O$17+$A64)+$A$1</f>
        <v>1662.3333333333333</v>
      </c>
      <c r="W64" s="23">
        <f>mp(W$2,W$4,$A64,Avatars!$O$16,Avatars!$O$17+$A64)+$A$1</f>
        <v>1585</v>
      </c>
      <c r="X64" s="23">
        <f>mp(X$2,X$4,$A64,Avatars!$O$16,Avatars!$O$17+$A64)+$A$1</f>
        <v>1198.3333333333333</v>
      </c>
      <c r="Y64" s="23">
        <f>mp(Y$2,Y$4,$A64,Avatars!$O$16,Avatars!$O$17+$A64)+$A$1</f>
        <v>1275.6666666666667</v>
      </c>
      <c r="Z64" s="23">
        <f>mp(Z$2,Z$4,$A64,Avatars!$O$16,Avatars!$O$17+$A64)+$A$1</f>
        <v>1159.6666666666667</v>
      </c>
    </row>
    <row r="65" spans="1:26" s="2" customFormat="1">
      <c r="A65" s="17">
        <v>59</v>
      </c>
      <c r="B65" s="17"/>
      <c r="C65" s="22">
        <f t="shared" si="6"/>
        <v>600.44444444444446</v>
      </c>
      <c r="D65" s="22">
        <f t="shared" si="6"/>
        <v>692.22222222222217</v>
      </c>
      <c r="E65" s="22">
        <f t="shared" si="6"/>
        <v>738.11111111111109</v>
      </c>
      <c r="F65" s="22">
        <f t="shared" ref="C65:H107" si="8">HP(F$2,F$4,$A65,10,10)+$A$1</f>
        <v>829.88888888888891</v>
      </c>
      <c r="G65" s="22">
        <f t="shared" si="8"/>
        <v>875.77777777777771</v>
      </c>
      <c r="H65" s="22">
        <f t="shared" si="8"/>
        <v>921.66666666666663</v>
      </c>
      <c r="I65" s="22">
        <f>HP(I$2,I$4,$A65,Avatars!$L$17,Avatars!$N$17+$A65-1)+$A$1</f>
        <v>1663.7777777777778</v>
      </c>
      <c r="J65" s="22">
        <f>HP(J$2,J$4,$A65,Avatars!$L$17,Avatars!$N$17+$A65-1)+$A$1</f>
        <v>1755.5555555555554</v>
      </c>
      <c r="K65" s="22">
        <f>HP(K$2,K$4,$A65,Avatars!$L$17,Avatars!$N$17+$A65-1)+$A$1</f>
        <v>1801.4444444444446</v>
      </c>
      <c r="L65" s="22">
        <f>HP(L$2,L$4,$A65,Avatars!$L$17,Avatars!$N$17+$A65-1)+$A$1</f>
        <v>1893.2222222222222</v>
      </c>
      <c r="M65" s="22">
        <f>HP(M$2,M$4,$A65,Avatars!$L$17,Avatars!$N$17+$A65-1)+$A$1</f>
        <v>1939.1111111111111</v>
      </c>
      <c r="N65" s="22">
        <f>HP(N$2,N$4,$A65,Avatars!$L$17,Avatars!$N$17+$A65-1)+$A$1</f>
        <v>1985</v>
      </c>
      <c r="O65" s="23">
        <f t="shared" si="7"/>
        <v>850.33333333333337</v>
      </c>
      <c r="P65" s="23">
        <f t="shared" si="7"/>
        <v>614.33333333333337</v>
      </c>
      <c r="Q65" s="23">
        <f t="shared" si="7"/>
        <v>535.66666666666663</v>
      </c>
      <c r="R65" s="23">
        <f t="shared" si="7"/>
        <v>142.33333333333331</v>
      </c>
      <c r="S65" s="23">
        <f t="shared" si="7"/>
        <v>221</v>
      </c>
      <c r="T65" s="23">
        <f t="shared" si="7"/>
        <v>102.99999999999999</v>
      </c>
      <c r="U65" s="23">
        <f>mp(U$2,U$4,$A65,Avatars!$O$16,Avatars!$O$17+$A65)+$A$1</f>
        <v>1921.6666666666667</v>
      </c>
      <c r="V65" s="23">
        <f>mp(V$2,V$4,$A65,Avatars!$O$16,Avatars!$O$17+$A65)+$A$1</f>
        <v>1685.6666666666667</v>
      </c>
      <c r="W65" s="23">
        <f>mp(W$2,W$4,$A65,Avatars!$O$16,Avatars!$O$17+$A65)+$A$1</f>
        <v>1607</v>
      </c>
      <c r="X65" s="23">
        <f>mp(X$2,X$4,$A65,Avatars!$O$16,Avatars!$O$17+$A65)+$A$1</f>
        <v>1213.6666666666667</v>
      </c>
      <c r="Y65" s="23">
        <f>mp(Y$2,Y$4,$A65,Avatars!$O$16,Avatars!$O$17+$A65)+$A$1</f>
        <v>1292.3333333333333</v>
      </c>
      <c r="Z65" s="23">
        <f>mp(Z$2,Z$4,$A65,Avatars!$O$16,Avatars!$O$17+$A65)+$A$1</f>
        <v>1174.3333333333333</v>
      </c>
    </row>
    <row r="66" spans="1:26" s="2" customFormat="1">
      <c r="A66" s="17">
        <v>60</v>
      </c>
      <c r="B66" s="17"/>
      <c r="C66" s="22">
        <f t="shared" si="8"/>
        <v>610</v>
      </c>
      <c r="D66" s="22">
        <f t="shared" si="8"/>
        <v>703.33333333333326</v>
      </c>
      <c r="E66" s="22">
        <f t="shared" si="8"/>
        <v>750</v>
      </c>
      <c r="F66" s="22">
        <f t="shared" si="8"/>
        <v>843.33333333333337</v>
      </c>
      <c r="G66" s="22">
        <f t="shared" si="8"/>
        <v>890</v>
      </c>
      <c r="H66" s="22">
        <f t="shared" si="8"/>
        <v>936.66666666666663</v>
      </c>
      <c r="I66" s="22">
        <f>HP(I$2,I$4,$A66,Avatars!$L$17,Avatars!$N$17+$A66-1)+$A$1</f>
        <v>1686.3333333333333</v>
      </c>
      <c r="J66" s="22">
        <f>HP(J$2,J$4,$A66,Avatars!$L$17,Avatars!$N$17+$A66-1)+$A$1</f>
        <v>1779.6666666666667</v>
      </c>
      <c r="K66" s="22">
        <f>HP(K$2,K$4,$A66,Avatars!$L$17,Avatars!$N$17+$A66-1)+$A$1</f>
        <v>1826.3333333333333</v>
      </c>
      <c r="L66" s="22">
        <f>HP(L$2,L$4,$A66,Avatars!$L$17,Avatars!$N$17+$A66-1)+$A$1</f>
        <v>1919.6666666666667</v>
      </c>
      <c r="M66" s="22">
        <f>HP(M$2,M$4,$A66,Avatars!$L$17,Avatars!$N$17+$A66-1)+$A$1</f>
        <v>1966.3333333333333</v>
      </c>
      <c r="N66" s="22">
        <f>HP(N$2,N$4,$A66,Avatars!$L$17,Avatars!$N$17+$A66-1)+$A$1</f>
        <v>2013</v>
      </c>
      <c r="O66" s="23">
        <f t="shared" si="7"/>
        <v>864.66666666666674</v>
      </c>
      <c r="P66" s="23">
        <f t="shared" si="7"/>
        <v>624.66666666666674</v>
      </c>
      <c r="Q66" s="23">
        <f t="shared" si="7"/>
        <v>544.66666666666663</v>
      </c>
      <c r="R66" s="23">
        <f t="shared" si="7"/>
        <v>144.66666666666666</v>
      </c>
      <c r="S66" s="23">
        <f t="shared" si="7"/>
        <v>224.66666666666666</v>
      </c>
      <c r="T66" s="23">
        <f t="shared" si="7"/>
        <v>104.66666666666666</v>
      </c>
      <c r="U66" s="23">
        <f>mp(U$2,U$4,$A66,Avatars!$O$16,Avatars!$O$17+$A66)+$A$1</f>
        <v>1949</v>
      </c>
      <c r="V66" s="23">
        <f>mp(V$2,V$4,$A66,Avatars!$O$16,Avatars!$O$17+$A66)+$A$1</f>
        <v>1709</v>
      </c>
      <c r="W66" s="23">
        <f>mp(W$2,W$4,$A66,Avatars!$O$16,Avatars!$O$17+$A66)+$A$1</f>
        <v>1629</v>
      </c>
      <c r="X66" s="23">
        <f>mp(X$2,X$4,$A66,Avatars!$O$16,Avatars!$O$17+$A66)+$A$1</f>
        <v>1229</v>
      </c>
      <c r="Y66" s="23">
        <f>mp(Y$2,Y$4,$A66,Avatars!$O$16,Avatars!$O$17+$A66)+$A$1</f>
        <v>1309</v>
      </c>
      <c r="Z66" s="23">
        <f>mp(Z$2,Z$4,$A66,Avatars!$O$16,Avatars!$O$17+$A66)+$A$1</f>
        <v>1189</v>
      </c>
    </row>
    <row r="67" spans="1:26" s="2" customFormat="1">
      <c r="A67" s="17">
        <v>61</v>
      </c>
      <c r="B67" s="17"/>
      <c r="C67" s="22">
        <f t="shared" si="8"/>
        <v>619.55555555555554</v>
      </c>
      <c r="D67" s="22">
        <f t="shared" si="8"/>
        <v>714.44444444444446</v>
      </c>
      <c r="E67" s="22">
        <f t="shared" si="8"/>
        <v>761.88888888888891</v>
      </c>
      <c r="F67" s="22">
        <f t="shared" si="8"/>
        <v>856.77777777777783</v>
      </c>
      <c r="G67" s="22">
        <f t="shared" si="8"/>
        <v>904.22222222222217</v>
      </c>
      <c r="H67" s="22">
        <f t="shared" si="8"/>
        <v>951.66666666666663</v>
      </c>
      <c r="I67" s="22">
        <f>HP(I$2,I$4,$A67,Avatars!$L$17,Avatars!$N$17+$A67-1)+$A$1</f>
        <v>1708.8888888888889</v>
      </c>
      <c r="J67" s="22">
        <f>HP(J$2,J$4,$A67,Avatars!$L$17,Avatars!$N$17+$A67-1)+$A$1</f>
        <v>1803.7777777777778</v>
      </c>
      <c r="K67" s="22">
        <f>HP(K$2,K$4,$A67,Avatars!$L$17,Avatars!$N$17+$A67-1)+$A$1</f>
        <v>1851.2222222222222</v>
      </c>
      <c r="L67" s="22">
        <f>HP(L$2,L$4,$A67,Avatars!$L$17,Avatars!$N$17+$A67-1)+$A$1</f>
        <v>1946.1111111111111</v>
      </c>
      <c r="M67" s="22">
        <f>HP(M$2,M$4,$A67,Avatars!$L$17,Avatars!$N$17+$A67-1)+$A$1</f>
        <v>1993.5555555555554</v>
      </c>
      <c r="N67" s="22">
        <f>HP(N$2,N$4,$A67,Avatars!$L$17,Avatars!$N$17+$A67-1)+$A$1</f>
        <v>2041</v>
      </c>
      <c r="O67" s="23">
        <f t="shared" si="7"/>
        <v>879</v>
      </c>
      <c r="P67" s="23">
        <f t="shared" si="7"/>
        <v>635</v>
      </c>
      <c r="Q67" s="23">
        <f t="shared" si="7"/>
        <v>553.66666666666663</v>
      </c>
      <c r="R67" s="23">
        <f t="shared" si="7"/>
        <v>146.99999999999997</v>
      </c>
      <c r="S67" s="23">
        <f t="shared" si="7"/>
        <v>228.33333333333331</v>
      </c>
      <c r="T67" s="23">
        <f t="shared" si="7"/>
        <v>106.33333333333333</v>
      </c>
      <c r="U67" s="23">
        <f>mp(U$2,U$4,$A67,Avatars!$O$16,Avatars!$O$17+$A67)+$A$1</f>
        <v>1976.3333333333333</v>
      </c>
      <c r="V67" s="23">
        <f>mp(V$2,V$4,$A67,Avatars!$O$16,Avatars!$O$17+$A67)+$A$1</f>
        <v>1732.3333333333333</v>
      </c>
      <c r="W67" s="23">
        <f>mp(W$2,W$4,$A67,Avatars!$O$16,Avatars!$O$17+$A67)+$A$1</f>
        <v>1651</v>
      </c>
      <c r="X67" s="23">
        <f>mp(X$2,X$4,$A67,Avatars!$O$16,Avatars!$O$17+$A67)+$A$1</f>
        <v>1244.3333333333333</v>
      </c>
      <c r="Y67" s="23">
        <f>mp(Y$2,Y$4,$A67,Avatars!$O$16,Avatars!$O$17+$A67)+$A$1</f>
        <v>1325.6666666666667</v>
      </c>
      <c r="Z67" s="23">
        <f>mp(Z$2,Z$4,$A67,Avatars!$O$16,Avatars!$O$17+$A67)+$A$1</f>
        <v>1203.6666666666667</v>
      </c>
    </row>
    <row r="68" spans="1:26" s="2" customFormat="1">
      <c r="A68" s="17">
        <v>62</v>
      </c>
      <c r="B68" s="17"/>
      <c r="C68" s="22">
        <f t="shared" si="8"/>
        <v>629.11111111111109</v>
      </c>
      <c r="D68" s="22">
        <f t="shared" si="8"/>
        <v>725.55555555555554</v>
      </c>
      <c r="E68" s="22">
        <f t="shared" si="8"/>
        <v>773.77777777777783</v>
      </c>
      <c r="F68" s="22">
        <f t="shared" si="8"/>
        <v>870.22222222222229</v>
      </c>
      <c r="G68" s="22">
        <f t="shared" si="8"/>
        <v>918.44444444444434</v>
      </c>
      <c r="H68" s="22">
        <f t="shared" si="8"/>
        <v>966.66666666666663</v>
      </c>
      <c r="I68" s="22">
        <f>HP(I$2,I$4,$A68,Avatars!$L$17,Avatars!$N$17+$A68-1)+$A$1</f>
        <v>1731.4444444444443</v>
      </c>
      <c r="J68" s="22">
        <f>HP(J$2,J$4,$A68,Avatars!$L$17,Avatars!$N$17+$A68-1)+$A$1</f>
        <v>1827.8888888888889</v>
      </c>
      <c r="K68" s="22">
        <f>HP(K$2,K$4,$A68,Avatars!$L$17,Avatars!$N$17+$A68-1)+$A$1</f>
        <v>1876.1111111111111</v>
      </c>
      <c r="L68" s="22">
        <f>HP(L$2,L$4,$A68,Avatars!$L$17,Avatars!$N$17+$A68-1)+$A$1</f>
        <v>1972.5555555555557</v>
      </c>
      <c r="M68" s="22">
        <f>HP(M$2,M$4,$A68,Avatars!$L$17,Avatars!$N$17+$A68-1)+$A$1</f>
        <v>2020.7777777777778</v>
      </c>
      <c r="N68" s="22">
        <f>HP(N$2,N$4,$A68,Avatars!$L$17,Avatars!$N$17+$A68-1)+$A$1</f>
        <v>2069</v>
      </c>
      <c r="O68" s="23">
        <f t="shared" si="7"/>
        <v>893.33333333333337</v>
      </c>
      <c r="P68" s="23">
        <f t="shared" si="7"/>
        <v>645.33333333333337</v>
      </c>
      <c r="Q68" s="23">
        <f t="shared" si="7"/>
        <v>562.66666666666663</v>
      </c>
      <c r="R68" s="23">
        <f t="shared" si="7"/>
        <v>149.33333333333331</v>
      </c>
      <c r="S68" s="23">
        <f t="shared" si="7"/>
        <v>232</v>
      </c>
      <c r="T68" s="23">
        <f t="shared" si="7"/>
        <v>107.99999999999999</v>
      </c>
      <c r="U68" s="23">
        <f>mp(U$2,U$4,$A68,Avatars!$O$16,Avatars!$O$17+$A68)+$A$1</f>
        <v>2042.6666666666667</v>
      </c>
      <c r="V68" s="23">
        <f>mp(V$2,V$4,$A68,Avatars!$O$16,Avatars!$O$17+$A68)+$A$1</f>
        <v>1794.6666666666667</v>
      </c>
      <c r="W68" s="23">
        <f>mp(W$2,W$4,$A68,Avatars!$O$16,Avatars!$O$17+$A68)+$A$1</f>
        <v>1712</v>
      </c>
      <c r="X68" s="23">
        <f>mp(X$2,X$4,$A68,Avatars!$O$16,Avatars!$O$17+$A68)+$A$1</f>
        <v>1298.6666666666667</v>
      </c>
      <c r="Y68" s="23">
        <f>mp(Y$2,Y$4,$A68,Avatars!$O$16,Avatars!$O$17+$A68)+$A$1</f>
        <v>1381.3333333333333</v>
      </c>
      <c r="Z68" s="23">
        <f>mp(Z$2,Z$4,$A68,Avatars!$O$16,Avatars!$O$17+$A68)+$A$1</f>
        <v>1257.3333333333333</v>
      </c>
    </row>
    <row r="69" spans="1:26" s="2" customFormat="1">
      <c r="A69" s="17">
        <v>63</v>
      </c>
      <c r="B69" s="17"/>
      <c r="C69" s="22">
        <f t="shared" si="8"/>
        <v>638.66666666666663</v>
      </c>
      <c r="D69" s="22">
        <f t="shared" si="8"/>
        <v>736.66666666666663</v>
      </c>
      <c r="E69" s="22">
        <f t="shared" si="8"/>
        <v>785.66666666666674</v>
      </c>
      <c r="F69" s="22">
        <f t="shared" si="8"/>
        <v>883.66666666666663</v>
      </c>
      <c r="G69" s="22">
        <f t="shared" si="8"/>
        <v>932.66666666666663</v>
      </c>
      <c r="H69" s="22">
        <f t="shared" si="8"/>
        <v>981.66666666666663</v>
      </c>
      <c r="I69" s="22">
        <f>HP(I$2,I$4,$A69,Avatars!$L$17,Avatars!$N$17+$A69-1)+$A$1</f>
        <v>1754</v>
      </c>
      <c r="J69" s="22">
        <f>HP(J$2,J$4,$A69,Avatars!$L$17,Avatars!$N$17+$A69-1)+$A$1</f>
        <v>1852</v>
      </c>
      <c r="K69" s="22">
        <f>HP(K$2,K$4,$A69,Avatars!$L$17,Avatars!$N$17+$A69-1)+$A$1</f>
        <v>1901</v>
      </c>
      <c r="L69" s="22">
        <f>HP(L$2,L$4,$A69,Avatars!$L$17,Avatars!$N$17+$A69-1)+$A$1</f>
        <v>1999</v>
      </c>
      <c r="M69" s="22">
        <f>HP(M$2,M$4,$A69,Avatars!$L$17,Avatars!$N$17+$A69-1)+$A$1</f>
        <v>2048</v>
      </c>
      <c r="N69" s="22">
        <f>HP(N$2,N$4,$A69,Avatars!$L$17,Avatars!$N$17+$A69-1)+$A$1</f>
        <v>2097</v>
      </c>
      <c r="O69" s="23">
        <f t="shared" si="7"/>
        <v>907.66666666666674</v>
      </c>
      <c r="P69" s="23">
        <f t="shared" si="7"/>
        <v>655.66666666666674</v>
      </c>
      <c r="Q69" s="23">
        <f t="shared" si="7"/>
        <v>571.66666666666663</v>
      </c>
      <c r="R69" s="23">
        <f t="shared" si="7"/>
        <v>151.66666666666666</v>
      </c>
      <c r="S69" s="23">
        <f t="shared" si="7"/>
        <v>235.66666666666666</v>
      </c>
      <c r="T69" s="23">
        <f t="shared" si="7"/>
        <v>109.66666666666666</v>
      </c>
      <c r="U69" s="23">
        <f>mp(U$2,U$4,$A69,Avatars!$O$16,Avatars!$O$17+$A69)+$A$1</f>
        <v>2070</v>
      </c>
      <c r="V69" s="23">
        <f>mp(V$2,V$4,$A69,Avatars!$O$16,Avatars!$O$17+$A69)+$A$1</f>
        <v>1818</v>
      </c>
      <c r="W69" s="23">
        <f>mp(W$2,W$4,$A69,Avatars!$O$16,Avatars!$O$17+$A69)+$A$1</f>
        <v>1734</v>
      </c>
      <c r="X69" s="23">
        <f>mp(X$2,X$4,$A69,Avatars!$O$16,Avatars!$O$17+$A69)+$A$1</f>
        <v>1314</v>
      </c>
      <c r="Y69" s="23">
        <f>mp(Y$2,Y$4,$A69,Avatars!$O$16,Avatars!$O$17+$A69)+$A$1</f>
        <v>1398</v>
      </c>
      <c r="Z69" s="23">
        <f>mp(Z$2,Z$4,$A69,Avatars!$O$16,Avatars!$O$17+$A69)+$A$1</f>
        <v>1272</v>
      </c>
    </row>
    <row r="70" spans="1:26" s="2" customFormat="1">
      <c r="A70" s="17">
        <v>64</v>
      </c>
      <c r="B70" s="17"/>
      <c r="C70" s="22">
        <f t="shared" si="8"/>
        <v>648.22222222222217</v>
      </c>
      <c r="D70" s="22">
        <f t="shared" si="8"/>
        <v>747.77777777777771</v>
      </c>
      <c r="E70" s="22">
        <f t="shared" si="8"/>
        <v>797.55555555555554</v>
      </c>
      <c r="F70" s="22">
        <f t="shared" si="8"/>
        <v>897.11111111111109</v>
      </c>
      <c r="G70" s="22">
        <f t="shared" si="8"/>
        <v>946.8888888888888</v>
      </c>
      <c r="H70" s="22">
        <f t="shared" si="8"/>
        <v>996.66666666666663</v>
      </c>
      <c r="I70" s="22">
        <f>HP(I$2,I$4,$A70,Avatars!$L$17,Avatars!$N$17+$A70-1)+$A$1</f>
        <v>1776.5555555555557</v>
      </c>
      <c r="J70" s="22">
        <f>HP(J$2,J$4,$A70,Avatars!$L$17,Avatars!$N$17+$A70-1)+$A$1</f>
        <v>1876.1111111111111</v>
      </c>
      <c r="K70" s="22">
        <f>HP(K$2,K$4,$A70,Avatars!$L$17,Avatars!$N$17+$A70-1)+$A$1</f>
        <v>1925.8888888888889</v>
      </c>
      <c r="L70" s="22">
        <f>HP(L$2,L$4,$A70,Avatars!$L$17,Avatars!$N$17+$A70-1)+$A$1</f>
        <v>2025.4444444444443</v>
      </c>
      <c r="M70" s="22">
        <f>HP(M$2,M$4,$A70,Avatars!$L$17,Avatars!$N$17+$A70-1)+$A$1</f>
        <v>2075.2222222222222</v>
      </c>
      <c r="N70" s="22">
        <f>HP(N$2,N$4,$A70,Avatars!$L$17,Avatars!$N$17+$A70-1)+$A$1</f>
        <v>2125</v>
      </c>
      <c r="O70" s="23">
        <f t="shared" si="7"/>
        <v>922</v>
      </c>
      <c r="P70" s="23">
        <f t="shared" si="7"/>
        <v>666</v>
      </c>
      <c r="Q70" s="23">
        <f t="shared" si="7"/>
        <v>580.66666666666663</v>
      </c>
      <c r="R70" s="23">
        <f t="shared" si="7"/>
        <v>153.99999999999997</v>
      </c>
      <c r="S70" s="23">
        <f t="shared" si="7"/>
        <v>239.33333333333331</v>
      </c>
      <c r="T70" s="23">
        <f t="shared" si="7"/>
        <v>111.33333333333333</v>
      </c>
      <c r="U70" s="23">
        <f>mp(U$2,U$4,$A70,Avatars!$O$16,Avatars!$O$17+$A70)+$A$1</f>
        <v>2097.3333333333335</v>
      </c>
      <c r="V70" s="23">
        <f>mp(V$2,V$4,$A70,Avatars!$O$16,Avatars!$O$17+$A70)+$A$1</f>
        <v>1841.3333333333335</v>
      </c>
      <c r="W70" s="23">
        <f>mp(W$2,W$4,$A70,Avatars!$O$16,Avatars!$O$17+$A70)+$A$1</f>
        <v>1756</v>
      </c>
      <c r="X70" s="23">
        <f>mp(X$2,X$4,$A70,Avatars!$O$16,Avatars!$O$17+$A70)+$A$1</f>
        <v>1329.3333333333333</v>
      </c>
      <c r="Y70" s="23">
        <f>mp(Y$2,Y$4,$A70,Avatars!$O$16,Avatars!$O$17+$A70)+$A$1</f>
        <v>1414.6666666666667</v>
      </c>
      <c r="Z70" s="23">
        <f>mp(Z$2,Z$4,$A70,Avatars!$O$16,Avatars!$O$17+$A70)+$A$1</f>
        <v>1286.6666666666667</v>
      </c>
    </row>
    <row r="71" spans="1:26" s="2" customFormat="1">
      <c r="A71" s="17">
        <v>65</v>
      </c>
      <c r="B71" s="17"/>
      <c r="C71" s="22">
        <f t="shared" si="8"/>
        <v>657.77777777777771</v>
      </c>
      <c r="D71" s="22">
        <f t="shared" si="8"/>
        <v>758.88888888888891</v>
      </c>
      <c r="E71" s="22">
        <f t="shared" si="8"/>
        <v>809.44444444444446</v>
      </c>
      <c r="F71" s="22">
        <f t="shared" si="8"/>
        <v>910.55555555555554</v>
      </c>
      <c r="G71" s="22">
        <f t="shared" si="8"/>
        <v>961.11111111111109</v>
      </c>
      <c r="H71" s="22">
        <f t="shared" si="8"/>
        <v>1011.6666666666666</v>
      </c>
      <c r="I71" s="22">
        <f>HP(I$2,I$4,$A71,Avatars!$L$17,Avatars!$N$17+$A71-1)+$A$1</f>
        <v>1851.1111111111111</v>
      </c>
      <c r="J71" s="22">
        <f>HP(J$2,J$4,$A71,Avatars!$L$17,Avatars!$N$17+$A71-1)+$A$1</f>
        <v>1952.2222222222222</v>
      </c>
      <c r="K71" s="22">
        <f>HP(K$2,K$4,$A71,Avatars!$L$17,Avatars!$N$17+$A71-1)+$A$1</f>
        <v>2002.7777777777778</v>
      </c>
      <c r="L71" s="22">
        <f>HP(L$2,L$4,$A71,Avatars!$L$17,Avatars!$N$17+$A71-1)+$A$1</f>
        <v>2103.8888888888887</v>
      </c>
      <c r="M71" s="22">
        <f>HP(M$2,M$4,$A71,Avatars!$L$17,Avatars!$N$17+$A71-1)+$A$1</f>
        <v>2154.4444444444443</v>
      </c>
      <c r="N71" s="22">
        <f>HP(N$2,N$4,$A71,Avatars!$L$17,Avatars!$N$17+$A71-1)+$A$1</f>
        <v>2205</v>
      </c>
      <c r="O71" s="23">
        <f t="shared" si="7"/>
        <v>936.33333333333337</v>
      </c>
      <c r="P71" s="23">
        <f t="shared" si="7"/>
        <v>676.33333333333337</v>
      </c>
      <c r="Q71" s="23">
        <f t="shared" si="7"/>
        <v>589.66666666666663</v>
      </c>
      <c r="R71" s="23">
        <f t="shared" si="7"/>
        <v>156.33333333333331</v>
      </c>
      <c r="S71" s="23">
        <f t="shared" si="7"/>
        <v>243</v>
      </c>
      <c r="T71" s="23">
        <f t="shared" si="7"/>
        <v>112.99999999999999</v>
      </c>
      <c r="U71" s="23">
        <f>mp(U$2,U$4,$A71,Avatars!$O$16,Avatars!$O$17+$A71)+$A$1</f>
        <v>2124.6666666666665</v>
      </c>
      <c r="V71" s="23">
        <f>mp(V$2,V$4,$A71,Avatars!$O$16,Avatars!$O$17+$A71)+$A$1</f>
        <v>1864.6666666666667</v>
      </c>
      <c r="W71" s="23">
        <f>mp(W$2,W$4,$A71,Avatars!$O$16,Avatars!$O$17+$A71)+$A$1</f>
        <v>1778</v>
      </c>
      <c r="X71" s="23">
        <f>mp(X$2,X$4,$A71,Avatars!$O$16,Avatars!$O$17+$A71)+$A$1</f>
        <v>1344.6666666666667</v>
      </c>
      <c r="Y71" s="23">
        <f>mp(Y$2,Y$4,$A71,Avatars!$O$16,Avatars!$O$17+$A71)+$A$1</f>
        <v>1431.3333333333333</v>
      </c>
      <c r="Z71" s="23">
        <f>mp(Z$2,Z$4,$A71,Avatars!$O$16,Avatars!$O$17+$A71)+$A$1</f>
        <v>1301.3333333333333</v>
      </c>
    </row>
    <row r="72" spans="1:26" s="2" customFormat="1">
      <c r="A72" s="17">
        <v>66</v>
      </c>
      <c r="B72" s="17"/>
      <c r="C72" s="22">
        <f t="shared" si="8"/>
        <v>667.33333333333337</v>
      </c>
      <c r="D72" s="22">
        <f t="shared" si="8"/>
        <v>770</v>
      </c>
      <c r="E72" s="22">
        <f t="shared" si="8"/>
        <v>821.33333333333337</v>
      </c>
      <c r="F72" s="22">
        <f t="shared" si="8"/>
        <v>924</v>
      </c>
      <c r="G72" s="22">
        <f t="shared" si="8"/>
        <v>975.33333333333326</v>
      </c>
      <c r="H72" s="22">
        <f t="shared" si="8"/>
        <v>1026.6666666666667</v>
      </c>
      <c r="I72" s="22">
        <f>HP(I$2,I$4,$A72,Avatars!$L$17,Avatars!$N$17+$A72-1)+$A$1</f>
        <v>1873.6666666666667</v>
      </c>
      <c r="J72" s="22">
        <f>HP(J$2,J$4,$A72,Avatars!$L$17,Avatars!$N$17+$A72-1)+$A$1</f>
        <v>1976.3333333333333</v>
      </c>
      <c r="K72" s="22">
        <f>HP(K$2,K$4,$A72,Avatars!$L$17,Avatars!$N$17+$A72-1)+$A$1</f>
        <v>2027.6666666666667</v>
      </c>
      <c r="L72" s="22">
        <f>HP(L$2,L$4,$A72,Avatars!$L$17,Avatars!$N$17+$A72-1)+$A$1</f>
        <v>2130.3333333333335</v>
      </c>
      <c r="M72" s="22">
        <f>HP(M$2,M$4,$A72,Avatars!$L$17,Avatars!$N$17+$A72-1)+$A$1</f>
        <v>2181.6666666666665</v>
      </c>
      <c r="N72" s="22">
        <f>HP(N$2,N$4,$A72,Avatars!$L$17,Avatars!$N$17+$A72-1)+$A$1</f>
        <v>2233</v>
      </c>
      <c r="O72" s="23">
        <f t="shared" ref="O72:T103" si="9">mp(O$2,O$4,$A72,10,10)+$A$1</f>
        <v>950.66666666666674</v>
      </c>
      <c r="P72" s="23">
        <f t="shared" si="9"/>
        <v>686.66666666666674</v>
      </c>
      <c r="Q72" s="23">
        <f t="shared" si="9"/>
        <v>598.66666666666663</v>
      </c>
      <c r="R72" s="23">
        <f t="shared" si="9"/>
        <v>158.66666666666666</v>
      </c>
      <c r="S72" s="23">
        <f t="shared" si="9"/>
        <v>246.66666666666666</v>
      </c>
      <c r="T72" s="23">
        <f t="shared" si="9"/>
        <v>114.66666666666666</v>
      </c>
      <c r="U72" s="23">
        <f>mp(U$2,U$4,$A72,Avatars!$O$16,Avatars!$O$17+$A72)+$A$1</f>
        <v>2152</v>
      </c>
      <c r="V72" s="23">
        <f>mp(V$2,V$4,$A72,Avatars!$O$16,Avatars!$O$17+$A72)+$A$1</f>
        <v>1888</v>
      </c>
      <c r="W72" s="23">
        <f>mp(W$2,W$4,$A72,Avatars!$O$16,Avatars!$O$17+$A72)+$A$1</f>
        <v>1800</v>
      </c>
      <c r="X72" s="23">
        <f>mp(X$2,X$4,$A72,Avatars!$O$16,Avatars!$O$17+$A72)+$A$1</f>
        <v>1360</v>
      </c>
      <c r="Y72" s="23">
        <f>mp(Y$2,Y$4,$A72,Avatars!$O$16,Avatars!$O$17+$A72)+$A$1</f>
        <v>1448</v>
      </c>
      <c r="Z72" s="23">
        <f>mp(Z$2,Z$4,$A72,Avatars!$O$16,Avatars!$O$17+$A72)+$A$1</f>
        <v>1316</v>
      </c>
    </row>
    <row r="73" spans="1:26" s="2" customFormat="1">
      <c r="A73" s="17">
        <v>67</v>
      </c>
      <c r="B73" s="17"/>
      <c r="C73" s="22">
        <f t="shared" si="8"/>
        <v>676.88888888888891</v>
      </c>
      <c r="D73" s="22">
        <f t="shared" si="8"/>
        <v>781.11111111111109</v>
      </c>
      <c r="E73" s="22">
        <f t="shared" si="8"/>
        <v>833.22222222222229</v>
      </c>
      <c r="F73" s="22">
        <f t="shared" si="8"/>
        <v>937.44444444444446</v>
      </c>
      <c r="G73" s="22">
        <f t="shared" si="8"/>
        <v>989.55555555555554</v>
      </c>
      <c r="H73" s="22">
        <f t="shared" si="8"/>
        <v>1041.6666666666667</v>
      </c>
      <c r="I73" s="22">
        <f>HP(I$2,I$4,$A73,Avatars!$L$17,Avatars!$N$17+$A73-1)+$A$1</f>
        <v>1896.2222222222222</v>
      </c>
      <c r="J73" s="22">
        <f>HP(J$2,J$4,$A73,Avatars!$L$17,Avatars!$N$17+$A73-1)+$A$1</f>
        <v>2000.4444444444443</v>
      </c>
      <c r="K73" s="22">
        <f>HP(K$2,K$4,$A73,Avatars!$L$17,Avatars!$N$17+$A73-1)+$A$1</f>
        <v>2052.5555555555557</v>
      </c>
      <c r="L73" s="22">
        <f>HP(L$2,L$4,$A73,Avatars!$L$17,Avatars!$N$17+$A73-1)+$A$1</f>
        <v>2156.7777777777778</v>
      </c>
      <c r="M73" s="22">
        <f>HP(M$2,M$4,$A73,Avatars!$L$17,Avatars!$N$17+$A73-1)+$A$1</f>
        <v>2208.8888888888887</v>
      </c>
      <c r="N73" s="22">
        <f>HP(N$2,N$4,$A73,Avatars!$L$17,Avatars!$N$17+$A73-1)+$A$1</f>
        <v>2261</v>
      </c>
      <c r="O73" s="23">
        <f t="shared" si="9"/>
        <v>965</v>
      </c>
      <c r="P73" s="23">
        <f t="shared" si="9"/>
        <v>697</v>
      </c>
      <c r="Q73" s="23">
        <f t="shared" si="9"/>
        <v>607.66666666666663</v>
      </c>
      <c r="R73" s="23">
        <f t="shared" si="9"/>
        <v>160.99999999999997</v>
      </c>
      <c r="S73" s="23">
        <f t="shared" si="9"/>
        <v>250.33333333333331</v>
      </c>
      <c r="T73" s="23">
        <f t="shared" si="9"/>
        <v>116.33333333333333</v>
      </c>
      <c r="U73" s="23">
        <f>mp(U$2,U$4,$A73,Avatars!$O$16,Avatars!$O$17+$A73)+$A$1</f>
        <v>2179.3333333333335</v>
      </c>
      <c r="V73" s="23">
        <f>mp(V$2,V$4,$A73,Avatars!$O$16,Avatars!$O$17+$A73)+$A$1</f>
        <v>1911.3333333333335</v>
      </c>
      <c r="W73" s="23">
        <f>mp(W$2,W$4,$A73,Avatars!$O$16,Avatars!$O$17+$A73)+$A$1</f>
        <v>1822</v>
      </c>
      <c r="X73" s="23">
        <f>mp(X$2,X$4,$A73,Avatars!$O$16,Avatars!$O$17+$A73)+$A$1</f>
        <v>1375.3333333333333</v>
      </c>
      <c r="Y73" s="23">
        <f>mp(Y$2,Y$4,$A73,Avatars!$O$16,Avatars!$O$17+$A73)+$A$1</f>
        <v>1464.6666666666667</v>
      </c>
      <c r="Z73" s="23">
        <f>mp(Z$2,Z$4,$A73,Avatars!$O$16,Avatars!$O$17+$A73)+$A$1</f>
        <v>1330.6666666666667</v>
      </c>
    </row>
    <row r="74" spans="1:26" s="2" customFormat="1">
      <c r="A74" s="17">
        <v>68</v>
      </c>
      <c r="B74" s="17"/>
      <c r="C74" s="22">
        <f t="shared" si="8"/>
        <v>686.44444444444446</v>
      </c>
      <c r="D74" s="22">
        <f t="shared" si="8"/>
        <v>792.22222222222217</v>
      </c>
      <c r="E74" s="22">
        <f t="shared" si="8"/>
        <v>845.11111111111109</v>
      </c>
      <c r="F74" s="22">
        <f t="shared" si="8"/>
        <v>950.88888888888891</v>
      </c>
      <c r="G74" s="22">
        <f t="shared" si="8"/>
        <v>1003.7777777777777</v>
      </c>
      <c r="H74" s="22">
        <f t="shared" si="8"/>
        <v>1056.6666666666667</v>
      </c>
      <c r="I74" s="22">
        <f>HP(I$2,I$4,$A74,Avatars!$L$17,Avatars!$N$17+$A74-1)+$A$1</f>
        <v>1918.7777777777778</v>
      </c>
      <c r="J74" s="22">
        <f>HP(J$2,J$4,$A74,Avatars!$L$17,Avatars!$N$17+$A74-1)+$A$1</f>
        <v>2024.5555555555554</v>
      </c>
      <c r="K74" s="22">
        <f>HP(K$2,K$4,$A74,Avatars!$L$17,Avatars!$N$17+$A74-1)+$A$1</f>
        <v>2077.4444444444443</v>
      </c>
      <c r="L74" s="22">
        <f>HP(L$2,L$4,$A74,Avatars!$L$17,Avatars!$N$17+$A74-1)+$A$1</f>
        <v>2183.2222222222222</v>
      </c>
      <c r="M74" s="22">
        <f>HP(M$2,M$4,$A74,Avatars!$L$17,Avatars!$N$17+$A74-1)+$A$1</f>
        <v>2236.1111111111109</v>
      </c>
      <c r="N74" s="22">
        <f>HP(N$2,N$4,$A74,Avatars!$L$17,Avatars!$N$17+$A74-1)+$A$1</f>
        <v>2289</v>
      </c>
      <c r="O74" s="23">
        <f t="shared" si="9"/>
        <v>979.33333333333337</v>
      </c>
      <c r="P74" s="23">
        <f t="shared" si="9"/>
        <v>707.33333333333337</v>
      </c>
      <c r="Q74" s="23">
        <f t="shared" si="9"/>
        <v>616.66666666666663</v>
      </c>
      <c r="R74" s="23">
        <f t="shared" si="9"/>
        <v>163.33333333333331</v>
      </c>
      <c r="S74" s="23">
        <f t="shared" si="9"/>
        <v>254</v>
      </c>
      <c r="T74" s="23">
        <f t="shared" si="9"/>
        <v>117.99999999999999</v>
      </c>
      <c r="U74" s="23">
        <f>mp(U$2,U$4,$A74,Avatars!$O$16,Avatars!$O$17+$A74)+$A$1</f>
        <v>2258.6666666666665</v>
      </c>
      <c r="V74" s="23">
        <f>mp(V$2,V$4,$A74,Avatars!$O$16,Avatars!$O$17+$A74)+$A$1</f>
        <v>1986.6666666666667</v>
      </c>
      <c r="W74" s="23">
        <f>mp(W$2,W$4,$A74,Avatars!$O$16,Avatars!$O$17+$A74)+$A$1</f>
        <v>1896</v>
      </c>
      <c r="X74" s="23">
        <f>mp(X$2,X$4,$A74,Avatars!$O$16,Avatars!$O$17+$A74)+$A$1</f>
        <v>1442.6666666666667</v>
      </c>
      <c r="Y74" s="23">
        <f>mp(Y$2,Y$4,$A74,Avatars!$O$16,Avatars!$O$17+$A74)+$A$1</f>
        <v>1533.3333333333333</v>
      </c>
      <c r="Z74" s="23">
        <f>mp(Z$2,Z$4,$A74,Avatars!$O$16,Avatars!$O$17+$A74)+$A$1</f>
        <v>1397.3333333333333</v>
      </c>
    </row>
    <row r="75" spans="1:26" s="2" customFormat="1">
      <c r="A75" s="17">
        <v>69</v>
      </c>
      <c r="B75" s="17"/>
      <c r="C75" s="22">
        <f t="shared" si="8"/>
        <v>696</v>
      </c>
      <c r="D75" s="22">
        <f t="shared" si="8"/>
        <v>803.33333333333326</v>
      </c>
      <c r="E75" s="22">
        <f t="shared" si="8"/>
        <v>857</v>
      </c>
      <c r="F75" s="22">
        <f t="shared" si="8"/>
        <v>964.33333333333337</v>
      </c>
      <c r="G75" s="22">
        <f t="shared" si="8"/>
        <v>1018</v>
      </c>
      <c r="H75" s="22">
        <f t="shared" si="8"/>
        <v>1071.6666666666667</v>
      </c>
      <c r="I75" s="22">
        <f>HP(I$2,I$4,$A75,Avatars!$L$17,Avatars!$N$17+$A75-1)+$A$1</f>
        <v>1941.3333333333333</v>
      </c>
      <c r="J75" s="22">
        <f>HP(J$2,J$4,$A75,Avatars!$L$17,Avatars!$N$17+$A75-1)+$A$1</f>
        <v>2048.6666666666665</v>
      </c>
      <c r="K75" s="22">
        <f>HP(K$2,K$4,$A75,Avatars!$L$17,Avatars!$N$17+$A75-1)+$A$1</f>
        <v>2102.3333333333335</v>
      </c>
      <c r="L75" s="22">
        <f>HP(L$2,L$4,$A75,Avatars!$L$17,Avatars!$N$17+$A75-1)+$A$1</f>
        <v>2209.6666666666665</v>
      </c>
      <c r="M75" s="22">
        <f>HP(M$2,M$4,$A75,Avatars!$L$17,Avatars!$N$17+$A75-1)+$A$1</f>
        <v>2263.3333333333335</v>
      </c>
      <c r="N75" s="22">
        <f>HP(N$2,N$4,$A75,Avatars!$L$17,Avatars!$N$17+$A75-1)+$A$1</f>
        <v>2317</v>
      </c>
      <c r="O75" s="23">
        <f t="shared" si="9"/>
        <v>993.66666666666674</v>
      </c>
      <c r="P75" s="23">
        <f t="shared" si="9"/>
        <v>717.66666666666674</v>
      </c>
      <c r="Q75" s="23">
        <f t="shared" si="9"/>
        <v>625.66666666666663</v>
      </c>
      <c r="R75" s="23">
        <f t="shared" si="9"/>
        <v>165.66666666666666</v>
      </c>
      <c r="S75" s="23">
        <f t="shared" si="9"/>
        <v>257.66666666666663</v>
      </c>
      <c r="T75" s="23">
        <f t="shared" si="9"/>
        <v>119.66666666666666</v>
      </c>
      <c r="U75" s="23">
        <f>mp(U$2,U$4,$A75,Avatars!$O$16,Avatars!$O$17+$A75)+$A$1</f>
        <v>2286</v>
      </c>
      <c r="V75" s="23">
        <f>mp(V$2,V$4,$A75,Avatars!$O$16,Avatars!$O$17+$A75)+$A$1</f>
        <v>2010</v>
      </c>
      <c r="W75" s="23">
        <f>mp(W$2,W$4,$A75,Avatars!$O$16,Avatars!$O$17+$A75)+$A$1</f>
        <v>1918</v>
      </c>
      <c r="X75" s="23">
        <f>mp(X$2,X$4,$A75,Avatars!$O$16,Avatars!$O$17+$A75)+$A$1</f>
        <v>1458</v>
      </c>
      <c r="Y75" s="23">
        <f>mp(Y$2,Y$4,$A75,Avatars!$O$16,Avatars!$O$17+$A75)+$A$1</f>
        <v>1550</v>
      </c>
      <c r="Z75" s="23">
        <f>mp(Z$2,Z$4,$A75,Avatars!$O$16,Avatars!$O$17+$A75)+$A$1</f>
        <v>1412</v>
      </c>
    </row>
    <row r="76" spans="1:26" s="2" customFormat="1">
      <c r="A76" s="17">
        <v>70</v>
      </c>
      <c r="B76" s="17"/>
      <c r="C76" s="22">
        <f t="shared" si="8"/>
        <v>705.55555555555554</v>
      </c>
      <c r="D76" s="22">
        <f t="shared" si="8"/>
        <v>814.44444444444446</v>
      </c>
      <c r="E76" s="22">
        <f t="shared" si="8"/>
        <v>868.88888888888891</v>
      </c>
      <c r="F76" s="22">
        <f t="shared" si="8"/>
        <v>977.77777777777783</v>
      </c>
      <c r="G76" s="22">
        <f t="shared" si="8"/>
        <v>1032.2222222222222</v>
      </c>
      <c r="H76" s="22">
        <f t="shared" si="8"/>
        <v>1086.6666666666667</v>
      </c>
      <c r="I76" s="22">
        <f>HP(I$2,I$4,$A76,Avatars!$L$17,Avatars!$N$17+$A76-1)+$A$1</f>
        <v>1963.8888888888889</v>
      </c>
      <c r="J76" s="22">
        <f>HP(J$2,J$4,$A76,Avatars!$L$17,Avatars!$N$17+$A76-1)+$A$1</f>
        <v>2072.7777777777778</v>
      </c>
      <c r="K76" s="22">
        <f>HP(K$2,K$4,$A76,Avatars!$L$17,Avatars!$N$17+$A76-1)+$A$1</f>
        <v>2127.2222222222222</v>
      </c>
      <c r="L76" s="22">
        <f>HP(L$2,L$4,$A76,Avatars!$L$17,Avatars!$N$17+$A76-1)+$A$1</f>
        <v>2236.1111111111113</v>
      </c>
      <c r="M76" s="22">
        <f>HP(M$2,M$4,$A76,Avatars!$L$17,Avatars!$N$17+$A76-1)+$A$1</f>
        <v>2290.5555555555557</v>
      </c>
      <c r="N76" s="22">
        <f>HP(N$2,N$4,$A76,Avatars!$L$17,Avatars!$N$17+$A76-1)+$A$1</f>
        <v>2345</v>
      </c>
      <c r="O76" s="23">
        <f t="shared" si="9"/>
        <v>1008</v>
      </c>
      <c r="P76" s="23">
        <f t="shared" si="9"/>
        <v>728</v>
      </c>
      <c r="Q76" s="23">
        <f t="shared" si="9"/>
        <v>634.66666666666663</v>
      </c>
      <c r="R76" s="23">
        <f t="shared" si="9"/>
        <v>167.99999999999997</v>
      </c>
      <c r="S76" s="23">
        <f t="shared" si="9"/>
        <v>261.33333333333331</v>
      </c>
      <c r="T76" s="23">
        <f t="shared" si="9"/>
        <v>121.33333333333333</v>
      </c>
      <c r="U76" s="23">
        <f>mp(U$2,U$4,$A76,Avatars!$O$16,Avatars!$O$17+$A76)+$A$1</f>
        <v>2313.3333333333335</v>
      </c>
      <c r="V76" s="23">
        <f>mp(V$2,V$4,$A76,Avatars!$O$16,Avatars!$O$17+$A76)+$A$1</f>
        <v>2033.3333333333335</v>
      </c>
      <c r="W76" s="23">
        <f>mp(W$2,W$4,$A76,Avatars!$O$16,Avatars!$O$17+$A76)+$A$1</f>
        <v>1940</v>
      </c>
      <c r="X76" s="23">
        <f>mp(X$2,X$4,$A76,Avatars!$O$16,Avatars!$O$17+$A76)+$A$1</f>
        <v>1473.3333333333333</v>
      </c>
      <c r="Y76" s="23">
        <f>mp(Y$2,Y$4,$A76,Avatars!$O$16,Avatars!$O$17+$A76)+$A$1</f>
        <v>1566.6666666666667</v>
      </c>
      <c r="Z76" s="23">
        <f>mp(Z$2,Z$4,$A76,Avatars!$O$16,Avatars!$O$17+$A76)+$A$1</f>
        <v>1426.6666666666667</v>
      </c>
    </row>
    <row r="77" spans="1:26" s="2" customFormat="1">
      <c r="A77" s="17">
        <v>71</v>
      </c>
      <c r="B77" s="17"/>
      <c r="C77" s="22">
        <f t="shared" si="8"/>
        <v>715.11111111111109</v>
      </c>
      <c r="D77" s="22">
        <f t="shared" si="8"/>
        <v>825.55555555555554</v>
      </c>
      <c r="E77" s="22">
        <f t="shared" si="8"/>
        <v>880.77777777777783</v>
      </c>
      <c r="F77" s="22">
        <f t="shared" si="8"/>
        <v>991.22222222222229</v>
      </c>
      <c r="G77" s="22">
        <f t="shared" si="8"/>
        <v>1046.4444444444443</v>
      </c>
      <c r="H77" s="22">
        <f t="shared" si="8"/>
        <v>1101.6666666666667</v>
      </c>
      <c r="I77" s="22">
        <f>HP(I$2,I$4,$A77,Avatars!$L$17,Avatars!$N$17+$A77-1)+$A$1</f>
        <v>2038.4444444444443</v>
      </c>
      <c r="J77" s="22">
        <f>HP(J$2,J$4,$A77,Avatars!$L$17,Avatars!$N$17+$A77-1)+$A$1</f>
        <v>2148.8888888888887</v>
      </c>
      <c r="K77" s="22">
        <f>HP(K$2,K$4,$A77,Avatars!$L$17,Avatars!$N$17+$A77-1)+$A$1</f>
        <v>2204.1111111111113</v>
      </c>
      <c r="L77" s="22">
        <f>HP(L$2,L$4,$A77,Avatars!$L$17,Avatars!$N$17+$A77-1)+$A$1</f>
        <v>2314.5555555555557</v>
      </c>
      <c r="M77" s="22">
        <f>HP(M$2,M$4,$A77,Avatars!$L$17,Avatars!$N$17+$A77-1)+$A$1</f>
        <v>2369.7777777777778</v>
      </c>
      <c r="N77" s="22">
        <f>HP(N$2,N$4,$A77,Avatars!$L$17,Avatars!$N$17+$A77-1)+$A$1</f>
        <v>2425</v>
      </c>
      <c r="O77" s="23">
        <f t="shared" si="9"/>
        <v>1022.3333333333334</v>
      </c>
      <c r="P77" s="23">
        <f t="shared" si="9"/>
        <v>738.33333333333337</v>
      </c>
      <c r="Q77" s="23">
        <f t="shared" si="9"/>
        <v>643.66666666666663</v>
      </c>
      <c r="R77" s="23">
        <f t="shared" si="9"/>
        <v>170.33333333333331</v>
      </c>
      <c r="S77" s="23">
        <f t="shared" si="9"/>
        <v>265</v>
      </c>
      <c r="T77" s="23">
        <f t="shared" si="9"/>
        <v>122.99999999999999</v>
      </c>
      <c r="U77" s="23">
        <f>mp(U$2,U$4,$A77,Avatars!$O$16,Avatars!$O$17+$A77)+$A$1</f>
        <v>2340.6666666666665</v>
      </c>
      <c r="V77" s="23">
        <f>mp(V$2,V$4,$A77,Avatars!$O$16,Avatars!$O$17+$A77)+$A$1</f>
        <v>2056.6666666666665</v>
      </c>
      <c r="W77" s="23">
        <f>mp(W$2,W$4,$A77,Avatars!$O$16,Avatars!$O$17+$A77)+$A$1</f>
        <v>1962</v>
      </c>
      <c r="X77" s="23">
        <f>mp(X$2,X$4,$A77,Avatars!$O$16,Avatars!$O$17+$A77)+$A$1</f>
        <v>1488.6666666666667</v>
      </c>
      <c r="Y77" s="23">
        <f>mp(Y$2,Y$4,$A77,Avatars!$O$16,Avatars!$O$17+$A77)+$A$1</f>
        <v>1583.3333333333333</v>
      </c>
      <c r="Z77" s="23">
        <f>mp(Z$2,Z$4,$A77,Avatars!$O$16,Avatars!$O$17+$A77)+$A$1</f>
        <v>1441.3333333333333</v>
      </c>
    </row>
    <row r="78" spans="1:26" s="2" customFormat="1">
      <c r="A78" s="17">
        <v>72</v>
      </c>
      <c r="B78" s="17"/>
      <c r="C78" s="22">
        <f t="shared" si="8"/>
        <v>724.66666666666663</v>
      </c>
      <c r="D78" s="22">
        <f t="shared" si="8"/>
        <v>836.66666666666663</v>
      </c>
      <c r="E78" s="22">
        <f t="shared" si="8"/>
        <v>892.66666666666674</v>
      </c>
      <c r="F78" s="22">
        <f t="shared" si="8"/>
        <v>1004.6666666666666</v>
      </c>
      <c r="G78" s="22">
        <f t="shared" si="8"/>
        <v>1060.6666666666665</v>
      </c>
      <c r="H78" s="22">
        <f t="shared" si="8"/>
        <v>1116.6666666666667</v>
      </c>
      <c r="I78" s="22">
        <f>HP(I$2,I$4,$A78,Avatars!$L$17,Avatars!$N$17+$A78-1)+$A$1</f>
        <v>2061</v>
      </c>
      <c r="J78" s="22">
        <f>HP(J$2,J$4,$A78,Avatars!$L$17,Avatars!$N$17+$A78-1)+$A$1</f>
        <v>2173</v>
      </c>
      <c r="K78" s="22">
        <f>HP(K$2,K$4,$A78,Avatars!$L$17,Avatars!$N$17+$A78-1)+$A$1</f>
        <v>2229</v>
      </c>
      <c r="L78" s="22">
        <f>HP(L$2,L$4,$A78,Avatars!$L$17,Avatars!$N$17+$A78-1)+$A$1</f>
        <v>2341</v>
      </c>
      <c r="M78" s="22">
        <f>HP(M$2,M$4,$A78,Avatars!$L$17,Avatars!$N$17+$A78-1)+$A$1</f>
        <v>2397</v>
      </c>
      <c r="N78" s="22">
        <f>HP(N$2,N$4,$A78,Avatars!$L$17,Avatars!$N$17+$A78-1)+$A$1</f>
        <v>2453</v>
      </c>
      <c r="O78" s="23">
        <f t="shared" si="9"/>
        <v>1036.6666666666667</v>
      </c>
      <c r="P78" s="23">
        <f t="shared" si="9"/>
        <v>748.66666666666674</v>
      </c>
      <c r="Q78" s="23">
        <f t="shared" si="9"/>
        <v>652.66666666666663</v>
      </c>
      <c r="R78" s="23">
        <f t="shared" si="9"/>
        <v>172.66666666666666</v>
      </c>
      <c r="S78" s="23">
        <f t="shared" si="9"/>
        <v>268.66666666666663</v>
      </c>
      <c r="T78" s="23">
        <f t="shared" si="9"/>
        <v>124.66666666666666</v>
      </c>
      <c r="U78" s="23">
        <f>mp(U$2,U$4,$A78,Avatars!$O$16,Avatars!$O$17+$A78)+$A$1</f>
        <v>2368</v>
      </c>
      <c r="V78" s="23">
        <f>mp(V$2,V$4,$A78,Avatars!$O$16,Avatars!$O$17+$A78)+$A$1</f>
        <v>2080</v>
      </c>
      <c r="W78" s="23">
        <f>mp(W$2,W$4,$A78,Avatars!$O$16,Avatars!$O$17+$A78)+$A$1</f>
        <v>1984</v>
      </c>
      <c r="X78" s="23">
        <f>mp(X$2,X$4,$A78,Avatars!$O$16,Avatars!$O$17+$A78)+$A$1</f>
        <v>1504</v>
      </c>
      <c r="Y78" s="23">
        <f>mp(Y$2,Y$4,$A78,Avatars!$O$16,Avatars!$O$17+$A78)+$A$1</f>
        <v>1600</v>
      </c>
      <c r="Z78" s="23">
        <f>mp(Z$2,Z$4,$A78,Avatars!$O$16,Avatars!$O$17+$A78)+$A$1</f>
        <v>1456</v>
      </c>
    </row>
    <row r="79" spans="1:26" s="2" customFormat="1">
      <c r="A79" s="17">
        <v>73</v>
      </c>
      <c r="B79" s="17"/>
      <c r="C79" s="22">
        <f t="shared" si="8"/>
        <v>734.22222222222217</v>
      </c>
      <c r="D79" s="22">
        <f t="shared" si="8"/>
        <v>847.77777777777771</v>
      </c>
      <c r="E79" s="22">
        <f t="shared" si="8"/>
        <v>904.55555555555554</v>
      </c>
      <c r="F79" s="22">
        <f t="shared" si="8"/>
        <v>1018.1111111111111</v>
      </c>
      <c r="G79" s="22">
        <f t="shared" si="8"/>
        <v>1074.8888888888889</v>
      </c>
      <c r="H79" s="22">
        <f t="shared" si="8"/>
        <v>1131.6666666666667</v>
      </c>
      <c r="I79" s="22">
        <f>HP(I$2,I$4,$A79,Avatars!$L$17,Avatars!$N$17+$A79-1)+$A$1</f>
        <v>2083.5555555555557</v>
      </c>
      <c r="J79" s="22">
        <f>HP(J$2,J$4,$A79,Avatars!$L$17,Avatars!$N$17+$A79-1)+$A$1</f>
        <v>2197.1111111111109</v>
      </c>
      <c r="K79" s="22">
        <f>HP(K$2,K$4,$A79,Avatars!$L$17,Avatars!$N$17+$A79-1)+$A$1</f>
        <v>2253.8888888888891</v>
      </c>
      <c r="L79" s="22">
        <f>HP(L$2,L$4,$A79,Avatars!$L$17,Avatars!$N$17+$A79-1)+$A$1</f>
        <v>2367.4444444444443</v>
      </c>
      <c r="M79" s="22">
        <f>HP(M$2,M$4,$A79,Avatars!$L$17,Avatars!$N$17+$A79-1)+$A$1</f>
        <v>2424.2222222222222</v>
      </c>
      <c r="N79" s="22">
        <f>HP(N$2,N$4,$A79,Avatars!$L$17,Avatars!$N$17+$A79-1)+$A$1</f>
        <v>2481</v>
      </c>
      <c r="O79" s="23">
        <f t="shared" si="9"/>
        <v>1051</v>
      </c>
      <c r="P79" s="23">
        <f t="shared" si="9"/>
        <v>759</v>
      </c>
      <c r="Q79" s="23">
        <f t="shared" si="9"/>
        <v>661.66666666666663</v>
      </c>
      <c r="R79" s="23">
        <f t="shared" si="9"/>
        <v>174.99999999999997</v>
      </c>
      <c r="S79" s="23">
        <f t="shared" si="9"/>
        <v>272.33333333333331</v>
      </c>
      <c r="T79" s="23">
        <f t="shared" si="9"/>
        <v>126.33333333333333</v>
      </c>
      <c r="U79" s="23">
        <f>mp(U$2,U$4,$A79,Avatars!$O$16,Avatars!$O$17+$A79)+$A$1</f>
        <v>2395.3333333333335</v>
      </c>
      <c r="V79" s="23">
        <f>mp(V$2,V$4,$A79,Avatars!$O$16,Avatars!$O$17+$A79)+$A$1</f>
        <v>2103.3333333333335</v>
      </c>
      <c r="W79" s="23">
        <f>mp(W$2,W$4,$A79,Avatars!$O$16,Avatars!$O$17+$A79)+$A$1</f>
        <v>2006</v>
      </c>
      <c r="X79" s="23">
        <f>mp(X$2,X$4,$A79,Avatars!$O$16,Avatars!$O$17+$A79)+$A$1</f>
        <v>1519.3333333333333</v>
      </c>
      <c r="Y79" s="23">
        <f>mp(Y$2,Y$4,$A79,Avatars!$O$16,Avatars!$O$17+$A79)+$A$1</f>
        <v>1616.6666666666667</v>
      </c>
      <c r="Z79" s="23">
        <f>mp(Z$2,Z$4,$A79,Avatars!$O$16,Avatars!$O$17+$A79)+$A$1</f>
        <v>1470.6666666666667</v>
      </c>
    </row>
    <row r="80" spans="1:26" s="2" customFormat="1">
      <c r="A80" s="17">
        <v>74</v>
      </c>
      <c r="B80" s="17"/>
      <c r="C80" s="22">
        <f t="shared" si="8"/>
        <v>743.77777777777771</v>
      </c>
      <c r="D80" s="22">
        <f t="shared" si="8"/>
        <v>858.88888888888891</v>
      </c>
      <c r="E80" s="22">
        <f t="shared" si="8"/>
        <v>916.44444444444446</v>
      </c>
      <c r="F80" s="22">
        <f t="shared" si="8"/>
        <v>1031.5555555555557</v>
      </c>
      <c r="G80" s="22">
        <f t="shared" si="8"/>
        <v>1089.1111111111111</v>
      </c>
      <c r="H80" s="22">
        <f t="shared" si="8"/>
        <v>1146.6666666666667</v>
      </c>
      <c r="I80" s="22">
        <f>HP(I$2,I$4,$A80,Avatars!$L$17,Avatars!$N$17+$A80-1)+$A$1</f>
        <v>2106.1111111111113</v>
      </c>
      <c r="J80" s="22">
        <f>HP(J$2,J$4,$A80,Avatars!$L$17,Avatars!$N$17+$A80-1)+$A$1</f>
        <v>2221.2222222222222</v>
      </c>
      <c r="K80" s="22">
        <f>HP(K$2,K$4,$A80,Avatars!$L$17,Avatars!$N$17+$A80-1)+$A$1</f>
        <v>2278.7777777777778</v>
      </c>
      <c r="L80" s="22">
        <f>HP(L$2,L$4,$A80,Avatars!$L$17,Avatars!$N$17+$A80-1)+$A$1</f>
        <v>2393.8888888888887</v>
      </c>
      <c r="M80" s="22">
        <f>HP(M$2,M$4,$A80,Avatars!$L$17,Avatars!$N$17+$A80-1)+$A$1</f>
        <v>2451.4444444444443</v>
      </c>
      <c r="N80" s="22">
        <f>HP(N$2,N$4,$A80,Avatars!$L$17,Avatars!$N$17+$A80-1)+$A$1</f>
        <v>2509</v>
      </c>
      <c r="O80" s="23">
        <f t="shared" si="9"/>
        <v>1065.3333333333335</v>
      </c>
      <c r="P80" s="23">
        <f t="shared" si="9"/>
        <v>769.33333333333337</v>
      </c>
      <c r="Q80" s="23">
        <f t="shared" si="9"/>
        <v>670.66666666666663</v>
      </c>
      <c r="R80" s="23">
        <f t="shared" si="9"/>
        <v>177.33333333333331</v>
      </c>
      <c r="S80" s="23">
        <f t="shared" si="9"/>
        <v>276</v>
      </c>
      <c r="T80" s="23">
        <f t="shared" si="9"/>
        <v>127.99999999999999</v>
      </c>
      <c r="U80" s="23">
        <f>mp(U$2,U$4,$A80,Avatars!$O$16,Avatars!$O$17+$A80)+$A$1</f>
        <v>2474.6666666666665</v>
      </c>
      <c r="V80" s="23">
        <f>mp(V$2,V$4,$A80,Avatars!$O$16,Avatars!$O$17+$A80)+$A$1</f>
        <v>2178.6666666666665</v>
      </c>
      <c r="W80" s="23">
        <f>mp(W$2,W$4,$A80,Avatars!$O$16,Avatars!$O$17+$A80)+$A$1</f>
        <v>2080</v>
      </c>
      <c r="X80" s="23">
        <f>mp(X$2,X$4,$A80,Avatars!$O$16,Avatars!$O$17+$A80)+$A$1</f>
        <v>1586.6666666666667</v>
      </c>
      <c r="Y80" s="23">
        <f>mp(Y$2,Y$4,$A80,Avatars!$O$16,Avatars!$O$17+$A80)+$A$1</f>
        <v>1685.3333333333333</v>
      </c>
      <c r="Z80" s="23">
        <f>mp(Z$2,Z$4,$A80,Avatars!$O$16,Avatars!$O$17+$A80)+$A$1</f>
        <v>1537.3333333333333</v>
      </c>
    </row>
    <row r="81" spans="1:26" s="2" customFormat="1">
      <c r="A81" s="17">
        <v>75</v>
      </c>
      <c r="B81" s="17"/>
      <c r="C81" s="22">
        <f t="shared" si="8"/>
        <v>753.33333333333337</v>
      </c>
      <c r="D81" s="22">
        <f t="shared" si="8"/>
        <v>870</v>
      </c>
      <c r="E81" s="22">
        <f t="shared" si="8"/>
        <v>928.33333333333337</v>
      </c>
      <c r="F81" s="22">
        <f t="shared" si="8"/>
        <v>1045</v>
      </c>
      <c r="G81" s="22">
        <f t="shared" si="8"/>
        <v>1103.3333333333333</v>
      </c>
      <c r="H81" s="22">
        <f t="shared" si="8"/>
        <v>1161.6666666666667</v>
      </c>
      <c r="I81" s="22">
        <f>HP(I$2,I$4,$A81,Avatars!$L$17,Avatars!$N$17+$A81-1)+$A$1</f>
        <v>2128.6666666666665</v>
      </c>
      <c r="J81" s="22">
        <f>HP(J$2,J$4,$A81,Avatars!$L$17,Avatars!$N$17+$A81-1)+$A$1</f>
        <v>2245.3333333333335</v>
      </c>
      <c r="K81" s="22">
        <f>HP(K$2,K$4,$A81,Avatars!$L$17,Avatars!$N$17+$A81-1)+$A$1</f>
        <v>2303.6666666666665</v>
      </c>
      <c r="L81" s="22">
        <f>HP(L$2,L$4,$A81,Avatars!$L$17,Avatars!$N$17+$A81-1)+$A$1</f>
        <v>2420.3333333333335</v>
      </c>
      <c r="M81" s="22">
        <f>HP(M$2,M$4,$A81,Avatars!$L$17,Avatars!$N$17+$A81-1)+$A$1</f>
        <v>2478.6666666666665</v>
      </c>
      <c r="N81" s="22">
        <f>HP(N$2,N$4,$A81,Avatars!$L$17,Avatars!$N$17+$A81-1)+$A$1</f>
        <v>2537</v>
      </c>
      <c r="O81" s="23">
        <f t="shared" si="9"/>
        <v>1079.6666666666667</v>
      </c>
      <c r="P81" s="23">
        <f t="shared" si="9"/>
        <v>779.66666666666674</v>
      </c>
      <c r="Q81" s="23">
        <f t="shared" si="9"/>
        <v>679.66666666666663</v>
      </c>
      <c r="R81" s="23">
        <f t="shared" si="9"/>
        <v>179.66666666666666</v>
      </c>
      <c r="S81" s="23">
        <f t="shared" si="9"/>
        <v>279.66666666666663</v>
      </c>
      <c r="T81" s="23">
        <f t="shared" si="9"/>
        <v>129.66666666666666</v>
      </c>
      <c r="U81" s="23">
        <f>mp(U$2,U$4,$A81,Avatars!$O$16,Avatars!$O$17+$A81)+$A$1</f>
        <v>2502</v>
      </c>
      <c r="V81" s="23">
        <f>mp(V$2,V$4,$A81,Avatars!$O$16,Avatars!$O$17+$A81)+$A$1</f>
        <v>2202</v>
      </c>
      <c r="W81" s="23">
        <f>mp(W$2,W$4,$A81,Avatars!$O$16,Avatars!$O$17+$A81)+$A$1</f>
        <v>2102</v>
      </c>
      <c r="X81" s="23">
        <f>mp(X$2,X$4,$A81,Avatars!$O$16,Avatars!$O$17+$A81)+$A$1</f>
        <v>1602</v>
      </c>
      <c r="Y81" s="23">
        <f>mp(Y$2,Y$4,$A81,Avatars!$O$16,Avatars!$O$17+$A81)+$A$1</f>
        <v>1702</v>
      </c>
      <c r="Z81" s="23">
        <f>mp(Z$2,Z$4,$A81,Avatars!$O$16,Avatars!$O$17+$A81)+$A$1</f>
        <v>1552</v>
      </c>
    </row>
    <row r="82" spans="1:26" s="2" customFormat="1">
      <c r="A82" s="17">
        <v>76</v>
      </c>
      <c r="B82" s="17"/>
      <c r="C82" s="22">
        <f t="shared" si="8"/>
        <v>762.88888888888891</v>
      </c>
      <c r="D82" s="22">
        <f t="shared" si="8"/>
        <v>881.11111111111109</v>
      </c>
      <c r="E82" s="22">
        <f t="shared" si="8"/>
        <v>940.22222222222229</v>
      </c>
      <c r="F82" s="22">
        <f t="shared" si="8"/>
        <v>1058.4444444444443</v>
      </c>
      <c r="G82" s="22">
        <f t="shared" si="8"/>
        <v>1117.5555555555554</v>
      </c>
      <c r="H82" s="22">
        <f t="shared" si="8"/>
        <v>1176.6666666666667</v>
      </c>
      <c r="I82" s="22">
        <f>HP(I$2,I$4,$A82,Avatars!$L$17,Avatars!$N$17+$A82-1)+$A$1</f>
        <v>2151.2222222222222</v>
      </c>
      <c r="J82" s="22">
        <f>HP(J$2,J$4,$A82,Avatars!$L$17,Avatars!$N$17+$A82-1)+$A$1</f>
        <v>2269.4444444444443</v>
      </c>
      <c r="K82" s="22">
        <f>HP(K$2,K$4,$A82,Avatars!$L$17,Avatars!$N$17+$A82-1)+$A$1</f>
        <v>2328.5555555555557</v>
      </c>
      <c r="L82" s="22">
        <f>HP(L$2,L$4,$A82,Avatars!$L$17,Avatars!$N$17+$A82-1)+$A$1</f>
        <v>2446.7777777777778</v>
      </c>
      <c r="M82" s="22">
        <f>HP(M$2,M$4,$A82,Avatars!$L$17,Avatars!$N$17+$A82-1)+$A$1</f>
        <v>2505.8888888888887</v>
      </c>
      <c r="N82" s="22">
        <f>HP(N$2,N$4,$A82,Avatars!$L$17,Avatars!$N$17+$A82-1)+$A$1</f>
        <v>2565</v>
      </c>
      <c r="O82" s="23">
        <f t="shared" si="9"/>
        <v>1094</v>
      </c>
      <c r="P82" s="23">
        <f t="shared" si="9"/>
        <v>790</v>
      </c>
      <c r="Q82" s="23">
        <f t="shared" si="9"/>
        <v>688.66666666666663</v>
      </c>
      <c r="R82" s="23">
        <f t="shared" si="9"/>
        <v>181.99999999999997</v>
      </c>
      <c r="S82" s="23">
        <f t="shared" si="9"/>
        <v>283.33333333333331</v>
      </c>
      <c r="T82" s="23">
        <f t="shared" si="9"/>
        <v>131.33333333333331</v>
      </c>
      <c r="U82" s="23">
        <f>mp(U$2,U$4,$A82,Avatars!$O$16,Avatars!$O$17+$A82)+$A$1</f>
        <v>2529.3333333333335</v>
      </c>
      <c r="V82" s="23">
        <f>mp(V$2,V$4,$A82,Avatars!$O$16,Avatars!$O$17+$A82)+$A$1</f>
        <v>2225.3333333333335</v>
      </c>
      <c r="W82" s="23">
        <f>mp(W$2,W$4,$A82,Avatars!$O$16,Avatars!$O$17+$A82)+$A$1</f>
        <v>2124</v>
      </c>
      <c r="X82" s="23">
        <f>mp(X$2,X$4,$A82,Avatars!$O$16,Avatars!$O$17+$A82)+$A$1</f>
        <v>1617.3333333333333</v>
      </c>
      <c r="Y82" s="23">
        <f>mp(Y$2,Y$4,$A82,Avatars!$O$16,Avatars!$O$17+$A82)+$A$1</f>
        <v>1718.6666666666667</v>
      </c>
      <c r="Z82" s="23">
        <f>mp(Z$2,Z$4,$A82,Avatars!$O$16,Avatars!$O$17+$A82)+$A$1</f>
        <v>1566.6666666666667</v>
      </c>
    </row>
    <row r="83" spans="1:26" s="2" customFormat="1">
      <c r="A83" s="17">
        <v>77</v>
      </c>
      <c r="B83" s="17"/>
      <c r="C83" s="22">
        <f t="shared" si="8"/>
        <v>772.44444444444446</v>
      </c>
      <c r="D83" s="22">
        <f t="shared" si="8"/>
        <v>892.22222222222217</v>
      </c>
      <c r="E83" s="22">
        <f t="shared" si="8"/>
        <v>952.11111111111109</v>
      </c>
      <c r="F83" s="22">
        <f t="shared" si="8"/>
        <v>1071.8888888888889</v>
      </c>
      <c r="G83" s="22">
        <f t="shared" si="8"/>
        <v>1131.7777777777778</v>
      </c>
      <c r="H83" s="22">
        <f t="shared" si="8"/>
        <v>1191.6666666666667</v>
      </c>
      <c r="I83" s="22">
        <f>HP(I$2,I$4,$A83,Avatars!$L$17,Avatars!$N$17+$A83-1)+$A$1</f>
        <v>2238.7777777777778</v>
      </c>
      <c r="J83" s="22">
        <f>HP(J$2,J$4,$A83,Avatars!$L$17,Avatars!$N$17+$A83-1)+$A$1</f>
        <v>2358.5555555555557</v>
      </c>
      <c r="K83" s="22">
        <f>HP(K$2,K$4,$A83,Avatars!$L$17,Avatars!$N$17+$A83-1)+$A$1</f>
        <v>2418.4444444444443</v>
      </c>
      <c r="L83" s="22">
        <f>HP(L$2,L$4,$A83,Avatars!$L$17,Avatars!$N$17+$A83-1)+$A$1</f>
        <v>2538.2222222222222</v>
      </c>
      <c r="M83" s="22">
        <f>HP(M$2,M$4,$A83,Avatars!$L$17,Avatars!$N$17+$A83-1)+$A$1</f>
        <v>2598.1111111111109</v>
      </c>
      <c r="N83" s="22">
        <f>HP(N$2,N$4,$A83,Avatars!$L$17,Avatars!$N$17+$A83-1)+$A$1</f>
        <v>2658</v>
      </c>
      <c r="O83" s="23">
        <f t="shared" si="9"/>
        <v>1108.3333333333335</v>
      </c>
      <c r="P83" s="23">
        <f t="shared" si="9"/>
        <v>800.33333333333337</v>
      </c>
      <c r="Q83" s="23">
        <f t="shared" si="9"/>
        <v>697.66666666666663</v>
      </c>
      <c r="R83" s="23">
        <f t="shared" si="9"/>
        <v>184.33333333333331</v>
      </c>
      <c r="S83" s="23">
        <f t="shared" si="9"/>
        <v>287</v>
      </c>
      <c r="T83" s="23">
        <f t="shared" si="9"/>
        <v>133</v>
      </c>
      <c r="U83" s="23">
        <f>mp(U$2,U$4,$A83,Avatars!$O$16,Avatars!$O$17+$A83)+$A$1</f>
        <v>2556.6666666666665</v>
      </c>
      <c r="V83" s="23">
        <f>mp(V$2,V$4,$A83,Avatars!$O$16,Avatars!$O$17+$A83)+$A$1</f>
        <v>2248.6666666666665</v>
      </c>
      <c r="W83" s="23">
        <f>mp(W$2,W$4,$A83,Avatars!$O$16,Avatars!$O$17+$A83)+$A$1</f>
        <v>2146</v>
      </c>
      <c r="X83" s="23">
        <f>mp(X$2,X$4,$A83,Avatars!$O$16,Avatars!$O$17+$A83)+$A$1</f>
        <v>1632.6666666666667</v>
      </c>
      <c r="Y83" s="23">
        <f>mp(Y$2,Y$4,$A83,Avatars!$O$16,Avatars!$O$17+$A83)+$A$1</f>
        <v>1735.3333333333333</v>
      </c>
      <c r="Z83" s="23">
        <f>mp(Z$2,Z$4,$A83,Avatars!$O$16,Avatars!$O$17+$A83)+$A$1</f>
        <v>1581.3333333333333</v>
      </c>
    </row>
    <row r="84" spans="1:26" s="2" customFormat="1">
      <c r="A84" s="17">
        <v>78</v>
      </c>
      <c r="B84" s="17"/>
      <c r="C84" s="22">
        <f t="shared" si="8"/>
        <v>782</v>
      </c>
      <c r="D84" s="22">
        <f t="shared" si="8"/>
        <v>903.33333333333326</v>
      </c>
      <c r="E84" s="22">
        <f t="shared" si="8"/>
        <v>964</v>
      </c>
      <c r="F84" s="22">
        <f t="shared" si="8"/>
        <v>1085.3333333333333</v>
      </c>
      <c r="G84" s="22">
        <f t="shared" si="8"/>
        <v>1146</v>
      </c>
      <c r="H84" s="22">
        <f t="shared" si="8"/>
        <v>1206.6666666666667</v>
      </c>
      <c r="I84" s="22">
        <f>HP(I$2,I$4,$A84,Avatars!$L$17,Avatars!$N$17+$A84-1)+$A$1</f>
        <v>2261.3333333333335</v>
      </c>
      <c r="J84" s="22">
        <f>HP(J$2,J$4,$A84,Avatars!$L$17,Avatars!$N$17+$A84-1)+$A$1</f>
        <v>2382.6666666666665</v>
      </c>
      <c r="K84" s="22">
        <f>HP(K$2,K$4,$A84,Avatars!$L$17,Avatars!$N$17+$A84-1)+$A$1</f>
        <v>2443.3333333333335</v>
      </c>
      <c r="L84" s="22">
        <f>HP(L$2,L$4,$A84,Avatars!$L$17,Avatars!$N$17+$A84-1)+$A$1</f>
        <v>2564.6666666666665</v>
      </c>
      <c r="M84" s="22">
        <f>HP(M$2,M$4,$A84,Avatars!$L$17,Avatars!$N$17+$A84-1)+$A$1</f>
        <v>2625.3333333333335</v>
      </c>
      <c r="N84" s="22">
        <f>HP(N$2,N$4,$A84,Avatars!$L$17,Avatars!$N$17+$A84-1)+$A$1</f>
        <v>2686</v>
      </c>
      <c r="O84" s="23">
        <f t="shared" si="9"/>
        <v>1122.6666666666667</v>
      </c>
      <c r="P84" s="23">
        <f t="shared" si="9"/>
        <v>810.66666666666674</v>
      </c>
      <c r="Q84" s="23">
        <f t="shared" si="9"/>
        <v>706.66666666666663</v>
      </c>
      <c r="R84" s="23">
        <f t="shared" si="9"/>
        <v>186.66666666666666</v>
      </c>
      <c r="S84" s="23">
        <f t="shared" si="9"/>
        <v>290.66666666666663</v>
      </c>
      <c r="T84" s="23">
        <f t="shared" si="9"/>
        <v>134.66666666666666</v>
      </c>
      <c r="U84" s="23">
        <f>mp(U$2,U$4,$A84,Avatars!$O$16,Avatars!$O$17+$A84)+$A$1</f>
        <v>2584</v>
      </c>
      <c r="V84" s="23">
        <f>mp(V$2,V$4,$A84,Avatars!$O$16,Avatars!$O$17+$A84)+$A$1</f>
        <v>2272</v>
      </c>
      <c r="W84" s="23">
        <f>mp(W$2,W$4,$A84,Avatars!$O$16,Avatars!$O$17+$A84)+$A$1</f>
        <v>2168</v>
      </c>
      <c r="X84" s="23">
        <f>mp(X$2,X$4,$A84,Avatars!$O$16,Avatars!$O$17+$A84)+$A$1</f>
        <v>1648</v>
      </c>
      <c r="Y84" s="23">
        <f>mp(Y$2,Y$4,$A84,Avatars!$O$16,Avatars!$O$17+$A84)+$A$1</f>
        <v>1752</v>
      </c>
      <c r="Z84" s="23">
        <f>mp(Z$2,Z$4,$A84,Avatars!$O$16,Avatars!$O$17+$A84)+$A$1</f>
        <v>1596</v>
      </c>
    </row>
    <row r="85" spans="1:26" s="2" customFormat="1">
      <c r="A85" s="17">
        <v>79</v>
      </c>
      <c r="B85" s="17"/>
      <c r="C85" s="22">
        <f t="shared" si="8"/>
        <v>791.55555555555554</v>
      </c>
      <c r="D85" s="22">
        <f t="shared" si="8"/>
        <v>914.44444444444446</v>
      </c>
      <c r="E85" s="22">
        <f t="shared" si="8"/>
        <v>975.88888888888891</v>
      </c>
      <c r="F85" s="22">
        <f t="shared" si="8"/>
        <v>1098.7777777777778</v>
      </c>
      <c r="G85" s="22">
        <f t="shared" si="8"/>
        <v>1160.2222222222222</v>
      </c>
      <c r="H85" s="22">
        <f t="shared" si="8"/>
        <v>1221.6666666666667</v>
      </c>
      <c r="I85" s="22">
        <f>HP(I$2,I$4,$A85,Avatars!$L$17,Avatars!$N$17+$A85-1)+$A$1</f>
        <v>2283.8888888888887</v>
      </c>
      <c r="J85" s="22">
        <f>HP(J$2,J$4,$A85,Avatars!$L$17,Avatars!$N$17+$A85-1)+$A$1</f>
        <v>2406.7777777777778</v>
      </c>
      <c r="K85" s="22">
        <f>HP(K$2,K$4,$A85,Avatars!$L$17,Avatars!$N$17+$A85-1)+$A$1</f>
        <v>2468.2222222222222</v>
      </c>
      <c r="L85" s="22">
        <f>HP(L$2,L$4,$A85,Avatars!$L$17,Avatars!$N$17+$A85-1)+$A$1</f>
        <v>2591.1111111111113</v>
      </c>
      <c r="M85" s="22">
        <f>HP(M$2,M$4,$A85,Avatars!$L$17,Avatars!$N$17+$A85-1)+$A$1</f>
        <v>2652.5555555555557</v>
      </c>
      <c r="N85" s="22">
        <f>HP(N$2,N$4,$A85,Avatars!$L$17,Avatars!$N$17+$A85-1)+$A$1</f>
        <v>2714</v>
      </c>
      <c r="O85" s="23">
        <f t="shared" si="9"/>
        <v>1137</v>
      </c>
      <c r="P85" s="23">
        <f t="shared" si="9"/>
        <v>821</v>
      </c>
      <c r="Q85" s="23">
        <f t="shared" si="9"/>
        <v>715.66666666666663</v>
      </c>
      <c r="R85" s="23">
        <f t="shared" si="9"/>
        <v>188.99999999999997</v>
      </c>
      <c r="S85" s="23">
        <f t="shared" si="9"/>
        <v>294.33333333333331</v>
      </c>
      <c r="T85" s="23">
        <f t="shared" si="9"/>
        <v>136.33333333333331</v>
      </c>
      <c r="U85" s="23">
        <f>mp(U$2,U$4,$A85,Avatars!$O$16,Avatars!$O$17+$A85)+$A$1</f>
        <v>2611.3333333333335</v>
      </c>
      <c r="V85" s="23">
        <f>mp(V$2,V$4,$A85,Avatars!$O$16,Avatars!$O$17+$A85)+$A$1</f>
        <v>2295.3333333333335</v>
      </c>
      <c r="W85" s="23">
        <f>mp(W$2,W$4,$A85,Avatars!$O$16,Avatars!$O$17+$A85)+$A$1</f>
        <v>2190</v>
      </c>
      <c r="X85" s="23">
        <f>mp(X$2,X$4,$A85,Avatars!$O$16,Avatars!$O$17+$A85)+$A$1</f>
        <v>1663.3333333333333</v>
      </c>
      <c r="Y85" s="23">
        <f>mp(Y$2,Y$4,$A85,Avatars!$O$16,Avatars!$O$17+$A85)+$A$1</f>
        <v>1768.6666666666667</v>
      </c>
      <c r="Z85" s="23">
        <f>mp(Z$2,Z$4,$A85,Avatars!$O$16,Avatars!$O$17+$A85)+$A$1</f>
        <v>1610.6666666666667</v>
      </c>
    </row>
    <row r="86" spans="1:26" s="2" customFormat="1">
      <c r="A86" s="17">
        <v>80</v>
      </c>
      <c r="B86" s="17"/>
      <c r="C86" s="22">
        <f t="shared" si="8"/>
        <v>801.11111111111109</v>
      </c>
      <c r="D86" s="22">
        <f t="shared" si="8"/>
        <v>925.55555555555554</v>
      </c>
      <c r="E86" s="22">
        <f t="shared" si="8"/>
        <v>987.77777777777783</v>
      </c>
      <c r="F86" s="22">
        <f t="shared" si="8"/>
        <v>1112.2222222222222</v>
      </c>
      <c r="G86" s="22">
        <f t="shared" si="8"/>
        <v>1174.4444444444443</v>
      </c>
      <c r="H86" s="22">
        <f t="shared" si="8"/>
        <v>1236.6666666666667</v>
      </c>
      <c r="I86" s="22">
        <f>HP(I$2,I$4,$A86,Avatars!$L$17,Avatars!$N$17+$A86-1)+$A$1</f>
        <v>2306.4444444444443</v>
      </c>
      <c r="J86" s="22">
        <f>HP(J$2,J$4,$A86,Avatars!$L$17,Avatars!$N$17+$A86-1)+$A$1</f>
        <v>2430.8888888888887</v>
      </c>
      <c r="K86" s="22">
        <f>HP(K$2,K$4,$A86,Avatars!$L$17,Avatars!$N$17+$A86-1)+$A$1</f>
        <v>2493.1111111111113</v>
      </c>
      <c r="L86" s="22">
        <f>HP(L$2,L$4,$A86,Avatars!$L$17,Avatars!$N$17+$A86-1)+$A$1</f>
        <v>2617.5555555555557</v>
      </c>
      <c r="M86" s="22">
        <f>HP(M$2,M$4,$A86,Avatars!$L$17,Avatars!$N$17+$A86-1)+$A$1</f>
        <v>2679.7777777777778</v>
      </c>
      <c r="N86" s="22">
        <f>HP(N$2,N$4,$A86,Avatars!$L$17,Avatars!$N$17+$A86-1)+$A$1</f>
        <v>2742</v>
      </c>
      <c r="O86" s="23">
        <f t="shared" si="9"/>
        <v>1151.3333333333335</v>
      </c>
      <c r="P86" s="23">
        <f t="shared" si="9"/>
        <v>831.33333333333337</v>
      </c>
      <c r="Q86" s="23">
        <f t="shared" si="9"/>
        <v>724.66666666666663</v>
      </c>
      <c r="R86" s="23">
        <f t="shared" si="9"/>
        <v>191.33333333333331</v>
      </c>
      <c r="S86" s="23">
        <f t="shared" si="9"/>
        <v>298</v>
      </c>
      <c r="T86" s="23">
        <f t="shared" si="9"/>
        <v>138</v>
      </c>
      <c r="U86" s="23">
        <f>mp(U$2,U$4,$A86,Avatars!$O$16,Avatars!$O$17+$A86)+$A$1</f>
        <v>2703.6666666666665</v>
      </c>
      <c r="V86" s="23">
        <f>mp(V$2,V$4,$A86,Avatars!$O$16,Avatars!$O$17+$A86)+$A$1</f>
        <v>2383.6666666666665</v>
      </c>
      <c r="W86" s="23">
        <f>mp(W$2,W$4,$A86,Avatars!$O$16,Avatars!$O$17+$A86)+$A$1</f>
        <v>2277</v>
      </c>
      <c r="X86" s="23">
        <f>mp(X$2,X$4,$A86,Avatars!$O$16,Avatars!$O$17+$A86)+$A$1</f>
        <v>1743.6666666666667</v>
      </c>
      <c r="Y86" s="23">
        <f>mp(Y$2,Y$4,$A86,Avatars!$O$16,Avatars!$O$17+$A86)+$A$1</f>
        <v>1850.3333333333333</v>
      </c>
      <c r="Z86" s="23">
        <f>mp(Z$2,Z$4,$A86,Avatars!$O$16,Avatars!$O$17+$A86)+$A$1</f>
        <v>1690.3333333333333</v>
      </c>
    </row>
    <row r="87" spans="1:26" s="2" customFormat="1">
      <c r="A87" s="17">
        <v>81</v>
      </c>
      <c r="B87" s="17"/>
      <c r="C87" s="22">
        <f t="shared" si="8"/>
        <v>810.66666666666663</v>
      </c>
      <c r="D87" s="22">
        <f t="shared" si="8"/>
        <v>936.66666666666663</v>
      </c>
      <c r="E87" s="22">
        <f t="shared" si="8"/>
        <v>999.66666666666674</v>
      </c>
      <c r="F87" s="22">
        <f t="shared" si="8"/>
        <v>1125.6666666666667</v>
      </c>
      <c r="G87" s="22">
        <f t="shared" si="8"/>
        <v>1188.6666666666665</v>
      </c>
      <c r="H87" s="22">
        <f t="shared" si="8"/>
        <v>1251.6666666666667</v>
      </c>
      <c r="I87" s="22">
        <f>HP(I$2,I$4,$A87,Avatars!$L$17,Avatars!$N$17+$A87-1)+$A$1</f>
        <v>2329</v>
      </c>
      <c r="J87" s="22">
        <f>HP(J$2,J$4,$A87,Avatars!$L$17,Avatars!$N$17+$A87-1)+$A$1</f>
        <v>2455</v>
      </c>
      <c r="K87" s="22">
        <f>HP(K$2,K$4,$A87,Avatars!$L$17,Avatars!$N$17+$A87-1)+$A$1</f>
        <v>2518</v>
      </c>
      <c r="L87" s="22">
        <f>HP(L$2,L$4,$A87,Avatars!$L$17,Avatars!$N$17+$A87-1)+$A$1</f>
        <v>2644</v>
      </c>
      <c r="M87" s="22">
        <f>HP(M$2,M$4,$A87,Avatars!$L$17,Avatars!$N$17+$A87-1)+$A$1</f>
        <v>2707</v>
      </c>
      <c r="N87" s="22">
        <f>HP(N$2,N$4,$A87,Avatars!$L$17,Avatars!$N$17+$A87-1)+$A$1</f>
        <v>2770</v>
      </c>
      <c r="O87" s="23">
        <f t="shared" si="9"/>
        <v>1165.6666666666667</v>
      </c>
      <c r="P87" s="23">
        <f t="shared" si="9"/>
        <v>841.66666666666674</v>
      </c>
      <c r="Q87" s="23">
        <f t="shared" si="9"/>
        <v>733.66666666666663</v>
      </c>
      <c r="R87" s="23">
        <f t="shared" si="9"/>
        <v>193.66666666666663</v>
      </c>
      <c r="S87" s="23">
        <f t="shared" si="9"/>
        <v>301.66666666666663</v>
      </c>
      <c r="T87" s="23">
        <f t="shared" si="9"/>
        <v>139.66666666666666</v>
      </c>
      <c r="U87" s="23">
        <f>mp(U$2,U$4,$A87,Avatars!$O$16,Avatars!$O$17+$A87)+$A$1</f>
        <v>2731</v>
      </c>
      <c r="V87" s="23">
        <f>mp(V$2,V$4,$A87,Avatars!$O$16,Avatars!$O$17+$A87)+$A$1</f>
        <v>2407</v>
      </c>
      <c r="W87" s="23">
        <f>mp(W$2,W$4,$A87,Avatars!$O$16,Avatars!$O$17+$A87)+$A$1</f>
        <v>2299</v>
      </c>
      <c r="X87" s="23">
        <f>mp(X$2,X$4,$A87,Avatars!$O$16,Avatars!$O$17+$A87)+$A$1</f>
        <v>1759</v>
      </c>
      <c r="Y87" s="23">
        <f>mp(Y$2,Y$4,$A87,Avatars!$O$16,Avatars!$O$17+$A87)+$A$1</f>
        <v>1867</v>
      </c>
      <c r="Z87" s="23">
        <f>mp(Z$2,Z$4,$A87,Avatars!$O$16,Avatars!$O$17+$A87)+$A$1</f>
        <v>1705</v>
      </c>
    </row>
    <row r="88" spans="1:26" s="2" customFormat="1">
      <c r="A88" s="17">
        <v>82</v>
      </c>
      <c r="B88" s="17"/>
      <c r="C88" s="22">
        <f t="shared" si="8"/>
        <v>820.22222222222217</v>
      </c>
      <c r="D88" s="22">
        <f t="shared" si="8"/>
        <v>947.77777777777771</v>
      </c>
      <c r="E88" s="22">
        <f t="shared" si="8"/>
        <v>1011.5555555555555</v>
      </c>
      <c r="F88" s="22">
        <f t="shared" si="8"/>
        <v>1139.1111111111111</v>
      </c>
      <c r="G88" s="22">
        <f t="shared" si="8"/>
        <v>1202.8888888888889</v>
      </c>
      <c r="H88" s="22">
        <f t="shared" si="8"/>
        <v>1266.6666666666667</v>
      </c>
      <c r="I88" s="22">
        <f>HP(I$2,I$4,$A88,Avatars!$L$17,Avatars!$N$17+$A88-1)+$A$1</f>
        <v>2351.5555555555557</v>
      </c>
      <c r="J88" s="22">
        <f>HP(J$2,J$4,$A88,Avatars!$L$17,Avatars!$N$17+$A88-1)+$A$1</f>
        <v>2479.1111111111109</v>
      </c>
      <c r="K88" s="22">
        <f>HP(K$2,K$4,$A88,Avatars!$L$17,Avatars!$N$17+$A88-1)+$A$1</f>
        <v>2542.8888888888891</v>
      </c>
      <c r="L88" s="22">
        <f>HP(L$2,L$4,$A88,Avatars!$L$17,Avatars!$N$17+$A88-1)+$A$1</f>
        <v>2670.4444444444443</v>
      </c>
      <c r="M88" s="22">
        <f>HP(M$2,M$4,$A88,Avatars!$L$17,Avatars!$N$17+$A88-1)+$A$1</f>
        <v>2734.2222222222222</v>
      </c>
      <c r="N88" s="22">
        <f>HP(N$2,N$4,$A88,Avatars!$L$17,Avatars!$N$17+$A88-1)+$A$1</f>
        <v>2798</v>
      </c>
      <c r="O88" s="23">
        <f t="shared" si="9"/>
        <v>1180</v>
      </c>
      <c r="P88" s="23">
        <f t="shared" si="9"/>
        <v>852</v>
      </c>
      <c r="Q88" s="23">
        <f t="shared" si="9"/>
        <v>742.66666666666663</v>
      </c>
      <c r="R88" s="23">
        <f t="shared" si="9"/>
        <v>195.99999999999997</v>
      </c>
      <c r="S88" s="23">
        <f t="shared" si="9"/>
        <v>305.33333333333331</v>
      </c>
      <c r="T88" s="23">
        <f t="shared" si="9"/>
        <v>141.33333333333331</v>
      </c>
      <c r="U88" s="23">
        <f>mp(U$2,U$4,$A88,Avatars!$O$16,Avatars!$O$17+$A88)+$A$1</f>
        <v>2758.3333333333335</v>
      </c>
      <c r="V88" s="23">
        <f>mp(V$2,V$4,$A88,Avatars!$O$16,Avatars!$O$17+$A88)+$A$1</f>
        <v>2430.3333333333335</v>
      </c>
      <c r="W88" s="23">
        <f>mp(W$2,W$4,$A88,Avatars!$O$16,Avatars!$O$17+$A88)+$A$1</f>
        <v>2321</v>
      </c>
      <c r="X88" s="23">
        <f>mp(X$2,X$4,$A88,Avatars!$O$16,Avatars!$O$17+$A88)+$A$1</f>
        <v>1774.3333333333333</v>
      </c>
      <c r="Y88" s="23">
        <f>mp(Y$2,Y$4,$A88,Avatars!$O$16,Avatars!$O$17+$A88)+$A$1</f>
        <v>1883.6666666666667</v>
      </c>
      <c r="Z88" s="23">
        <f>mp(Z$2,Z$4,$A88,Avatars!$O$16,Avatars!$O$17+$A88)+$A$1</f>
        <v>1719.6666666666667</v>
      </c>
    </row>
    <row r="89" spans="1:26" s="2" customFormat="1">
      <c r="A89" s="17">
        <v>83</v>
      </c>
      <c r="B89" s="17"/>
      <c r="C89" s="22">
        <f t="shared" si="8"/>
        <v>829.77777777777771</v>
      </c>
      <c r="D89" s="22">
        <f t="shared" si="8"/>
        <v>958.8888888888888</v>
      </c>
      <c r="E89" s="22">
        <f t="shared" si="8"/>
        <v>1023.4444444444445</v>
      </c>
      <c r="F89" s="22">
        <f t="shared" si="8"/>
        <v>1152.5555555555557</v>
      </c>
      <c r="G89" s="22">
        <f t="shared" si="8"/>
        <v>1217.1111111111111</v>
      </c>
      <c r="H89" s="22">
        <f t="shared" si="8"/>
        <v>1281.6666666666667</v>
      </c>
      <c r="I89" s="22">
        <f>HP(I$2,I$4,$A89,Avatars!$L$17,Avatars!$N$17+$A89-1)+$A$1</f>
        <v>2374.1111111111113</v>
      </c>
      <c r="J89" s="22">
        <f>HP(J$2,J$4,$A89,Avatars!$L$17,Avatars!$N$17+$A89-1)+$A$1</f>
        <v>2503.2222222222222</v>
      </c>
      <c r="K89" s="22">
        <f>HP(K$2,K$4,$A89,Avatars!$L$17,Avatars!$N$17+$A89-1)+$A$1</f>
        <v>2567.7777777777778</v>
      </c>
      <c r="L89" s="22">
        <f>HP(L$2,L$4,$A89,Avatars!$L$17,Avatars!$N$17+$A89-1)+$A$1</f>
        <v>2696.8888888888887</v>
      </c>
      <c r="M89" s="22">
        <f>HP(M$2,M$4,$A89,Avatars!$L$17,Avatars!$N$17+$A89-1)+$A$1</f>
        <v>2761.4444444444443</v>
      </c>
      <c r="N89" s="22">
        <f>HP(N$2,N$4,$A89,Avatars!$L$17,Avatars!$N$17+$A89-1)+$A$1</f>
        <v>2826</v>
      </c>
      <c r="O89" s="23">
        <f t="shared" si="9"/>
        <v>1194.3333333333335</v>
      </c>
      <c r="P89" s="23">
        <f t="shared" si="9"/>
        <v>862.33333333333337</v>
      </c>
      <c r="Q89" s="23">
        <f t="shared" si="9"/>
        <v>751.66666666666663</v>
      </c>
      <c r="R89" s="23">
        <f t="shared" si="9"/>
        <v>198.33333333333331</v>
      </c>
      <c r="S89" s="23">
        <f t="shared" si="9"/>
        <v>309</v>
      </c>
      <c r="T89" s="23">
        <f t="shared" si="9"/>
        <v>143</v>
      </c>
      <c r="U89" s="23">
        <f>mp(U$2,U$4,$A89,Avatars!$O$16,Avatars!$O$17+$A89)+$A$1</f>
        <v>2785.6666666666665</v>
      </c>
      <c r="V89" s="23">
        <f>mp(V$2,V$4,$A89,Avatars!$O$16,Avatars!$O$17+$A89)+$A$1</f>
        <v>2453.6666666666665</v>
      </c>
      <c r="W89" s="23">
        <f>mp(W$2,W$4,$A89,Avatars!$O$16,Avatars!$O$17+$A89)+$A$1</f>
        <v>2343</v>
      </c>
      <c r="X89" s="23">
        <f>mp(X$2,X$4,$A89,Avatars!$O$16,Avatars!$O$17+$A89)+$A$1</f>
        <v>1789.6666666666667</v>
      </c>
      <c r="Y89" s="23">
        <f>mp(Y$2,Y$4,$A89,Avatars!$O$16,Avatars!$O$17+$A89)+$A$1</f>
        <v>1900.3333333333333</v>
      </c>
      <c r="Z89" s="23">
        <f>mp(Z$2,Z$4,$A89,Avatars!$O$16,Avatars!$O$17+$A89)+$A$1</f>
        <v>1734.3333333333333</v>
      </c>
    </row>
    <row r="90" spans="1:26" s="2" customFormat="1">
      <c r="A90" s="17">
        <v>84</v>
      </c>
      <c r="B90" s="17"/>
      <c r="C90" s="22">
        <f t="shared" si="8"/>
        <v>839.33333333333326</v>
      </c>
      <c r="D90" s="22">
        <f t="shared" si="8"/>
        <v>970</v>
      </c>
      <c r="E90" s="22">
        <f t="shared" si="8"/>
        <v>1035.3333333333333</v>
      </c>
      <c r="F90" s="22">
        <f t="shared" si="8"/>
        <v>1166</v>
      </c>
      <c r="G90" s="22">
        <f t="shared" si="8"/>
        <v>1231.3333333333333</v>
      </c>
      <c r="H90" s="22">
        <f t="shared" si="8"/>
        <v>1296.6666666666667</v>
      </c>
      <c r="I90" s="22">
        <f>HP(I$2,I$4,$A90,Avatars!$L$17,Avatars!$N$17+$A90-1)+$A$1</f>
        <v>2396.6666666666665</v>
      </c>
      <c r="J90" s="22">
        <f>HP(J$2,J$4,$A90,Avatars!$L$17,Avatars!$N$17+$A90-1)+$A$1</f>
        <v>2527.3333333333335</v>
      </c>
      <c r="K90" s="22">
        <f>HP(K$2,K$4,$A90,Avatars!$L$17,Avatars!$N$17+$A90-1)+$A$1</f>
        <v>2592.6666666666665</v>
      </c>
      <c r="L90" s="22">
        <f>HP(L$2,L$4,$A90,Avatars!$L$17,Avatars!$N$17+$A90-1)+$A$1</f>
        <v>2723.3333333333335</v>
      </c>
      <c r="M90" s="22">
        <f>HP(M$2,M$4,$A90,Avatars!$L$17,Avatars!$N$17+$A90-1)+$A$1</f>
        <v>2788.6666666666665</v>
      </c>
      <c r="N90" s="22">
        <f>HP(N$2,N$4,$A90,Avatars!$L$17,Avatars!$N$17+$A90-1)+$A$1</f>
        <v>2854</v>
      </c>
      <c r="O90" s="23">
        <f t="shared" si="9"/>
        <v>1208.6666666666667</v>
      </c>
      <c r="P90" s="23">
        <f t="shared" si="9"/>
        <v>872.66666666666674</v>
      </c>
      <c r="Q90" s="23">
        <f t="shared" si="9"/>
        <v>760.66666666666663</v>
      </c>
      <c r="R90" s="23">
        <f t="shared" si="9"/>
        <v>200.66666666666663</v>
      </c>
      <c r="S90" s="23">
        <f t="shared" si="9"/>
        <v>312.66666666666663</v>
      </c>
      <c r="T90" s="23">
        <f t="shared" si="9"/>
        <v>144.66666666666666</v>
      </c>
      <c r="U90" s="23">
        <f>mp(U$2,U$4,$A90,Avatars!$O$16,Avatars!$O$17+$A90)+$A$1</f>
        <v>2813</v>
      </c>
      <c r="V90" s="23">
        <f>mp(V$2,V$4,$A90,Avatars!$O$16,Avatars!$O$17+$A90)+$A$1</f>
        <v>2477</v>
      </c>
      <c r="W90" s="23">
        <f>mp(W$2,W$4,$A90,Avatars!$O$16,Avatars!$O$17+$A90)+$A$1</f>
        <v>2365</v>
      </c>
      <c r="X90" s="23">
        <f>mp(X$2,X$4,$A90,Avatars!$O$16,Avatars!$O$17+$A90)+$A$1</f>
        <v>1805</v>
      </c>
      <c r="Y90" s="23">
        <f>mp(Y$2,Y$4,$A90,Avatars!$O$16,Avatars!$O$17+$A90)+$A$1</f>
        <v>1917</v>
      </c>
      <c r="Z90" s="23">
        <f>mp(Z$2,Z$4,$A90,Avatars!$O$16,Avatars!$O$17+$A90)+$A$1</f>
        <v>1749</v>
      </c>
    </row>
    <row r="91" spans="1:26" s="2" customFormat="1">
      <c r="A91" s="17">
        <v>85</v>
      </c>
      <c r="B91" s="17"/>
      <c r="C91" s="22">
        <f t="shared" si="8"/>
        <v>848.88888888888891</v>
      </c>
      <c r="D91" s="22">
        <f t="shared" si="8"/>
        <v>981.11111111111109</v>
      </c>
      <c r="E91" s="22">
        <f t="shared" si="8"/>
        <v>1047.2222222222222</v>
      </c>
      <c r="F91" s="22">
        <f t="shared" si="8"/>
        <v>1179.4444444444446</v>
      </c>
      <c r="G91" s="22">
        <f t="shared" si="8"/>
        <v>1245.5555555555554</v>
      </c>
      <c r="H91" s="22">
        <f t="shared" si="8"/>
        <v>1311.6666666666667</v>
      </c>
      <c r="I91" s="22">
        <f>HP(I$2,I$4,$A91,Avatars!$L$17,Avatars!$N$17+$A91-1)+$A$1</f>
        <v>2419.2222222222222</v>
      </c>
      <c r="J91" s="22">
        <f>HP(J$2,J$4,$A91,Avatars!$L$17,Avatars!$N$17+$A91-1)+$A$1</f>
        <v>2551.4444444444443</v>
      </c>
      <c r="K91" s="22">
        <f>HP(K$2,K$4,$A91,Avatars!$L$17,Avatars!$N$17+$A91-1)+$A$1</f>
        <v>2617.5555555555557</v>
      </c>
      <c r="L91" s="22">
        <f>HP(L$2,L$4,$A91,Avatars!$L$17,Avatars!$N$17+$A91-1)+$A$1</f>
        <v>2749.7777777777778</v>
      </c>
      <c r="M91" s="22">
        <f>HP(M$2,M$4,$A91,Avatars!$L$17,Avatars!$N$17+$A91-1)+$A$1</f>
        <v>2815.8888888888887</v>
      </c>
      <c r="N91" s="22">
        <f>HP(N$2,N$4,$A91,Avatars!$L$17,Avatars!$N$17+$A91-1)+$A$1</f>
        <v>2882</v>
      </c>
      <c r="O91" s="23">
        <f t="shared" si="9"/>
        <v>1223</v>
      </c>
      <c r="P91" s="23">
        <f t="shared" si="9"/>
        <v>883</v>
      </c>
      <c r="Q91" s="23">
        <f t="shared" si="9"/>
        <v>769.66666666666663</v>
      </c>
      <c r="R91" s="23">
        <f t="shared" si="9"/>
        <v>202.99999999999997</v>
      </c>
      <c r="S91" s="23">
        <f t="shared" si="9"/>
        <v>316.33333333333331</v>
      </c>
      <c r="T91" s="23">
        <f t="shared" si="9"/>
        <v>146.33333333333331</v>
      </c>
      <c r="U91" s="23">
        <f>mp(U$2,U$4,$A91,Avatars!$O$16,Avatars!$O$17+$A91)+$A$1</f>
        <v>2840.3333333333335</v>
      </c>
      <c r="V91" s="23">
        <f>mp(V$2,V$4,$A91,Avatars!$O$16,Avatars!$O$17+$A91)+$A$1</f>
        <v>2500.3333333333335</v>
      </c>
      <c r="W91" s="23">
        <f>mp(W$2,W$4,$A91,Avatars!$O$16,Avatars!$O$17+$A91)+$A$1</f>
        <v>2387</v>
      </c>
      <c r="X91" s="23">
        <f>mp(X$2,X$4,$A91,Avatars!$O$16,Avatars!$O$17+$A91)+$A$1</f>
        <v>1820.3333333333333</v>
      </c>
      <c r="Y91" s="23">
        <f>mp(Y$2,Y$4,$A91,Avatars!$O$16,Avatars!$O$17+$A91)+$A$1</f>
        <v>1933.6666666666667</v>
      </c>
      <c r="Z91" s="23">
        <f>mp(Z$2,Z$4,$A91,Avatars!$O$16,Avatars!$O$17+$A91)+$A$1</f>
        <v>1763.6666666666667</v>
      </c>
    </row>
    <row r="92" spans="1:26" s="2" customFormat="1">
      <c r="A92" s="17">
        <v>86</v>
      </c>
      <c r="B92" s="17"/>
      <c r="C92" s="22">
        <f t="shared" si="8"/>
        <v>858.44444444444446</v>
      </c>
      <c r="D92" s="22">
        <f t="shared" si="8"/>
        <v>992.22222222222217</v>
      </c>
      <c r="E92" s="22">
        <f t="shared" si="8"/>
        <v>1059.1111111111111</v>
      </c>
      <c r="F92" s="22">
        <f t="shared" si="8"/>
        <v>1192.8888888888889</v>
      </c>
      <c r="G92" s="22">
        <f t="shared" si="8"/>
        <v>1259.7777777777776</v>
      </c>
      <c r="H92" s="22">
        <f t="shared" si="8"/>
        <v>1326.6666666666667</v>
      </c>
      <c r="I92" s="22">
        <f>HP(I$2,I$4,$A92,Avatars!$L$17,Avatars!$N$17+$A92-1)+$A$1</f>
        <v>2441.7777777777778</v>
      </c>
      <c r="J92" s="22">
        <f>HP(J$2,J$4,$A92,Avatars!$L$17,Avatars!$N$17+$A92-1)+$A$1</f>
        <v>2575.5555555555557</v>
      </c>
      <c r="K92" s="22">
        <f>HP(K$2,K$4,$A92,Avatars!$L$17,Avatars!$N$17+$A92-1)+$A$1</f>
        <v>2642.4444444444443</v>
      </c>
      <c r="L92" s="22">
        <f>HP(L$2,L$4,$A92,Avatars!$L$17,Avatars!$N$17+$A92-1)+$A$1</f>
        <v>2776.2222222222222</v>
      </c>
      <c r="M92" s="22">
        <f>HP(M$2,M$4,$A92,Avatars!$L$17,Avatars!$N$17+$A92-1)+$A$1</f>
        <v>2843.1111111111109</v>
      </c>
      <c r="N92" s="22">
        <f>HP(N$2,N$4,$A92,Avatars!$L$17,Avatars!$N$17+$A92-1)+$A$1</f>
        <v>2910</v>
      </c>
      <c r="O92" s="23">
        <f t="shared" si="9"/>
        <v>1237.3333333333335</v>
      </c>
      <c r="P92" s="23">
        <f t="shared" si="9"/>
        <v>893.33333333333337</v>
      </c>
      <c r="Q92" s="23">
        <f t="shared" si="9"/>
        <v>778.66666666666663</v>
      </c>
      <c r="R92" s="23">
        <f t="shared" si="9"/>
        <v>205.33333333333331</v>
      </c>
      <c r="S92" s="23">
        <f t="shared" si="9"/>
        <v>320</v>
      </c>
      <c r="T92" s="23">
        <f t="shared" si="9"/>
        <v>148</v>
      </c>
      <c r="U92" s="23">
        <f>mp(U$2,U$4,$A92,Avatars!$O$16,Avatars!$O$17+$A92)+$A$1</f>
        <v>2867.6666666666665</v>
      </c>
      <c r="V92" s="23">
        <f>mp(V$2,V$4,$A92,Avatars!$O$16,Avatars!$O$17+$A92)+$A$1</f>
        <v>2523.6666666666665</v>
      </c>
      <c r="W92" s="23">
        <f>mp(W$2,W$4,$A92,Avatars!$O$16,Avatars!$O$17+$A92)+$A$1</f>
        <v>2409</v>
      </c>
      <c r="X92" s="23">
        <f>mp(X$2,X$4,$A92,Avatars!$O$16,Avatars!$O$17+$A92)+$A$1</f>
        <v>1835.6666666666667</v>
      </c>
      <c r="Y92" s="23">
        <f>mp(Y$2,Y$4,$A92,Avatars!$O$16,Avatars!$O$17+$A92)+$A$1</f>
        <v>1950.3333333333333</v>
      </c>
      <c r="Z92" s="23">
        <f>mp(Z$2,Z$4,$A92,Avatars!$O$16,Avatars!$O$17+$A92)+$A$1</f>
        <v>1778.3333333333333</v>
      </c>
    </row>
    <row r="93" spans="1:26" s="2" customFormat="1">
      <c r="A93" s="17">
        <v>87</v>
      </c>
      <c r="B93" s="17"/>
      <c r="C93" s="22">
        <f t="shared" si="8"/>
        <v>868</v>
      </c>
      <c r="D93" s="22">
        <f t="shared" si="8"/>
        <v>1003.3333333333333</v>
      </c>
      <c r="E93" s="22">
        <f t="shared" si="8"/>
        <v>1071</v>
      </c>
      <c r="F93" s="22">
        <f t="shared" si="8"/>
        <v>1206.3333333333333</v>
      </c>
      <c r="G93" s="22">
        <f t="shared" si="8"/>
        <v>1274</v>
      </c>
      <c r="H93" s="22">
        <f t="shared" si="8"/>
        <v>1341.6666666666667</v>
      </c>
      <c r="I93" s="22">
        <f>HP(I$2,I$4,$A93,Avatars!$L$17,Avatars!$N$17+$A93-1)+$A$1</f>
        <v>2464.3333333333335</v>
      </c>
      <c r="J93" s="22">
        <f>HP(J$2,J$4,$A93,Avatars!$L$17,Avatars!$N$17+$A93-1)+$A$1</f>
        <v>2599.6666666666665</v>
      </c>
      <c r="K93" s="22">
        <f>HP(K$2,K$4,$A93,Avatars!$L$17,Avatars!$N$17+$A93-1)+$A$1</f>
        <v>2667.3333333333335</v>
      </c>
      <c r="L93" s="22">
        <f>HP(L$2,L$4,$A93,Avatars!$L$17,Avatars!$N$17+$A93-1)+$A$1</f>
        <v>2802.6666666666665</v>
      </c>
      <c r="M93" s="22">
        <f>HP(M$2,M$4,$A93,Avatars!$L$17,Avatars!$N$17+$A93-1)+$A$1</f>
        <v>2870.3333333333335</v>
      </c>
      <c r="N93" s="22">
        <f>HP(N$2,N$4,$A93,Avatars!$L$17,Avatars!$N$17+$A93-1)+$A$1</f>
        <v>2938</v>
      </c>
      <c r="O93" s="23">
        <f t="shared" si="9"/>
        <v>1251.6666666666667</v>
      </c>
      <c r="P93" s="23">
        <f t="shared" si="9"/>
        <v>903.66666666666674</v>
      </c>
      <c r="Q93" s="23">
        <f t="shared" si="9"/>
        <v>787.66666666666663</v>
      </c>
      <c r="R93" s="23">
        <f t="shared" si="9"/>
        <v>207.66666666666663</v>
      </c>
      <c r="S93" s="23">
        <f t="shared" si="9"/>
        <v>323.66666666666663</v>
      </c>
      <c r="T93" s="23">
        <f t="shared" si="9"/>
        <v>149.66666666666666</v>
      </c>
      <c r="U93" s="23">
        <f>mp(U$2,U$4,$A93,Avatars!$O$16,Avatars!$O$17+$A93)+$A$1</f>
        <v>2895</v>
      </c>
      <c r="V93" s="23">
        <f>mp(V$2,V$4,$A93,Avatars!$O$16,Avatars!$O$17+$A93)+$A$1</f>
        <v>2547</v>
      </c>
      <c r="W93" s="23">
        <f>mp(W$2,W$4,$A93,Avatars!$O$16,Avatars!$O$17+$A93)+$A$1</f>
        <v>2431</v>
      </c>
      <c r="X93" s="23">
        <f>mp(X$2,X$4,$A93,Avatars!$O$16,Avatars!$O$17+$A93)+$A$1</f>
        <v>1851</v>
      </c>
      <c r="Y93" s="23">
        <f>mp(Y$2,Y$4,$A93,Avatars!$O$16,Avatars!$O$17+$A93)+$A$1</f>
        <v>1967</v>
      </c>
      <c r="Z93" s="23">
        <f>mp(Z$2,Z$4,$A93,Avatars!$O$16,Avatars!$O$17+$A93)+$A$1</f>
        <v>1793</v>
      </c>
    </row>
    <row r="94" spans="1:26" s="2" customFormat="1">
      <c r="A94" s="17">
        <v>88</v>
      </c>
      <c r="B94" s="17"/>
      <c r="C94" s="22">
        <f t="shared" si="8"/>
        <v>877.55555555555554</v>
      </c>
      <c r="D94" s="22">
        <f t="shared" si="8"/>
        <v>1014.4444444444445</v>
      </c>
      <c r="E94" s="22">
        <f t="shared" si="8"/>
        <v>1082.8888888888889</v>
      </c>
      <c r="F94" s="22">
        <f t="shared" si="8"/>
        <v>1219.7777777777778</v>
      </c>
      <c r="G94" s="22">
        <f t="shared" si="8"/>
        <v>1288.2222222222222</v>
      </c>
      <c r="H94" s="22">
        <f t="shared" si="8"/>
        <v>1356.6666666666667</v>
      </c>
      <c r="I94" s="22">
        <f>HP(I$2,I$4,$A94,Avatars!$L$17,Avatars!$N$17+$A94-1)+$A$1</f>
        <v>2486.8888888888887</v>
      </c>
      <c r="J94" s="22">
        <f>HP(J$2,J$4,$A94,Avatars!$L$17,Avatars!$N$17+$A94-1)+$A$1</f>
        <v>2623.7777777777778</v>
      </c>
      <c r="K94" s="22">
        <f>HP(K$2,K$4,$A94,Avatars!$L$17,Avatars!$N$17+$A94-1)+$A$1</f>
        <v>2692.2222222222222</v>
      </c>
      <c r="L94" s="22">
        <f>HP(L$2,L$4,$A94,Avatars!$L$17,Avatars!$N$17+$A94-1)+$A$1</f>
        <v>2829.1111111111113</v>
      </c>
      <c r="M94" s="22">
        <f>HP(M$2,M$4,$A94,Avatars!$L$17,Avatars!$N$17+$A94-1)+$A$1</f>
        <v>2897.5555555555557</v>
      </c>
      <c r="N94" s="22">
        <f>HP(N$2,N$4,$A94,Avatars!$L$17,Avatars!$N$17+$A94-1)+$A$1</f>
        <v>2966</v>
      </c>
      <c r="O94" s="23">
        <f t="shared" si="9"/>
        <v>1266</v>
      </c>
      <c r="P94" s="23">
        <f t="shared" si="9"/>
        <v>914</v>
      </c>
      <c r="Q94" s="23">
        <f t="shared" si="9"/>
        <v>796.66666666666663</v>
      </c>
      <c r="R94" s="23">
        <f t="shared" si="9"/>
        <v>209.99999999999997</v>
      </c>
      <c r="S94" s="23">
        <f t="shared" si="9"/>
        <v>327.33333333333331</v>
      </c>
      <c r="T94" s="23">
        <f t="shared" si="9"/>
        <v>151.33333333333331</v>
      </c>
      <c r="U94" s="23">
        <f>mp(U$2,U$4,$A94,Avatars!$O$16,Avatars!$O$17+$A94)+$A$1</f>
        <v>2922.3333333333335</v>
      </c>
      <c r="V94" s="23">
        <f>mp(V$2,V$4,$A94,Avatars!$O$16,Avatars!$O$17+$A94)+$A$1</f>
        <v>2570.3333333333335</v>
      </c>
      <c r="W94" s="23">
        <f>mp(W$2,W$4,$A94,Avatars!$O$16,Avatars!$O$17+$A94)+$A$1</f>
        <v>2453</v>
      </c>
      <c r="X94" s="23">
        <f>mp(X$2,X$4,$A94,Avatars!$O$16,Avatars!$O$17+$A94)+$A$1</f>
        <v>1866.3333333333333</v>
      </c>
      <c r="Y94" s="23">
        <f>mp(Y$2,Y$4,$A94,Avatars!$O$16,Avatars!$O$17+$A94)+$A$1</f>
        <v>1983.6666666666667</v>
      </c>
      <c r="Z94" s="23">
        <f>mp(Z$2,Z$4,$A94,Avatars!$O$16,Avatars!$O$17+$A94)+$A$1</f>
        <v>1807.6666666666667</v>
      </c>
    </row>
    <row r="95" spans="1:26" s="2" customFormat="1">
      <c r="A95" s="17">
        <v>89</v>
      </c>
      <c r="B95" s="17"/>
      <c r="C95" s="22">
        <f t="shared" si="8"/>
        <v>887.11111111111109</v>
      </c>
      <c r="D95" s="22">
        <f t="shared" si="8"/>
        <v>1025.5555555555554</v>
      </c>
      <c r="E95" s="22">
        <f t="shared" si="8"/>
        <v>1094.7777777777778</v>
      </c>
      <c r="F95" s="22">
        <f t="shared" si="8"/>
        <v>1233.2222222222222</v>
      </c>
      <c r="G95" s="22">
        <f t="shared" si="8"/>
        <v>1302.4444444444443</v>
      </c>
      <c r="H95" s="22">
        <f t="shared" si="8"/>
        <v>1371.6666666666667</v>
      </c>
      <c r="I95" s="22">
        <f>HP(I$2,I$4,$A95,Avatars!$L$17,Avatars!$N$17+$A95-1)+$A$1</f>
        <v>2509.4444444444443</v>
      </c>
      <c r="J95" s="22">
        <f>HP(J$2,J$4,$A95,Avatars!$L$17,Avatars!$N$17+$A95-1)+$A$1</f>
        <v>2647.8888888888887</v>
      </c>
      <c r="K95" s="22">
        <f>HP(K$2,K$4,$A95,Avatars!$L$17,Avatars!$N$17+$A95-1)+$A$1</f>
        <v>2717.1111111111113</v>
      </c>
      <c r="L95" s="22">
        <f>HP(L$2,L$4,$A95,Avatars!$L$17,Avatars!$N$17+$A95-1)+$A$1</f>
        <v>2855.5555555555557</v>
      </c>
      <c r="M95" s="22">
        <f>HP(M$2,M$4,$A95,Avatars!$L$17,Avatars!$N$17+$A95-1)+$A$1</f>
        <v>2924.7777777777778</v>
      </c>
      <c r="N95" s="22">
        <f>HP(N$2,N$4,$A95,Avatars!$L$17,Avatars!$N$17+$A95-1)+$A$1</f>
        <v>2994</v>
      </c>
      <c r="O95" s="23">
        <f t="shared" si="9"/>
        <v>1280.3333333333335</v>
      </c>
      <c r="P95" s="23">
        <f t="shared" si="9"/>
        <v>924.33333333333337</v>
      </c>
      <c r="Q95" s="23">
        <f t="shared" si="9"/>
        <v>805.66666666666663</v>
      </c>
      <c r="R95" s="23">
        <f t="shared" si="9"/>
        <v>212.33333333333331</v>
      </c>
      <c r="S95" s="23">
        <f t="shared" si="9"/>
        <v>331</v>
      </c>
      <c r="T95" s="23">
        <f t="shared" si="9"/>
        <v>153</v>
      </c>
      <c r="U95" s="23">
        <f>mp(U$2,U$4,$A95,Avatars!$O$16,Avatars!$O$17+$A95)+$A$1</f>
        <v>2949.6666666666665</v>
      </c>
      <c r="V95" s="23">
        <f>mp(V$2,V$4,$A95,Avatars!$O$16,Avatars!$O$17+$A95)+$A$1</f>
        <v>2593.6666666666665</v>
      </c>
      <c r="W95" s="23">
        <f>mp(W$2,W$4,$A95,Avatars!$O$16,Avatars!$O$17+$A95)+$A$1</f>
        <v>2475</v>
      </c>
      <c r="X95" s="23">
        <f>mp(X$2,X$4,$A95,Avatars!$O$16,Avatars!$O$17+$A95)+$A$1</f>
        <v>1881.6666666666667</v>
      </c>
      <c r="Y95" s="23">
        <f>mp(Y$2,Y$4,$A95,Avatars!$O$16,Avatars!$O$17+$A95)+$A$1</f>
        <v>2000.3333333333333</v>
      </c>
      <c r="Z95" s="23">
        <f>mp(Z$2,Z$4,$A95,Avatars!$O$16,Avatars!$O$17+$A95)+$A$1</f>
        <v>1822.3333333333333</v>
      </c>
    </row>
    <row r="96" spans="1:26" s="2" customFormat="1">
      <c r="A96" s="17">
        <v>90</v>
      </c>
      <c r="B96" s="17"/>
      <c r="C96" s="22">
        <f t="shared" si="8"/>
        <v>896.66666666666663</v>
      </c>
      <c r="D96" s="22">
        <f t="shared" si="8"/>
        <v>1036.6666666666665</v>
      </c>
      <c r="E96" s="22">
        <f t="shared" si="8"/>
        <v>1106.6666666666667</v>
      </c>
      <c r="F96" s="22">
        <f t="shared" si="8"/>
        <v>1246.6666666666667</v>
      </c>
      <c r="G96" s="22">
        <f t="shared" si="8"/>
        <v>1316.6666666666665</v>
      </c>
      <c r="H96" s="22">
        <f t="shared" si="8"/>
        <v>1386.6666666666667</v>
      </c>
      <c r="I96" s="22">
        <f>HP(I$2,I$4,$A96,Avatars!$L$17,Avatars!$N$17+$A96-1)+$A$1</f>
        <v>2532</v>
      </c>
      <c r="J96" s="22">
        <f>HP(J$2,J$4,$A96,Avatars!$L$17,Avatars!$N$17+$A96-1)+$A$1</f>
        <v>2672</v>
      </c>
      <c r="K96" s="22">
        <f>HP(K$2,K$4,$A96,Avatars!$L$17,Avatars!$N$17+$A96-1)+$A$1</f>
        <v>2742</v>
      </c>
      <c r="L96" s="22">
        <f>HP(L$2,L$4,$A96,Avatars!$L$17,Avatars!$N$17+$A96-1)+$A$1</f>
        <v>2882</v>
      </c>
      <c r="M96" s="22">
        <f>HP(M$2,M$4,$A96,Avatars!$L$17,Avatars!$N$17+$A96-1)+$A$1</f>
        <v>2952</v>
      </c>
      <c r="N96" s="22">
        <f>HP(N$2,N$4,$A96,Avatars!$L$17,Avatars!$N$17+$A96-1)+$A$1</f>
        <v>3022</v>
      </c>
      <c r="O96" s="23">
        <f t="shared" si="9"/>
        <v>1294.6666666666667</v>
      </c>
      <c r="P96" s="23">
        <f t="shared" si="9"/>
        <v>934.66666666666674</v>
      </c>
      <c r="Q96" s="23">
        <f t="shared" si="9"/>
        <v>814.66666666666663</v>
      </c>
      <c r="R96" s="23">
        <f t="shared" si="9"/>
        <v>214.66666666666663</v>
      </c>
      <c r="S96" s="23">
        <f t="shared" si="9"/>
        <v>334.66666666666663</v>
      </c>
      <c r="T96" s="23">
        <f t="shared" si="9"/>
        <v>154.66666666666666</v>
      </c>
      <c r="U96" s="23">
        <f>mp(U$2,U$4,$A96,Avatars!$O$16,Avatars!$O$17+$A96)+$A$1</f>
        <v>2977</v>
      </c>
      <c r="V96" s="23">
        <f>mp(V$2,V$4,$A96,Avatars!$O$16,Avatars!$O$17+$A96)+$A$1</f>
        <v>2617</v>
      </c>
      <c r="W96" s="23">
        <f>mp(W$2,W$4,$A96,Avatars!$O$16,Avatars!$O$17+$A96)+$A$1</f>
        <v>2497</v>
      </c>
      <c r="X96" s="23">
        <f>mp(X$2,X$4,$A96,Avatars!$O$16,Avatars!$O$17+$A96)+$A$1</f>
        <v>1897</v>
      </c>
      <c r="Y96" s="23">
        <f>mp(Y$2,Y$4,$A96,Avatars!$O$16,Avatars!$O$17+$A96)+$A$1</f>
        <v>2017</v>
      </c>
      <c r="Z96" s="23">
        <f>mp(Z$2,Z$4,$A96,Avatars!$O$16,Avatars!$O$17+$A96)+$A$1</f>
        <v>1837</v>
      </c>
    </row>
    <row r="97" spans="1:26" s="2" customFormat="1">
      <c r="A97" s="17">
        <v>91</v>
      </c>
      <c r="B97" s="17"/>
      <c r="C97" s="22">
        <f t="shared" si="8"/>
        <v>906.22222222222217</v>
      </c>
      <c r="D97" s="22">
        <f t="shared" si="8"/>
        <v>1047.7777777777778</v>
      </c>
      <c r="E97" s="22">
        <f t="shared" si="8"/>
        <v>1118.5555555555557</v>
      </c>
      <c r="F97" s="22">
        <f t="shared" si="8"/>
        <v>1260.1111111111111</v>
      </c>
      <c r="G97" s="22">
        <f t="shared" si="8"/>
        <v>1330.8888888888889</v>
      </c>
      <c r="H97" s="22">
        <f t="shared" si="8"/>
        <v>1401.6666666666667</v>
      </c>
      <c r="I97" s="22">
        <f>HP(I$2,I$4,$A97,Avatars!$L$17,Avatars!$N$17+$A97-1)+$A$1</f>
        <v>2554.5555555555557</v>
      </c>
      <c r="J97" s="22">
        <f>HP(J$2,J$4,$A97,Avatars!$L$17,Avatars!$N$17+$A97-1)+$A$1</f>
        <v>2696.1111111111109</v>
      </c>
      <c r="K97" s="22">
        <f>HP(K$2,K$4,$A97,Avatars!$L$17,Avatars!$N$17+$A97-1)+$A$1</f>
        <v>2766.8888888888891</v>
      </c>
      <c r="L97" s="22">
        <f>HP(L$2,L$4,$A97,Avatars!$L$17,Avatars!$N$17+$A97-1)+$A$1</f>
        <v>2908.4444444444443</v>
      </c>
      <c r="M97" s="22">
        <f>HP(M$2,M$4,$A97,Avatars!$L$17,Avatars!$N$17+$A97-1)+$A$1</f>
        <v>2979.2222222222222</v>
      </c>
      <c r="N97" s="22">
        <f>HP(N$2,N$4,$A97,Avatars!$L$17,Avatars!$N$17+$A97-1)+$A$1</f>
        <v>3050</v>
      </c>
      <c r="O97" s="23">
        <f t="shared" si="9"/>
        <v>1309</v>
      </c>
      <c r="P97" s="23">
        <f t="shared" si="9"/>
        <v>945</v>
      </c>
      <c r="Q97" s="23">
        <f t="shared" si="9"/>
        <v>823.66666666666663</v>
      </c>
      <c r="R97" s="23">
        <f t="shared" si="9"/>
        <v>216.99999999999997</v>
      </c>
      <c r="S97" s="23">
        <f t="shared" si="9"/>
        <v>338.33333333333331</v>
      </c>
      <c r="T97" s="23">
        <f t="shared" si="9"/>
        <v>156.33333333333331</v>
      </c>
      <c r="U97" s="23">
        <f>mp(U$2,U$4,$A97,Avatars!$O$16,Avatars!$O$17+$A97)+$A$1</f>
        <v>3004.3333333333335</v>
      </c>
      <c r="V97" s="23">
        <f>mp(V$2,V$4,$A97,Avatars!$O$16,Avatars!$O$17+$A97)+$A$1</f>
        <v>2640.3333333333335</v>
      </c>
      <c r="W97" s="23">
        <f>mp(W$2,W$4,$A97,Avatars!$O$16,Avatars!$O$17+$A97)+$A$1</f>
        <v>2519</v>
      </c>
      <c r="X97" s="23">
        <f>mp(X$2,X$4,$A97,Avatars!$O$16,Avatars!$O$17+$A97)+$A$1</f>
        <v>1912.3333333333333</v>
      </c>
      <c r="Y97" s="23">
        <f>mp(Y$2,Y$4,$A97,Avatars!$O$16,Avatars!$O$17+$A97)+$A$1</f>
        <v>2033.6666666666667</v>
      </c>
      <c r="Z97" s="23">
        <f>mp(Z$2,Z$4,$A97,Avatars!$O$16,Avatars!$O$17+$A97)+$A$1</f>
        <v>1851.6666666666667</v>
      </c>
    </row>
    <row r="98" spans="1:26" s="2" customFormat="1">
      <c r="A98" s="17">
        <v>92</v>
      </c>
      <c r="B98" s="17"/>
      <c r="C98" s="22">
        <f t="shared" si="8"/>
        <v>915.77777777777771</v>
      </c>
      <c r="D98" s="22">
        <f t="shared" si="8"/>
        <v>1058.8888888888889</v>
      </c>
      <c r="E98" s="22">
        <f t="shared" si="8"/>
        <v>1130.4444444444446</v>
      </c>
      <c r="F98" s="22">
        <f t="shared" si="8"/>
        <v>1273.5555555555557</v>
      </c>
      <c r="G98" s="22">
        <f t="shared" si="8"/>
        <v>1345.1111111111111</v>
      </c>
      <c r="H98" s="22">
        <f t="shared" si="8"/>
        <v>1416.6666666666667</v>
      </c>
      <c r="I98" s="22">
        <f>HP(I$2,I$4,$A98,Avatars!$L$17,Avatars!$N$17+$A98-1)+$A$1</f>
        <v>2577.1111111111113</v>
      </c>
      <c r="J98" s="22">
        <f>HP(J$2,J$4,$A98,Avatars!$L$17,Avatars!$N$17+$A98-1)+$A$1</f>
        <v>2720.2222222222222</v>
      </c>
      <c r="K98" s="22">
        <f>HP(K$2,K$4,$A98,Avatars!$L$17,Avatars!$N$17+$A98-1)+$A$1</f>
        <v>2791.7777777777778</v>
      </c>
      <c r="L98" s="22">
        <f>HP(L$2,L$4,$A98,Avatars!$L$17,Avatars!$N$17+$A98-1)+$A$1</f>
        <v>2934.8888888888887</v>
      </c>
      <c r="M98" s="22">
        <f>HP(M$2,M$4,$A98,Avatars!$L$17,Avatars!$N$17+$A98-1)+$A$1</f>
        <v>3006.4444444444443</v>
      </c>
      <c r="N98" s="22">
        <f>HP(N$2,N$4,$A98,Avatars!$L$17,Avatars!$N$17+$A98-1)+$A$1</f>
        <v>3078</v>
      </c>
      <c r="O98" s="23">
        <f t="shared" si="9"/>
        <v>1323.3333333333335</v>
      </c>
      <c r="P98" s="23">
        <f t="shared" si="9"/>
        <v>955.33333333333337</v>
      </c>
      <c r="Q98" s="23">
        <f t="shared" si="9"/>
        <v>832.66666666666663</v>
      </c>
      <c r="R98" s="23">
        <f t="shared" si="9"/>
        <v>219.33333333333331</v>
      </c>
      <c r="S98" s="23">
        <f t="shared" si="9"/>
        <v>342</v>
      </c>
      <c r="T98" s="23">
        <f t="shared" si="9"/>
        <v>158</v>
      </c>
      <c r="U98" s="23">
        <f>mp(U$2,U$4,$A98,Avatars!$O$16,Avatars!$O$17+$A98)+$A$1</f>
        <v>3031.6666666666665</v>
      </c>
      <c r="V98" s="23">
        <f>mp(V$2,V$4,$A98,Avatars!$O$16,Avatars!$O$17+$A98)+$A$1</f>
        <v>2663.6666666666665</v>
      </c>
      <c r="W98" s="23">
        <f>mp(W$2,W$4,$A98,Avatars!$O$16,Avatars!$O$17+$A98)+$A$1</f>
        <v>2541</v>
      </c>
      <c r="X98" s="23">
        <f>mp(X$2,X$4,$A98,Avatars!$O$16,Avatars!$O$17+$A98)+$A$1</f>
        <v>1927.6666666666667</v>
      </c>
      <c r="Y98" s="23">
        <f>mp(Y$2,Y$4,$A98,Avatars!$O$16,Avatars!$O$17+$A98)+$A$1</f>
        <v>2050.3333333333335</v>
      </c>
      <c r="Z98" s="23">
        <f>mp(Z$2,Z$4,$A98,Avatars!$O$16,Avatars!$O$17+$A98)+$A$1</f>
        <v>1866.3333333333333</v>
      </c>
    </row>
    <row r="99" spans="1:26" s="2" customFormat="1">
      <c r="A99" s="17">
        <v>93</v>
      </c>
      <c r="B99" s="17"/>
      <c r="C99" s="22">
        <f t="shared" si="8"/>
        <v>925.33333333333326</v>
      </c>
      <c r="D99" s="22">
        <f t="shared" si="8"/>
        <v>1070</v>
      </c>
      <c r="E99" s="22">
        <f t="shared" si="8"/>
        <v>1142.3333333333333</v>
      </c>
      <c r="F99" s="22">
        <f t="shared" si="8"/>
        <v>1287</v>
      </c>
      <c r="G99" s="22">
        <f t="shared" si="8"/>
        <v>1359.3333333333333</v>
      </c>
      <c r="H99" s="22">
        <f t="shared" si="8"/>
        <v>1431.6666666666667</v>
      </c>
      <c r="I99" s="22">
        <f>HP(I$2,I$4,$A99,Avatars!$L$17,Avatars!$N$17+$A99-1)+$A$1</f>
        <v>2599.6666666666665</v>
      </c>
      <c r="J99" s="22">
        <f>HP(J$2,J$4,$A99,Avatars!$L$17,Avatars!$N$17+$A99-1)+$A$1</f>
        <v>2744.3333333333335</v>
      </c>
      <c r="K99" s="22">
        <f>HP(K$2,K$4,$A99,Avatars!$L$17,Avatars!$N$17+$A99-1)+$A$1</f>
        <v>2816.6666666666665</v>
      </c>
      <c r="L99" s="22">
        <f>HP(L$2,L$4,$A99,Avatars!$L$17,Avatars!$N$17+$A99-1)+$A$1</f>
        <v>2961.3333333333335</v>
      </c>
      <c r="M99" s="22">
        <f>HP(M$2,M$4,$A99,Avatars!$L$17,Avatars!$N$17+$A99-1)+$A$1</f>
        <v>3033.6666666666665</v>
      </c>
      <c r="N99" s="22">
        <f>HP(N$2,N$4,$A99,Avatars!$L$17,Avatars!$N$17+$A99-1)+$A$1</f>
        <v>3106</v>
      </c>
      <c r="O99" s="23">
        <f t="shared" si="9"/>
        <v>1337.6666666666667</v>
      </c>
      <c r="P99" s="23">
        <f t="shared" si="9"/>
        <v>965.66666666666674</v>
      </c>
      <c r="Q99" s="23">
        <f t="shared" si="9"/>
        <v>841.66666666666663</v>
      </c>
      <c r="R99" s="23">
        <f t="shared" si="9"/>
        <v>221.66666666666663</v>
      </c>
      <c r="S99" s="23">
        <f t="shared" si="9"/>
        <v>345.66666666666663</v>
      </c>
      <c r="T99" s="23">
        <f t="shared" si="9"/>
        <v>159.66666666666666</v>
      </c>
      <c r="U99" s="23">
        <f>mp(U$2,U$4,$A99,Avatars!$O$16,Avatars!$O$17+$A99)+$A$1</f>
        <v>3059</v>
      </c>
      <c r="V99" s="23">
        <f>mp(V$2,V$4,$A99,Avatars!$O$16,Avatars!$O$17+$A99)+$A$1</f>
        <v>2687</v>
      </c>
      <c r="W99" s="23">
        <f>mp(W$2,W$4,$A99,Avatars!$O$16,Avatars!$O$17+$A99)+$A$1</f>
        <v>2563</v>
      </c>
      <c r="X99" s="23">
        <f>mp(X$2,X$4,$A99,Avatars!$O$16,Avatars!$O$17+$A99)+$A$1</f>
        <v>1943</v>
      </c>
      <c r="Y99" s="23">
        <f>mp(Y$2,Y$4,$A99,Avatars!$O$16,Avatars!$O$17+$A99)+$A$1</f>
        <v>2067</v>
      </c>
      <c r="Z99" s="23">
        <f>mp(Z$2,Z$4,$A99,Avatars!$O$16,Avatars!$O$17+$A99)+$A$1</f>
        <v>1881</v>
      </c>
    </row>
    <row r="100" spans="1:26" s="2" customFormat="1">
      <c r="A100" s="17">
        <v>94</v>
      </c>
      <c r="B100" s="17"/>
      <c r="C100" s="22">
        <f t="shared" si="8"/>
        <v>934.88888888888891</v>
      </c>
      <c r="D100" s="22">
        <f t="shared" si="8"/>
        <v>1081.1111111111111</v>
      </c>
      <c r="E100" s="22">
        <f t="shared" si="8"/>
        <v>1154.2222222222222</v>
      </c>
      <c r="F100" s="22">
        <f t="shared" si="8"/>
        <v>1300.4444444444446</v>
      </c>
      <c r="G100" s="22">
        <f t="shared" si="8"/>
        <v>1373.5555555555554</v>
      </c>
      <c r="H100" s="22">
        <f t="shared" si="8"/>
        <v>1446.6666666666667</v>
      </c>
      <c r="I100" s="22">
        <f>HP(I$2,I$4,$A100,Avatars!$L$17,Avatars!$N$17+$A100-1)+$A$1</f>
        <v>2622.2222222222222</v>
      </c>
      <c r="J100" s="22">
        <f>HP(J$2,J$4,$A100,Avatars!$L$17,Avatars!$N$17+$A100-1)+$A$1</f>
        <v>2768.4444444444443</v>
      </c>
      <c r="K100" s="22">
        <f>HP(K$2,K$4,$A100,Avatars!$L$17,Avatars!$N$17+$A100-1)+$A$1</f>
        <v>2841.5555555555557</v>
      </c>
      <c r="L100" s="22">
        <f>HP(L$2,L$4,$A100,Avatars!$L$17,Avatars!$N$17+$A100-1)+$A$1</f>
        <v>2987.7777777777778</v>
      </c>
      <c r="M100" s="22">
        <f>HP(M$2,M$4,$A100,Avatars!$L$17,Avatars!$N$17+$A100-1)+$A$1</f>
        <v>3060.8888888888887</v>
      </c>
      <c r="N100" s="22">
        <f>HP(N$2,N$4,$A100,Avatars!$L$17,Avatars!$N$17+$A100-1)+$A$1</f>
        <v>3134</v>
      </c>
      <c r="O100" s="23">
        <f t="shared" si="9"/>
        <v>1352</v>
      </c>
      <c r="P100" s="23">
        <f t="shared" si="9"/>
        <v>976</v>
      </c>
      <c r="Q100" s="23">
        <f t="shared" si="9"/>
        <v>850.66666666666663</v>
      </c>
      <c r="R100" s="23">
        <f t="shared" si="9"/>
        <v>223.99999999999997</v>
      </c>
      <c r="S100" s="23">
        <f t="shared" si="9"/>
        <v>349.33333333333331</v>
      </c>
      <c r="T100" s="23">
        <f t="shared" si="9"/>
        <v>161.33333333333331</v>
      </c>
      <c r="U100" s="23">
        <f>mp(U$2,U$4,$A100,Avatars!$O$16,Avatars!$O$17+$A100)+$A$1</f>
        <v>3086.3333333333335</v>
      </c>
      <c r="V100" s="23">
        <f>mp(V$2,V$4,$A100,Avatars!$O$16,Avatars!$O$17+$A100)+$A$1</f>
        <v>2710.3333333333335</v>
      </c>
      <c r="W100" s="23">
        <f>mp(W$2,W$4,$A100,Avatars!$O$16,Avatars!$O$17+$A100)+$A$1</f>
        <v>2585</v>
      </c>
      <c r="X100" s="23">
        <f>mp(X$2,X$4,$A100,Avatars!$O$16,Avatars!$O$17+$A100)+$A$1</f>
        <v>1958.3333333333333</v>
      </c>
      <c r="Y100" s="23">
        <f>mp(Y$2,Y$4,$A100,Avatars!$O$16,Avatars!$O$17+$A100)+$A$1</f>
        <v>2083.6666666666665</v>
      </c>
      <c r="Z100" s="23">
        <f>mp(Z$2,Z$4,$A100,Avatars!$O$16,Avatars!$O$17+$A100)+$A$1</f>
        <v>1895.6666666666667</v>
      </c>
    </row>
    <row r="101" spans="1:26" s="2" customFormat="1">
      <c r="A101" s="17">
        <v>95</v>
      </c>
      <c r="B101" s="17"/>
      <c r="C101" s="22">
        <f t="shared" si="8"/>
        <v>944.44444444444446</v>
      </c>
      <c r="D101" s="22">
        <f t="shared" si="8"/>
        <v>1092.2222222222222</v>
      </c>
      <c r="E101" s="22">
        <f t="shared" si="8"/>
        <v>1166.1111111111111</v>
      </c>
      <c r="F101" s="22">
        <f t="shared" si="8"/>
        <v>1313.8888888888889</v>
      </c>
      <c r="G101" s="22">
        <f t="shared" si="8"/>
        <v>1387.7777777777776</v>
      </c>
      <c r="H101" s="22">
        <f t="shared" si="8"/>
        <v>1461.6666666666667</v>
      </c>
      <c r="I101" s="22">
        <f>HP(I$2,I$4,$A101,Avatars!$L$17,Avatars!$N$17+$A101-1)+$A$1</f>
        <v>2644.7777777777778</v>
      </c>
      <c r="J101" s="22">
        <f>HP(J$2,J$4,$A101,Avatars!$L$17,Avatars!$N$17+$A101-1)+$A$1</f>
        <v>2792.5555555555557</v>
      </c>
      <c r="K101" s="22">
        <f>HP(K$2,K$4,$A101,Avatars!$L$17,Avatars!$N$17+$A101-1)+$A$1</f>
        <v>2866.4444444444443</v>
      </c>
      <c r="L101" s="22">
        <f>HP(L$2,L$4,$A101,Avatars!$L$17,Avatars!$N$17+$A101-1)+$A$1</f>
        <v>3014.2222222222222</v>
      </c>
      <c r="M101" s="22">
        <f>HP(M$2,M$4,$A101,Avatars!$L$17,Avatars!$N$17+$A101-1)+$A$1</f>
        <v>3088.1111111111109</v>
      </c>
      <c r="N101" s="22">
        <f>HP(N$2,N$4,$A101,Avatars!$L$17,Avatars!$N$17+$A101-1)+$A$1</f>
        <v>3162</v>
      </c>
      <c r="O101" s="23">
        <f t="shared" si="9"/>
        <v>1366.3333333333335</v>
      </c>
      <c r="P101" s="23">
        <f t="shared" si="9"/>
        <v>986.33333333333337</v>
      </c>
      <c r="Q101" s="23">
        <f t="shared" si="9"/>
        <v>859.66666666666663</v>
      </c>
      <c r="R101" s="23">
        <f t="shared" si="9"/>
        <v>226.33333333333331</v>
      </c>
      <c r="S101" s="23">
        <f t="shared" si="9"/>
        <v>353</v>
      </c>
      <c r="T101" s="23">
        <f t="shared" si="9"/>
        <v>163</v>
      </c>
      <c r="U101" s="23">
        <f>mp(U$2,U$4,$A101,Avatars!$O$16,Avatars!$O$17+$A101)+$A$1</f>
        <v>3113.6666666666665</v>
      </c>
      <c r="V101" s="23">
        <f>mp(V$2,V$4,$A101,Avatars!$O$16,Avatars!$O$17+$A101)+$A$1</f>
        <v>2733.6666666666665</v>
      </c>
      <c r="W101" s="23">
        <f>mp(W$2,W$4,$A101,Avatars!$O$16,Avatars!$O$17+$A101)+$A$1</f>
        <v>2607</v>
      </c>
      <c r="X101" s="23">
        <f>mp(X$2,X$4,$A101,Avatars!$O$16,Avatars!$O$17+$A101)+$A$1</f>
        <v>1973.6666666666667</v>
      </c>
      <c r="Y101" s="23">
        <f>mp(Y$2,Y$4,$A101,Avatars!$O$16,Avatars!$O$17+$A101)+$A$1</f>
        <v>2100.3333333333335</v>
      </c>
      <c r="Z101" s="23">
        <f>mp(Z$2,Z$4,$A101,Avatars!$O$16,Avatars!$O$17+$A101)+$A$1</f>
        <v>1910.3333333333333</v>
      </c>
    </row>
    <row r="102" spans="1:26" s="2" customFormat="1">
      <c r="A102" s="17">
        <v>96</v>
      </c>
      <c r="B102" s="17"/>
      <c r="C102" s="22">
        <f t="shared" si="8"/>
        <v>954</v>
      </c>
      <c r="D102" s="22">
        <f t="shared" si="8"/>
        <v>1103.3333333333333</v>
      </c>
      <c r="E102" s="22">
        <f t="shared" si="8"/>
        <v>1178</v>
      </c>
      <c r="F102" s="22">
        <f t="shared" si="8"/>
        <v>1327.3333333333333</v>
      </c>
      <c r="G102" s="22">
        <f t="shared" si="8"/>
        <v>1402</v>
      </c>
      <c r="H102" s="22">
        <f t="shared" si="8"/>
        <v>1476.6666666666667</v>
      </c>
      <c r="I102" s="22">
        <f>HP(I$2,I$4,$A102,Avatars!$L$17,Avatars!$N$17+$A102-1)+$A$1</f>
        <v>2667.3333333333335</v>
      </c>
      <c r="J102" s="22">
        <f>HP(J$2,J$4,$A102,Avatars!$L$17,Avatars!$N$17+$A102-1)+$A$1</f>
        <v>2816.6666666666665</v>
      </c>
      <c r="K102" s="22">
        <f>HP(K$2,K$4,$A102,Avatars!$L$17,Avatars!$N$17+$A102-1)+$A$1</f>
        <v>2891.3333333333335</v>
      </c>
      <c r="L102" s="22">
        <f>HP(L$2,L$4,$A102,Avatars!$L$17,Avatars!$N$17+$A102-1)+$A$1</f>
        <v>3040.6666666666665</v>
      </c>
      <c r="M102" s="22">
        <f>HP(M$2,M$4,$A102,Avatars!$L$17,Avatars!$N$17+$A102-1)+$A$1</f>
        <v>3115.333333333333</v>
      </c>
      <c r="N102" s="22">
        <f>HP(N$2,N$4,$A102,Avatars!$L$17,Avatars!$N$17+$A102-1)+$A$1</f>
        <v>3190</v>
      </c>
      <c r="O102" s="23">
        <f t="shared" si="9"/>
        <v>1380.6666666666667</v>
      </c>
      <c r="P102" s="23">
        <f t="shared" si="9"/>
        <v>996.66666666666674</v>
      </c>
      <c r="Q102" s="23">
        <f t="shared" si="9"/>
        <v>868.66666666666663</v>
      </c>
      <c r="R102" s="23">
        <f t="shared" si="9"/>
        <v>228.66666666666663</v>
      </c>
      <c r="S102" s="23">
        <f t="shared" si="9"/>
        <v>356.66666666666663</v>
      </c>
      <c r="T102" s="23">
        <f t="shared" si="9"/>
        <v>164.66666666666666</v>
      </c>
      <c r="U102" s="23">
        <f>mp(U$2,U$4,$A102,Avatars!$O$16,Avatars!$O$17+$A102)+$A$1</f>
        <v>3141</v>
      </c>
      <c r="V102" s="23">
        <f>mp(V$2,V$4,$A102,Avatars!$O$16,Avatars!$O$17+$A102)+$A$1</f>
        <v>2757</v>
      </c>
      <c r="W102" s="23">
        <f>mp(W$2,W$4,$A102,Avatars!$O$16,Avatars!$O$17+$A102)+$A$1</f>
        <v>2629</v>
      </c>
      <c r="X102" s="23">
        <f>mp(X$2,X$4,$A102,Avatars!$O$16,Avatars!$O$17+$A102)+$A$1</f>
        <v>1989</v>
      </c>
      <c r="Y102" s="23">
        <f>mp(Y$2,Y$4,$A102,Avatars!$O$16,Avatars!$O$17+$A102)+$A$1</f>
        <v>2117</v>
      </c>
      <c r="Z102" s="23">
        <f>mp(Z$2,Z$4,$A102,Avatars!$O$16,Avatars!$O$17+$A102)+$A$1</f>
        <v>1925</v>
      </c>
    </row>
    <row r="103" spans="1:26" s="2" customFormat="1">
      <c r="A103" s="17">
        <v>97</v>
      </c>
      <c r="B103" s="17"/>
      <c r="C103" s="22">
        <f t="shared" si="8"/>
        <v>963.55555555555554</v>
      </c>
      <c r="D103" s="22">
        <f t="shared" si="8"/>
        <v>1114.4444444444443</v>
      </c>
      <c r="E103" s="22">
        <f t="shared" si="8"/>
        <v>1189.8888888888889</v>
      </c>
      <c r="F103" s="22">
        <f t="shared" si="8"/>
        <v>1340.7777777777778</v>
      </c>
      <c r="G103" s="22">
        <f t="shared" si="8"/>
        <v>1416.2222222222222</v>
      </c>
      <c r="H103" s="22">
        <f t="shared" si="8"/>
        <v>1491.6666666666667</v>
      </c>
      <c r="I103" s="22">
        <f>HP(I$2,I$4,$A103,Avatars!$L$17,Avatars!$N$17+$A103-1)+$A$1</f>
        <v>2689.8888888888887</v>
      </c>
      <c r="J103" s="22">
        <f>HP(J$2,J$4,$A103,Avatars!$L$17,Avatars!$N$17+$A103-1)+$A$1</f>
        <v>2840.7777777777778</v>
      </c>
      <c r="K103" s="22">
        <f>HP(K$2,K$4,$A103,Avatars!$L$17,Avatars!$N$17+$A103-1)+$A$1</f>
        <v>2916.2222222222222</v>
      </c>
      <c r="L103" s="22">
        <f>HP(L$2,L$4,$A103,Avatars!$L$17,Avatars!$N$17+$A103-1)+$A$1</f>
        <v>3067.1111111111113</v>
      </c>
      <c r="M103" s="22">
        <f>HP(M$2,M$4,$A103,Avatars!$L$17,Avatars!$N$17+$A103-1)+$A$1</f>
        <v>3142.5555555555557</v>
      </c>
      <c r="N103" s="22">
        <f>HP(N$2,N$4,$A103,Avatars!$L$17,Avatars!$N$17+$A103-1)+$A$1</f>
        <v>3218</v>
      </c>
      <c r="O103" s="23">
        <f t="shared" si="9"/>
        <v>1395</v>
      </c>
      <c r="P103" s="23">
        <f t="shared" si="9"/>
        <v>1007.0000000000001</v>
      </c>
      <c r="Q103" s="23">
        <f t="shared" si="9"/>
        <v>877.66666666666663</v>
      </c>
      <c r="R103" s="23">
        <f t="shared" si="9"/>
        <v>230.99999999999997</v>
      </c>
      <c r="S103" s="23">
        <f t="shared" si="9"/>
        <v>360.33333333333331</v>
      </c>
      <c r="T103" s="23">
        <f t="shared" si="9"/>
        <v>166.33333333333331</v>
      </c>
      <c r="U103" s="23">
        <f>mp(U$2,U$4,$A103,Avatars!$O$16,Avatars!$O$17+$A103)+$A$1</f>
        <v>3168.3333333333335</v>
      </c>
      <c r="V103" s="23">
        <f>mp(V$2,V$4,$A103,Avatars!$O$16,Avatars!$O$17+$A103)+$A$1</f>
        <v>2780.3333333333335</v>
      </c>
      <c r="W103" s="23">
        <f>mp(W$2,W$4,$A103,Avatars!$O$16,Avatars!$O$17+$A103)+$A$1</f>
        <v>2651</v>
      </c>
      <c r="X103" s="23">
        <f>mp(X$2,X$4,$A103,Avatars!$O$16,Avatars!$O$17+$A103)+$A$1</f>
        <v>2004.3333333333333</v>
      </c>
      <c r="Y103" s="23">
        <f>mp(Y$2,Y$4,$A103,Avatars!$O$16,Avatars!$O$17+$A103)+$A$1</f>
        <v>2133.6666666666665</v>
      </c>
      <c r="Z103" s="23">
        <f>mp(Z$2,Z$4,$A103,Avatars!$O$16,Avatars!$O$17+$A103)+$A$1</f>
        <v>1939.6666666666667</v>
      </c>
    </row>
    <row r="104" spans="1:26" s="2" customFormat="1">
      <c r="A104" s="17">
        <v>98</v>
      </c>
      <c r="B104" s="17"/>
      <c r="C104" s="22">
        <f t="shared" si="8"/>
        <v>973.11111111111109</v>
      </c>
      <c r="D104" s="22">
        <f t="shared" si="8"/>
        <v>1125.5555555555554</v>
      </c>
      <c r="E104" s="22">
        <f t="shared" si="8"/>
        <v>1201.7777777777778</v>
      </c>
      <c r="F104" s="22">
        <f t="shared" si="8"/>
        <v>1354.2222222222222</v>
      </c>
      <c r="G104" s="22">
        <f t="shared" si="8"/>
        <v>1430.4444444444443</v>
      </c>
      <c r="H104" s="22">
        <f t="shared" si="8"/>
        <v>1506.6666666666667</v>
      </c>
      <c r="I104" s="22">
        <f>HP(I$2,I$4,$A104,Avatars!$L$17,Avatars!$N$17+$A104-1)+$A$1</f>
        <v>2712.4444444444443</v>
      </c>
      <c r="J104" s="22">
        <f>HP(J$2,J$4,$A104,Avatars!$L$17,Avatars!$N$17+$A104-1)+$A$1</f>
        <v>2864.8888888888887</v>
      </c>
      <c r="K104" s="22">
        <f>HP(K$2,K$4,$A104,Avatars!$L$17,Avatars!$N$17+$A104-1)+$A$1</f>
        <v>2941.1111111111113</v>
      </c>
      <c r="L104" s="22">
        <f>HP(L$2,L$4,$A104,Avatars!$L$17,Avatars!$N$17+$A104-1)+$A$1</f>
        <v>3093.5555555555557</v>
      </c>
      <c r="M104" s="22">
        <f>HP(M$2,M$4,$A104,Avatars!$L$17,Avatars!$N$17+$A104-1)+$A$1</f>
        <v>3169.7777777777778</v>
      </c>
      <c r="N104" s="22">
        <f>HP(N$2,N$4,$A104,Avatars!$L$17,Avatars!$N$17+$A104-1)+$A$1</f>
        <v>3246</v>
      </c>
      <c r="O104" s="23">
        <f t="shared" ref="O104:T135" si="10">mp(O$2,O$4,$A104,10,10)+$A$1</f>
        <v>1409.3333333333335</v>
      </c>
      <c r="P104" s="23">
        <f t="shared" si="10"/>
        <v>1017.3333333333334</v>
      </c>
      <c r="Q104" s="23">
        <f t="shared" si="10"/>
        <v>886.66666666666663</v>
      </c>
      <c r="R104" s="23">
        <f t="shared" si="10"/>
        <v>233.33333333333331</v>
      </c>
      <c r="S104" s="23">
        <f t="shared" si="10"/>
        <v>364</v>
      </c>
      <c r="T104" s="23">
        <f t="shared" si="10"/>
        <v>168</v>
      </c>
      <c r="U104" s="23">
        <f>mp(U$2,U$4,$A104,Avatars!$O$16,Avatars!$O$17+$A104)+$A$1</f>
        <v>3195.6666666666665</v>
      </c>
      <c r="V104" s="23">
        <f>mp(V$2,V$4,$A104,Avatars!$O$16,Avatars!$O$17+$A104)+$A$1</f>
        <v>2803.6666666666665</v>
      </c>
      <c r="W104" s="23">
        <f>mp(W$2,W$4,$A104,Avatars!$O$16,Avatars!$O$17+$A104)+$A$1</f>
        <v>2673</v>
      </c>
      <c r="X104" s="23">
        <f>mp(X$2,X$4,$A104,Avatars!$O$16,Avatars!$O$17+$A104)+$A$1</f>
        <v>2019.6666666666667</v>
      </c>
      <c r="Y104" s="23">
        <f>mp(Y$2,Y$4,$A104,Avatars!$O$16,Avatars!$O$17+$A104)+$A$1</f>
        <v>2150.3333333333335</v>
      </c>
      <c r="Z104" s="23">
        <f>mp(Z$2,Z$4,$A104,Avatars!$O$16,Avatars!$O$17+$A104)+$A$1</f>
        <v>1954.3333333333333</v>
      </c>
    </row>
    <row r="105" spans="1:26" s="2" customFormat="1">
      <c r="A105" s="17">
        <v>99</v>
      </c>
      <c r="B105" s="17"/>
      <c r="C105" s="22">
        <f t="shared" si="8"/>
        <v>982.66666666666663</v>
      </c>
      <c r="D105" s="22">
        <f t="shared" si="8"/>
        <v>1136.6666666666665</v>
      </c>
      <c r="E105" s="22">
        <f t="shared" si="8"/>
        <v>1213.6666666666667</v>
      </c>
      <c r="F105" s="22">
        <f t="shared" si="8"/>
        <v>1367.6666666666667</v>
      </c>
      <c r="G105" s="22">
        <f t="shared" si="8"/>
        <v>1444.6666666666665</v>
      </c>
      <c r="H105" s="22">
        <f t="shared" si="8"/>
        <v>1521.6666666666667</v>
      </c>
      <c r="I105" s="22">
        <f>HP(I$2,I$4,$A105,Avatars!$L$17,Avatars!$N$17+$A105-1)+$A$1</f>
        <v>2735</v>
      </c>
      <c r="J105" s="22">
        <f>HP(J$2,J$4,$A105,Avatars!$L$17,Avatars!$N$17+$A105-1)+$A$1</f>
        <v>2889</v>
      </c>
      <c r="K105" s="22">
        <f>HP(K$2,K$4,$A105,Avatars!$L$17,Avatars!$N$17+$A105-1)+$A$1</f>
        <v>2966</v>
      </c>
      <c r="L105" s="22">
        <f>HP(L$2,L$4,$A105,Avatars!$L$17,Avatars!$N$17+$A105-1)+$A$1</f>
        <v>3120</v>
      </c>
      <c r="M105" s="22">
        <f>HP(M$2,M$4,$A105,Avatars!$L$17,Avatars!$N$17+$A105-1)+$A$1</f>
        <v>3197</v>
      </c>
      <c r="N105" s="22">
        <f>HP(N$2,N$4,$A105,Avatars!$L$17,Avatars!$N$17+$A105-1)+$A$1</f>
        <v>3274</v>
      </c>
      <c r="O105" s="23">
        <f t="shared" si="10"/>
        <v>1423.6666666666667</v>
      </c>
      <c r="P105" s="23">
        <f t="shared" si="10"/>
        <v>1027.6666666666667</v>
      </c>
      <c r="Q105" s="23">
        <f t="shared" si="10"/>
        <v>895.66666666666663</v>
      </c>
      <c r="R105" s="23">
        <f t="shared" si="10"/>
        <v>235.66666666666663</v>
      </c>
      <c r="S105" s="23">
        <f t="shared" si="10"/>
        <v>367.66666666666663</v>
      </c>
      <c r="T105" s="23">
        <f t="shared" si="10"/>
        <v>169.66666666666666</v>
      </c>
      <c r="U105" s="23">
        <f>mp(U$2,U$4,$A105,Avatars!$O$16,Avatars!$O$17+$A105)+$A$1</f>
        <v>3223</v>
      </c>
      <c r="V105" s="23">
        <f>mp(V$2,V$4,$A105,Avatars!$O$16,Avatars!$O$17+$A105)+$A$1</f>
        <v>2827</v>
      </c>
      <c r="W105" s="23">
        <f>mp(W$2,W$4,$A105,Avatars!$O$16,Avatars!$O$17+$A105)+$A$1</f>
        <v>2695</v>
      </c>
      <c r="X105" s="23">
        <f>mp(X$2,X$4,$A105,Avatars!$O$16,Avatars!$O$17+$A105)+$A$1</f>
        <v>2035</v>
      </c>
      <c r="Y105" s="23">
        <f>mp(Y$2,Y$4,$A105,Avatars!$O$16,Avatars!$O$17+$A105)+$A$1</f>
        <v>2167</v>
      </c>
      <c r="Z105" s="23">
        <f>mp(Z$2,Z$4,$A105,Avatars!$O$16,Avatars!$O$17+$A105)+$A$1</f>
        <v>1969</v>
      </c>
    </row>
    <row r="106" spans="1:26" s="2" customFormat="1">
      <c r="A106" s="17">
        <v>100</v>
      </c>
      <c r="B106" s="17"/>
      <c r="C106" s="22">
        <f t="shared" si="8"/>
        <v>992.22222222222217</v>
      </c>
      <c r="D106" s="22">
        <f t="shared" si="8"/>
        <v>1147.7777777777778</v>
      </c>
      <c r="E106" s="22">
        <f t="shared" si="8"/>
        <v>1225.5555555555557</v>
      </c>
      <c r="F106" s="22">
        <f t="shared" si="8"/>
        <v>1381.1111111111111</v>
      </c>
      <c r="G106" s="22">
        <f t="shared" si="8"/>
        <v>1458.8888888888889</v>
      </c>
      <c r="H106" s="22">
        <f t="shared" si="8"/>
        <v>1536.6666666666667</v>
      </c>
      <c r="I106" s="22">
        <f>HP(I$2,I$4,$A106,Avatars!$L$17,Avatars!$N$17+$A106-1)+$A$1</f>
        <v>2757.5555555555557</v>
      </c>
      <c r="J106" s="22">
        <f>HP(J$2,J$4,$A106,Avatars!$L$17,Avatars!$N$17+$A106-1)+$A$1</f>
        <v>2913.1111111111109</v>
      </c>
      <c r="K106" s="22">
        <f>HP(K$2,K$4,$A106,Avatars!$L$17,Avatars!$N$17+$A106-1)+$A$1</f>
        <v>2990.8888888888891</v>
      </c>
      <c r="L106" s="22">
        <f>HP(L$2,L$4,$A106,Avatars!$L$17,Avatars!$N$17+$A106-1)+$A$1</f>
        <v>3146.4444444444443</v>
      </c>
      <c r="M106" s="22">
        <f>HP(M$2,M$4,$A106,Avatars!$L$17,Avatars!$N$17+$A106-1)+$A$1</f>
        <v>3224.2222222222222</v>
      </c>
      <c r="N106" s="22">
        <f>HP(N$2,N$4,$A106,Avatars!$L$17,Avatars!$N$17+$A106-1)+$A$1</f>
        <v>3302</v>
      </c>
      <c r="O106" s="23">
        <f t="shared" si="10"/>
        <v>1438</v>
      </c>
      <c r="P106" s="23">
        <f t="shared" si="10"/>
        <v>1038</v>
      </c>
      <c r="Q106" s="23">
        <f t="shared" si="10"/>
        <v>904.66666666666663</v>
      </c>
      <c r="R106" s="23">
        <f t="shared" si="10"/>
        <v>237.99999999999997</v>
      </c>
      <c r="S106" s="23">
        <f t="shared" si="10"/>
        <v>371.33333333333331</v>
      </c>
      <c r="T106" s="23">
        <f t="shared" si="10"/>
        <v>171.33333333333331</v>
      </c>
      <c r="U106" s="23">
        <f>mp(U$2,U$4,$A106,Avatars!$O$16,Avatars!$O$17+$A106)+$A$1</f>
        <v>3250.3333333333335</v>
      </c>
      <c r="V106" s="23">
        <f>mp(V$2,V$4,$A106,Avatars!$O$16,Avatars!$O$17+$A106)+$A$1</f>
        <v>2850.3333333333335</v>
      </c>
      <c r="W106" s="23">
        <f>mp(W$2,W$4,$A106,Avatars!$O$16,Avatars!$O$17+$A106)+$A$1</f>
        <v>2717</v>
      </c>
      <c r="X106" s="23">
        <f>mp(X$2,X$4,$A106,Avatars!$O$16,Avatars!$O$17+$A106)+$A$1</f>
        <v>2050.3333333333335</v>
      </c>
      <c r="Y106" s="23">
        <f>mp(Y$2,Y$4,$A106,Avatars!$O$16,Avatars!$O$17+$A106)+$A$1</f>
        <v>2183.6666666666665</v>
      </c>
      <c r="Z106" s="23">
        <f>mp(Z$2,Z$4,$A106,Avatars!$O$16,Avatars!$O$17+$A106)+$A$1</f>
        <v>1983.6666666666667</v>
      </c>
    </row>
    <row r="107" spans="1:26" s="2" customFormat="1">
      <c r="A107" s="17">
        <v>101</v>
      </c>
      <c r="B107" s="17"/>
      <c r="C107" s="22">
        <f t="shared" si="8"/>
        <v>1001.7777777777777</v>
      </c>
      <c r="D107" s="22">
        <f t="shared" si="8"/>
        <v>1158.8888888888889</v>
      </c>
      <c r="E107" s="22">
        <f t="shared" si="8"/>
        <v>1237.4444444444446</v>
      </c>
      <c r="F107" s="22">
        <f t="shared" si="8"/>
        <v>1394.5555555555557</v>
      </c>
      <c r="G107" s="22">
        <f t="shared" si="8"/>
        <v>1473.1111111111111</v>
      </c>
      <c r="H107" s="22">
        <f t="shared" si="8"/>
        <v>1551.6666666666667</v>
      </c>
      <c r="I107" s="22">
        <f>HP(I$2,I$4,$A107,Avatars!$L$17,Avatars!$N$17+$A107-1)+$A$1</f>
        <v>2780.1111111111113</v>
      </c>
      <c r="J107" s="22">
        <f>HP(J$2,J$4,$A107,Avatars!$L$17,Avatars!$N$17+$A107-1)+$A$1</f>
        <v>2937.2222222222222</v>
      </c>
      <c r="K107" s="22">
        <f>HP(K$2,K$4,$A107,Avatars!$L$17,Avatars!$N$17+$A107-1)+$A$1</f>
        <v>3015.7777777777778</v>
      </c>
      <c r="L107" s="22">
        <f>HP(L$2,L$4,$A107,Avatars!$L$17,Avatars!$N$17+$A107-1)+$A$1</f>
        <v>3172.8888888888887</v>
      </c>
      <c r="M107" s="22">
        <f>HP(M$2,M$4,$A107,Avatars!$L$17,Avatars!$N$17+$A107-1)+$A$1</f>
        <v>3251.4444444444443</v>
      </c>
      <c r="N107" s="22">
        <f>HP(N$2,N$4,$A107,Avatars!$L$17,Avatars!$N$17+$A107-1)+$A$1</f>
        <v>3330</v>
      </c>
      <c r="O107" s="23">
        <f t="shared" si="10"/>
        <v>1452.3333333333335</v>
      </c>
      <c r="P107" s="23">
        <f t="shared" si="10"/>
        <v>1048.3333333333335</v>
      </c>
      <c r="Q107" s="23">
        <f t="shared" si="10"/>
        <v>913.66666666666663</v>
      </c>
      <c r="R107" s="23">
        <f t="shared" si="10"/>
        <v>240.33333333333331</v>
      </c>
      <c r="S107" s="23">
        <f t="shared" si="10"/>
        <v>375</v>
      </c>
      <c r="T107" s="23">
        <f t="shared" si="10"/>
        <v>172.99999999999997</v>
      </c>
      <c r="U107" s="23">
        <f>mp(U$2,U$4,$A107,Avatars!$O$16,Avatars!$O$17+$A107)+$A$1</f>
        <v>3277.6666666666665</v>
      </c>
      <c r="V107" s="23">
        <f>mp(V$2,V$4,$A107,Avatars!$O$16,Avatars!$O$17+$A107)+$A$1</f>
        <v>2873.6666666666665</v>
      </c>
      <c r="W107" s="23">
        <f>mp(W$2,W$4,$A107,Avatars!$O$16,Avatars!$O$17+$A107)+$A$1</f>
        <v>2739</v>
      </c>
      <c r="X107" s="23">
        <f>mp(X$2,X$4,$A107,Avatars!$O$16,Avatars!$O$17+$A107)+$A$1</f>
        <v>2065.6666666666665</v>
      </c>
      <c r="Y107" s="23">
        <f>mp(Y$2,Y$4,$A107,Avatars!$O$16,Avatars!$O$17+$A107)+$A$1</f>
        <v>2200.3333333333335</v>
      </c>
      <c r="Z107" s="23">
        <f>mp(Z$2,Z$4,$A107,Avatars!$O$16,Avatars!$O$17+$A107)+$A$1</f>
        <v>1998.3333333333333</v>
      </c>
    </row>
    <row r="108" spans="1:26" s="2" customFormat="1">
      <c r="A108" s="17">
        <v>102</v>
      </c>
      <c r="B108" s="17"/>
      <c r="C108" s="22">
        <f t="shared" ref="C108:H150" si="11">HP(C$2,C$4,$A108,10,10)+$A$1</f>
        <v>1011.3333333333333</v>
      </c>
      <c r="D108" s="22">
        <f t="shared" si="11"/>
        <v>1170</v>
      </c>
      <c r="E108" s="22">
        <f t="shared" si="11"/>
        <v>1249.3333333333335</v>
      </c>
      <c r="F108" s="22">
        <f t="shared" si="11"/>
        <v>1408</v>
      </c>
      <c r="G108" s="22">
        <f t="shared" si="11"/>
        <v>1487.3333333333333</v>
      </c>
      <c r="H108" s="22">
        <f t="shared" si="11"/>
        <v>1566.6666666666667</v>
      </c>
      <c r="I108" s="22">
        <f>HP(I$2,I$4,$A108,Avatars!$L$17,Avatars!$N$17+$A108-1)+$A$1</f>
        <v>2802.6666666666665</v>
      </c>
      <c r="J108" s="22">
        <f>HP(J$2,J$4,$A108,Avatars!$L$17,Avatars!$N$17+$A108-1)+$A$1</f>
        <v>2961.3333333333335</v>
      </c>
      <c r="K108" s="22">
        <f>HP(K$2,K$4,$A108,Avatars!$L$17,Avatars!$N$17+$A108-1)+$A$1</f>
        <v>3040.6666666666665</v>
      </c>
      <c r="L108" s="22">
        <f>HP(L$2,L$4,$A108,Avatars!$L$17,Avatars!$N$17+$A108-1)+$A$1</f>
        <v>3199.3333333333335</v>
      </c>
      <c r="M108" s="22">
        <f>HP(M$2,M$4,$A108,Avatars!$L$17,Avatars!$N$17+$A108-1)+$A$1</f>
        <v>3278.6666666666665</v>
      </c>
      <c r="N108" s="22">
        <f>HP(N$2,N$4,$A108,Avatars!$L$17,Avatars!$N$17+$A108-1)+$A$1</f>
        <v>3358</v>
      </c>
      <c r="O108" s="23">
        <f t="shared" si="10"/>
        <v>1466.6666666666667</v>
      </c>
      <c r="P108" s="23">
        <f t="shared" si="10"/>
        <v>1058.6666666666667</v>
      </c>
      <c r="Q108" s="23">
        <f t="shared" si="10"/>
        <v>922.66666666666663</v>
      </c>
      <c r="R108" s="23">
        <f t="shared" si="10"/>
        <v>242.66666666666663</v>
      </c>
      <c r="S108" s="23">
        <f t="shared" si="10"/>
        <v>378.66666666666663</v>
      </c>
      <c r="T108" s="23">
        <f t="shared" si="10"/>
        <v>174.66666666666666</v>
      </c>
      <c r="U108" s="23">
        <f>mp(U$2,U$4,$A108,Avatars!$O$16,Avatars!$O$17+$A108)+$A$1</f>
        <v>3305</v>
      </c>
      <c r="V108" s="23">
        <f>mp(V$2,V$4,$A108,Avatars!$O$16,Avatars!$O$17+$A108)+$A$1</f>
        <v>2897</v>
      </c>
      <c r="W108" s="23">
        <f>mp(W$2,W$4,$A108,Avatars!$O$16,Avatars!$O$17+$A108)+$A$1</f>
        <v>2761</v>
      </c>
      <c r="X108" s="23">
        <f>mp(X$2,X$4,$A108,Avatars!$O$16,Avatars!$O$17+$A108)+$A$1</f>
        <v>2081</v>
      </c>
      <c r="Y108" s="23">
        <f>mp(Y$2,Y$4,$A108,Avatars!$O$16,Avatars!$O$17+$A108)+$A$1</f>
        <v>2217</v>
      </c>
      <c r="Z108" s="23">
        <f>mp(Z$2,Z$4,$A108,Avatars!$O$16,Avatars!$O$17+$A108)+$A$1</f>
        <v>2013</v>
      </c>
    </row>
    <row r="109" spans="1:26" s="2" customFormat="1">
      <c r="A109" s="17">
        <v>103</v>
      </c>
      <c r="B109" s="17"/>
      <c r="C109" s="22">
        <f t="shared" si="11"/>
        <v>1020.8888888888889</v>
      </c>
      <c r="D109" s="22">
        <f t="shared" si="11"/>
        <v>1181.1111111111111</v>
      </c>
      <c r="E109" s="22">
        <f t="shared" si="11"/>
        <v>1261.2222222222222</v>
      </c>
      <c r="F109" s="22">
        <f t="shared" si="11"/>
        <v>1421.4444444444446</v>
      </c>
      <c r="G109" s="22">
        <f t="shared" si="11"/>
        <v>1501.5555555555554</v>
      </c>
      <c r="H109" s="22">
        <f t="shared" si="11"/>
        <v>1581.6666666666667</v>
      </c>
      <c r="I109" s="22">
        <f>HP(I$2,I$4,$A109,Avatars!$L$17,Avatars!$N$17+$A109-1)+$A$1</f>
        <v>2825.2222222222222</v>
      </c>
      <c r="J109" s="22">
        <f>HP(J$2,J$4,$A109,Avatars!$L$17,Avatars!$N$17+$A109-1)+$A$1</f>
        <v>2985.4444444444443</v>
      </c>
      <c r="K109" s="22">
        <f>HP(K$2,K$4,$A109,Avatars!$L$17,Avatars!$N$17+$A109-1)+$A$1</f>
        <v>3065.5555555555557</v>
      </c>
      <c r="L109" s="22">
        <f>HP(L$2,L$4,$A109,Avatars!$L$17,Avatars!$N$17+$A109-1)+$A$1</f>
        <v>3225.7777777777778</v>
      </c>
      <c r="M109" s="22">
        <f>HP(M$2,M$4,$A109,Avatars!$L$17,Avatars!$N$17+$A109-1)+$A$1</f>
        <v>3305.8888888888887</v>
      </c>
      <c r="N109" s="22">
        <f>HP(N$2,N$4,$A109,Avatars!$L$17,Avatars!$N$17+$A109-1)+$A$1</f>
        <v>3386</v>
      </c>
      <c r="O109" s="23">
        <f t="shared" si="10"/>
        <v>1481</v>
      </c>
      <c r="P109" s="23">
        <f t="shared" si="10"/>
        <v>1069</v>
      </c>
      <c r="Q109" s="23">
        <f t="shared" si="10"/>
        <v>931.66666666666663</v>
      </c>
      <c r="R109" s="23">
        <f t="shared" si="10"/>
        <v>244.99999999999997</v>
      </c>
      <c r="S109" s="23">
        <f t="shared" si="10"/>
        <v>382.33333333333331</v>
      </c>
      <c r="T109" s="23">
        <f t="shared" si="10"/>
        <v>176.33333333333331</v>
      </c>
      <c r="U109" s="23">
        <f>mp(U$2,U$4,$A109,Avatars!$O$16,Avatars!$O$17+$A109)+$A$1</f>
        <v>3332.3333333333335</v>
      </c>
      <c r="V109" s="23">
        <f>mp(V$2,V$4,$A109,Avatars!$O$16,Avatars!$O$17+$A109)+$A$1</f>
        <v>2920.3333333333335</v>
      </c>
      <c r="W109" s="23">
        <f>mp(W$2,W$4,$A109,Avatars!$O$16,Avatars!$O$17+$A109)+$A$1</f>
        <v>2783</v>
      </c>
      <c r="X109" s="23">
        <f>mp(X$2,X$4,$A109,Avatars!$O$16,Avatars!$O$17+$A109)+$A$1</f>
        <v>2096.3333333333335</v>
      </c>
      <c r="Y109" s="23">
        <f>mp(Y$2,Y$4,$A109,Avatars!$O$16,Avatars!$O$17+$A109)+$A$1</f>
        <v>2233.6666666666665</v>
      </c>
      <c r="Z109" s="23">
        <f>mp(Z$2,Z$4,$A109,Avatars!$O$16,Avatars!$O$17+$A109)+$A$1</f>
        <v>2027.6666666666667</v>
      </c>
    </row>
    <row r="110" spans="1:26" s="2" customFormat="1">
      <c r="A110" s="17">
        <v>104</v>
      </c>
      <c r="B110" s="17"/>
      <c r="C110" s="22">
        <f t="shared" si="11"/>
        <v>1030.4444444444443</v>
      </c>
      <c r="D110" s="22">
        <f t="shared" si="11"/>
        <v>1192.2222222222222</v>
      </c>
      <c r="E110" s="22">
        <f t="shared" si="11"/>
        <v>1273.1111111111111</v>
      </c>
      <c r="F110" s="22">
        <f t="shared" si="11"/>
        <v>1434.8888888888889</v>
      </c>
      <c r="G110" s="22">
        <f t="shared" si="11"/>
        <v>1515.7777777777776</v>
      </c>
      <c r="H110" s="22">
        <f t="shared" si="11"/>
        <v>1596.6666666666667</v>
      </c>
      <c r="I110" s="22">
        <f>HP(I$2,I$4,$A110,Avatars!$L$17,Avatars!$N$17+$A110-1)+$A$1</f>
        <v>2847.7777777777778</v>
      </c>
      <c r="J110" s="22">
        <f>HP(J$2,J$4,$A110,Avatars!$L$17,Avatars!$N$17+$A110-1)+$A$1</f>
        <v>3009.5555555555557</v>
      </c>
      <c r="K110" s="22">
        <f>HP(K$2,K$4,$A110,Avatars!$L$17,Avatars!$N$17+$A110-1)+$A$1</f>
        <v>3090.4444444444443</v>
      </c>
      <c r="L110" s="22">
        <f>HP(L$2,L$4,$A110,Avatars!$L$17,Avatars!$N$17+$A110-1)+$A$1</f>
        <v>3252.2222222222222</v>
      </c>
      <c r="M110" s="22">
        <f>HP(M$2,M$4,$A110,Avatars!$L$17,Avatars!$N$17+$A110-1)+$A$1</f>
        <v>3333.1111111111109</v>
      </c>
      <c r="N110" s="22">
        <f>HP(N$2,N$4,$A110,Avatars!$L$17,Avatars!$N$17+$A110-1)+$A$1</f>
        <v>3414</v>
      </c>
      <c r="O110" s="23">
        <f t="shared" si="10"/>
        <v>1495.3333333333335</v>
      </c>
      <c r="P110" s="23">
        <f t="shared" si="10"/>
        <v>1079.3333333333335</v>
      </c>
      <c r="Q110" s="23">
        <f t="shared" si="10"/>
        <v>940.66666666666663</v>
      </c>
      <c r="R110" s="23">
        <f t="shared" si="10"/>
        <v>247.33333333333331</v>
      </c>
      <c r="S110" s="23">
        <f t="shared" si="10"/>
        <v>386</v>
      </c>
      <c r="T110" s="23">
        <f t="shared" si="10"/>
        <v>177.99999999999997</v>
      </c>
      <c r="U110" s="23">
        <f>mp(U$2,U$4,$A110,Avatars!$O$16,Avatars!$O$17+$A110)+$A$1</f>
        <v>3359.6666666666665</v>
      </c>
      <c r="V110" s="23">
        <f>mp(V$2,V$4,$A110,Avatars!$O$16,Avatars!$O$17+$A110)+$A$1</f>
        <v>2943.6666666666665</v>
      </c>
      <c r="W110" s="23">
        <f>mp(W$2,W$4,$A110,Avatars!$O$16,Avatars!$O$17+$A110)+$A$1</f>
        <v>2805</v>
      </c>
      <c r="X110" s="23">
        <f>mp(X$2,X$4,$A110,Avatars!$O$16,Avatars!$O$17+$A110)+$A$1</f>
        <v>2111.6666666666665</v>
      </c>
      <c r="Y110" s="23">
        <f>mp(Y$2,Y$4,$A110,Avatars!$O$16,Avatars!$O$17+$A110)+$A$1</f>
        <v>2250.3333333333335</v>
      </c>
      <c r="Z110" s="23">
        <f>mp(Z$2,Z$4,$A110,Avatars!$O$16,Avatars!$O$17+$A110)+$A$1</f>
        <v>2042.3333333333333</v>
      </c>
    </row>
    <row r="111" spans="1:26" s="2" customFormat="1">
      <c r="A111" s="17">
        <v>105</v>
      </c>
      <c r="B111" s="17"/>
      <c r="C111" s="22">
        <f t="shared" si="11"/>
        <v>1040</v>
      </c>
      <c r="D111" s="22">
        <f t="shared" si="11"/>
        <v>1203.3333333333333</v>
      </c>
      <c r="E111" s="22">
        <f t="shared" si="11"/>
        <v>1285</v>
      </c>
      <c r="F111" s="22">
        <f t="shared" si="11"/>
        <v>1448.3333333333333</v>
      </c>
      <c r="G111" s="22">
        <f t="shared" si="11"/>
        <v>1530</v>
      </c>
      <c r="H111" s="22">
        <f t="shared" si="11"/>
        <v>1611.6666666666667</v>
      </c>
      <c r="I111" s="22">
        <f>HP(I$2,I$4,$A111,Avatars!$L$17,Avatars!$N$17+$A111-1)+$A$1</f>
        <v>2870.3333333333335</v>
      </c>
      <c r="J111" s="22">
        <f>HP(J$2,J$4,$A111,Avatars!$L$17,Avatars!$N$17+$A111-1)+$A$1</f>
        <v>3033.6666666666665</v>
      </c>
      <c r="K111" s="22">
        <f>HP(K$2,K$4,$A111,Avatars!$L$17,Avatars!$N$17+$A111-1)+$A$1</f>
        <v>3115.3333333333335</v>
      </c>
      <c r="L111" s="22">
        <f>HP(L$2,L$4,$A111,Avatars!$L$17,Avatars!$N$17+$A111-1)+$A$1</f>
        <v>3278.6666666666665</v>
      </c>
      <c r="M111" s="22">
        <f>HP(M$2,M$4,$A111,Avatars!$L$17,Avatars!$N$17+$A111-1)+$A$1</f>
        <v>3360.333333333333</v>
      </c>
      <c r="N111" s="22">
        <f>HP(N$2,N$4,$A111,Avatars!$L$17,Avatars!$N$17+$A111-1)+$A$1</f>
        <v>3442</v>
      </c>
      <c r="O111" s="23">
        <f t="shared" si="10"/>
        <v>1509.6666666666667</v>
      </c>
      <c r="P111" s="23">
        <f t="shared" si="10"/>
        <v>1089.6666666666667</v>
      </c>
      <c r="Q111" s="23">
        <f t="shared" si="10"/>
        <v>949.66666666666663</v>
      </c>
      <c r="R111" s="23">
        <f t="shared" si="10"/>
        <v>249.66666666666663</v>
      </c>
      <c r="S111" s="23">
        <f t="shared" si="10"/>
        <v>389.66666666666663</v>
      </c>
      <c r="T111" s="23">
        <f t="shared" si="10"/>
        <v>179.66666666666666</v>
      </c>
      <c r="U111" s="23">
        <f>mp(U$2,U$4,$A111,Avatars!$O$16,Avatars!$O$17+$A111)+$A$1</f>
        <v>3387</v>
      </c>
      <c r="V111" s="23">
        <f>mp(V$2,V$4,$A111,Avatars!$O$16,Avatars!$O$17+$A111)+$A$1</f>
        <v>2967</v>
      </c>
      <c r="W111" s="23">
        <f>mp(W$2,W$4,$A111,Avatars!$O$16,Avatars!$O$17+$A111)+$A$1</f>
        <v>2827</v>
      </c>
      <c r="X111" s="23">
        <f>mp(X$2,X$4,$A111,Avatars!$O$16,Avatars!$O$17+$A111)+$A$1</f>
        <v>2127</v>
      </c>
      <c r="Y111" s="23">
        <f>mp(Y$2,Y$4,$A111,Avatars!$O$16,Avatars!$O$17+$A111)+$A$1</f>
        <v>2267</v>
      </c>
      <c r="Z111" s="23">
        <f>mp(Z$2,Z$4,$A111,Avatars!$O$16,Avatars!$O$17+$A111)+$A$1</f>
        <v>2057</v>
      </c>
    </row>
    <row r="112" spans="1:26" s="2" customFormat="1">
      <c r="A112" s="17">
        <v>106</v>
      </c>
      <c r="B112" s="17"/>
      <c r="C112" s="22">
        <f t="shared" si="11"/>
        <v>1049.5555555555554</v>
      </c>
      <c r="D112" s="22">
        <f t="shared" si="11"/>
        <v>1214.4444444444443</v>
      </c>
      <c r="E112" s="22">
        <f t="shared" si="11"/>
        <v>1296.8888888888889</v>
      </c>
      <c r="F112" s="22">
        <f t="shared" si="11"/>
        <v>1461.7777777777778</v>
      </c>
      <c r="G112" s="22">
        <f t="shared" si="11"/>
        <v>1544.2222222222222</v>
      </c>
      <c r="H112" s="22">
        <f t="shared" si="11"/>
        <v>1626.6666666666667</v>
      </c>
      <c r="I112" s="22">
        <f>HP(I$2,I$4,$A112,Avatars!$L$17,Avatars!$N$17+$A112-1)+$A$1</f>
        <v>2892.8888888888887</v>
      </c>
      <c r="J112" s="22">
        <f>HP(J$2,J$4,$A112,Avatars!$L$17,Avatars!$N$17+$A112-1)+$A$1</f>
        <v>3057.7777777777778</v>
      </c>
      <c r="K112" s="22">
        <f>HP(K$2,K$4,$A112,Avatars!$L$17,Avatars!$N$17+$A112-1)+$A$1</f>
        <v>3140.2222222222222</v>
      </c>
      <c r="L112" s="22">
        <f>HP(L$2,L$4,$A112,Avatars!$L$17,Avatars!$N$17+$A112-1)+$A$1</f>
        <v>3305.1111111111113</v>
      </c>
      <c r="M112" s="22">
        <f>HP(M$2,M$4,$A112,Avatars!$L$17,Avatars!$N$17+$A112-1)+$A$1</f>
        <v>3387.5555555555557</v>
      </c>
      <c r="N112" s="22">
        <f>HP(N$2,N$4,$A112,Avatars!$L$17,Avatars!$N$17+$A112-1)+$A$1</f>
        <v>3470</v>
      </c>
      <c r="O112" s="23">
        <f t="shared" si="10"/>
        <v>1524</v>
      </c>
      <c r="P112" s="23">
        <f t="shared" si="10"/>
        <v>1100</v>
      </c>
      <c r="Q112" s="23">
        <f t="shared" si="10"/>
        <v>958.66666666666663</v>
      </c>
      <c r="R112" s="23">
        <f t="shared" si="10"/>
        <v>251.99999999999997</v>
      </c>
      <c r="S112" s="23">
        <f t="shared" si="10"/>
        <v>393.33333333333331</v>
      </c>
      <c r="T112" s="23">
        <f t="shared" si="10"/>
        <v>181.33333333333331</v>
      </c>
      <c r="U112" s="23">
        <f>mp(U$2,U$4,$A112,Avatars!$O$16,Avatars!$O$17+$A112)+$A$1</f>
        <v>3414.3333333333335</v>
      </c>
      <c r="V112" s="23">
        <f>mp(V$2,V$4,$A112,Avatars!$O$16,Avatars!$O$17+$A112)+$A$1</f>
        <v>2990.3333333333335</v>
      </c>
      <c r="W112" s="23">
        <f>mp(W$2,W$4,$A112,Avatars!$O$16,Avatars!$O$17+$A112)+$A$1</f>
        <v>2849</v>
      </c>
      <c r="X112" s="23">
        <f>mp(X$2,X$4,$A112,Avatars!$O$16,Avatars!$O$17+$A112)+$A$1</f>
        <v>2142.3333333333335</v>
      </c>
      <c r="Y112" s="23">
        <f>mp(Y$2,Y$4,$A112,Avatars!$O$16,Avatars!$O$17+$A112)+$A$1</f>
        <v>2283.6666666666665</v>
      </c>
      <c r="Z112" s="23">
        <f>mp(Z$2,Z$4,$A112,Avatars!$O$16,Avatars!$O$17+$A112)+$A$1</f>
        <v>2071.6666666666665</v>
      </c>
    </row>
    <row r="113" spans="1:26" s="2" customFormat="1">
      <c r="A113" s="17">
        <v>107</v>
      </c>
      <c r="B113" s="17"/>
      <c r="C113" s="22">
        <f t="shared" si="11"/>
        <v>1059.1111111111111</v>
      </c>
      <c r="D113" s="22">
        <f t="shared" si="11"/>
        <v>1225.5555555555554</v>
      </c>
      <c r="E113" s="22">
        <f t="shared" si="11"/>
        <v>1308.7777777777778</v>
      </c>
      <c r="F113" s="22">
        <f t="shared" si="11"/>
        <v>1475.2222222222222</v>
      </c>
      <c r="G113" s="22">
        <f t="shared" si="11"/>
        <v>1558.4444444444443</v>
      </c>
      <c r="H113" s="22">
        <f t="shared" si="11"/>
        <v>1641.6666666666667</v>
      </c>
      <c r="I113" s="22">
        <f>HP(I$2,I$4,$A113,Avatars!$L$17,Avatars!$N$17+$A113-1)+$A$1</f>
        <v>2915.4444444444443</v>
      </c>
      <c r="J113" s="22">
        <f>HP(J$2,J$4,$A113,Avatars!$L$17,Avatars!$N$17+$A113-1)+$A$1</f>
        <v>3081.8888888888887</v>
      </c>
      <c r="K113" s="22">
        <f>HP(K$2,K$4,$A113,Avatars!$L$17,Avatars!$N$17+$A113-1)+$A$1</f>
        <v>3165.1111111111113</v>
      </c>
      <c r="L113" s="22">
        <f>HP(L$2,L$4,$A113,Avatars!$L$17,Avatars!$N$17+$A113-1)+$A$1</f>
        <v>3331.5555555555557</v>
      </c>
      <c r="M113" s="22">
        <f>HP(M$2,M$4,$A113,Avatars!$L$17,Avatars!$N$17+$A113-1)+$A$1</f>
        <v>3414.7777777777778</v>
      </c>
      <c r="N113" s="22">
        <f>HP(N$2,N$4,$A113,Avatars!$L$17,Avatars!$N$17+$A113-1)+$A$1</f>
        <v>3498</v>
      </c>
      <c r="O113" s="23">
        <f t="shared" si="10"/>
        <v>1538.3333333333335</v>
      </c>
      <c r="P113" s="23">
        <f t="shared" si="10"/>
        <v>1110.3333333333335</v>
      </c>
      <c r="Q113" s="23">
        <f t="shared" si="10"/>
        <v>967.66666666666663</v>
      </c>
      <c r="R113" s="23">
        <f t="shared" si="10"/>
        <v>254.33333333333331</v>
      </c>
      <c r="S113" s="23">
        <f t="shared" si="10"/>
        <v>397</v>
      </c>
      <c r="T113" s="23">
        <f t="shared" si="10"/>
        <v>182.99999999999997</v>
      </c>
      <c r="U113" s="23">
        <f>mp(U$2,U$4,$A113,Avatars!$O$16,Avatars!$O$17+$A113)+$A$1</f>
        <v>3441.6666666666665</v>
      </c>
      <c r="V113" s="23">
        <f>mp(V$2,V$4,$A113,Avatars!$O$16,Avatars!$O$17+$A113)+$A$1</f>
        <v>3013.6666666666665</v>
      </c>
      <c r="W113" s="23">
        <f>mp(W$2,W$4,$A113,Avatars!$O$16,Avatars!$O$17+$A113)+$A$1</f>
        <v>2871</v>
      </c>
      <c r="X113" s="23">
        <f>mp(X$2,X$4,$A113,Avatars!$O$16,Avatars!$O$17+$A113)+$A$1</f>
        <v>2157.6666666666665</v>
      </c>
      <c r="Y113" s="23">
        <f>mp(Y$2,Y$4,$A113,Avatars!$O$16,Avatars!$O$17+$A113)+$A$1</f>
        <v>2300.3333333333335</v>
      </c>
      <c r="Z113" s="23">
        <f>mp(Z$2,Z$4,$A113,Avatars!$O$16,Avatars!$O$17+$A113)+$A$1</f>
        <v>2086.3333333333335</v>
      </c>
    </row>
    <row r="114" spans="1:26" s="2" customFormat="1">
      <c r="A114" s="17">
        <v>108</v>
      </c>
      <c r="B114" s="17"/>
      <c r="C114" s="22">
        <f t="shared" si="11"/>
        <v>1068.6666666666667</v>
      </c>
      <c r="D114" s="22">
        <f t="shared" si="11"/>
        <v>1236.6666666666665</v>
      </c>
      <c r="E114" s="22">
        <f t="shared" si="11"/>
        <v>1320.6666666666667</v>
      </c>
      <c r="F114" s="22">
        <f t="shared" si="11"/>
        <v>1488.6666666666667</v>
      </c>
      <c r="G114" s="22">
        <f t="shared" si="11"/>
        <v>1572.6666666666665</v>
      </c>
      <c r="H114" s="22">
        <f t="shared" si="11"/>
        <v>1656.6666666666667</v>
      </c>
      <c r="I114" s="22">
        <f>HP(I$2,I$4,$A114,Avatars!$L$17,Avatars!$N$17+$A114-1)+$A$1</f>
        <v>2938</v>
      </c>
      <c r="J114" s="22">
        <f>HP(J$2,J$4,$A114,Avatars!$L$17,Avatars!$N$17+$A114-1)+$A$1</f>
        <v>3106</v>
      </c>
      <c r="K114" s="22">
        <f>HP(K$2,K$4,$A114,Avatars!$L$17,Avatars!$N$17+$A114-1)+$A$1</f>
        <v>3190</v>
      </c>
      <c r="L114" s="22">
        <f>HP(L$2,L$4,$A114,Avatars!$L$17,Avatars!$N$17+$A114-1)+$A$1</f>
        <v>3358</v>
      </c>
      <c r="M114" s="22">
        <f>HP(M$2,M$4,$A114,Avatars!$L$17,Avatars!$N$17+$A114-1)+$A$1</f>
        <v>3442</v>
      </c>
      <c r="N114" s="22">
        <f>HP(N$2,N$4,$A114,Avatars!$L$17,Avatars!$N$17+$A114-1)+$A$1</f>
        <v>3526</v>
      </c>
      <c r="O114" s="23">
        <f t="shared" si="10"/>
        <v>1552.6666666666667</v>
      </c>
      <c r="P114" s="23">
        <f t="shared" si="10"/>
        <v>1120.6666666666667</v>
      </c>
      <c r="Q114" s="23">
        <f t="shared" si="10"/>
        <v>976.66666666666663</v>
      </c>
      <c r="R114" s="23">
        <f t="shared" si="10"/>
        <v>256.66666666666663</v>
      </c>
      <c r="S114" s="23">
        <f t="shared" si="10"/>
        <v>400.66666666666663</v>
      </c>
      <c r="T114" s="23">
        <f t="shared" si="10"/>
        <v>184.66666666666666</v>
      </c>
      <c r="U114" s="23">
        <f>mp(U$2,U$4,$A114,Avatars!$O$16,Avatars!$O$17+$A114)+$A$1</f>
        <v>3469</v>
      </c>
      <c r="V114" s="23">
        <f>mp(V$2,V$4,$A114,Avatars!$O$16,Avatars!$O$17+$A114)+$A$1</f>
        <v>3037</v>
      </c>
      <c r="W114" s="23">
        <f>mp(W$2,W$4,$A114,Avatars!$O$16,Avatars!$O$17+$A114)+$A$1</f>
        <v>2893</v>
      </c>
      <c r="X114" s="23">
        <f>mp(X$2,X$4,$A114,Avatars!$O$16,Avatars!$O$17+$A114)+$A$1</f>
        <v>2173</v>
      </c>
      <c r="Y114" s="23">
        <f>mp(Y$2,Y$4,$A114,Avatars!$O$16,Avatars!$O$17+$A114)+$A$1</f>
        <v>2317</v>
      </c>
      <c r="Z114" s="23">
        <f>mp(Z$2,Z$4,$A114,Avatars!$O$16,Avatars!$O$17+$A114)+$A$1</f>
        <v>2101</v>
      </c>
    </row>
    <row r="115" spans="1:26" s="2" customFormat="1">
      <c r="A115" s="17">
        <v>109</v>
      </c>
      <c r="B115" s="17"/>
      <c r="C115" s="22">
        <f t="shared" si="11"/>
        <v>1078.2222222222222</v>
      </c>
      <c r="D115" s="22">
        <f t="shared" si="11"/>
        <v>1247.7777777777778</v>
      </c>
      <c r="E115" s="22">
        <f t="shared" si="11"/>
        <v>1332.5555555555557</v>
      </c>
      <c r="F115" s="22">
        <f t="shared" si="11"/>
        <v>1502.1111111111111</v>
      </c>
      <c r="G115" s="22">
        <f t="shared" si="11"/>
        <v>1586.8888888888887</v>
      </c>
      <c r="H115" s="22">
        <f t="shared" si="11"/>
        <v>1671.6666666666667</v>
      </c>
      <c r="I115" s="22">
        <f>HP(I$2,I$4,$A115,Avatars!$L$17,Avatars!$N$17+$A115-1)+$A$1</f>
        <v>2960.5555555555557</v>
      </c>
      <c r="J115" s="22">
        <f>HP(J$2,J$4,$A115,Avatars!$L$17,Avatars!$N$17+$A115-1)+$A$1</f>
        <v>3130.1111111111109</v>
      </c>
      <c r="K115" s="22">
        <f>HP(K$2,K$4,$A115,Avatars!$L$17,Avatars!$N$17+$A115-1)+$A$1</f>
        <v>3214.8888888888891</v>
      </c>
      <c r="L115" s="22">
        <f>HP(L$2,L$4,$A115,Avatars!$L$17,Avatars!$N$17+$A115-1)+$A$1</f>
        <v>3384.4444444444443</v>
      </c>
      <c r="M115" s="22">
        <f>HP(M$2,M$4,$A115,Avatars!$L$17,Avatars!$N$17+$A115-1)+$A$1</f>
        <v>3469.2222222222222</v>
      </c>
      <c r="N115" s="22">
        <f>HP(N$2,N$4,$A115,Avatars!$L$17,Avatars!$N$17+$A115-1)+$A$1</f>
        <v>3554</v>
      </c>
      <c r="O115" s="23">
        <f t="shared" si="10"/>
        <v>1567</v>
      </c>
      <c r="P115" s="23">
        <f t="shared" si="10"/>
        <v>1131</v>
      </c>
      <c r="Q115" s="23">
        <f t="shared" si="10"/>
        <v>985.66666666666663</v>
      </c>
      <c r="R115" s="23">
        <f t="shared" si="10"/>
        <v>258.99999999999994</v>
      </c>
      <c r="S115" s="23">
        <f t="shared" si="10"/>
        <v>404.33333333333331</v>
      </c>
      <c r="T115" s="23">
        <f t="shared" si="10"/>
        <v>186.33333333333331</v>
      </c>
      <c r="U115" s="23">
        <f>mp(U$2,U$4,$A115,Avatars!$O$16,Avatars!$O$17+$A115)+$A$1</f>
        <v>3496.3333333333335</v>
      </c>
      <c r="V115" s="23">
        <f>mp(V$2,V$4,$A115,Avatars!$O$16,Avatars!$O$17+$A115)+$A$1</f>
        <v>3060.3333333333335</v>
      </c>
      <c r="W115" s="23">
        <f>mp(W$2,W$4,$A115,Avatars!$O$16,Avatars!$O$17+$A115)+$A$1</f>
        <v>2915</v>
      </c>
      <c r="X115" s="23">
        <f>mp(X$2,X$4,$A115,Avatars!$O$16,Avatars!$O$17+$A115)+$A$1</f>
        <v>2188.3333333333335</v>
      </c>
      <c r="Y115" s="23">
        <f>mp(Y$2,Y$4,$A115,Avatars!$O$16,Avatars!$O$17+$A115)+$A$1</f>
        <v>2333.6666666666665</v>
      </c>
      <c r="Z115" s="23">
        <f>mp(Z$2,Z$4,$A115,Avatars!$O$16,Avatars!$O$17+$A115)+$A$1</f>
        <v>2115.6666666666665</v>
      </c>
    </row>
    <row r="116" spans="1:26" s="2" customFormat="1">
      <c r="A116" s="17">
        <v>110</v>
      </c>
      <c r="B116" s="17"/>
      <c r="C116" s="22">
        <f t="shared" si="11"/>
        <v>1087.7777777777778</v>
      </c>
      <c r="D116" s="22">
        <f t="shared" si="11"/>
        <v>1258.8888888888889</v>
      </c>
      <c r="E116" s="22">
        <f t="shared" si="11"/>
        <v>1344.4444444444446</v>
      </c>
      <c r="F116" s="22">
        <f t="shared" si="11"/>
        <v>1515.5555555555557</v>
      </c>
      <c r="G116" s="22">
        <f t="shared" si="11"/>
        <v>1601.1111111111111</v>
      </c>
      <c r="H116" s="22">
        <f t="shared" si="11"/>
        <v>1686.6666666666667</v>
      </c>
      <c r="I116" s="22">
        <f>HP(I$2,I$4,$A116,Avatars!$L$17,Avatars!$N$17+$A116-1)+$A$1</f>
        <v>2983.1111111111113</v>
      </c>
      <c r="J116" s="22">
        <f>HP(J$2,J$4,$A116,Avatars!$L$17,Avatars!$N$17+$A116-1)+$A$1</f>
        <v>3154.2222222222222</v>
      </c>
      <c r="K116" s="22">
        <f>HP(K$2,K$4,$A116,Avatars!$L$17,Avatars!$N$17+$A116-1)+$A$1</f>
        <v>3239.7777777777778</v>
      </c>
      <c r="L116" s="22">
        <f>HP(L$2,L$4,$A116,Avatars!$L$17,Avatars!$N$17+$A116-1)+$A$1</f>
        <v>3410.8888888888887</v>
      </c>
      <c r="M116" s="22">
        <f>HP(M$2,M$4,$A116,Avatars!$L$17,Avatars!$N$17+$A116-1)+$A$1</f>
        <v>3496.4444444444443</v>
      </c>
      <c r="N116" s="22">
        <f>HP(N$2,N$4,$A116,Avatars!$L$17,Avatars!$N$17+$A116-1)+$A$1</f>
        <v>3582</v>
      </c>
      <c r="O116" s="23">
        <f t="shared" si="10"/>
        <v>1581.3333333333335</v>
      </c>
      <c r="P116" s="23">
        <f t="shared" si="10"/>
        <v>1141.3333333333335</v>
      </c>
      <c r="Q116" s="23">
        <f t="shared" si="10"/>
        <v>994.66666666666663</v>
      </c>
      <c r="R116" s="23">
        <f t="shared" si="10"/>
        <v>261.33333333333331</v>
      </c>
      <c r="S116" s="23">
        <f t="shared" si="10"/>
        <v>408</v>
      </c>
      <c r="T116" s="23">
        <f t="shared" si="10"/>
        <v>187.99999999999997</v>
      </c>
      <c r="U116" s="23">
        <f>mp(U$2,U$4,$A116,Avatars!$O$16,Avatars!$O$17+$A116)+$A$1</f>
        <v>3523.6666666666665</v>
      </c>
      <c r="V116" s="23">
        <f>mp(V$2,V$4,$A116,Avatars!$O$16,Avatars!$O$17+$A116)+$A$1</f>
        <v>3083.6666666666665</v>
      </c>
      <c r="W116" s="23">
        <f>mp(W$2,W$4,$A116,Avatars!$O$16,Avatars!$O$17+$A116)+$A$1</f>
        <v>2937</v>
      </c>
      <c r="X116" s="23">
        <f>mp(X$2,X$4,$A116,Avatars!$O$16,Avatars!$O$17+$A116)+$A$1</f>
        <v>2203.6666666666665</v>
      </c>
      <c r="Y116" s="23">
        <f>mp(Y$2,Y$4,$A116,Avatars!$O$16,Avatars!$O$17+$A116)+$A$1</f>
        <v>2350.3333333333335</v>
      </c>
      <c r="Z116" s="23">
        <f>mp(Z$2,Z$4,$A116,Avatars!$O$16,Avatars!$O$17+$A116)+$A$1</f>
        <v>2130.3333333333335</v>
      </c>
    </row>
    <row r="117" spans="1:26" s="2" customFormat="1">
      <c r="A117" s="17">
        <v>111</v>
      </c>
      <c r="B117" s="17"/>
      <c r="C117" s="22">
        <f t="shared" si="11"/>
        <v>1097.3333333333333</v>
      </c>
      <c r="D117" s="22">
        <f t="shared" si="11"/>
        <v>1270</v>
      </c>
      <c r="E117" s="22">
        <f t="shared" si="11"/>
        <v>1356.3333333333335</v>
      </c>
      <c r="F117" s="22">
        <f t="shared" si="11"/>
        <v>1529</v>
      </c>
      <c r="G117" s="22">
        <f t="shared" si="11"/>
        <v>1615.3333333333333</v>
      </c>
      <c r="H117" s="22">
        <f t="shared" si="11"/>
        <v>1701.6666666666667</v>
      </c>
      <c r="I117" s="22">
        <f>HP(I$2,I$4,$A117,Avatars!$L$17,Avatars!$N$17+$A117-1)+$A$1</f>
        <v>3005.6666666666665</v>
      </c>
      <c r="J117" s="22">
        <f>HP(J$2,J$4,$A117,Avatars!$L$17,Avatars!$N$17+$A117-1)+$A$1</f>
        <v>3178.3333333333335</v>
      </c>
      <c r="K117" s="22">
        <f>HP(K$2,K$4,$A117,Avatars!$L$17,Avatars!$N$17+$A117-1)+$A$1</f>
        <v>3264.6666666666665</v>
      </c>
      <c r="L117" s="22">
        <f>HP(L$2,L$4,$A117,Avatars!$L$17,Avatars!$N$17+$A117-1)+$A$1</f>
        <v>3437.3333333333335</v>
      </c>
      <c r="M117" s="22">
        <f>HP(M$2,M$4,$A117,Avatars!$L$17,Avatars!$N$17+$A117-1)+$A$1</f>
        <v>3523.6666666666665</v>
      </c>
      <c r="N117" s="22">
        <f>HP(N$2,N$4,$A117,Avatars!$L$17,Avatars!$N$17+$A117-1)+$A$1</f>
        <v>3610</v>
      </c>
      <c r="O117" s="23">
        <f t="shared" si="10"/>
        <v>1595.6666666666667</v>
      </c>
      <c r="P117" s="23">
        <f t="shared" si="10"/>
        <v>1151.6666666666667</v>
      </c>
      <c r="Q117" s="23">
        <f t="shared" si="10"/>
        <v>1003.6666666666666</v>
      </c>
      <c r="R117" s="23">
        <f t="shared" si="10"/>
        <v>263.66666666666663</v>
      </c>
      <c r="S117" s="23">
        <f t="shared" si="10"/>
        <v>411.66666666666663</v>
      </c>
      <c r="T117" s="23">
        <f t="shared" si="10"/>
        <v>189.66666666666666</v>
      </c>
      <c r="U117" s="23">
        <f>mp(U$2,U$4,$A117,Avatars!$O$16,Avatars!$O$17+$A117)+$A$1</f>
        <v>3551</v>
      </c>
      <c r="V117" s="23">
        <f>mp(V$2,V$4,$A117,Avatars!$O$16,Avatars!$O$17+$A117)+$A$1</f>
        <v>3107</v>
      </c>
      <c r="W117" s="23">
        <f>mp(W$2,W$4,$A117,Avatars!$O$16,Avatars!$O$17+$A117)+$A$1</f>
        <v>2959</v>
      </c>
      <c r="X117" s="23">
        <f>mp(X$2,X$4,$A117,Avatars!$O$16,Avatars!$O$17+$A117)+$A$1</f>
        <v>2219</v>
      </c>
      <c r="Y117" s="23">
        <f>mp(Y$2,Y$4,$A117,Avatars!$O$16,Avatars!$O$17+$A117)+$A$1</f>
        <v>2367</v>
      </c>
      <c r="Z117" s="23">
        <f>mp(Z$2,Z$4,$A117,Avatars!$O$16,Avatars!$O$17+$A117)+$A$1</f>
        <v>2145</v>
      </c>
    </row>
    <row r="118" spans="1:26" s="2" customFormat="1">
      <c r="A118" s="17">
        <v>112</v>
      </c>
      <c r="B118" s="17"/>
      <c r="C118" s="22">
        <f t="shared" si="11"/>
        <v>1106.8888888888889</v>
      </c>
      <c r="D118" s="22">
        <f t="shared" si="11"/>
        <v>1281.1111111111111</v>
      </c>
      <c r="E118" s="22">
        <f t="shared" si="11"/>
        <v>1368.2222222222222</v>
      </c>
      <c r="F118" s="22">
        <f t="shared" si="11"/>
        <v>1542.4444444444446</v>
      </c>
      <c r="G118" s="22">
        <f t="shared" si="11"/>
        <v>1629.5555555555554</v>
      </c>
      <c r="H118" s="22">
        <f t="shared" si="11"/>
        <v>1716.6666666666667</v>
      </c>
      <c r="I118" s="22">
        <f>HP(I$2,I$4,$A118,Avatars!$L$17,Avatars!$N$17+$A118-1)+$A$1</f>
        <v>3028.2222222222222</v>
      </c>
      <c r="J118" s="22">
        <f>HP(J$2,J$4,$A118,Avatars!$L$17,Avatars!$N$17+$A118-1)+$A$1</f>
        <v>3202.4444444444443</v>
      </c>
      <c r="K118" s="22">
        <f>HP(K$2,K$4,$A118,Avatars!$L$17,Avatars!$N$17+$A118-1)+$A$1</f>
        <v>3289.5555555555557</v>
      </c>
      <c r="L118" s="22">
        <f>HP(L$2,L$4,$A118,Avatars!$L$17,Avatars!$N$17+$A118-1)+$A$1</f>
        <v>3463.7777777777778</v>
      </c>
      <c r="M118" s="22">
        <f>HP(M$2,M$4,$A118,Avatars!$L$17,Avatars!$N$17+$A118-1)+$A$1</f>
        <v>3550.8888888888887</v>
      </c>
      <c r="N118" s="22">
        <f>HP(N$2,N$4,$A118,Avatars!$L$17,Avatars!$N$17+$A118-1)+$A$1</f>
        <v>3638</v>
      </c>
      <c r="O118" s="23">
        <f t="shared" si="10"/>
        <v>1610</v>
      </c>
      <c r="P118" s="23">
        <f t="shared" si="10"/>
        <v>1162</v>
      </c>
      <c r="Q118" s="23">
        <f t="shared" si="10"/>
        <v>1012.6666666666666</v>
      </c>
      <c r="R118" s="23">
        <f t="shared" si="10"/>
        <v>265.99999999999994</v>
      </c>
      <c r="S118" s="23">
        <f t="shared" si="10"/>
        <v>415.33333333333331</v>
      </c>
      <c r="T118" s="23">
        <f t="shared" si="10"/>
        <v>191.33333333333331</v>
      </c>
      <c r="U118" s="23">
        <f>mp(U$2,U$4,$A118,Avatars!$O$16,Avatars!$O$17+$A118)+$A$1</f>
        <v>3578.3333333333335</v>
      </c>
      <c r="V118" s="23">
        <f>mp(V$2,V$4,$A118,Avatars!$O$16,Avatars!$O$17+$A118)+$A$1</f>
        <v>3130.3333333333335</v>
      </c>
      <c r="W118" s="23">
        <f>mp(W$2,W$4,$A118,Avatars!$O$16,Avatars!$O$17+$A118)+$A$1</f>
        <v>2981</v>
      </c>
      <c r="X118" s="23">
        <f>mp(X$2,X$4,$A118,Avatars!$O$16,Avatars!$O$17+$A118)+$A$1</f>
        <v>2234.3333333333335</v>
      </c>
      <c r="Y118" s="23">
        <f>mp(Y$2,Y$4,$A118,Avatars!$O$16,Avatars!$O$17+$A118)+$A$1</f>
        <v>2383.6666666666665</v>
      </c>
      <c r="Z118" s="23">
        <f>mp(Z$2,Z$4,$A118,Avatars!$O$16,Avatars!$O$17+$A118)+$A$1</f>
        <v>2159.6666666666665</v>
      </c>
    </row>
    <row r="119" spans="1:26" s="2" customFormat="1">
      <c r="A119" s="17">
        <v>113</v>
      </c>
      <c r="B119" s="17"/>
      <c r="C119" s="22">
        <f t="shared" si="11"/>
        <v>1116.4444444444443</v>
      </c>
      <c r="D119" s="22">
        <f t="shared" si="11"/>
        <v>1292.2222222222222</v>
      </c>
      <c r="E119" s="22">
        <f t="shared" si="11"/>
        <v>1380.1111111111111</v>
      </c>
      <c r="F119" s="22">
        <f t="shared" si="11"/>
        <v>1555.8888888888889</v>
      </c>
      <c r="G119" s="22">
        <f t="shared" si="11"/>
        <v>1643.7777777777776</v>
      </c>
      <c r="H119" s="22">
        <f t="shared" si="11"/>
        <v>1731.6666666666667</v>
      </c>
      <c r="I119" s="22">
        <f>HP(I$2,I$4,$A119,Avatars!$L$17,Avatars!$N$17+$A119-1)+$A$1</f>
        <v>3050.7777777777778</v>
      </c>
      <c r="J119" s="22">
        <f>HP(J$2,J$4,$A119,Avatars!$L$17,Avatars!$N$17+$A119-1)+$A$1</f>
        <v>3226.5555555555557</v>
      </c>
      <c r="K119" s="22">
        <f>HP(K$2,K$4,$A119,Avatars!$L$17,Avatars!$N$17+$A119-1)+$A$1</f>
        <v>3314.4444444444443</v>
      </c>
      <c r="L119" s="22">
        <f>HP(L$2,L$4,$A119,Avatars!$L$17,Avatars!$N$17+$A119-1)+$A$1</f>
        <v>3490.2222222222222</v>
      </c>
      <c r="M119" s="22">
        <f>HP(M$2,M$4,$A119,Avatars!$L$17,Avatars!$N$17+$A119-1)+$A$1</f>
        <v>3578.1111111111109</v>
      </c>
      <c r="N119" s="22">
        <f>HP(N$2,N$4,$A119,Avatars!$L$17,Avatars!$N$17+$A119-1)+$A$1</f>
        <v>3666</v>
      </c>
      <c r="O119" s="23">
        <f t="shared" si="10"/>
        <v>1624.3333333333335</v>
      </c>
      <c r="P119" s="23">
        <f t="shared" si="10"/>
        <v>1172.3333333333335</v>
      </c>
      <c r="Q119" s="23">
        <f t="shared" si="10"/>
        <v>1021.6666666666666</v>
      </c>
      <c r="R119" s="23">
        <f t="shared" si="10"/>
        <v>268.33333333333331</v>
      </c>
      <c r="S119" s="23">
        <f t="shared" si="10"/>
        <v>419</v>
      </c>
      <c r="T119" s="23">
        <f t="shared" si="10"/>
        <v>192.99999999999997</v>
      </c>
      <c r="U119" s="23">
        <f>mp(U$2,U$4,$A119,Avatars!$O$16,Avatars!$O$17+$A119)+$A$1</f>
        <v>3605.6666666666665</v>
      </c>
      <c r="V119" s="23">
        <f>mp(V$2,V$4,$A119,Avatars!$O$16,Avatars!$O$17+$A119)+$A$1</f>
        <v>3153.6666666666665</v>
      </c>
      <c r="W119" s="23">
        <f>mp(W$2,W$4,$A119,Avatars!$O$16,Avatars!$O$17+$A119)+$A$1</f>
        <v>3003</v>
      </c>
      <c r="X119" s="23">
        <f>mp(X$2,X$4,$A119,Avatars!$O$16,Avatars!$O$17+$A119)+$A$1</f>
        <v>2249.6666666666665</v>
      </c>
      <c r="Y119" s="23">
        <f>mp(Y$2,Y$4,$A119,Avatars!$O$16,Avatars!$O$17+$A119)+$A$1</f>
        <v>2400.3333333333335</v>
      </c>
      <c r="Z119" s="23">
        <f>mp(Z$2,Z$4,$A119,Avatars!$O$16,Avatars!$O$17+$A119)+$A$1</f>
        <v>2174.3333333333335</v>
      </c>
    </row>
    <row r="120" spans="1:26" s="2" customFormat="1">
      <c r="A120" s="17">
        <v>114</v>
      </c>
      <c r="B120" s="17"/>
      <c r="C120" s="22">
        <f t="shared" si="11"/>
        <v>1126</v>
      </c>
      <c r="D120" s="22">
        <f t="shared" si="11"/>
        <v>1303.3333333333333</v>
      </c>
      <c r="E120" s="22">
        <f t="shared" si="11"/>
        <v>1392</v>
      </c>
      <c r="F120" s="22">
        <f t="shared" si="11"/>
        <v>1569.3333333333333</v>
      </c>
      <c r="G120" s="22">
        <f t="shared" si="11"/>
        <v>1658</v>
      </c>
      <c r="H120" s="22">
        <f t="shared" si="11"/>
        <v>1746.6666666666667</v>
      </c>
      <c r="I120" s="22">
        <f>HP(I$2,I$4,$A120,Avatars!$L$17,Avatars!$N$17+$A120-1)+$A$1</f>
        <v>3073.3333333333335</v>
      </c>
      <c r="J120" s="22">
        <f>HP(J$2,J$4,$A120,Avatars!$L$17,Avatars!$N$17+$A120-1)+$A$1</f>
        <v>3250.6666666666665</v>
      </c>
      <c r="K120" s="22">
        <f>HP(K$2,K$4,$A120,Avatars!$L$17,Avatars!$N$17+$A120-1)+$A$1</f>
        <v>3339.3333333333335</v>
      </c>
      <c r="L120" s="22">
        <f>HP(L$2,L$4,$A120,Avatars!$L$17,Avatars!$N$17+$A120-1)+$A$1</f>
        <v>3516.6666666666665</v>
      </c>
      <c r="M120" s="22">
        <f>HP(M$2,M$4,$A120,Avatars!$L$17,Avatars!$N$17+$A120-1)+$A$1</f>
        <v>3605.333333333333</v>
      </c>
      <c r="N120" s="22">
        <f>HP(N$2,N$4,$A120,Avatars!$L$17,Avatars!$N$17+$A120-1)+$A$1</f>
        <v>3694</v>
      </c>
      <c r="O120" s="23">
        <f t="shared" si="10"/>
        <v>1638.6666666666667</v>
      </c>
      <c r="P120" s="23">
        <f t="shared" si="10"/>
        <v>1182.6666666666667</v>
      </c>
      <c r="Q120" s="23">
        <f t="shared" si="10"/>
        <v>1030.6666666666667</v>
      </c>
      <c r="R120" s="23">
        <f t="shared" si="10"/>
        <v>270.66666666666663</v>
      </c>
      <c r="S120" s="23">
        <f t="shared" si="10"/>
        <v>422.66666666666663</v>
      </c>
      <c r="T120" s="23">
        <f t="shared" si="10"/>
        <v>194.66666666666666</v>
      </c>
      <c r="U120" s="23">
        <f>mp(U$2,U$4,$A120,Avatars!$O$16,Avatars!$O$17+$A120)+$A$1</f>
        <v>3633</v>
      </c>
      <c r="V120" s="23">
        <f>mp(V$2,V$4,$A120,Avatars!$O$16,Avatars!$O$17+$A120)+$A$1</f>
        <v>3177</v>
      </c>
      <c r="W120" s="23">
        <f>mp(W$2,W$4,$A120,Avatars!$O$16,Avatars!$O$17+$A120)+$A$1</f>
        <v>3025</v>
      </c>
      <c r="X120" s="23">
        <f>mp(X$2,X$4,$A120,Avatars!$O$16,Avatars!$O$17+$A120)+$A$1</f>
        <v>2265</v>
      </c>
      <c r="Y120" s="23">
        <f>mp(Y$2,Y$4,$A120,Avatars!$O$16,Avatars!$O$17+$A120)+$A$1</f>
        <v>2417</v>
      </c>
      <c r="Z120" s="23">
        <f>mp(Z$2,Z$4,$A120,Avatars!$O$16,Avatars!$O$17+$A120)+$A$1</f>
        <v>2189</v>
      </c>
    </row>
    <row r="121" spans="1:26" s="2" customFormat="1">
      <c r="A121" s="17">
        <v>115</v>
      </c>
      <c r="B121" s="17"/>
      <c r="C121" s="22">
        <f t="shared" si="11"/>
        <v>1135.5555555555554</v>
      </c>
      <c r="D121" s="22">
        <f t="shared" si="11"/>
        <v>1314.4444444444443</v>
      </c>
      <c r="E121" s="22">
        <f t="shared" si="11"/>
        <v>1403.8888888888889</v>
      </c>
      <c r="F121" s="22">
        <f t="shared" si="11"/>
        <v>1582.7777777777778</v>
      </c>
      <c r="G121" s="22">
        <f t="shared" si="11"/>
        <v>1672.2222222222222</v>
      </c>
      <c r="H121" s="22">
        <f t="shared" si="11"/>
        <v>1761.6666666666667</v>
      </c>
      <c r="I121" s="22">
        <f>HP(I$2,I$4,$A121,Avatars!$L$17,Avatars!$N$17+$A121-1)+$A$1</f>
        <v>3095.8888888888887</v>
      </c>
      <c r="J121" s="22">
        <f>HP(J$2,J$4,$A121,Avatars!$L$17,Avatars!$N$17+$A121-1)+$A$1</f>
        <v>3274.7777777777778</v>
      </c>
      <c r="K121" s="22">
        <f>HP(K$2,K$4,$A121,Avatars!$L$17,Avatars!$N$17+$A121-1)+$A$1</f>
        <v>3364.2222222222222</v>
      </c>
      <c r="L121" s="22">
        <f>HP(L$2,L$4,$A121,Avatars!$L$17,Avatars!$N$17+$A121-1)+$A$1</f>
        <v>3543.1111111111113</v>
      </c>
      <c r="M121" s="22">
        <f>HP(M$2,M$4,$A121,Avatars!$L$17,Avatars!$N$17+$A121-1)+$A$1</f>
        <v>3632.5555555555557</v>
      </c>
      <c r="N121" s="22">
        <f>HP(N$2,N$4,$A121,Avatars!$L$17,Avatars!$N$17+$A121-1)+$A$1</f>
        <v>3722</v>
      </c>
      <c r="O121" s="23">
        <f t="shared" si="10"/>
        <v>1653</v>
      </c>
      <c r="P121" s="23">
        <f t="shared" si="10"/>
        <v>1193</v>
      </c>
      <c r="Q121" s="23">
        <f t="shared" si="10"/>
        <v>1039.6666666666667</v>
      </c>
      <c r="R121" s="23">
        <f t="shared" si="10"/>
        <v>272.99999999999994</v>
      </c>
      <c r="S121" s="23">
        <f t="shared" si="10"/>
        <v>426.33333333333331</v>
      </c>
      <c r="T121" s="23">
        <f t="shared" si="10"/>
        <v>196.33333333333331</v>
      </c>
      <c r="U121" s="23">
        <f>mp(U$2,U$4,$A121,Avatars!$O$16,Avatars!$O$17+$A121)+$A$1</f>
        <v>3660.3333333333335</v>
      </c>
      <c r="V121" s="23">
        <f>mp(V$2,V$4,$A121,Avatars!$O$16,Avatars!$O$17+$A121)+$A$1</f>
        <v>3200.3333333333335</v>
      </c>
      <c r="W121" s="23">
        <f>mp(W$2,W$4,$A121,Avatars!$O$16,Avatars!$O$17+$A121)+$A$1</f>
        <v>3047</v>
      </c>
      <c r="X121" s="23">
        <f>mp(X$2,X$4,$A121,Avatars!$O$16,Avatars!$O$17+$A121)+$A$1</f>
        <v>2280.3333333333335</v>
      </c>
      <c r="Y121" s="23">
        <f>mp(Y$2,Y$4,$A121,Avatars!$O$16,Avatars!$O$17+$A121)+$A$1</f>
        <v>2433.6666666666665</v>
      </c>
      <c r="Z121" s="23">
        <f>mp(Z$2,Z$4,$A121,Avatars!$O$16,Avatars!$O$17+$A121)+$A$1</f>
        <v>2203.6666666666665</v>
      </c>
    </row>
    <row r="122" spans="1:26" s="2" customFormat="1">
      <c r="A122" s="17">
        <v>116</v>
      </c>
      <c r="B122" s="17"/>
      <c r="C122" s="22">
        <f t="shared" si="11"/>
        <v>1145.1111111111111</v>
      </c>
      <c r="D122" s="22">
        <f t="shared" si="11"/>
        <v>1325.5555555555554</v>
      </c>
      <c r="E122" s="22">
        <f t="shared" si="11"/>
        <v>1415.7777777777778</v>
      </c>
      <c r="F122" s="22">
        <f t="shared" si="11"/>
        <v>1596.2222222222222</v>
      </c>
      <c r="G122" s="22">
        <f t="shared" si="11"/>
        <v>1686.4444444444443</v>
      </c>
      <c r="H122" s="22">
        <f t="shared" si="11"/>
        <v>1776.6666666666667</v>
      </c>
      <c r="I122" s="22">
        <f>HP(I$2,I$4,$A122,Avatars!$L$17,Avatars!$N$17+$A122-1)+$A$1</f>
        <v>3118.4444444444443</v>
      </c>
      <c r="J122" s="22">
        <f>HP(J$2,J$4,$A122,Avatars!$L$17,Avatars!$N$17+$A122-1)+$A$1</f>
        <v>3298.8888888888887</v>
      </c>
      <c r="K122" s="22">
        <f>HP(K$2,K$4,$A122,Avatars!$L$17,Avatars!$N$17+$A122-1)+$A$1</f>
        <v>3389.1111111111113</v>
      </c>
      <c r="L122" s="22">
        <f>HP(L$2,L$4,$A122,Avatars!$L$17,Avatars!$N$17+$A122-1)+$A$1</f>
        <v>3569.5555555555557</v>
      </c>
      <c r="M122" s="22">
        <f>HP(M$2,M$4,$A122,Avatars!$L$17,Avatars!$N$17+$A122-1)+$A$1</f>
        <v>3659.7777777777778</v>
      </c>
      <c r="N122" s="22">
        <f>HP(N$2,N$4,$A122,Avatars!$L$17,Avatars!$N$17+$A122-1)+$A$1</f>
        <v>3750</v>
      </c>
      <c r="O122" s="23">
        <f t="shared" si="10"/>
        <v>1667.3333333333335</v>
      </c>
      <c r="P122" s="23">
        <f t="shared" si="10"/>
        <v>1203.3333333333335</v>
      </c>
      <c r="Q122" s="23">
        <f t="shared" si="10"/>
        <v>1048.6666666666667</v>
      </c>
      <c r="R122" s="23">
        <f t="shared" si="10"/>
        <v>275.33333333333331</v>
      </c>
      <c r="S122" s="23">
        <f t="shared" si="10"/>
        <v>430</v>
      </c>
      <c r="T122" s="23">
        <f t="shared" si="10"/>
        <v>197.99999999999997</v>
      </c>
      <c r="U122" s="23">
        <f>mp(U$2,U$4,$A122,Avatars!$O$16,Avatars!$O$17+$A122)+$A$1</f>
        <v>3687.6666666666665</v>
      </c>
      <c r="V122" s="23">
        <f>mp(V$2,V$4,$A122,Avatars!$O$16,Avatars!$O$17+$A122)+$A$1</f>
        <v>3223.6666666666665</v>
      </c>
      <c r="W122" s="23">
        <f>mp(W$2,W$4,$A122,Avatars!$O$16,Avatars!$O$17+$A122)+$A$1</f>
        <v>3069</v>
      </c>
      <c r="X122" s="23">
        <f>mp(X$2,X$4,$A122,Avatars!$O$16,Avatars!$O$17+$A122)+$A$1</f>
        <v>2295.6666666666665</v>
      </c>
      <c r="Y122" s="23">
        <f>mp(Y$2,Y$4,$A122,Avatars!$O$16,Avatars!$O$17+$A122)+$A$1</f>
        <v>2450.3333333333335</v>
      </c>
      <c r="Z122" s="23">
        <f>mp(Z$2,Z$4,$A122,Avatars!$O$16,Avatars!$O$17+$A122)+$A$1</f>
        <v>2218.3333333333335</v>
      </c>
    </row>
    <row r="123" spans="1:26" s="2" customFormat="1">
      <c r="A123" s="17">
        <v>117</v>
      </c>
      <c r="B123" s="17"/>
      <c r="C123" s="22">
        <f t="shared" si="11"/>
        <v>1154.6666666666667</v>
      </c>
      <c r="D123" s="22">
        <f t="shared" si="11"/>
        <v>1336.6666666666665</v>
      </c>
      <c r="E123" s="22">
        <f t="shared" si="11"/>
        <v>1427.6666666666667</v>
      </c>
      <c r="F123" s="22">
        <f t="shared" si="11"/>
        <v>1609.6666666666667</v>
      </c>
      <c r="G123" s="22">
        <f t="shared" si="11"/>
        <v>1700.6666666666665</v>
      </c>
      <c r="H123" s="22">
        <f t="shared" si="11"/>
        <v>1791.6666666666667</v>
      </c>
      <c r="I123" s="22">
        <f>HP(I$2,I$4,$A123,Avatars!$L$17,Avatars!$N$17+$A123-1)+$A$1</f>
        <v>3141</v>
      </c>
      <c r="J123" s="22">
        <f>HP(J$2,J$4,$A123,Avatars!$L$17,Avatars!$N$17+$A123-1)+$A$1</f>
        <v>3323</v>
      </c>
      <c r="K123" s="22">
        <f>HP(K$2,K$4,$A123,Avatars!$L$17,Avatars!$N$17+$A123-1)+$A$1</f>
        <v>3414</v>
      </c>
      <c r="L123" s="22">
        <f>HP(L$2,L$4,$A123,Avatars!$L$17,Avatars!$N$17+$A123-1)+$A$1</f>
        <v>3596</v>
      </c>
      <c r="M123" s="22">
        <f>HP(M$2,M$4,$A123,Avatars!$L$17,Avatars!$N$17+$A123-1)+$A$1</f>
        <v>3687</v>
      </c>
      <c r="N123" s="22">
        <f>HP(N$2,N$4,$A123,Avatars!$L$17,Avatars!$N$17+$A123-1)+$A$1</f>
        <v>3778</v>
      </c>
      <c r="O123" s="23">
        <f t="shared" si="10"/>
        <v>1681.6666666666667</v>
      </c>
      <c r="P123" s="23">
        <f t="shared" si="10"/>
        <v>1213.6666666666667</v>
      </c>
      <c r="Q123" s="23">
        <f t="shared" si="10"/>
        <v>1057.6666666666667</v>
      </c>
      <c r="R123" s="23">
        <f t="shared" si="10"/>
        <v>277.66666666666663</v>
      </c>
      <c r="S123" s="23">
        <f t="shared" si="10"/>
        <v>433.66666666666663</v>
      </c>
      <c r="T123" s="23">
        <f t="shared" si="10"/>
        <v>199.66666666666666</v>
      </c>
      <c r="U123" s="23">
        <f>mp(U$2,U$4,$A123,Avatars!$O$16,Avatars!$O$17+$A123)+$A$1</f>
        <v>3715</v>
      </c>
      <c r="V123" s="23">
        <f>mp(V$2,V$4,$A123,Avatars!$O$16,Avatars!$O$17+$A123)+$A$1</f>
        <v>3247</v>
      </c>
      <c r="W123" s="23">
        <f>mp(W$2,W$4,$A123,Avatars!$O$16,Avatars!$O$17+$A123)+$A$1</f>
        <v>3091</v>
      </c>
      <c r="X123" s="23">
        <f>mp(X$2,X$4,$A123,Avatars!$O$16,Avatars!$O$17+$A123)+$A$1</f>
        <v>2311</v>
      </c>
      <c r="Y123" s="23">
        <f>mp(Y$2,Y$4,$A123,Avatars!$O$16,Avatars!$O$17+$A123)+$A$1</f>
        <v>2467</v>
      </c>
      <c r="Z123" s="23">
        <f>mp(Z$2,Z$4,$A123,Avatars!$O$16,Avatars!$O$17+$A123)+$A$1</f>
        <v>2233</v>
      </c>
    </row>
    <row r="124" spans="1:26" s="2" customFormat="1">
      <c r="A124" s="17">
        <v>118</v>
      </c>
      <c r="B124" s="17"/>
      <c r="C124" s="22">
        <f t="shared" si="11"/>
        <v>1164.2222222222222</v>
      </c>
      <c r="D124" s="22">
        <f t="shared" si="11"/>
        <v>1347.7777777777778</v>
      </c>
      <c r="E124" s="22">
        <f t="shared" si="11"/>
        <v>1439.5555555555557</v>
      </c>
      <c r="F124" s="22">
        <f t="shared" si="11"/>
        <v>1623.1111111111111</v>
      </c>
      <c r="G124" s="22">
        <f t="shared" si="11"/>
        <v>1714.8888888888887</v>
      </c>
      <c r="H124" s="22">
        <f t="shared" si="11"/>
        <v>1806.6666666666667</v>
      </c>
      <c r="I124" s="22">
        <f>HP(I$2,I$4,$A124,Avatars!$L$17,Avatars!$N$17+$A124-1)+$A$1</f>
        <v>3163.5555555555557</v>
      </c>
      <c r="J124" s="22">
        <f>HP(J$2,J$4,$A124,Avatars!$L$17,Avatars!$N$17+$A124-1)+$A$1</f>
        <v>3347.1111111111109</v>
      </c>
      <c r="K124" s="22">
        <f>HP(K$2,K$4,$A124,Avatars!$L$17,Avatars!$N$17+$A124-1)+$A$1</f>
        <v>3438.8888888888891</v>
      </c>
      <c r="L124" s="22">
        <f>HP(L$2,L$4,$A124,Avatars!$L$17,Avatars!$N$17+$A124-1)+$A$1</f>
        <v>3622.4444444444443</v>
      </c>
      <c r="M124" s="22">
        <f>HP(M$2,M$4,$A124,Avatars!$L$17,Avatars!$N$17+$A124-1)+$A$1</f>
        <v>3714.2222222222222</v>
      </c>
      <c r="N124" s="22">
        <f>HP(N$2,N$4,$A124,Avatars!$L$17,Avatars!$N$17+$A124-1)+$A$1</f>
        <v>3806</v>
      </c>
      <c r="O124" s="23">
        <f t="shared" si="10"/>
        <v>1696</v>
      </c>
      <c r="P124" s="23">
        <f t="shared" si="10"/>
        <v>1224</v>
      </c>
      <c r="Q124" s="23">
        <f t="shared" si="10"/>
        <v>1066.6666666666667</v>
      </c>
      <c r="R124" s="23">
        <f t="shared" si="10"/>
        <v>279.99999999999994</v>
      </c>
      <c r="S124" s="23">
        <f t="shared" si="10"/>
        <v>437.33333333333331</v>
      </c>
      <c r="T124" s="23">
        <f t="shared" si="10"/>
        <v>201.33333333333331</v>
      </c>
      <c r="U124" s="23">
        <f>mp(U$2,U$4,$A124,Avatars!$O$16,Avatars!$O$17+$A124)+$A$1</f>
        <v>3742.3333333333335</v>
      </c>
      <c r="V124" s="23">
        <f>mp(V$2,V$4,$A124,Avatars!$O$16,Avatars!$O$17+$A124)+$A$1</f>
        <v>3270.3333333333335</v>
      </c>
      <c r="W124" s="23">
        <f>mp(W$2,W$4,$A124,Avatars!$O$16,Avatars!$O$17+$A124)+$A$1</f>
        <v>3113</v>
      </c>
      <c r="X124" s="23">
        <f>mp(X$2,X$4,$A124,Avatars!$O$16,Avatars!$O$17+$A124)+$A$1</f>
        <v>2326.3333333333335</v>
      </c>
      <c r="Y124" s="23">
        <f>mp(Y$2,Y$4,$A124,Avatars!$O$16,Avatars!$O$17+$A124)+$A$1</f>
        <v>2483.6666666666665</v>
      </c>
      <c r="Z124" s="23">
        <f>mp(Z$2,Z$4,$A124,Avatars!$O$16,Avatars!$O$17+$A124)+$A$1</f>
        <v>2247.6666666666665</v>
      </c>
    </row>
    <row r="125" spans="1:26" s="2" customFormat="1">
      <c r="A125" s="17">
        <v>119</v>
      </c>
      <c r="B125" s="17"/>
      <c r="C125" s="22">
        <f t="shared" si="11"/>
        <v>1173.7777777777778</v>
      </c>
      <c r="D125" s="22">
        <f t="shared" si="11"/>
        <v>1358.8888888888889</v>
      </c>
      <c r="E125" s="22">
        <f t="shared" si="11"/>
        <v>1451.4444444444446</v>
      </c>
      <c r="F125" s="22">
        <f t="shared" si="11"/>
        <v>1636.5555555555557</v>
      </c>
      <c r="G125" s="22">
        <f t="shared" si="11"/>
        <v>1729.1111111111111</v>
      </c>
      <c r="H125" s="22">
        <f t="shared" si="11"/>
        <v>1821.6666666666667</v>
      </c>
      <c r="I125" s="22">
        <f>HP(I$2,I$4,$A125,Avatars!$L$17,Avatars!$N$17+$A125-1)+$A$1</f>
        <v>3186.1111111111113</v>
      </c>
      <c r="J125" s="22">
        <f>HP(J$2,J$4,$A125,Avatars!$L$17,Avatars!$N$17+$A125-1)+$A$1</f>
        <v>3371.2222222222222</v>
      </c>
      <c r="K125" s="22">
        <f>HP(K$2,K$4,$A125,Avatars!$L$17,Avatars!$N$17+$A125-1)+$A$1</f>
        <v>3463.7777777777778</v>
      </c>
      <c r="L125" s="22">
        <f>HP(L$2,L$4,$A125,Avatars!$L$17,Avatars!$N$17+$A125-1)+$A$1</f>
        <v>3648.8888888888887</v>
      </c>
      <c r="M125" s="22">
        <f>HP(M$2,M$4,$A125,Avatars!$L$17,Avatars!$N$17+$A125-1)+$A$1</f>
        <v>3741.4444444444443</v>
      </c>
      <c r="N125" s="22">
        <f>HP(N$2,N$4,$A125,Avatars!$L$17,Avatars!$N$17+$A125-1)+$A$1</f>
        <v>3834</v>
      </c>
      <c r="O125" s="23">
        <f t="shared" si="10"/>
        <v>1710.3333333333335</v>
      </c>
      <c r="P125" s="23">
        <f t="shared" si="10"/>
        <v>1234.3333333333335</v>
      </c>
      <c r="Q125" s="23">
        <f t="shared" si="10"/>
        <v>1075.6666666666667</v>
      </c>
      <c r="R125" s="23">
        <f t="shared" si="10"/>
        <v>282.33333333333331</v>
      </c>
      <c r="S125" s="23">
        <f t="shared" si="10"/>
        <v>441</v>
      </c>
      <c r="T125" s="23">
        <f t="shared" si="10"/>
        <v>202.99999999999997</v>
      </c>
      <c r="U125" s="23">
        <f>mp(U$2,U$4,$A125,Avatars!$O$16,Avatars!$O$17+$A125)+$A$1</f>
        <v>3769.6666666666665</v>
      </c>
      <c r="V125" s="23">
        <f>mp(V$2,V$4,$A125,Avatars!$O$16,Avatars!$O$17+$A125)+$A$1</f>
        <v>3293.6666666666665</v>
      </c>
      <c r="W125" s="23">
        <f>mp(W$2,W$4,$A125,Avatars!$O$16,Avatars!$O$17+$A125)+$A$1</f>
        <v>3135</v>
      </c>
      <c r="X125" s="23">
        <f>mp(X$2,X$4,$A125,Avatars!$O$16,Avatars!$O$17+$A125)+$A$1</f>
        <v>2341.6666666666665</v>
      </c>
      <c r="Y125" s="23">
        <f>mp(Y$2,Y$4,$A125,Avatars!$O$16,Avatars!$O$17+$A125)+$A$1</f>
        <v>2500.3333333333335</v>
      </c>
      <c r="Z125" s="23">
        <f>mp(Z$2,Z$4,$A125,Avatars!$O$16,Avatars!$O$17+$A125)+$A$1</f>
        <v>2262.3333333333335</v>
      </c>
    </row>
    <row r="126" spans="1:26" s="2" customFormat="1">
      <c r="A126" s="17">
        <v>120</v>
      </c>
      <c r="B126" s="17"/>
      <c r="C126" s="22">
        <f t="shared" si="11"/>
        <v>1183.3333333333333</v>
      </c>
      <c r="D126" s="22">
        <f t="shared" si="11"/>
        <v>1370</v>
      </c>
      <c r="E126" s="22">
        <f t="shared" si="11"/>
        <v>1463.3333333333335</v>
      </c>
      <c r="F126" s="22">
        <f t="shared" si="11"/>
        <v>1650</v>
      </c>
      <c r="G126" s="22">
        <f t="shared" si="11"/>
        <v>1743.3333333333333</v>
      </c>
      <c r="H126" s="22">
        <f t="shared" si="11"/>
        <v>1836.6666666666667</v>
      </c>
      <c r="I126" s="22">
        <f>HP(I$2,I$4,$A126,Avatars!$L$17,Avatars!$N$17+$A126-1)+$A$1</f>
        <v>3208.6666666666665</v>
      </c>
      <c r="J126" s="22">
        <f>HP(J$2,J$4,$A126,Avatars!$L$17,Avatars!$N$17+$A126-1)+$A$1</f>
        <v>3395.3333333333335</v>
      </c>
      <c r="K126" s="22">
        <f>HP(K$2,K$4,$A126,Avatars!$L$17,Avatars!$N$17+$A126-1)+$A$1</f>
        <v>3488.6666666666665</v>
      </c>
      <c r="L126" s="22">
        <f>HP(L$2,L$4,$A126,Avatars!$L$17,Avatars!$N$17+$A126-1)+$A$1</f>
        <v>3675.3333333333335</v>
      </c>
      <c r="M126" s="22">
        <f>HP(M$2,M$4,$A126,Avatars!$L$17,Avatars!$N$17+$A126-1)+$A$1</f>
        <v>3768.6666666666665</v>
      </c>
      <c r="N126" s="22">
        <f>HP(N$2,N$4,$A126,Avatars!$L$17,Avatars!$N$17+$A126-1)+$A$1</f>
        <v>3862</v>
      </c>
      <c r="O126" s="23">
        <f t="shared" si="10"/>
        <v>1724.6666666666667</v>
      </c>
      <c r="P126" s="23">
        <f t="shared" si="10"/>
        <v>1244.6666666666667</v>
      </c>
      <c r="Q126" s="23">
        <f t="shared" si="10"/>
        <v>1084.6666666666667</v>
      </c>
      <c r="R126" s="23">
        <f t="shared" si="10"/>
        <v>284.66666666666663</v>
      </c>
      <c r="S126" s="23">
        <f t="shared" si="10"/>
        <v>444.66666666666663</v>
      </c>
      <c r="T126" s="23">
        <f t="shared" si="10"/>
        <v>204.66666666666666</v>
      </c>
      <c r="U126" s="23">
        <f>mp(U$2,U$4,$A126,Avatars!$O$16,Avatars!$O$17+$A126)+$A$1</f>
        <v>3797</v>
      </c>
      <c r="V126" s="23">
        <f>mp(V$2,V$4,$A126,Avatars!$O$16,Avatars!$O$17+$A126)+$A$1</f>
        <v>3317</v>
      </c>
      <c r="W126" s="23">
        <f>mp(W$2,W$4,$A126,Avatars!$O$16,Avatars!$O$17+$A126)+$A$1</f>
        <v>3157</v>
      </c>
      <c r="X126" s="23">
        <f>mp(X$2,X$4,$A126,Avatars!$O$16,Avatars!$O$17+$A126)+$A$1</f>
        <v>2357</v>
      </c>
      <c r="Y126" s="23">
        <f>mp(Y$2,Y$4,$A126,Avatars!$O$16,Avatars!$O$17+$A126)+$A$1</f>
        <v>2517</v>
      </c>
      <c r="Z126" s="23">
        <f>mp(Z$2,Z$4,$A126,Avatars!$O$16,Avatars!$O$17+$A126)+$A$1</f>
        <v>2277</v>
      </c>
    </row>
    <row r="127" spans="1:26" s="2" customFormat="1">
      <c r="A127" s="17">
        <v>121</v>
      </c>
      <c r="B127" s="17"/>
      <c r="C127" s="22">
        <f t="shared" si="11"/>
        <v>1192.8888888888889</v>
      </c>
      <c r="D127" s="22">
        <f t="shared" si="11"/>
        <v>1381.1111111111111</v>
      </c>
      <c r="E127" s="22">
        <f t="shared" si="11"/>
        <v>1475.2222222222222</v>
      </c>
      <c r="F127" s="22">
        <f t="shared" si="11"/>
        <v>1663.4444444444446</v>
      </c>
      <c r="G127" s="22">
        <f t="shared" si="11"/>
        <v>1757.5555555555554</v>
      </c>
      <c r="H127" s="22">
        <f t="shared" si="11"/>
        <v>1851.6666666666667</v>
      </c>
      <c r="I127" s="22">
        <f>HP(I$2,I$4,$A127,Avatars!$L$17,Avatars!$N$17+$A127-1)+$A$1</f>
        <v>3231.2222222222222</v>
      </c>
      <c r="J127" s="22">
        <f>HP(J$2,J$4,$A127,Avatars!$L$17,Avatars!$N$17+$A127-1)+$A$1</f>
        <v>3419.4444444444443</v>
      </c>
      <c r="K127" s="22">
        <f>HP(K$2,K$4,$A127,Avatars!$L$17,Avatars!$N$17+$A127-1)+$A$1</f>
        <v>3513.5555555555557</v>
      </c>
      <c r="L127" s="22">
        <f>HP(L$2,L$4,$A127,Avatars!$L$17,Avatars!$N$17+$A127-1)+$A$1</f>
        <v>3701.7777777777778</v>
      </c>
      <c r="M127" s="22">
        <f>HP(M$2,M$4,$A127,Avatars!$L$17,Avatars!$N$17+$A127-1)+$A$1</f>
        <v>3795.8888888888887</v>
      </c>
      <c r="N127" s="22">
        <f>HP(N$2,N$4,$A127,Avatars!$L$17,Avatars!$N$17+$A127-1)+$A$1</f>
        <v>3890</v>
      </c>
      <c r="O127" s="23">
        <f t="shared" si="10"/>
        <v>1739</v>
      </c>
      <c r="P127" s="23">
        <f t="shared" si="10"/>
        <v>1255</v>
      </c>
      <c r="Q127" s="23">
        <f t="shared" si="10"/>
        <v>1093.6666666666667</v>
      </c>
      <c r="R127" s="23">
        <f t="shared" si="10"/>
        <v>286.99999999999994</v>
      </c>
      <c r="S127" s="23">
        <f t="shared" si="10"/>
        <v>448.33333333333331</v>
      </c>
      <c r="T127" s="23">
        <f t="shared" si="10"/>
        <v>206.33333333333331</v>
      </c>
      <c r="U127" s="23">
        <f>mp(U$2,U$4,$A127,Avatars!$O$16,Avatars!$O$17+$A127)+$A$1</f>
        <v>3824.3333333333335</v>
      </c>
      <c r="V127" s="23">
        <f>mp(V$2,V$4,$A127,Avatars!$O$16,Avatars!$O$17+$A127)+$A$1</f>
        <v>3340.3333333333335</v>
      </c>
      <c r="W127" s="23">
        <f>mp(W$2,W$4,$A127,Avatars!$O$16,Avatars!$O$17+$A127)+$A$1</f>
        <v>3179</v>
      </c>
      <c r="X127" s="23">
        <f>mp(X$2,X$4,$A127,Avatars!$O$16,Avatars!$O$17+$A127)+$A$1</f>
        <v>2372.3333333333335</v>
      </c>
      <c r="Y127" s="23">
        <f>mp(Y$2,Y$4,$A127,Avatars!$O$16,Avatars!$O$17+$A127)+$A$1</f>
        <v>2533.6666666666665</v>
      </c>
      <c r="Z127" s="23">
        <f>mp(Z$2,Z$4,$A127,Avatars!$O$16,Avatars!$O$17+$A127)+$A$1</f>
        <v>2291.6666666666665</v>
      </c>
    </row>
    <row r="128" spans="1:26" s="2" customFormat="1">
      <c r="A128" s="17">
        <v>122</v>
      </c>
      <c r="B128" s="17"/>
      <c r="C128" s="22">
        <f t="shared" si="11"/>
        <v>1202.4444444444443</v>
      </c>
      <c r="D128" s="22">
        <f t="shared" si="11"/>
        <v>1392.2222222222222</v>
      </c>
      <c r="E128" s="22">
        <f t="shared" si="11"/>
        <v>1487.1111111111111</v>
      </c>
      <c r="F128" s="22">
        <f t="shared" si="11"/>
        <v>1676.8888888888889</v>
      </c>
      <c r="G128" s="22">
        <f t="shared" si="11"/>
        <v>1771.7777777777776</v>
      </c>
      <c r="H128" s="22">
        <f t="shared" si="11"/>
        <v>1866.6666666666667</v>
      </c>
      <c r="I128" s="22">
        <f>HP(I$2,I$4,$A128,Avatars!$L$17,Avatars!$N$17+$A128-1)+$A$1</f>
        <v>3253.7777777777778</v>
      </c>
      <c r="J128" s="22">
        <f>HP(J$2,J$4,$A128,Avatars!$L$17,Avatars!$N$17+$A128-1)+$A$1</f>
        <v>3443.5555555555557</v>
      </c>
      <c r="K128" s="22">
        <f>HP(K$2,K$4,$A128,Avatars!$L$17,Avatars!$N$17+$A128-1)+$A$1</f>
        <v>3538.4444444444443</v>
      </c>
      <c r="L128" s="22">
        <f>HP(L$2,L$4,$A128,Avatars!$L$17,Avatars!$N$17+$A128-1)+$A$1</f>
        <v>3728.2222222222222</v>
      </c>
      <c r="M128" s="22">
        <f>HP(M$2,M$4,$A128,Avatars!$L$17,Avatars!$N$17+$A128-1)+$A$1</f>
        <v>3823.1111111111109</v>
      </c>
      <c r="N128" s="22">
        <f>HP(N$2,N$4,$A128,Avatars!$L$17,Avatars!$N$17+$A128-1)+$A$1</f>
        <v>3918</v>
      </c>
      <c r="O128" s="23">
        <f t="shared" si="10"/>
        <v>1753.3333333333335</v>
      </c>
      <c r="P128" s="23">
        <f t="shared" si="10"/>
        <v>1265.3333333333335</v>
      </c>
      <c r="Q128" s="23">
        <f t="shared" si="10"/>
        <v>1102.6666666666667</v>
      </c>
      <c r="R128" s="23">
        <f t="shared" si="10"/>
        <v>289.33333333333331</v>
      </c>
      <c r="S128" s="23">
        <f t="shared" si="10"/>
        <v>452</v>
      </c>
      <c r="T128" s="23">
        <f t="shared" si="10"/>
        <v>207.99999999999997</v>
      </c>
      <c r="U128" s="23">
        <f>mp(U$2,U$4,$A128,Avatars!$O$16,Avatars!$O$17+$A128)+$A$1</f>
        <v>3851.6666666666665</v>
      </c>
      <c r="V128" s="23">
        <f>mp(V$2,V$4,$A128,Avatars!$O$16,Avatars!$O$17+$A128)+$A$1</f>
        <v>3363.6666666666665</v>
      </c>
      <c r="W128" s="23">
        <f>mp(W$2,W$4,$A128,Avatars!$O$16,Avatars!$O$17+$A128)+$A$1</f>
        <v>3201</v>
      </c>
      <c r="X128" s="23">
        <f>mp(X$2,X$4,$A128,Avatars!$O$16,Avatars!$O$17+$A128)+$A$1</f>
        <v>2387.6666666666665</v>
      </c>
      <c r="Y128" s="23">
        <f>mp(Y$2,Y$4,$A128,Avatars!$O$16,Avatars!$O$17+$A128)+$A$1</f>
        <v>2550.3333333333335</v>
      </c>
      <c r="Z128" s="23">
        <f>mp(Z$2,Z$4,$A128,Avatars!$O$16,Avatars!$O$17+$A128)+$A$1</f>
        <v>2306.3333333333335</v>
      </c>
    </row>
    <row r="129" spans="1:26" s="2" customFormat="1">
      <c r="A129" s="17">
        <v>123</v>
      </c>
      <c r="B129" s="17"/>
      <c r="C129" s="22">
        <f t="shared" si="11"/>
        <v>1212</v>
      </c>
      <c r="D129" s="22">
        <f t="shared" si="11"/>
        <v>1403.3333333333333</v>
      </c>
      <c r="E129" s="22">
        <f t="shared" si="11"/>
        <v>1499</v>
      </c>
      <c r="F129" s="22">
        <f t="shared" si="11"/>
        <v>1690.3333333333333</v>
      </c>
      <c r="G129" s="22">
        <f t="shared" si="11"/>
        <v>1786</v>
      </c>
      <c r="H129" s="22">
        <f t="shared" si="11"/>
        <v>1881.6666666666667</v>
      </c>
      <c r="I129" s="22">
        <f>HP(I$2,I$4,$A129,Avatars!$L$17,Avatars!$N$17+$A129-1)+$A$1</f>
        <v>3276.3333333333335</v>
      </c>
      <c r="J129" s="22">
        <f>HP(J$2,J$4,$A129,Avatars!$L$17,Avatars!$N$17+$A129-1)+$A$1</f>
        <v>3467.6666666666665</v>
      </c>
      <c r="K129" s="22">
        <f>HP(K$2,K$4,$A129,Avatars!$L$17,Avatars!$N$17+$A129-1)+$A$1</f>
        <v>3563.3333333333335</v>
      </c>
      <c r="L129" s="22">
        <f>HP(L$2,L$4,$A129,Avatars!$L$17,Avatars!$N$17+$A129-1)+$A$1</f>
        <v>3754.6666666666665</v>
      </c>
      <c r="M129" s="22">
        <f>HP(M$2,M$4,$A129,Avatars!$L$17,Avatars!$N$17+$A129-1)+$A$1</f>
        <v>3850.333333333333</v>
      </c>
      <c r="N129" s="22">
        <f>HP(N$2,N$4,$A129,Avatars!$L$17,Avatars!$N$17+$A129-1)+$A$1</f>
        <v>3946</v>
      </c>
      <c r="O129" s="23">
        <f t="shared" si="10"/>
        <v>1767.6666666666667</v>
      </c>
      <c r="P129" s="23">
        <f t="shared" si="10"/>
        <v>1275.6666666666667</v>
      </c>
      <c r="Q129" s="23">
        <f t="shared" si="10"/>
        <v>1111.6666666666667</v>
      </c>
      <c r="R129" s="23">
        <f t="shared" si="10"/>
        <v>291.66666666666663</v>
      </c>
      <c r="S129" s="23">
        <f t="shared" si="10"/>
        <v>455.66666666666663</v>
      </c>
      <c r="T129" s="23">
        <f t="shared" si="10"/>
        <v>209.66666666666666</v>
      </c>
      <c r="U129" s="23">
        <f>mp(U$2,U$4,$A129,Avatars!$O$16,Avatars!$O$17+$A129)+$A$1</f>
        <v>3879</v>
      </c>
      <c r="V129" s="23">
        <f>mp(V$2,V$4,$A129,Avatars!$O$16,Avatars!$O$17+$A129)+$A$1</f>
        <v>3387</v>
      </c>
      <c r="W129" s="23">
        <f>mp(W$2,W$4,$A129,Avatars!$O$16,Avatars!$O$17+$A129)+$A$1</f>
        <v>3223</v>
      </c>
      <c r="X129" s="23">
        <f>mp(X$2,X$4,$A129,Avatars!$O$16,Avatars!$O$17+$A129)+$A$1</f>
        <v>2403</v>
      </c>
      <c r="Y129" s="23">
        <f>mp(Y$2,Y$4,$A129,Avatars!$O$16,Avatars!$O$17+$A129)+$A$1</f>
        <v>2567</v>
      </c>
      <c r="Z129" s="23">
        <f>mp(Z$2,Z$4,$A129,Avatars!$O$16,Avatars!$O$17+$A129)+$A$1</f>
        <v>2321</v>
      </c>
    </row>
    <row r="130" spans="1:26" s="2" customFormat="1">
      <c r="A130" s="17">
        <v>124</v>
      </c>
      <c r="B130" s="17"/>
      <c r="C130" s="22">
        <f t="shared" si="11"/>
        <v>1221.5555555555554</v>
      </c>
      <c r="D130" s="22">
        <f t="shared" si="11"/>
        <v>1414.4444444444443</v>
      </c>
      <c r="E130" s="22">
        <f t="shared" si="11"/>
        <v>1510.8888888888889</v>
      </c>
      <c r="F130" s="22">
        <f t="shared" si="11"/>
        <v>1703.7777777777778</v>
      </c>
      <c r="G130" s="22">
        <f t="shared" si="11"/>
        <v>1800.2222222222222</v>
      </c>
      <c r="H130" s="22">
        <f t="shared" si="11"/>
        <v>1896.6666666666667</v>
      </c>
      <c r="I130" s="22">
        <f>HP(I$2,I$4,$A130,Avatars!$L$17,Avatars!$N$17+$A130-1)+$A$1</f>
        <v>3298.8888888888887</v>
      </c>
      <c r="J130" s="22">
        <f>HP(J$2,J$4,$A130,Avatars!$L$17,Avatars!$N$17+$A130-1)+$A$1</f>
        <v>3491.7777777777778</v>
      </c>
      <c r="K130" s="22">
        <f>HP(K$2,K$4,$A130,Avatars!$L$17,Avatars!$N$17+$A130-1)+$A$1</f>
        <v>3588.2222222222222</v>
      </c>
      <c r="L130" s="22">
        <f>HP(L$2,L$4,$A130,Avatars!$L$17,Avatars!$N$17+$A130-1)+$A$1</f>
        <v>3781.1111111111113</v>
      </c>
      <c r="M130" s="22">
        <f>HP(M$2,M$4,$A130,Avatars!$L$17,Avatars!$N$17+$A130-1)+$A$1</f>
        <v>3877.5555555555557</v>
      </c>
      <c r="N130" s="22">
        <f>HP(N$2,N$4,$A130,Avatars!$L$17,Avatars!$N$17+$A130-1)+$A$1</f>
        <v>3974</v>
      </c>
      <c r="O130" s="23">
        <f t="shared" si="10"/>
        <v>1782</v>
      </c>
      <c r="P130" s="23">
        <f t="shared" si="10"/>
        <v>1286</v>
      </c>
      <c r="Q130" s="23">
        <f t="shared" si="10"/>
        <v>1120.6666666666667</v>
      </c>
      <c r="R130" s="23">
        <f t="shared" si="10"/>
        <v>293.99999999999994</v>
      </c>
      <c r="S130" s="23">
        <f t="shared" si="10"/>
        <v>459.33333333333331</v>
      </c>
      <c r="T130" s="23">
        <f t="shared" si="10"/>
        <v>211.33333333333331</v>
      </c>
      <c r="U130" s="23">
        <f>mp(U$2,U$4,$A130,Avatars!$O$16,Avatars!$O$17+$A130)+$A$1</f>
        <v>3906.3333333333335</v>
      </c>
      <c r="V130" s="23">
        <f>mp(V$2,V$4,$A130,Avatars!$O$16,Avatars!$O$17+$A130)+$A$1</f>
        <v>3410.3333333333335</v>
      </c>
      <c r="W130" s="23">
        <f>mp(W$2,W$4,$A130,Avatars!$O$16,Avatars!$O$17+$A130)+$A$1</f>
        <v>3245</v>
      </c>
      <c r="X130" s="23">
        <f>mp(X$2,X$4,$A130,Avatars!$O$16,Avatars!$O$17+$A130)+$A$1</f>
        <v>2418.3333333333335</v>
      </c>
      <c r="Y130" s="23">
        <f>mp(Y$2,Y$4,$A130,Avatars!$O$16,Avatars!$O$17+$A130)+$A$1</f>
        <v>2583.6666666666665</v>
      </c>
      <c r="Z130" s="23">
        <f>mp(Z$2,Z$4,$A130,Avatars!$O$16,Avatars!$O$17+$A130)+$A$1</f>
        <v>2335.6666666666665</v>
      </c>
    </row>
    <row r="131" spans="1:26" s="2" customFormat="1">
      <c r="A131" s="17">
        <v>125</v>
      </c>
      <c r="B131" s="17"/>
      <c r="C131" s="22">
        <f t="shared" si="11"/>
        <v>1231.1111111111111</v>
      </c>
      <c r="D131" s="22">
        <f t="shared" si="11"/>
        <v>1425.5555555555554</v>
      </c>
      <c r="E131" s="22">
        <f t="shared" si="11"/>
        <v>1522.7777777777778</v>
      </c>
      <c r="F131" s="22">
        <f t="shared" si="11"/>
        <v>1717.2222222222222</v>
      </c>
      <c r="G131" s="22">
        <f t="shared" si="11"/>
        <v>1814.4444444444443</v>
      </c>
      <c r="H131" s="22">
        <f t="shared" si="11"/>
        <v>1911.6666666666667</v>
      </c>
      <c r="I131" s="22">
        <f>HP(I$2,I$4,$A131,Avatars!$L$17,Avatars!$N$17+$A131-1)+$A$1</f>
        <v>3321.4444444444443</v>
      </c>
      <c r="J131" s="22">
        <f>HP(J$2,J$4,$A131,Avatars!$L$17,Avatars!$N$17+$A131-1)+$A$1</f>
        <v>3515.8888888888887</v>
      </c>
      <c r="K131" s="22">
        <f>HP(K$2,K$4,$A131,Avatars!$L$17,Avatars!$N$17+$A131-1)+$A$1</f>
        <v>3613.1111111111113</v>
      </c>
      <c r="L131" s="22">
        <f>HP(L$2,L$4,$A131,Avatars!$L$17,Avatars!$N$17+$A131-1)+$A$1</f>
        <v>3807.5555555555557</v>
      </c>
      <c r="M131" s="22">
        <f>HP(M$2,M$4,$A131,Avatars!$L$17,Avatars!$N$17+$A131-1)+$A$1</f>
        <v>3904.7777777777778</v>
      </c>
      <c r="N131" s="22">
        <f>HP(N$2,N$4,$A131,Avatars!$L$17,Avatars!$N$17+$A131-1)+$A$1</f>
        <v>4002</v>
      </c>
      <c r="O131" s="23">
        <f t="shared" si="10"/>
        <v>1796.3333333333335</v>
      </c>
      <c r="P131" s="23">
        <f t="shared" si="10"/>
        <v>1296.3333333333335</v>
      </c>
      <c r="Q131" s="23">
        <f t="shared" si="10"/>
        <v>1129.6666666666667</v>
      </c>
      <c r="R131" s="23">
        <f t="shared" si="10"/>
        <v>296.33333333333331</v>
      </c>
      <c r="S131" s="23">
        <f t="shared" si="10"/>
        <v>463</v>
      </c>
      <c r="T131" s="23">
        <f t="shared" si="10"/>
        <v>212.99999999999997</v>
      </c>
      <c r="U131" s="23">
        <f>mp(U$2,U$4,$A131,Avatars!$O$16,Avatars!$O$17+$A131)+$A$1</f>
        <v>3933.6666666666665</v>
      </c>
      <c r="V131" s="23">
        <f>mp(V$2,V$4,$A131,Avatars!$O$16,Avatars!$O$17+$A131)+$A$1</f>
        <v>3433.6666666666665</v>
      </c>
      <c r="W131" s="23">
        <f>mp(W$2,W$4,$A131,Avatars!$O$16,Avatars!$O$17+$A131)+$A$1</f>
        <v>3267</v>
      </c>
      <c r="X131" s="23">
        <f>mp(X$2,X$4,$A131,Avatars!$O$16,Avatars!$O$17+$A131)+$A$1</f>
        <v>2433.6666666666665</v>
      </c>
      <c r="Y131" s="23">
        <f>mp(Y$2,Y$4,$A131,Avatars!$O$16,Avatars!$O$17+$A131)+$A$1</f>
        <v>2600.3333333333335</v>
      </c>
      <c r="Z131" s="23">
        <f>mp(Z$2,Z$4,$A131,Avatars!$O$16,Avatars!$O$17+$A131)+$A$1</f>
        <v>2350.3333333333335</v>
      </c>
    </row>
    <row r="132" spans="1:26" s="2" customFormat="1">
      <c r="A132" s="17">
        <v>126</v>
      </c>
      <c r="B132" s="17"/>
      <c r="C132" s="22">
        <f t="shared" si="11"/>
        <v>1240.6666666666667</v>
      </c>
      <c r="D132" s="22">
        <f t="shared" si="11"/>
        <v>1436.6666666666665</v>
      </c>
      <c r="E132" s="22">
        <f t="shared" si="11"/>
        <v>1534.6666666666667</v>
      </c>
      <c r="F132" s="22">
        <f t="shared" si="11"/>
        <v>1730.6666666666667</v>
      </c>
      <c r="G132" s="22">
        <f t="shared" si="11"/>
        <v>1828.6666666666665</v>
      </c>
      <c r="H132" s="22">
        <f t="shared" si="11"/>
        <v>1926.6666666666667</v>
      </c>
      <c r="I132" s="22">
        <f>HP(I$2,I$4,$A132,Avatars!$L$17,Avatars!$N$17+$A132-1)+$A$1</f>
        <v>3344</v>
      </c>
      <c r="J132" s="22">
        <f>HP(J$2,J$4,$A132,Avatars!$L$17,Avatars!$N$17+$A132-1)+$A$1</f>
        <v>3540</v>
      </c>
      <c r="K132" s="22">
        <f>HP(K$2,K$4,$A132,Avatars!$L$17,Avatars!$N$17+$A132-1)+$A$1</f>
        <v>3638</v>
      </c>
      <c r="L132" s="22">
        <f>HP(L$2,L$4,$A132,Avatars!$L$17,Avatars!$N$17+$A132-1)+$A$1</f>
        <v>3834</v>
      </c>
      <c r="M132" s="22">
        <f>HP(M$2,M$4,$A132,Avatars!$L$17,Avatars!$N$17+$A132-1)+$A$1</f>
        <v>3932</v>
      </c>
      <c r="N132" s="22">
        <f>HP(N$2,N$4,$A132,Avatars!$L$17,Avatars!$N$17+$A132-1)+$A$1</f>
        <v>4030</v>
      </c>
      <c r="O132" s="23">
        <f t="shared" si="10"/>
        <v>1810.6666666666667</v>
      </c>
      <c r="P132" s="23">
        <f t="shared" si="10"/>
        <v>1306.6666666666667</v>
      </c>
      <c r="Q132" s="23">
        <f t="shared" si="10"/>
        <v>1138.6666666666667</v>
      </c>
      <c r="R132" s="23">
        <f t="shared" si="10"/>
        <v>298.66666666666663</v>
      </c>
      <c r="S132" s="23">
        <f t="shared" si="10"/>
        <v>466.66666666666663</v>
      </c>
      <c r="T132" s="23">
        <f t="shared" si="10"/>
        <v>214.66666666666666</v>
      </c>
      <c r="U132" s="23">
        <f>mp(U$2,U$4,$A132,Avatars!$O$16,Avatars!$O$17+$A132)+$A$1</f>
        <v>3961</v>
      </c>
      <c r="V132" s="23">
        <f>mp(V$2,V$4,$A132,Avatars!$O$16,Avatars!$O$17+$A132)+$A$1</f>
        <v>3457</v>
      </c>
      <c r="W132" s="23">
        <f>mp(W$2,W$4,$A132,Avatars!$O$16,Avatars!$O$17+$A132)+$A$1</f>
        <v>3289</v>
      </c>
      <c r="X132" s="23">
        <f>mp(X$2,X$4,$A132,Avatars!$O$16,Avatars!$O$17+$A132)+$A$1</f>
        <v>2449</v>
      </c>
      <c r="Y132" s="23">
        <f>mp(Y$2,Y$4,$A132,Avatars!$O$16,Avatars!$O$17+$A132)+$A$1</f>
        <v>2617</v>
      </c>
      <c r="Z132" s="23">
        <f>mp(Z$2,Z$4,$A132,Avatars!$O$16,Avatars!$O$17+$A132)+$A$1</f>
        <v>2365</v>
      </c>
    </row>
    <row r="133" spans="1:26" s="2" customFormat="1">
      <c r="A133" s="17">
        <v>127</v>
      </c>
      <c r="B133" s="17"/>
      <c r="C133" s="22">
        <f t="shared" si="11"/>
        <v>1250.2222222222222</v>
      </c>
      <c r="D133" s="22">
        <f t="shared" si="11"/>
        <v>1447.7777777777778</v>
      </c>
      <c r="E133" s="22">
        <f t="shared" si="11"/>
        <v>1546.5555555555557</v>
      </c>
      <c r="F133" s="22">
        <f t="shared" si="11"/>
        <v>1744.1111111111111</v>
      </c>
      <c r="G133" s="22">
        <f t="shared" si="11"/>
        <v>1842.8888888888887</v>
      </c>
      <c r="H133" s="22">
        <f t="shared" si="11"/>
        <v>1941.6666666666667</v>
      </c>
      <c r="I133" s="22">
        <f>HP(I$2,I$4,$A133,Avatars!$L$17,Avatars!$N$17+$A133-1)+$A$1</f>
        <v>3366.5555555555557</v>
      </c>
      <c r="J133" s="22">
        <f>HP(J$2,J$4,$A133,Avatars!$L$17,Avatars!$N$17+$A133-1)+$A$1</f>
        <v>3564.1111111111109</v>
      </c>
      <c r="K133" s="22">
        <f>HP(K$2,K$4,$A133,Avatars!$L$17,Avatars!$N$17+$A133-1)+$A$1</f>
        <v>3662.8888888888891</v>
      </c>
      <c r="L133" s="22">
        <f>HP(L$2,L$4,$A133,Avatars!$L$17,Avatars!$N$17+$A133-1)+$A$1</f>
        <v>3860.4444444444443</v>
      </c>
      <c r="M133" s="22">
        <f>HP(M$2,M$4,$A133,Avatars!$L$17,Avatars!$N$17+$A133-1)+$A$1</f>
        <v>3959.2222222222222</v>
      </c>
      <c r="N133" s="22">
        <f>HP(N$2,N$4,$A133,Avatars!$L$17,Avatars!$N$17+$A133-1)+$A$1</f>
        <v>4058</v>
      </c>
      <c r="O133" s="23">
        <f t="shared" si="10"/>
        <v>1825</v>
      </c>
      <c r="P133" s="23">
        <f t="shared" si="10"/>
        <v>1317</v>
      </c>
      <c r="Q133" s="23">
        <f t="shared" si="10"/>
        <v>1147.6666666666667</v>
      </c>
      <c r="R133" s="23">
        <f t="shared" si="10"/>
        <v>300.99999999999994</v>
      </c>
      <c r="S133" s="23">
        <f t="shared" si="10"/>
        <v>470.33333333333331</v>
      </c>
      <c r="T133" s="23">
        <f t="shared" si="10"/>
        <v>216.33333333333331</v>
      </c>
      <c r="U133" s="23">
        <f>mp(U$2,U$4,$A133,Avatars!$O$16,Avatars!$O$17+$A133)+$A$1</f>
        <v>3988.3333333333335</v>
      </c>
      <c r="V133" s="23">
        <f>mp(V$2,V$4,$A133,Avatars!$O$16,Avatars!$O$17+$A133)+$A$1</f>
        <v>3480.3333333333335</v>
      </c>
      <c r="W133" s="23">
        <f>mp(W$2,W$4,$A133,Avatars!$O$16,Avatars!$O$17+$A133)+$A$1</f>
        <v>3311</v>
      </c>
      <c r="X133" s="23">
        <f>mp(X$2,X$4,$A133,Avatars!$O$16,Avatars!$O$17+$A133)+$A$1</f>
        <v>2464.3333333333335</v>
      </c>
      <c r="Y133" s="23">
        <f>mp(Y$2,Y$4,$A133,Avatars!$O$16,Avatars!$O$17+$A133)+$A$1</f>
        <v>2633.6666666666665</v>
      </c>
      <c r="Z133" s="23">
        <f>mp(Z$2,Z$4,$A133,Avatars!$O$16,Avatars!$O$17+$A133)+$A$1</f>
        <v>2379.6666666666665</v>
      </c>
    </row>
    <row r="134" spans="1:26" s="2" customFormat="1">
      <c r="A134" s="17">
        <v>128</v>
      </c>
      <c r="B134" s="17"/>
      <c r="C134" s="22">
        <f t="shared" si="11"/>
        <v>1259.7777777777778</v>
      </c>
      <c r="D134" s="22">
        <f t="shared" si="11"/>
        <v>1458.8888888888889</v>
      </c>
      <c r="E134" s="22">
        <f t="shared" si="11"/>
        <v>1558.4444444444446</v>
      </c>
      <c r="F134" s="22">
        <f t="shared" si="11"/>
        <v>1757.5555555555557</v>
      </c>
      <c r="G134" s="22">
        <f t="shared" si="11"/>
        <v>1857.1111111111111</v>
      </c>
      <c r="H134" s="22">
        <f t="shared" si="11"/>
        <v>1956.6666666666667</v>
      </c>
      <c r="I134" s="22">
        <f>HP(I$2,I$4,$A134,Avatars!$L$17,Avatars!$N$17+$A134-1)+$A$1</f>
        <v>3389.1111111111113</v>
      </c>
      <c r="J134" s="22">
        <f>HP(J$2,J$4,$A134,Avatars!$L$17,Avatars!$N$17+$A134-1)+$A$1</f>
        <v>3588.2222222222222</v>
      </c>
      <c r="K134" s="22">
        <f>HP(K$2,K$4,$A134,Avatars!$L$17,Avatars!$N$17+$A134-1)+$A$1</f>
        <v>3687.7777777777778</v>
      </c>
      <c r="L134" s="22">
        <f>HP(L$2,L$4,$A134,Avatars!$L$17,Avatars!$N$17+$A134-1)+$A$1</f>
        <v>3886.8888888888887</v>
      </c>
      <c r="M134" s="22">
        <f>HP(M$2,M$4,$A134,Avatars!$L$17,Avatars!$N$17+$A134-1)+$A$1</f>
        <v>3986.4444444444443</v>
      </c>
      <c r="N134" s="22">
        <f>HP(N$2,N$4,$A134,Avatars!$L$17,Avatars!$N$17+$A134-1)+$A$1</f>
        <v>4086</v>
      </c>
      <c r="O134" s="23">
        <f t="shared" si="10"/>
        <v>1839.3333333333335</v>
      </c>
      <c r="P134" s="23">
        <f t="shared" si="10"/>
        <v>1327.3333333333335</v>
      </c>
      <c r="Q134" s="23">
        <f t="shared" si="10"/>
        <v>1156.6666666666667</v>
      </c>
      <c r="R134" s="23">
        <f t="shared" si="10"/>
        <v>303.33333333333331</v>
      </c>
      <c r="S134" s="23">
        <f t="shared" si="10"/>
        <v>474</v>
      </c>
      <c r="T134" s="23">
        <f t="shared" si="10"/>
        <v>217.99999999999997</v>
      </c>
      <c r="U134" s="23">
        <f>mp(U$2,U$4,$A134,Avatars!$O$16,Avatars!$O$17+$A134)+$A$1</f>
        <v>4015.666666666667</v>
      </c>
      <c r="V134" s="23">
        <f>mp(V$2,V$4,$A134,Avatars!$O$16,Avatars!$O$17+$A134)+$A$1</f>
        <v>3503.666666666667</v>
      </c>
      <c r="W134" s="23">
        <f>mp(W$2,W$4,$A134,Avatars!$O$16,Avatars!$O$17+$A134)+$A$1</f>
        <v>3333</v>
      </c>
      <c r="X134" s="23">
        <f>mp(X$2,X$4,$A134,Avatars!$O$16,Avatars!$O$17+$A134)+$A$1</f>
        <v>2479.6666666666665</v>
      </c>
      <c r="Y134" s="23">
        <f>mp(Y$2,Y$4,$A134,Avatars!$O$16,Avatars!$O$17+$A134)+$A$1</f>
        <v>2650.3333333333335</v>
      </c>
      <c r="Z134" s="23">
        <f>mp(Z$2,Z$4,$A134,Avatars!$O$16,Avatars!$O$17+$A134)+$A$1</f>
        <v>2394.3333333333335</v>
      </c>
    </row>
    <row r="135" spans="1:26" s="2" customFormat="1">
      <c r="A135" s="17">
        <v>129</v>
      </c>
      <c r="B135" s="17"/>
      <c r="C135" s="22">
        <f t="shared" si="11"/>
        <v>1269.3333333333333</v>
      </c>
      <c r="D135" s="22">
        <f t="shared" si="11"/>
        <v>1470</v>
      </c>
      <c r="E135" s="22">
        <f t="shared" si="11"/>
        <v>1570.3333333333335</v>
      </c>
      <c r="F135" s="22">
        <f t="shared" si="11"/>
        <v>1771</v>
      </c>
      <c r="G135" s="22">
        <f t="shared" si="11"/>
        <v>1871.3333333333333</v>
      </c>
      <c r="H135" s="22">
        <f t="shared" si="11"/>
        <v>1971.6666666666667</v>
      </c>
      <c r="I135" s="22">
        <f>HP(I$2,I$4,$A135,Avatars!$L$17,Avatars!$N$17+$A135-1)+$A$1</f>
        <v>3411.6666666666665</v>
      </c>
      <c r="J135" s="22">
        <f>HP(J$2,J$4,$A135,Avatars!$L$17,Avatars!$N$17+$A135-1)+$A$1</f>
        <v>3612.3333333333335</v>
      </c>
      <c r="K135" s="22">
        <f>HP(K$2,K$4,$A135,Avatars!$L$17,Avatars!$N$17+$A135-1)+$A$1</f>
        <v>3712.6666666666665</v>
      </c>
      <c r="L135" s="22">
        <f>HP(L$2,L$4,$A135,Avatars!$L$17,Avatars!$N$17+$A135-1)+$A$1</f>
        <v>3913.3333333333335</v>
      </c>
      <c r="M135" s="22">
        <f>HP(M$2,M$4,$A135,Avatars!$L$17,Avatars!$N$17+$A135-1)+$A$1</f>
        <v>4013.6666666666665</v>
      </c>
      <c r="N135" s="22">
        <f>HP(N$2,N$4,$A135,Avatars!$L$17,Avatars!$N$17+$A135-1)+$A$1</f>
        <v>4114</v>
      </c>
      <c r="O135" s="23">
        <f t="shared" si="10"/>
        <v>1853.6666666666667</v>
      </c>
      <c r="P135" s="23">
        <f t="shared" si="10"/>
        <v>1337.6666666666667</v>
      </c>
      <c r="Q135" s="23">
        <f t="shared" si="10"/>
        <v>1165.6666666666667</v>
      </c>
      <c r="R135" s="23">
        <f t="shared" si="10"/>
        <v>305.66666666666663</v>
      </c>
      <c r="S135" s="23">
        <f t="shared" si="10"/>
        <v>477.66666666666663</v>
      </c>
      <c r="T135" s="23">
        <f t="shared" si="10"/>
        <v>219.66666666666666</v>
      </c>
      <c r="U135" s="23">
        <f>mp(U$2,U$4,$A135,Avatars!$O$16,Avatars!$O$17+$A135)+$A$1</f>
        <v>4043</v>
      </c>
      <c r="V135" s="23">
        <f>mp(V$2,V$4,$A135,Avatars!$O$16,Avatars!$O$17+$A135)+$A$1</f>
        <v>3527</v>
      </c>
      <c r="W135" s="23">
        <f>mp(W$2,W$4,$A135,Avatars!$O$16,Avatars!$O$17+$A135)+$A$1</f>
        <v>3355</v>
      </c>
      <c r="X135" s="23">
        <f>mp(X$2,X$4,$A135,Avatars!$O$16,Avatars!$O$17+$A135)+$A$1</f>
        <v>2495</v>
      </c>
      <c r="Y135" s="23">
        <f>mp(Y$2,Y$4,$A135,Avatars!$O$16,Avatars!$O$17+$A135)+$A$1</f>
        <v>2667</v>
      </c>
      <c r="Z135" s="23">
        <f>mp(Z$2,Z$4,$A135,Avatars!$O$16,Avatars!$O$17+$A135)+$A$1</f>
        <v>2409</v>
      </c>
    </row>
    <row r="136" spans="1:26" s="2" customFormat="1">
      <c r="A136" s="17">
        <v>130</v>
      </c>
      <c r="B136" s="17"/>
      <c r="C136" s="22">
        <f t="shared" si="11"/>
        <v>1278.8888888888889</v>
      </c>
      <c r="D136" s="22">
        <f t="shared" si="11"/>
        <v>1481.1111111111111</v>
      </c>
      <c r="E136" s="22">
        <f t="shared" si="11"/>
        <v>1582.2222222222222</v>
      </c>
      <c r="F136" s="22">
        <f t="shared" si="11"/>
        <v>1784.4444444444446</v>
      </c>
      <c r="G136" s="22">
        <f t="shared" si="11"/>
        <v>1885.5555555555554</v>
      </c>
      <c r="H136" s="22">
        <f t="shared" si="11"/>
        <v>1986.6666666666667</v>
      </c>
      <c r="I136" s="22">
        <f>HP(I$2,I$4,$A136,Avatars!$L$17,Avatars!$N$17+$A136-1)+$A$1</f>
        <v>3434.2222222222222</v>
      </c>
      <c r="J136" s="22">
        <f>HP(J$2,J$4,$A136,Avatars!$L$17,Avatars!$N$17+$A136-1)+$A$1</f>
        <v>3636.4444444444443</v>
      </c>
      <c r="K136" s="22">
        <f>HP(K$2,K$4,$A136,Avatars!$L$17,Avatars!$N$17+$A136-1)+$A$1</f>
        <v>3737.5555555555557</v>
      </c>
      <c r="L136" s="22">
        <f>HP(L$2,L$4,$A136,Avatars!$L$17,Avatars!$N$17+$A136-1)+$A$1</f>
        <v>3939.7777777777778</v>
      </c>
      <c r="M136" s="22">
        <f>HP(M$2,M$4,$A136,Avatars!$L$17,Avatars!$N$17+$A136-1)+$A$1</f>
        <v>4040.8888888888887</v>
      </c>
      <c r="N136" s="22">
        <f>HP(N$2,N$4,$A136,Avatars!$L$17,Avatars!$N$17+$A136-1)+$A$1</f>
        <v>4142</v>
      </c>
      <c r="O136" s="23">
        <f t="shared" ref="O136:T156" si="12">mp(O$2,O$4,$A136,10,10)+$A$1</f>
        <v>1868</v>
      </c>
      <c r="P136" s="23">
        <f t="shared" si="12"/>
        <v>1348</v>
      </c>
      <c r="Q136" s="23">
        <f t="shared" si="12"/>
        <v>1174.6666666666667</v>
      </c>
      <c r="R136" s="23">
        <f t="shared" si="12"/>
        <v>307.99999999999994</v>
      </c>
      <c r="S136" s="23">
        <f t="shared" si="12"/>
        <v>481.33333333333331</v>
      </c>
      <c r="T136" s="23">
        <f t="shared" si="12"/>
        <v>221.33333333333331</v>
      </c>
      <c r="U136" s="23">
        <f>mp(U$2,U$4,$A136,Avatars!$O$16,Avatars!$O$17+$A136)+$A$1</f>
        <v>4070.3333333333335</v>
      </c>
      <c r="V136" s="23">
        <f>mp(V$2,V$4,$A136,Avatars!$O$16,Avatars!$O$17+$A136)+$A$1</f>
        <v>3550.3333333333335</v>
      </c>
      <c r="W136" s="23">
        <f>mp(W$2,W$4,$A136,Avatars!$O$16,Avatars!$O$17+$A136)+$A$1</f>
        <v>3377</v>
      </c>
      <c r="X136" s="23">
        <f>mp(X$2,X$4,$A136,Avatars!$O$16,Avatars!$O$17+$A136)+$A$1</f>
        <v>2510.3333333333335</v>
      </c>
      <c r="Y136" s="23">
        <f>mp(Y$2,Y$4,$A136,Avatars!$O$16,Avatars!$O$17+$A136)+$A$1</f>
        <v>2683.6666666666665</v>
      </c>
      <c r="Z136" s="23">
        <f>mp(Z$2,Z$4,$A136,Avatars!$O$16,Avatars!$O$17+$A136)+$A$1</f>
        <v>2423.6666666666665</v>
      </c>
    </row>
    <row r="137" spans="1:26" s="2" customFormat="1">
      <c r="A137" s="17">
        <v>131</v>
      </c>
      <c r="B137" s="17"/>
      <c r="C137" s="22">
        <f t="shared" si="11"/>
        <v>1288.4444444444443</v>
      </c>
      <c r="D137" s="22">
        <f t="shared" si="11"/>
        <v>1492.2222222222222</v>
      </c>
      <c r="E137" s="22">
        <f t="shared" si="11"/>
        <v>1594.1111111111111</v>
      </c>
      <c r="F137" s="22">
        <f t="shared" si="11"/>
        <v>1797.8888888888889</v>
      </c>
      <c r="G137" s="22">
        <f t="shared" si="11"/>
        <v>1899.7777777777776</v>
      </c>
      <c r="H137" s="22">
        <f t="shared" si="11"/>
        <v>2001.6666666666667</v>
      </c>
      <c r="I137" s="22">
        <f>HP(I$2,I$4,$A137,Avatars!$L$17,Avatars!$N$17+$A137-1)+$A$1</f>
        <v>3456.7777777777778</v>
      </c>
      <c r="J137" s="22">
        <f>HP(J$2,J$4,$A137,Avatars!$L$17,Avatars!$N$17+$A137-1)+$A$1</f>
        <v>3660.5555555555557</v>
      </c>
      <c r="K137" s="22">
        <f>HP(K$2,K$4,$A137,Avatars!$L$17,Avatars!$N$17+$A137-1)+$A$1</f>
        <v>3762.4444444444443</v>
      </c>
      <c r="L137" s="22">
        <f>HP(L$2,L$4,$A137,Avatars!$L$17,Avatars!$N$17+$A137-1)+$A$1</f>
        <v>3966.2222222222222</v>
      </c>
      <c r="M137" s="22">
        <f>HP(M$2,M$4,$A137,Avatars!$L$17,Avatars!$N$17+$A137-1)+$A$1</f>
        <v>4068.1111111111109</v>
      </c>
      <c r="N137" s="22">
        <f>HP(N$2,N$4,$A137,Avatars!$L$17,Avatars!$N$17+$A137-1)+$A$1</f>
        <v>4170</v>
      </c>
      <c r="O137" s="23">
        <f t="shared" si="12"/>
        <v>1882.3333333333335</v>
      </c>
      <c r="P137" s="23">
        <f t="shared" si="12"/>
        <v>1358.3333333333335</v>
      </c>
      <c r="Q137" s="23">
        <f t="shared" si="12"/>
        <v>1183.6666666666667</v>
      </c>
      <c r="R137" s="23">
        <f t="shared" si="12"/>
        <v>310.33333333333331</v>
      </c>
      <c r="S137" s="23">
        <f t="shared" si="12"/>
        <v>485</v>
      </c>
      <c r="T137" s="23">
        <f t="shared" si="12"/>
        <v>222.99999999999997</v>
      </c>
      <c r="U137" s="23">
        <f>mp(U$2,U$4,$A137,Avatars!$O$16,Avatars!$O$17+$A137)+$A$1</f>
        <v>4097.666666666667</v>
      </c>
      <c r="V137" s="23">
        <f>mp(V$2,V$4,$A137,Avatars!$O$16,Avatars!$O$17+$A137)+$A$1</f>
        <v>3573.666666666667</v>
      </c>
      <c r="W137" s="23">
        <f>mp(W$2,W$4,$A137,Avatars!$O$16,Avatars!$O$17+$A137)+$A$1</f>
        <v>3399</v>
      </c>
      <c r="X137" s="23">
        <f>mp(X$2,X$4,$A137,Avatars!$O$16,Avatars!$O$17+$A137)+$A$1</f>
        <v>2525.6666666666665</v>
      </c>
      <c r="Y137" s="23">
        <f>mp(Y$2,Y$4,$A137,Avatars!$O$16,Avatars!$O$17+$A137)+$A$1</f>
        <v>2700.3333333333335</v>
      </c>
      <c r="Z137" s="23">
        <f>mp(Z$2,Z$4,$A137,Avatars!$O$16,Avatars!$O$17+$A137)+$A$1</f>
        <v>2438.3333333333335</v>
      </c>
    </row>
    <row r="138" spans="1:26" s="2" customFormat="1">
      <c r="A138" s="17">
        <v>132</v>
      </c>
      <c r="B138" s="17"/>
      <c r="C138" s="22">
        <f t="shared" si="11"/>
        <v>1298</v>
      </c>
      <c r="D138" s="22">
        <f t="shared" si="11"/>
        <v>1503.3333333333333</v>
      </c>
      <c r="E138" s="22">
        <f t="shared" si="11"/>
        <v>1606</v>
      </c>
      <c r="F138" s="22">
        <f t="shared" si="11"/>
        <v>1811.3333333333333</v>
      </c>
      <c r="G138" s="22">
        <f t="shared" si="11"/>
        <v>1914</v>
      </c>
      <c r="H138" s="22">
        <f t="shared" si="11"/>
        <v>2016.6666666666667</v>
      </c>
      <c r="I138" s="22">
        <f>HP(I$2,I$4,$A138,Avatars!$L$17,Avatars!$N$17+$A138-1)+$A$1</f>
        <v>3479.3333333333335</v>
      </c>
      <c r="J138" s="22">
        <f>HP(J$2,J$4,$A138,Avatars!$L$17,Avatars!$N$17+$A138-1)+$A$1</f>
        <v>3684.6666666666665</v>
      </c>
      <c r="K138" s="22">
        <f>HP(K$2,K$4,$A138,Avatars!$L$17,Avatars!$N$17+$A138-1)+$A$1</f>
        <v>3787.3333333333335</v>
      </c>
      <c r="L138" s="22">
        <f>HP(L$2,L$4,$A138,Avatars!$L$17,Avatars!$N$17+$A138-1)+$A$1</f>
        <v>3992.6666666666665</v>
      </c>
      <c r="M138" s="22">
        <f>HP(M$2,M$4,$A138,Avatars!$L$17,Avatars!$N$17+$A138-1)+$A$1</f>
        <v>4095.333333333333</v>
      </c>
      <c r="N138" s="22">
        <f>HP(N$2,N$4,$A138,Avatars!$L$17,Avatars!$N$17+$A138-1)+$A$1</f>
        <v>4198</v>
      </c>
      <c r="O138" s="23">
        <f t="shared" si="12"/>
        <v>1896.6666666666667</v>
      </c>
      <c r="P138" s="23">
        <f t="shared" si="12"/>
        <v>1368.6666666666667</v>
      </c>
      <c r="Q138" s="23">
        <f t="shared" si="12"/>
        <v>1192.6666666666667</v>
      </c>
      <c r="R138" s="23">
        <f t="shared" si="12"/>
        <v>312.66666666666663</v>
      </c>
      <c r="S138" s="23">
        <f t="shared" si="12"/>
        <v>488.66666666666663</v>
      </c>
      <c r="T138" s="23">
        <f t="shared" si="12"/>
        <v>224.66666666666666</v>
      </c>
      <c r="U138" s="23">
        <f>mp(U$2,U$4,$A138,Avatars!$O$16,Avatars!$O$17+$A138)+$A$1</f>
        <v>4125</v>
      </c>
      <c r="V138" s="23">
        <f>mp(V$2,V$4,$A138,Avatars!$O$16,Avatars!$O$17+$A138)+$A$1</f>
        <v>3597</v>
      </c>
      <c r="W138" s="23">
        <f>mp(W$2,W$4,$A138,Avatars!$O$16,Avatars!$O$17+$A138)+$A$1</f>
        <v>3421</v>
      </c>
      <c r="X138" s="23">
        <f>mp(X$2,X$4,$A138,Avatars!$O$16,Avatars!$O$17+$A138)+$A$1</f>
        <v>2541</v>
      </c>
      <c r="Y138" s="23">
        <f>mp(Y$2,Y$4,$A138,Avatars!$O$16,Avatars!$O$17+$A138)+$A$1</f>
        <v>2717</v>
      </c>
      <c r="Z138" s="23">
        <f>mp(Z$2,Z$4,$A138,Avatars!$O$16,Avatars!$O$17+$A138)+$A$1</f>
        <v>2453</v>
      </c>
    </row>
    <row r="139" spans="1:26" s="2" customFormat="1">
      <c r="A139" s="17">
        <v>133</v>
      </c>
      <c r="B139" s="17"/>
      <c r="C139" s="22">
        <f t="shared" si="11"/>
        <v>1307.5555555555554</v>
      </c>
      <c r="D139" s="22">
        <f t="shared" si="11"/>
        <v>1514.4444444444443</v>
      </c>
      <c r="E139" s="22">
        <f t="shared" si="11"/>
        <v>1617.8888888888889</v>
      </c>
      <c r="F139" s="22">
        <f t="shared" si="11"/>
        <v>1824.7777777777778</v>
      </c>
      <c r="G139" s="22">
        <f t="shared" si="11"/>
        <v>1928.2222222222222</v>
      </c>
      <c r="H139" s="22">
        <f t="shared" si="11"/>
        <v>2031.6666666666667</v>
      </c>
      <c r="I139" s="22">
        <f>HP(I$2,I$4,$A139,Avatars!$L$17,Avatars!$N$17+$A139-1)+$A$1</f>
        <v>3501.8888888888887</v>
      </c>
      <c r="J139" s="22">
        <f>HP(J$2,J$4,$A139,Avatars!$L$17,Avatars!$N$17+$A139-1)+$A$1</f>
        <v>3708.7777777777778</v>
      </c>
      <c r="K139" s="22">
        <f>HP(K$2,K$4,$A139,Avatars!$L$17,Avatars!$N$17+$A139-1)+$A$1</f>
        <v>3812.2222222222222</v>
      </c>
      <c r="L139" s="22">
        <f>HP(L$2,L$4,$A139,Avatars!$L$17,Avatars!$N$17+$A139-1)+$A$1</f>
        <v>4019.1111111111113</v>
      </c>
      <c r="M139" s="22">
        <f>HP(M$2,M$4,$A139,Avatars!$L$17,Avatars!$N$17+$A139-1)+$A$1</f>
        <v>4122.5555555555557</v>
      </c>
      <c r="N139" s="22">
        <f>HP(N$2,N$4,$A139,Avatars!$L$17,Avatars!$N$17+$A139-1)+$A$1</f>
        <v>4226</v>
      </c>
      <c r="O139" s="23">
        <f t="shared" si="12"/>
        <v>1911</v>
      </c>
      <c r="P139" s="23">
        <f t="shared" si="12"/>
        <v>1379</v>
      </c>
      <c r="Q139" s="23">
        <f t="shared" si="12"/>
        <v>1201.6666666666667</v>
      </c>
      <c r="R139" s="23">
        <f t="shared" si="12"/>
        <v>314.99999999999994</v>
      </c>
      <c r="S139" s="23">
        <f t="shared" si="12"/>
        <v>492.33333333333331</v>
      </c>
      <c r="T139" s="23">
        <f t="shared" si="12"/>
        <v>226.33333333333331</v>
      </c>
      <c r="U139" s="23">
        <f>mp(U$2,U$4,$A139,Avatars!$O$16,Avatars!$O$17+$A139)+$A$1</f>
        <v>4152.333333333333</v>
      </c>
      <c r="V139" s="23">
        <f>mp(V$2,V$4,$A139,Avatars!$O$16,Avatars!$O$17+$A139)+$A$1</f>
        <v>3620.3333333333335</v>
      </c>
      <c r="W139" s="23">
        <f>mp(W$2,W$4,$A139,Avatars!$O$16,Avatars!$O$17+$A139)+$A$1</f>
        <v>3443</v>
      </c>
      <c r="X139" s="23">
        <f>mp(X$2,X$4,$A139,Avatars!$O$16,Avatars!$O$17+$A139)+$A$1</f>
        <v>2556.3333333333335</v>
      </c>
      <c r="Y139" s="23">
        <f>mp(Y$2,Y$4,$A139,Avatars!$O$16,Avatars!$O$17+$A139)+$A$1</f>
        <v>2733.6666666666665</v>
      </c>
      <c r="Z139" s="23">
        <f>mp(Z$2,Z$4,$A139,Avatars!$O$16,Avatars!$O$17+$A139)+$A$1</f>
        <v>2467.6666666666665</v>
      </c>
    </row>
    <row r="140" spans="1:26" s="2" customFormat="1">
      <c r="A140" s="17">
        <v>134</v>
      </c>
      <c r="B140" s="17"/>
      <c r="C140" s="22">
        <f t="shared" si="11"/>
        <v>1317.1111111111111</v>
      </c>
      <c r="D140" s="22">
        <f t="shared" si="11"/>
        <v>1525.5555555555554</v>
      </c>
      <c r="E140" s="22">
        <f t="shared" si="11"/>
        <v>1629.7777777777778</v>
      </c>
      <c r="F140" s="22">
        <f t="shared" si="11"/>
        <v>1838.2222222222222</v>
      </c>
      <c r="G140" s="22">
        <f t="shared" si="11"/>
        <v>1942.4444444444443</v>
      </c>
      <c r="H140" s="22">
        <f t="shared" si="11"/>
        <v>2046.6666666666667</v>
      </c>
      <c r="I140" s="22">
        <f>HP(I$2,I$4,$A140,Avatars!$L$17,Avatars!$N$17+$A140-1)+$A$1</f>
        <v>3524.4444444444443</v>
      </c>
      <c r="J140" s="22">
        <f>HP(J$2,J$4,$A140,Avatars!$L$17,Avatars!$N$17+$A140-1)+$A$1</f>
        <v>3732.8888888888887</v>
      </c>
      <c r="K140" s="22">
        <f>HP(K$2,K$4,$A140,Avatars!$L$17,Avatars!$N$17+$A140-1)+$A$1</f>
        <v>3837.1111111111113</v>
      </c>
      <c r="L140" s="22">
        <f>HP(L$2,L$4,$A140,Avatars!$L$17,Avatars!$N$17+$A140-1)+$A$1</f>
        <v>4045.5555555555557</v>
      </c>
      <c r="M140" s="22">
        <f>HP(M$2,M$4,$A140,Avatars!$L$17,Avatars!$N$17+$A140-1)+$A$1</f>
        <v>4149.7777777777774</v>
      </c>
      <c r="N140" s="22">
        <f>HP(N$2,N$4,$A140,Avatars!$L$17,Avatars!$N$17+$A140-1)+$A$1</f>
        <v>4254</v>
      </c>
      <c r="O140" s="23">
        <f t="shared" si="12"/>
        <v>1925.3333333333335</v>
      </c>
      <c r="P140" s="23">
        <f t="shared" si="12"/>
        <v>1389.3333333333335</v>
      </c>
      <c r="Q140" s="23">
        <f t="shared" si="12"/>
        <v>1210.6666666666667</v>
      </c>
      <c r="R140" s="23">
        <f t="shared" si="12"/>
        <v>317.33333333333331</v>
      </c>
      <c r="S140" s="23">
        <f t="shared" si="12"/>
        <v>496</v>
      </c>
      <c r="T140" s="23">
        <f t="shared" si="12"/>
        <v>227.99999999999997</v>
      </c>
      <c r="U140" s="23">
        <f>mp(U$2,U$4,$A140,Avatars!$O$16,Avatars!$O$17+$A140)+$A$1</f>
        <v>4179.666666666667</v>
      </c>
      <c r="V140" s="23">
        <f>mp(V$2,V$4,$A140,Avatars!$O$16,Avatars!$O$17+$A140)+$A$1</f>
        <v>3643.666666666667</v>
      </c>
      <c r="W140" s="23">
        <f>mp(W$2,W$4,$A140,Avatars!$O$16,Avatars!$O$17+$A140)+$A$1</f>
        <v>3465</v>
      </c>
      <c r="X140" s="23">
        <f>mp(X$2,X$4,$A140,Avatars!$O$16,Avatars!$O$17+$A140)+$A$1</f>
        <v>2571.6666666666665</v>
      </c>
      <c r="Y140" s="23">
        <f>mp(Y$2,Y$4,$A140,Avatars!$O$16,Avatars!$O$17+$A140)+$A$1</f>
        <v>2750.3333333333335</v>
      </c>
      <c r="Z140" s="23">
        <f>mp(Z$2,Z$4,$A140,Avatars!$O$16,Avatars!$O$17+$A140)+$A$1</f>
        <v>2482.3333333333335</v>
      </c>
    </row>
    <row r="141" spans="1:26" s="2" customFormat="1">
      <c r="A141" s="17">
        <v>135</v>
      </c>
      <c r="B141" s="17"/>
      <c r="C141" s="22">
        <f t="shared" si="11"/>
        <v>1326.6666666666667</v>
      </c>
      <c r="D141" s="22">
        <f t="shared" si="11"/>
        <v>1536.6666666666665</v>
      </c>
      <c r="E141" s="22">
        <f t="shared" si="11"/>
        <v>1641.6666666666667</v>
      </c>
      <c r="F141" s="22">
        <f t="shared" si="11"/>
        <v>1851.6666666666667</v>
      </c>
      <c r="G141" s="22">
        <f t="shared" si="11"/>
        <v>1956.6666666666665</v>
      </c>
      <c r="H141" s="22">
        <f t="shared" si="11"/>
        <v>2061.6666666666665</v>
      </c>
      <c r="I141" s="22">
        <f>HP(I$2,I$4,$A141,Avatars!$L$17,Avatars!$N$17+$A141-1)+$A$1</f>
        <v>3547</v>
      </c>
      <c r="J141" s="22">
        <f>HP(J$2,J$4,$A141,Avatars!$L$17,Avatars!$N$17+$A141-1)+$A$1</f>
        <v>3757</v>
      </c>
      <c r="K141" s="22">
        <f>HP(K$2,K$4,$A141,Avatars!$L$17,Avatars!$N$17+$A141-1)+$A$1</f>
        <v>3862</v>
      </c>
      <c r="L141" s="22">
        <f>HP(L$2,L$4,$A141,Avatars!$L$17,Avatars!$N$17+$A141-1)+$A$1</f>
        <v>4072</v>
      </c>
      <c r="M141" s="22">
        <f>HP(M$2,M$4,$A141,Avatars!$L$17,Avatars!$N$17+$A141-1)+$A$1</f>
        <v>4177</v>
      </c>
      <c r="N141" s="22">
        <f>HP(N$2,N$4,$A141,Avatars!$L$17,Avatars!$N$17+$A141-1)+$A$1</f>
        <v>4282</v>
      </c>
      <c r="O141" s="23">
        <f t="shared" si="12"/>
        <v>1939.6666666666667</v>
      </c>
      <c r="P141" s="23">
        <f t="shared" si="12"/>
        <v>1399.6666666666667</v>
      </c>
      <c r="Q141" s="23">
        <f t="shared" si="12"/>
        <v>1219.6666666666667</v>
      </c>
      <c r="R141" s="23">
        <f t="shared" si="12"/>
        <v>319.66666666666663</v>
      </c>
      <c r="S141" s="23">
        <f t="shared" si="12"/>
        <v>499.66666666666663</v>
      </c>
      <c r="T141" s="23">
        <f t="shared" si="12"/>
        <v>229.66666666666666</v>
      </c>
      <c r="U141" s="23">
        <f>mp(U$2,U$4,$A141,Avatars!$O$16,Avatars!$O$17+$A141)+$A$1</f>
        <v>4207</v>
      </c>
      <c r="V141" s="23">
        <f>mp(V$2,V$4,$A141,Avatars!$O$16,Avatars!$O$17+$A141)+$A$1</f>
        <v>3667</v>
      </c>
      <c r="W141" s="23">
        <f>mp(W$2,W$4,$A141,Avatars!$O$16,Avatars!$O$17+$A141)+$A$1</f>
        <v>3487</v>
      </c>
      <c r="X141" s="23">
        <f>mp(X$2,X$4,$A141,Avatars!$O$16,Avatars!$O$17+$A141)+$A$1</f>
        <v>2587</v>
      </c>
      <c r="Y141" s="23">
        <f>mp(Y$2,Y$4,$A141,Avatars!$O$16,Avatars!$O$17+$A141)+$A$1</f>
        <v>2767</v>
      </c>
      <c r="Z141" s="23">
        <f>mp(Z$2,Z$4,$A141,Avatars!$O$16,Avatars!$O$17+$A141)+$A$1</f>
        <v>2497</v>
      </c>
    </row>
    <row r="142" spans="1:26" s="2" customFormat="1">
      <c r="A142" s="17">
        <v>136</v>
      </c>
      <c r="B142" s="17"/>
      <c r="C142" s="22">
        <f t="shared" si="11"/>
        <v>1336.2222222222222</v>
      </c>
      <c r="D142" s="22">
        <f t="shared" si="11"/>
        <v>1547.7777777777778</v>
      </c>
      <c r="E142" s="22">
        <f t="shared" si="11"/>
        <v>1653.5555555555557</v>
      </c>
      <c r="F142" s="22">
        <f t="shared" si="11"/>
        <v>1865.1111111111111</v>
      </c>
      <c r="G142" s="22">
        <f t="shared" si="11"/>
        <v>1970.8888888888887</v>
      </c>
      <c r="H142" s="22">
        <f t="shared" si="11"/>
        <v>2076.6666666666665</v>
      </c>
      <c r="I142" s="22">
        <f>HP(I$2,I$4,$A142,Avatars!$L$17,Avatars!$N$17+$A142-1)+$A$1</f>
        <v>3569.5555555555557</v>
      </c>
      <c r="J142" s="22">
        <f>HP(J$2,J$4,$A142,Avatars!$L$17,Avatars!$N$17+$A142-1)+$A$1</f>
        <v>3781.1111111111109</v>
      </c>
      <c r="K142" s="22">
        <f>HP(K$2,K$4,$A142,Avatars!$L$17,Avatars!$N$17+$A142-1)+$A$1</f>
        <v>3886.8888888888891</v>
      </c>
      <c r="L142" s="22">
        <f>HP(L$2,L$4,$A142,Avatars!$L$17,Avatars!$N$17+$A142-1)+$A$1</f>
        <v>4098.4444444444443</v>
      </c>
      <c r="M142" s="22">
        <f>HP(M$2,M$4,$A142,Avatars!$L$17,Avatars!$N$17+$A142-1)+$A$1</f>
        <v>4204.2222222222217</v>
      </c>
      <c r="N142" s="22">
        <f>HP(N$2,N$4,$A142,Avatars!$L$17,Avatars!$N$17+$A142-1)+$A$1</f>
        <v>4310</v>
      </c>
      <c r="O142" s="23">
        <f t="shared" si="12"/>
        <v>1954</v>
      </c>
      <c r="P142" s="23">
        <f t="shared" si="12"/>
        <v>1410</v>
      </c>
      <c r="Q142" s="23">
        <f t="shared" si="12"/>
        <v>1228.6666666666667</v>
      </c>
      <c r="R142" s="23">
        <f t="shared" si="12"/>
        <v>321.99999999999994</v>
      </c>
      <c r="S142" s="23">
        <f t="shared" si="12"/>
        <v>503.33333333333331</v>
      </c>
      <c r="T142" s="23">
        <f t="shared" si="12"/>
        <v>231.33333333333331</v>
      </c>
      <c r="U142" s="23">
        <f>mp(U$2,U$4,$A142,Avatars!$O$16,Avatars!$O$17+$A142)+$A$1</f>
        <v>4234.333333333333</v>
      </c>
      <c r="V142" s="23">
        <f>mp(V$2,V$4,$A142,Avatars!$O$16,Avatars!$O$17+$A142)+$A$1</f>
        <v>3690.3333333333335</v>
      </c>
      <c r="W142" s="23">
        <f>mp(W$2,W$4,$A142,Avatars!$O$16,Avatars!$O$17+$A142)+$A$1</f>
        <v>3509</v>
      </c>
      <c r="X142" s="23">
        <f>mp(X$2,X$4,$A142,Avatars!$O$16,Avatars!$O$17+$A142)+$A$1</f>
        <v>2602.3333333333335</v>
      </c>
      <c r="Y142" s="23">
        <f>mp(Y$2,Y$4,$A142,Avatars!$O$16,Avatars!$O$17+$A142)+$A$1</f>
        <v>2783.6666666666665</v>
      </c>
      <c r="Z142" s="23">
        <f>mp(Z$2,Z$4,$A142,Avatars!$O$16,Avatars!$O$17+$A142)+$A$1</f>
        <v>2511.6666666666665</v>
      </c>
    </row>
    <row r="143" spans="1:26" s="2" customFormat="1">
      <c r="A143" s="17">
        <v>137</v>
      </c>
      <c r="B143" s="17"/>
      <c r="C143" s="22">
        <f t="shared" si="11"/>
        <v>1345.7777777777778</v>
      </c>
      <c r="D143" s="22">
        <f t="shared" si="11"/>
        <v>1558.8888888888889</v>
      </c>
      <c r="E143" s="22">
        <f t="shared" si="11"/>
        <v>1665.4444444444446</v>
      </c>
      <c r="F143" s="22">
        <f t="shared" si="11"/>
        <v>1878.5555555555557</v>
      </c>
      <c r="G143" s="22">
        <f t="shared" si="11"/>
        <v>1985.1111111111111</v>
      </c>
      <c r="H143" s="22">
        <f t="shared" si="11"/>
        <v>2091.6666666666665</v>
      </c>
      <c r="I143" s="22">
        <f>HP(I$2,I$4,$A143,Avatars!$L$17,Avatars!$N$17+$A143-1)+$A$1</f>
        <v>3592.1111111111109</v>
      </c>
      <c r="J143" s="22">
        <f>HP(J$2,J$4,$A143,Avatars!$L$17,Avatars!$N$17+$A143-1)+$A$1</f>
        <v>3805.2222222222222</v>
      </c>
      <c r="K143" s="22">
        <f>HP(K$2,K$4,$A143,Avatars!$L$17,Avatars!$N$17+$A143-1)+$A$1</f>
        <v>3911.7777777777778</v>
      </c>
      <c r="L143" s="22">
        <f>HP(L$2,L$4,$A143,Avatars!$L$17,Avatars!$N$17+$A143-1)+$A$1</f>
        <v>4124.8888888888887</v>
      </c>
      <c r="M143" s="22">
        <f>HP(M$2,M$4,$A143,Avatars!$L$17,Avatars!$N$17+$A143-1)+$A$1</f>
        <v>4231.4444444444443</v>
      </c>
      <c r="N143" s="22">
        <f>HP(N$2,N$4,$A143,Avatars!$L$17,Avatars!$N$17+$A143-1)+$A$1</f>
        <v>4338</v>
      </c>
      <c r="O143" s="23">
        <f t="shared" si="12"/>
        <v>1968.3333333333335</v>
      </c>
      <c r="P143" s="23">
        <f t="shared" si="12"/>
        <v>1420.3333333333335</v>
      </c>
      <c r="Q143" s="23">
        <f t="shared" si="12"/>
        <v>1237.6666666666667</v>
      </c>
      <c r="R143" s="23">
        <f t="shared" si="12"/>
        <v>324.33333333333331</v>
      </c>
      <c r="S143" s="23">
        <f t="shared" si="12"/>
        <v>507</v>
      </c>
      <c r="T143" s="23">
        <f t="shared" si="12"/>
        <v>232.99999999999997</v>
      </c>
      <c r="U143" s="23">
        <f>mp(U$2,U$4,$A143,Avatars!$O$16,Avatars!$O$17+$A143)+$A$1</f>
        <v>4261.666666666667</v>
      </c>
      <c r="V143" s="23">
        <f>mp(V$2,V$4,$A143,Avatars!$O$16,Avatars!$O$17+$A143)+$A$1</f>
        <v>3713.666666666667</v>
      </c>
      <c r="W143" s="23">
        <f>mp(W$2,W$4,$A143,Avatars!$O$16,Avatars!$O$17+$A143)+$A$1</f>
        <v>3531</v>
      </c>
      <c r="X143" s="23">
        <f>mp(X$2,X$4,$A143,Avatars!$O$16,Avatars!$O$17+$A143)+$A$1</f>
        <v>2617.6666666666665</v>
      </c>
      <c r="Y143" s="23">
        <f>mp(Y$2,Y$4,$A143,Avatars!$O$16,Avatars!$O$17+$A143)+$A$1</f>
        <v>2800.3333333333335</v>
      </c>
      <c r="Z143" s="23">
        <f>mp(Z$2,Z$4,$A143,Avatars!$O$16,Avatars!$O$17+$A143)+$A$1</f>
        <v>2526.3333333333335</v>
      </c>
    </row>
    <row r="144" spans="1:26" s="2" customFormat="1">
      <c r="A144" s="17">
        <v>138</v>
      </c>
      <c r="B144" s="17"/>
      <c r="C144" s="22">
        <f t="shared" si="11"/>
        <v>1355.3333333333333</v>
      </c>
      <c r="D144" s="22">
        <f t="shared" si="11"/>
        <v>1570</v>
      </c>
      <c r="E144" s="22">
        <f t="shared" si="11"/>
        <v>1677.3333333333335</v>
      </c>
      <c r="F144" s="22">
        <f t="shared" si="11"/>
        <v>1892</v>
      </c>
      <c r="G144" s="22">
        <f t="shared" si="11"/>
        <v>1999.3333333333333</v>
      </c>
      <c r="H144" s="22">
        <f t="shared" si="11"/>
        <v>2106.6666666666665</v>
      </c>
      <c r="I144" s="22">
        <f>HP(I$2,I$4,$A144,Avatars!$L$17,Avatars!$N$17+$A144-1)+$A$1</f>
        <v>3614.6666666666665</v>
      </c>
      <c r="J144" s="22">
        <f>HP(J$2,J$4,$A144,Avatars!$L$17,Avatars!$N$17+$A144-1)+$A$1</f>
        <v>3829.3333333333335</v>
      </c>
      <c r="K144" s="22">
        <f>HP(K$2,K$4,$A144,Avatars!$L$17,Avatars!$N$17+$A144-1)+$A$1</f>
        <v>3936.6666666666665</v>
      </c>
      <c r="L144" s="22">
        <f>HP(L$2,L$4,$A144,Avatars!$L$17,Avatars!$N$17+$A144-1)+$A$1</f>
        <v>4151.333333333333</v>
      </c>
      <c r="M144" s="22">
        <f>HP(M$2,M$4,$A144,Avatars!$L$17,Avatars!$N$17+$A144-1)+$A$1</f>
        <v>4258.666666666667</v>
      </c>
      <c r="N144" s="22">
        <f>HP(N$2,N$4,$A144,Avatars!$L$17,Avatars!$N$17+$A144-1)+$A$1</f>
        <v>4366</v>
      </c>
      <c r="O144" s="23">
        <f t="shared" si="12"/>
        <v>1982.6666666666667</v>
      </c>
      <c r="P144" s="23">
        <f t="shared" si="12"/>
        <v>1430.6666666666667</v>
      </c>
      <c r="Q144" s="23">
        <f t="shared" si="12"/>
        <v>1246.6666666666667</v>
      </c>
      <c r="R144" s="23">
        <f t="shared" si="12"/>
        <v>326.66666666666663</v>
      </c>
      <c r="S144" s="23">
        <f t="shared" si="12"/>
        <v>510.66666666666663</v>
      </c>
      <c r="T144" s="23">
        <f t="shared" si="12"/>
        <v>234.66666666666666</v>
      </c>
      <c r="U144" s="23">
        <f>mp(U$2,U$4,$A144,Avatars!$O$16,Avatars!$O$17+$A144)+$A$1</f>
        <v>4289</v>
      </c>
      <c r="V144" s="23">
        <f>mp(V$2,V$4,$A144,Avatars!$O$16,Avatars!$O$17+$A144)+$A$1</f>
        <v>3737</v>
      </c>
      <c r="W144" s="23">
        <f>mp(W$2,W$4,$A144,Avatars!$O$16,Avatars!$O$17+$A144)+$A$1</f>
        <v>3553</v>
      </c>
      <c r="X144" s="23">
        <f>mp(X$2,X$4,$A144,Avatars!$O$16,Avatars!$O$17+$A144)+$A$1</f>
        <v>2633</v>
      </c>
      <c r="Y144" s="23">
        <f>mp(Y$2,Y$4,$A144,Avatars!$O$16,Avatars!$O$17+$A144)+$A$1</f>
        <v>2817</v>
      </c>
      <c r="Z144" s="23">
        <f>mp(Z$2,Z$4,$A144,Avatars!$O$16,Avatars!$O$17+$A144)+$A$1</f>
        <v>2541</v>
      </c>
    </row>
    <row r="145" spans="1:26" s="2" customFormat="1">
      <c r="A145" s="17">
        <v>139</v>
      </c>
      <c r="B145" s="17"/>
      <c r="C145" s="22">
        <f t="shared" si="11"/>
        <v>1364.8888888888889</v>
      </c>
      <c r="D145" s="22">
        <f t="shared" si="11"/>
        <v>1581.1111111111111</v>
      </c>
      <c r="E145" s="22">
        <f t="shared" si="11"/>
        <v>1689.2222222222222</v>
      </c>
      <c r="F145" s="22">
        <f t="shared" si="11"/>
        <v>1905.4444444444446</v>
      </c>
      <c r="G145" s="22">
        <f t="shared" si="11"/>
        <v>2013.5555555555554</v>
      </c>
      <c r="H145" s="22">
        <f t="shared" si="11"/>
        <v>2121.6666666666665</v>
      </c>
      <c r="I145" s="22">
        <f>HP(I$2,I$4,$A145,Avatars!$L$17,Avatars!$N$17+$A145-1)+$A$1</f>
        <v>3637.2222222222222</v>
      </c>
      <c r="J145" s="22">
        <f>HP(J$2,J$4,$A145,Avatars!$L$17,Avatars!$N$17+$A145-1)+$A$1</f>
        <v>3853.4444444444443</v>
      </c>
      <c r="K145" s="22">
        <f>HP(K$2,K$4,$A145,Avatars!$L$17,Avatars!$N$17+$A145-1)+$A$1</f>
        <v>3961.5555555555557</v>
      </c>
      <c r="L145" s="22">
        <f>HP(L$2,L$4,$A145,Avatars!$L$17,Avatars!$N$17+$A145-1)+$A$1</f>
        <v>4177.7777777777774</v>
      </c>
      <c r="M145" s="22">
        <f>HP(M$2,M$4,$A145,Avatars!$L$17,Avatars!$N$17+$A145-1)+$A$1</f>
        <v>4285.8888888888887</v>
      </c>
      <c r="N145" s="22">
        <f>HP(N$2,N$4,$A145,Avatars!$L$17,Avatars!$N$17+$A145-1)+$A$1</f>
        <v>4394</v>
      </c>
      <c r="O145" s="23">
        <f t="shared" si="12"/>
        <v>1997</v>
      </c>
      <c r="P145" s="23">
        <f t="shared" si="12"/>
        <v>1441</v>
      </c>
      <c r="Q145" s="23">
        <f t="shared" si="12"/>
        <v>1255.6666666666667</v>
      </c>
      <c r="R145" s="23">
        <f t="shared" si="12"/>
        <v>328.99999999999994</v>
      </c>
      <c r="S145" s="23">
        <f t="shared" si="12"/>
        <v>514.33333333333326</v>
      </c>
      <c r="T145" s="23">
        <f t="shared" si="12"/>
        <v>236.33333333333331</v>
      </c>
      <c r="U145" s="23">
        <f>mp(U$2,U$4,$A145,Avatars!$O$16,Avatars!$O$17+$A145)+$A$1</f>
        <v>4316.333333333333</v>
      </c>
      <c r="V145" s="23">
        <f>mp(V$2,V$4,$A145,Avatars!$O$16,Avatars!$O$17+$A145)+$A$1</f>
        <v>3760.3333333333335</v>
      </c>
      <c r="W145" s="23">
        <f>mp(W$2,W$4,$A145,Avatars!$O$16,Avatars!$O$17+$A145)+$A$1</f>
        <v>3575</v>
      </c>
      <c r="X145" s="23">
        <f>mp(X$2,X$4,$A145,Avatars!$O$16,Avatars!$O$17+$A145)+$A$1</f>
        <v>2648.3333333333335</v>
      </c>
      <c r="Y145" s="23">
        <f>mp(Y$2,Y$4,$A145,Avatars!$O$16,Avatars!$O$17+$A145)+$A$1</f>
        <v>2833.6666666666665</v>
      </c>
      <c r="Z145" s="23">
        <f>mp(Z$2,Z$4,$A145,Avatars!$O$16,Avatars!$O$17+$A145)+$A$1</f>
        <v>2555.6666666666665</v>
      </c>
    </row>
    <row r="146" spans="1:26" s="2" customFormat="1">
      <c r="A146" s="17">
        <v>140</v>
      </c>
      <c r="B146" s="17"/>
      <c r="C146" s="22">
        <f t="shared" si="11"/>
        <v>1374.4444444444443</v>
      </c>
      <c r="D146" s="22">
        <f t="shared" si="11"/>
        <v>1592.2222222222222</v>
      </c>
      <c r="E146" s="22">
        <f t="shared" si="11"/>
        <v>1701.1111111111111</v>
      </c>
      <c r="F146" s="22">
        <f t="shared" si="11"/>
        <v>1918.8888888888889</v>
      </c>
      <c r="G146" s="22">
        <f t="shared" si="11"/>
        <v>2027.7777777777776</v>
      </c>
      <c r="H146" s="22">
        <f t="shared" si="11"/>
        <v>2136.6666666666665</v>
      </c>
      <c r="I146" s="22">
        <f>HP(I$2,I$4,$A146,Avatars!$L$17,Avatars!$N$17+$A146-1)+$A$1</f>
        <v>3659.7777777777778</v>
      </c>
      <c r="J146" s="22">
        <f>HP(J$2,J$4,$A146,Avatars!$L$17,Avatars!$N$17+$A146-1)+$A$1</f>
        <v>3877.5555555555557</v>
      </c>
      <c r="K146" s="22">
        <f>HP(K$2,K$4,$A146,Avatars!$L$17,Avatars!$N$17+$A146-1)+$A$1</f>
        <v>3986.4444444444443</v>
      </c>
      <c r="L146" s="22">
        <f>HP(L$2,L$4,$A146,Avatars!$L$17,Avatars!$N$17+$A146-1)+$A$1</f>
        <v>4204.2222222222226</v>
      </c>
      <c r="M146" s="22">
        <f>HP(M$2,M$4,$A146,Avatars!$L$17,Avatars!$N$17+$A146-1)+$A$1</f>
        <v>4313.1111111111113</v>
      </c>
      <c r="N146" s="22">
        <f>HP(N$2,N$4,$A146,Avatars!$L$17,Avatars!$N$17+$A146-1)+$A$1</f>
        <v>4422</v>
      </c>
      <c r="O146" s="23">
        <f t="shared" si="12"/>
        <v>2011.3333333333335</v>
      </c>
      <c r="P146" s="23">
        <f t="shared" si="12"/>
        <v>1451.3333333333335</v>
      </c>
      <c r="Q146" s="23">
        <f t="shared" si="12"/>
        <v>1264.6666666666667</v>
      </c>
      <c r="R146" s="23">
        <f t="shared" si="12"/>
        <v>331.33333333333331</v>
      </c>
      <c r="S146" s="23">
        <f t="shared" si="12"/>
        <v>518</v>
      </c>
      <c r="T146" s="23">
        <f t="shared" si="12"/>
        <v>237.99999999999997</v>
      </c>
      <c r="U146" s="23">
        <f>mp(U$2,U$4,$A146,Avatars!$O$16,Avatars!$O$17+$A146)+$A$1</f>
        <v>4343.666666666667</v>
      </c>
      <c r="V146" s="23">
        <f>mp(V$2,V$4,$A146,Avatars!$O$16,Avatars!$O$17+$A146)+$A$1</f>
        <v>3783.666666666667</v>
      </c>
      <c r="W146" s="23">
        <f>mp(W$2,W$4,$A146,Avatars!$O$16,Avatars!$O$17+$A146)+$A$1</f>
        <v>3597</v>
      </c>
      <c r="X146" s="23">
        <f>mp(X$2,X$4,$A146,Avatars!$O$16,Avatars!$O$17+$A146)+$A$1</f>
        <v>2663.6666666666665</v>
      </c>
      <c r="Y146" s="23">
        <f>mp(Y$2,Y$4,$A146,Avatars!$O$16,Avatars!$O$17+$A146)+$A$1</f>
        <v>2850.3333333333335</v>
      </c>
      <c r="Z146" s="23">
        <f>mp(Z$2,Z$4,$A146,Avatars!$O$16,Avatars!$O$17+$A146)+$A$1</f>
        <v>2570.3333333333335</v>
      </c>
    </row>
    <row r="147" spans="1:26" s="2" customFormat="1">
      <c r="A147" s="17">
        <v>141</v>
      </c>
      <c r="B147" s="17"/>
      <c r="C147" s="22">
        <f t="shared" si="11"/>
        <v>1384</v>
      </c>
      <c r="D147" s="22">
        <f t="shared" si="11"/>
        <v>1603.3333333333333</v>
      </c>
      <c r="E147" s="22">
        <f t="shared" si="11"/>
        <v>1713</v>
      </c>
      <c r="F147" s="22">
        <f t="shared" si="11"/>
        <v>1932.3333333333333</v>
      </c>
      <c r="G147" s="22">
        <f t="shared" si="11"/>
        <v>2042</v>
      </c>
      <c r="H147" s="22">
        <f t="shared" si="11"/>
        <v>2151.6666666666665</v>
      </c>
      <c r="I147" s="22">
        <f>HP(I$2,I$4,$A147,Avatars!$L$17,Avatars!$N$17+$A147-1)+$A$1</f>
        <v>3682.3333333333335</v>
      </c>
      <c r="J147" s="22">
        <f>HP(J$2,J$4,$A147,Avatars!$L$17,Avatars!$N$17+$A147-1)+$A$1</f>
        <v>3901.6666666666665</v>
      </c>
      <c r="K147" s="22">
        <f>HP(K$2,K$4,$A147,Avatars!$L$17,Avatars!$N$17+$A147-1)+$A$1</f>
        <v>4011.3333333333335</v>
      </c>
      <c r="L147" s="22">
        <f>HP(L$2,L$4,$A147,Avatars!$L$17,Avatars!$N$17+$A147-1)+$A$1</f>
        <v>4230.666666666667</v>
      </c>
      <c r="M147" s="22">
        <f>HP(M$2,M$4,$A147,Avatars!$L$17,Avatars!$N$17+$A147-1)+$A$1</f>
        <v>4340.333333333333</v>
      </c>
      <c r="N147" s="22">
        <f>HP(N$2,N$4,$A147,Avatars!$L$17,Avatars!$N$17+$A147-1)+$A$1</f>
        <v>4450</v>
      </c>
      <c r="O147" s="23">
        <f t="shared" si="12"/>
        <v>2025.6666666666667</v>
      </c>
      <c r="P147" s="23">
        <f t="shared" si="12"/>
        <v>1461.6666666666667</v>
      </c>
      <c r="Q147" s="23">
        <f t="shared" si="12"/>
        <v>1273.6666666666667</v>
      </c>
      <c r="R147" s="23">
        <f t="shared" si="12"/>
        <v>333.66666666666663</v>
      </c>
      <c r="S147" s="23">
        <f t="shared" si="12"/>
        <v>521.66666666666663</v>
      </c>
      <c r="T147" s="23">
        <f t="shared" si="12"/>
        <v>239.66666666666666</v>
      </c>
      <c r="U147" s="23">
        <f>mp(U$2,U$4,$A147,Avatars!$O$16,Avatars!$O$17+$A147)+$A$1</f>
        <v>4371</v>
      </c>
      <c r="V147" s="23">
        <f>mp(V$2,V$4,$A147,Avatars!$O$16,Avatars!$O$17+$A147)+$A$1</f>
        <v>3807</v>
      </c>
      <c r="W147" s="23">
        <f>mp(W$2,W$4,$A147,Avatars!$O$16,Avatars!$O$17+$A147)+$A$1</f>
        <v>3619</v>
      </c>
      <c r="X147" s="23">
        <f>mp(X$2,X$4,$A147,Avatars!$O$16,Avatars!$O$17+$A147)+$A$1</f>
        <v>2679</v>
      </c>
      <c r="Y147" s="23">
        <f>mp(Y$2,Y$4,$A147,Avatars!$O$16,Avatars!$O$17+$A147)+$A$1</f>
        <v>2867</v>
      </c>
      <c r="Z147" s="23">
        <f>mp(Z$2,Z$4,$A147,Avatars!$O$16,Avatars!$O$17+$A147)+$A$1</f>
        <v>2585</v>
      </c>
    </row>
    <row r="148" spans="1:26" s="2" customFormat="1">
      <c r="A148" s="17">
        <v>142</v>
      </c>
      <c r="B148" s="17"/>
      <c r="C148" s="22">
        <f t="shared" si="11"/>
        <v>1393.5555555555554</v>
      </c>
      <c r="D148" s="22">
        <f t="shared" si="11"/>
        <v>1614.4444444444443</v>
      </c>
      <c r="E148" s="22">
        <f t="shared" si="11"/>
        <v>1724.8888888888889</v>
      </c>
      <c r="F148" s="22">
        <f t="shared" si="11"/>
        <v>1945.7777777777778</v>
      </c>
      <c r="G148" s="22">
        <f t="shared" si="11"/>
        <v>2056.2222222222222</v>
      </c>
      <c r="H148" s="22">
        <f t="shared" si="11"/>
        <v>2166.6666666666665</v>
      </c>
      <c r="I148" s="22">
        <f>HP(I$2,I$4,$A148,Avatars!$L$17,Avatars!$N$17+$A148-1)+$A$1</f>
        <v>3704.8888888888887</v>
      </c>
      <c r="J148" s="22">
        <f>HP(J$2,J$4,$A148,Avatars!$L$17,Avatars!$N$17+$A148-1)+$A$1</f>
        <v>3925.7777777777778</v>
      </c>
      <c r="K148" s="22">
        <f>HP(K$2,K$4,$A148,Avatars!$L$17,Avatars!$N$17+$A148-1)+$A$1</f>
        <v>4036.2222222222222</v>
      </c>
      <c r="L148" s="22">
        <f>HP(L$2,L$4,$A148,Avatars!$L$17,Avatars!$N$17+$A148-1)+$A$1</f>
        <v>4257.1111111111113</v>
      </c>
      <c r="M148" s="22">
        <f>HP(M$2,M$4,$A148,Avatars!$L$17,Avatars!$N$17+$A148-1)+$A$1</f>
        <v>4367.5555555555557</v>
      </c>
      <c r="N148" s="22">
        <f>HP(N$2,N$4,$A148,Avatars!$L$17,Avatars!$N$17+$A148-1)+$A$1</f>
        <v>4478</v>
      </c>
      <c r="O148" s="23">
        <f t="shared" si="12"/>
        <v>2040</v>
      </c>
      <c r="P148" s="23">
        <f t="shared" si="12"/>
        <v>1472</v>
      </c>
      <c r="Q148" s="23">
        <f t="shared" si="12"/>
        <v>1282.6666666666667</v>
      </c>
      <c r="R148" s="23">
        <f t="shared" si="12"/>
        <v>335.99999999999994</v>
      </c>
      <c r="S148" s="23">
        <f t="shared" si="12"/>
        <v>525.33333333333326</v>
      </c>
      <c r="T148" s="23">
        <f t="shared" si="12"/>
        <v>241.33333333333331</v>
      </c>
      <c r="U148" s="23">
        <f>mp(U$2,U$4,$A148,Avatars!$O$16,Avatars!$O$17+$A148)+$A$1</f>
        <v>4398.333333333333</v>
      </c>
      <c r="V148" s="23">
        <f>mp(V$2,V$4,$A148,Avatars!$O$16,Avatars!$O$17+$A148)+$A$1</f>
        <v>3830.3333333333335</v>
      </c>
      <c r="W148" s="23">
        <f>mp(W$2,W$4,$A148,Avatars!$O$16,Avatars!$O$17+$A148)+$A$1</f>
        <v>3641</v>
      </c>
      <c r="X148" s="23">
        <f>mp(X$2,X$4,$A148,Avatars!$O$16,Avatars!$O$17+$A148)+$A$1</f>
        <v>2694.3333333333335</v>
      </c>
      <c r="Y148" s="23">
        <f>mp(Y$2,Y$4,$A148,Avatars!$O$16,Avatars!$O$17+$A148)+$A$1</f>
        <v>2883.6666666666665</v>
      </c>
      <c r="Z148" s="23">
        <f>mp(Z$2,Z$4,$A148,Avatars!$O$16,Avatars!$O$17+$A148)+$A$1</f>
        <v>2599.6666666666665</v>
      </c>
    </row>
    <row r="149" spans="1:26" s="2" customFormat="1">
      <c r="A149" s="17">
        <v>143</v>
      </c>
      <c r="B149" s="17"/>
      <c r="C149" s="22">
        <f t="shared" si="11"/>
        <v>1403.1111111111111</v>
      </c>
      <c r="D149" s="22">
        <f t="shared" si="11"/>
        <v>1625.5555555555554</v>
      </c>
      <c r="E149" s="22">
        <f t="shared" si="11"/>
        <v>1736.7777777777778</v>
      </c>
      <c r="F149" s="22">
        <f t="shared" si="11"/>
        <v>1959.2222222222222</v>
      </c>
      <c r="G149" s="22">
        <f t="shared" si="11"/>
        <v>2070.4444444444443</v>
      </c>
      <c r="H149" s="22">
        <f t="shared" si="11"/>
        <v>2181.6666666666665</v>
      </c>
      <c r="I149" s="22">
        <f>HP(I$2,I$4,$A149,Avatars!$L$17,Avatars!$N$17+$A149-1)+$A$1</f>
        <v>3727.4444444444443</v>
      </c>
      <c r="J149" s="22">
        <f>HP(J$2,J$4,$A149,Avatars!$L$17,Avatars!$N$17+$A149-1)+$A$1</f>
        <v>3949.8888888888887</v>
      </c>
      <c r="K149" s="22">
        <f>HP(K$2,K$4,$A149,Avatars!$L$17,Avatars!$N$17+$A149-1)+$A$1</f>
        <v>4061.1111111111113</v>
      </c>
      <c r="L149" s="22">
        <f>HP(L$2,L$4,$A149,Avatars!$L$17,Avatars!$N$17+$A149-1)+$A$1</f>
        <v>4283.5555555555557</v>
      </c>
      <c r="M149" s="22">
        <f>HP(M$2,M$4,$A149,Avatars!$L$17,Avatars!$N$17+$A149-1)+$A$1</f>
        <v>4394.7777777777774</v>
      </c>
      <c r="N149" s="22">
        <f>HP(N$2,N$4,$A149,Avatars!$L$17,Avatars!$N$17+$A149-1)+$A$1</f>
        <v>4506</v>
      </c>
      <c r="O149" s="23">
        <f t="shared" si="12"/>
        <v>2054.3333333333335</v>
      </c>
      <c r="P149" s="23">
        <f t="shared" si="12"/>
        <v>1482.3333333333335</v>
      </c>
      <c r="Q149" s="23">
        <f t="shared" si="12"/>
        <v>1291.6666666666667</v>
      </c>
      <c r="R149" s="23">
        <f t="shared" si="12"/>
        <v>338.33333333333331</v>
      </c>
      <c r="S149" s="23">
        <f t="shared" si="12"/>
        <v>529</v>
      </c>
      <c r="T149" s="23">
        <f t="shared" si="12"/>
        <v>242.99999999999997</v>
      </c>
      <c r="U149" s="23">
        <f>mp(U$2,U$4,$A149,Avatars!$O$16,Avatars!$O$17+$A149)+$A$1</f>
        <v>4425.666666666667</v>
      </c>
      <c r="V149" s="23">
        <f>mp(V$2,V$4,$A149,Avatars!$O$16,Avatars!$O$17+$A149)+$A$1</f>
        <v>3853.666666666667</v>
      </c>
      <c r="W149" s="23">
        <f>mp(W$2,W$4,$A149,Avatars!$O$16,Avatars!$O$17+$A149)+$A$1</f>
        <v>3663</v>
      </c>
      <c r="X149" s="23">
        <f>mp(X$2,X$4,$A149,Avatars!$O$16,Avatars!$O$17+$A149)+$A$1</f>
        <v>2709.6666666666665</v>
      </c>
      <c r="Y149" s="23">
        <f>mp(Y$2,Y$4,$A149,Avatars!$O$16,Avatars!$O$17+$A149)+$A$1</f>
        <v>2900.3333333333335</v>
      </c>
      <c r="Z149" s="23">
        <f>mp(Z$2,Z$4,$A149,Avatars!$O$16,Avatars!$O$17+$A149)+$A$1</f>
        <v>2614.3333333333335</v>
      </c>
    </row>
    <row r="150" spans="1:26" s="2" customFormat="1">
      <c r="A150" s="17">
        <v>144</v>
      </c>
      <c r="B150" s="17"/>
      <c r="C150" s="22">
        <f t="shared" si="11"/>
        <v>1412.6666666666667</v>
      </c>
      <c r="D150" s="22">
        <f t="shared" si="11"/>
        <v>1636.6666666666665</v>
      </c>
      <c r="E150" s="22">
        <f t="shared" si="11"/>
        <v>1748.6666666666667</v>
      </c>
      <c r="F150" s="22">
        <f t="shared" ref="C150:H156" si="13">HP(F$2,F$4,$A150,10,10)+$A$1</f>
        <v>1972.6666666666667</v>
      </c>
      <c r="G150" s="22">
        <f t="shared" si="13"/>
        <v>2084.6666666666665</v>
      </c>
      <c r="H150" s="22">
        <f t="shared" si="13"/>
        <v>2196.6666666666665</v>
      </c>
      <c r="I150" s="22">
        <f>HP(I$2,I$4,$A150,Avatars!$L$17,Avatars!$N$17+$A150-1)+$A$1</f>
        <v>3750</v>
      </c>
      <c r="J150" s="22">
        <f>HP(J$2,J$4,$A150,Avatars!$L$17,Avatars!$N$17+$A150-1)+$A$1</f>
        <v>3974</v>
      </c>
      <c r="K150" s="22">
        <f>HP(K$2,K$4,$A150,Avatars!$L$17,Avatars!$N$17+$A150-1)+$A$1</f>
        <v>4086</v>
      </c>
      <c r="L150" s="22">
        <f>HP(L$2,L$4,$A150,Avatars!$L$17,Avatars!$N$17+$A150-1)+$A$1</f>
        <v>4310</v>
      </c>
      <c r="M150" s="22">
        <f>HP(M$2,M$4,$A150,Avatars!$L$17,Avatars!$N$17+$A150-1)+$A$1</f>
        <v>4422</v>
      </c>
      <c r="N150" s="22">
        <f>HP(N$2,N$4,$A150,Avatars!$L$17,Avatars!$N$17+$A150-1)+$A$1</f>
        <v>4534</v>
      </c>
      <c r="O150" s="23">
        <f t="shared" si="12"/>
        <v>2068.666666666667</v>
      </c>
      <c r="P150" s="23">
        <f t="shared" si="12"/>
        <v>1492.6666666666667</v>
      </c>
      <c r="Q150" s="23">
        <f t="shared" si="12"/>
        <v>1300.6666666666667</v>
      </c>
      <c r="R150" s="23">
        <f t="shared" si="12"/>
        <v>340.66666666666663</v>
      </c>
      <c r="S150" s="23">
        <f t="shared" si="12"/>
        <v>532.66666666666663</v>
      </c>
      <c r="T150" s="23">
        <f t="shared" si="12"/>
        <v>244.66666666666666</v>
      </c>
      <c r="U150" s="23">
        <f>mp(U$2,U$4,$A150,Avatars!$O$16,Avatars!$O$17+$A150)+$A$1</f>
        <v>4453</v>
      </c>
      <c r="V150" s="23">
        <f>mp(V$2,V$4,$A150,Avatars!$O$16,Avatars!$O$17+$A150)+$A$1</f>
        <v>3877</v>
      </c>
      <c r="W150" s="23">
        <f>mp(W$2,W$4,$A150,Avatars!$O$16,Avatars!$O$17+$A150)+$A$1</f>
        <v>3685</v>
      </c>
      <c r="X150" s="23">
        <f>mp(X$2,X$4,$A150,Avatars!$O$16,Avatars!$O$17+$A150)+$A$1</f>
        <v>2725</v>
      </c>
      <c r="Y150" s="23">
        <f>mp(Y$2,Y$4,$A150,Avatars!$O$16,Avatars!$O$17+$A150)+$A$1</f>
        <v>2917</v>
      </c>
      <c r="Z150" s="23">
        <f>mp(Z$2,Z$4,$A150,Avatars!$O$16,Avatars!$O$17+$A150)+$A$1</f>
        <v>2629</v>
      </c>
    </row>
    <row r="151" spans="1:26" s="2" customFormat="1">
      <c r="A151" s="17">
        <v>145</v>
      </c>
      <c r="B151" s="17"/>
      <c r="C151" s="22">
        <f t="shared" si="13"/>
        <v>1422.2222222222222</v>
      </c>
      <c r="D151" s="22">
        <f t="shared" si="13"/>
        <v>1647.7777777777778</v>
      </c>
      <c r="E151" s="22">
        <f t="shared" si="13"/>
        <v>1760.5555555555557</v>
      </c>
      <c r="F151" s="22">
        <f t="shared" si="13"/>
        <v>1986.1111111111111</v>
      </c>
      <c r="G151" s="22">
        <f t="shared" si="13"/>
        <v>2098.8888888888887</v>
      </c>
      <c r="H151" s="22">
        <f t="shared" si="13"/>
        <v>2211.6666666666665</v>
      </c>
      <c r="I151" s="22">
        <f>HP(I$2,I$4,$A151,Avatars!$L$17,Avatars!$N$17+$A151-1)+$A$1</f>
        <v>3772.5555555555557</v>
      </c>
      <c r="J151" s="22">
        <f>HP(J$2,J$4,$A151,Avatars!$L$17,Avatars!$N$17+$A151-1)+$A$1</f>
        <v>3998.1111111111109</v>
      </c>
      <c r="K151" s="22">
        <f>HP(K$2,K$4,$A151,Avatars!$L$17,Avatars!$N$17+$A151-1)+$A$1</f>
        <v>4110.8888888888887</v>
      </c>
      <c r="L151" s="22">
        <f>HP(L$2,L$4,$A151,Avatars!$L$17,Avatars!$N$17+$A151-1)+$A$1</f>
        <v>4336.4444444444443</v>
      </c>
      <c r="M151" s="22">
        <f>HP(M$2,M$4,$A151,Avatars!$L$17,Avatars!$N$17+$A151-1)+$A$1</f>
        <v>4449.2222222222217</v>
      </c>
      <c r="N151" s="22">
        <f>HP(N$2,N$4,$A151,Avatars!$L$17,Avatars!$N$17+$A151-1)+$A$1</f>
        <v>4562</v>
      </c>
      <c r="O151" s="23">
        <f t="shared" si="12"/>
        <v>2083</v>
      </c>
      <c r="P151" s="23">
        <f t="shared" si="12"/>
        <v>1503</v>
      </c>
      <c r="Q151" s="23">
        <f t="shared" si="12"/>
        <v>1309.6666666666667</v>
      </c>
      <c r="R151" s="23">
        <f t="shared" si="12"/>
        <v>342.99999999999994</v>
      </c>
      <c r="S151" s="23">
        <f t="shared" si="12"/>
        <v>536.33333333333326</v>
      </c>
      <c r="T151" s="23">
        <f t="shared" si="12"/>
        <v>246.33333333333331</v>
      </c>
      <c r="U151" s="23">
        <f>mp(U$2,U$4,$A151,Avatars!$O$16,Avatars!$O$17+$A151)+$A$1</f>
        <v>4480.333333333333</v>
      </c>
      <c r="V151" s="23">
        <f>mp(V$2,V$4,$A151,Avatars!$O$16,Avatars!$O$17+$A151)+$A$1</f>
        <v>3900.3333333333335</v>
      </c>
      <c r="W151" s="23">
        <f>mp(W$2,W$4,$A151,Avatars!$O$16,Avatars!$O$17+$A151)+$A$1</f>
        <v>3707</v>
      </c>
      <c r="X151" s="23">
        <f>mp(X$2,X$4,$A151,Avatars!$O$16,Avatars!$O$17+$A151)+$A$1</f>
        <v>2740.3333333333335</v>
      </c>
      <c r="Y151" s="23">
        <f>mp(Y$2,Y$4,$A151,Avatars!$O$16,Avatars!$O$17+$A151)+$A$1</f>
        <v>2933.6666666666665</v>
      </c>
      <c r="Z151" s="23">
        <f>mp(Z$2,Z$4,$A151,Avatars!$O$16,Avatars!$O$17+$A151)+$A$1</f>
        <v>2643.6666666666665</v>
      </c>
    </row>
    <row r="152" spans="1:26" s="2" customFormat="1">
      <c r="A152" s="17">
        <v>146</v>
      </c>
      <c r="B152" s="17"/>
      <c r="C152" s="22">
        <f t="shared" si="13"/>
        <v>1431.7777777777778</v>
      </c>
      <c r="D152" s="22">
        <f t="shared" si="13"/>
        <v>1658.8888888888889</v>
      </c>
      <c r="E152" s="22">
        <f t="shared" si="13"/>
        <v>1772.4444444444446</v>
      </c>
      <c r="F152" s="22">
        <f t="shared" si="13"/>
        <v>1999.5555555555557</v>
      </c>
      <c r="G152" s="22">
        <f t="shared" si="13"/>
        <v>2113.1111111111109</v>
      </c>
      <c r="H152" s="22">
        <f t="shared" si="13"/>
        <v>2226.6666666666665</v>
      </c>
      <c r="I152" s="22">
        <f>HP(I$2,I$4,$A152,Avatars!$L$17,Avatars!$N$17+$A152-1)+$A$1</f>
        <v>3795.1111111111109</v>
      </c>
      <c r="J152" s="22">
        <f>HP(J$2,J$4,$A152,Avatars!$L$17,Avatars!$N$17+$A152-1)+$A$1</f>
        <v>4022.2222222222222</v>
      </c>
      <c r="K152" s="22">
        <f>HP(K$2,K$4,$A152,Avatars!$L$17,Avatars!$N$17+$A152-1)+$A$1</f>
        <v>4135.7777777777783</v>
      </c>
      <c r="L152" s="22">
        <f>HP(L$2,L$4,$A152,Avatars!$L$17,Avatars!$N$17+$A152-1)+$A$1</f>
        <v>4362.8888888888887</v>
      </c>
      <c r="M152" s="22">
        <f>HP(M$2,M$4,$A152,Avatars!$L$17,Avatars!$N$17+$A152-1)+$A$1</f>
        <v>4476.4444444444443</v>
      </c>
      <c r="N152" s="22">
        <f>HP(N$2,N$4,$A152,Avatars!$L$17,Avatars!$N$17+$A152-1)+$A$1</f>
        <v>4590</v>
      </c>
      <c r="O152" s="23">
        <f t="shared" si="12"/>
        <v>2097.3333333333335</v>
      </c>
      <c r="P152" s="23">
        <f t="shared" si="12"/>
        <v>1513.3333333333335</v>
      </c>
      <c r="Q152" s="23">
        <f t="shared" si="12"/>
        <v>1318.6666666666667</v>
      </c>
      <c r="R152" s="23">
        <f t="shared" si="12"/>
        <v>345.33333333333331</v>
      </c>
      <c r="S152" s="23">
        <f t="shared" si="12"/>
        <v>540</v>
      </c>
      <c r="T152" s="23">
        <f t="shared" si="12"/>
        <v>247.99999999999997</v>
      </c>
      <c r="U152" s="23">
        <f>mp(U$2,U$4,$A152,Avatars!$O$16,Avatars!$O$17+$A152)+$A$1</f>
        <v>4507.666666666667</v>
      </c>
      <c r="V152" s="23">
        <f>mp(V$2,V$4,$A152,Avatars!$O$16,Avatars!$O$17+$A152)+$A$1</f>
        <v>3923.666666666667</v>
      </c>
      <c r="W152" s="23">
        <f>mp(W$2,W$4,$A152,Avatars!$O$16,Avatars!$O$17+$A152)+$A$1</f>
        <v>3729</v>
      </c>
      <c r="X152" s="23">
        <f>mp(X$2,X$4,$A152,Avatars!$O$16,Avatars!$O$17+$A152)+$A$1</f>
        <v>2755.6666666666665</v>
      </c>
      <c r="Y152" s="23">
        <f>mp(Y$2,Y$4,$A152,Avatars!$O$16,Avatars!$O$17+$A152)+$A$1</f>
        <v>2950.3333333333335</v>
      </c>
      <c r="Z152" s="23">
        <f>mp(Z$2,Z$4,$A152,Avatars!$O$16,Avatars!$O$17+$A152)+$A$1</f>
        <v>2658.3333333333335</v>
      </c>
    </row>
    <row r="153" spans="1:26" s="2" customFormat="1">
      <c r="A153" s="17">
        <v>147</v>
      </c>
      <c r="B153" s="17"/>
      <c r="C153" s="22">
        <f t="shared" si="13"/>
        <v>1441.3333333333333</v>
      </c>
      <c r="D153" s="22">
        <f t="shared" si="13"/>
        <v>1670</v>
      </c>
      <c r="E153" s="22">
        <f t="shared" si="13"/>
        <v>1784.3333333333335</v>
      </c>
      <c r="F153" s="22">
        <f t="shared" si="13"/>
        <v>2013</v>
      </c>
      <c r="G153" s="22">
        <f t="shared" si="13"/>
        <v>2127.333333333333</v>
      </c>
      <c r="H153" s="22">
        <f t="shared" si="13"/>
        <v>2241.6666666666665</v>
      </c>
      <c r="I153" s="22">
        <f>HP(I$2,I$4,$A153,Avatars!$L$17,Avatars!$N$17+$A153-1)+$A$1</f>
        <v>3817.6666666666665</v>
      </c>
      <c r="J153" s="22">
        <f>HP(J$2,J$4,$A153,Avatars!$L$17,Avatars!$N$17+$A153-1)+$A$1</f>
        <v>4046.3333333333335</v>
      </c>
      <c r="K153" s="22">
        <f>HP(K$2,K$4,$A153,Avatars!$L$17,Avatars!$N$17+$A153-1)+$A$1</f>
        <v>4160.666666666667</v>
      </c>
      <c r="L153" s="22">
        <f>HP(L$2,L$4,$A153,Avatars!$L$17,Avatars!$N$17+$A153-1)+$A$1</f>
        <v>4389.333333333333</v>
      </c>
      <c r="M153" s="22">
        <f>HP(M$2,M$4,$A153,Avatars!$L$17,Avatars!$N$17+$A153-1)+$A$1</f>
        <v>4503.666666666667</v>
      </c>
      <c r="N153" s="22">
        <f>HP(N$2,N$4,$A153,Avatars!$L$17,Avatars!$N$17+$A153-1)+$A$1</f>
        <v>4618</v>
      </c>
      <c r="O153" s="23">
        <f t="shared" si="12"/>
        <v>2111.666666666667</v>
      </c>
      <c r="P153" s="23">
        <f t="shared" si="12"/>
        <v>1523.6666666666667</v>
      </c>
      <c r="Q153" s="23">
        <f t="shared" si="12"/>
        <v>1327.6666666666667</v>
      </c>
      <c r="R153" s="23">
        <f t="shared" si="12"/>
        <v>347.66666666666663</v>
      </c>
      <c r="S153" s="23">
        <f t="shared" si="12"/>
        <v>543.66666666666663</v>
      </c>
      <c r="T153" s="23">
        <f t="shared" si="12"/>
        <v>249.66666666666666</v>
      </c>
      <c r="U153" s="23">
        <f>mp(U$2,U$4,$A153,Avatars!$O$16,Avatars!$O$17+$A153)+$A$1</f>
        <v>4535</v>
      </c>
      <c r="V153" s="23">
        <f>mp(V$2,V$4,$A153,Avatars!$O$16,Avatars!$O$17+$A153)+$A$1</f>
        <v>3947</v>
      </c>
      <c r="W153" s="23">
        <f>mp(W$2,W$4,$A153,Avatars!$O$16,Avatars!$O$17+$A153)+$A$1</f>
        <v>3751</v>
      </c>
      <c r="X153" s="23">
        <f>mp(X$2,X$4,$A153,Avatars!$O$16,Avatars!$O$17+$A153)+$A$1</f>
        <v>2771</v>
      </c>
      <c r="Y153" s="23">
        <f>mp(Y$2,Y$4,$A153,Avatars!$O$16,Avatars!$O$17+$A153)+$A$1</f>
        <v>2967</v>
      </c>
      <c r="Z153" s="23">
        <f>mp(Z$2,Z$4,$A153,Avatars!$O$16,Avatars!$O$17+$A153)+$A$1</f>
        <v>2673</v>
      </c>
    </row>
    <row r="154" spans="1:26" s="2" customFormat="1">
      <c r="A154" s="17">
        <v>148</v>
      </c>
      <c r="B154" s="17"/>
      <c r="C154" s="22">
        <f t="shared" si="13"/>
        <v>1450.8888888888889</v>
      </c>
      <c r="D154" s="22">
        <f t="shared" si="13"/>
        <v>1681.1111111111111</v>
      </c>
      <c r="E154" s="22">
        <f t="shared" si="13"/>
        <v>1796.2222222222222</v>
      </c>
      <c r="F154" s="22">
        <f t="shared" si="13"/>
        <v>2026.4444444444446</v>
      </c>
      <c r="G154" s="22">
        <f t="shared" si="13"/>
        <v>2141.5555555555557</v>
      </c>
      <c r="H154" s="22">
        <f t="shared" si="13"/>
        <v>2256.6666666666665</v>
      </c>
      <c r="I154" s="22">
        <f>HP(I$2,I$4,$A154,Avatars!$L$17,Avatars!$N$17+$A154-1)+$A$1</f>
        <v>3840.2222222222222</v>
      </c>
      <c r="J154" s="22">
        <f>HP(J$2,J$4,$A154,Avatars!$L$17,Avatars!$N$17+$A154-1)+$A$1</f>
        <v>4070.4444444444443</v>
      </c>
      <c r="K154" s="22">
        <f>HP(K$2,K$4,$A154,Avatars!$L$17,Avatars!$N$17+$A154-1)+$A$1</f>
        <v>4185.5555555555557</v>
      </c>
      <c r="L154" s="22">
        <f>HP(L$2,L$4,$A154,Avatars!$L$17,Avatars!$N$17+$A154-1)+$A$1</f>
        <v>4415.7777777777774</v>
      </c>
      <c r="M154" s="22">
        <f>HP(M$2,M$4,$A154,Avatars!$L$17,Avatars!$N$17+$A154-1)+$A$1</f>
        <v>4530.8888888888887</v>
      </c>
      <c r="N154" s="22">
        <f>HP(N$2,N$4,$A154,Avatars!$L$17,Avatars!$N$17+$A154-1)+$A$1</f>
        <v>4646</v>
      </c>
      <c r="O154" s="23">
        <f t="shared" si="12"/>
        <v>2126</v>
      </c>
      <c r="P154" s="23">
        <f t="shared" si="12"/>
        <v>1534</v>
      </c>
      <c r="Q154" s="23">
        <f t="shared" si="12"/>
        <v>1336.6666666666667</v>
      </c>
      <c r="R154" s="23">
        <f t="shared" si="12"/>
        <v>349.99999999999994</v>
      </c>
      <c r="S154" s="23">
        <f t="shared" si="12"/>
        <v>547.33333333333326</v>
      </c>
      <c r="T154" s="23">
        <f t="shared" si="12"/>
        <v>251.33333333333331</v>
      </c>
      <c r="U154" s="23">
        <f>mp(U$2,U$4,$A154,Avatars!$O$16,Avatars!$O$17+$A154)+$A$1</f>
        <v>4562.333333333333</v>
      </c>
      <c r="V154" s="23">
        <f>mp(V$2,V$4,$A154,Avatars!$O$16,Avatars!$O$17+$A154)+$A$1</f>
        <v>3970.3333333333335</v>
      </c>
      <c r="W154" s="23">
        <f>mp(W$2,W$4,$A154,Avatars!$O$16,Avatars!$O$17+$A154)+$A$1</f>
        <v>3773</v>
      </c>
      <c r="X154" s="23">
        <f>mp(X$2,X$4,$A154,Avatars!$O$16,Avatars!$O$17+$A154)+$A$1</f>
        <v>2786.3333333333335</v>
      </c>
      <c r="Y154" s="23">
        <f>mp(Y$2,Y$4,$A154,Avatars!$O$16,Avatars!$O$17+$A154)+$A$1</f>
        <v>2983.6666666666665</v>
      </c>
      <c r="Z154" s="23">
        <f>mp(Z$2,Z$4,$A154,Avatars!$O$16,Avatars!$O$17+$A154)+$A$1</f>
        <v>2687.6666666666665</v>
      </c>
    </row>
    <row r="155" spans="1:26" s="2" customFormat="1">
      <c r="A155" s="17">
        <v>149</v>
      </c>
      <c r="B155" s="17"/>
      <c r="C155" s="22">
        <f t="shared" si="13"/>
        <v>1460.4444444444443</v>
      </c>
      <c r="D155" s="22">
        <f t="shared" si="13"/>
        <v>1692.2222222222222</v>
      </c>
      <c r="E155" s="22">
        <f t="shared" si="13"/>
        <v>1808.1111111111111</v>
      </c>
      <c r="F155" s="22">
        <f t="shared" si="13"/>
        <v>2039.8888888888889</v>
      </c>
      <c r="G155" s="22">
        <f t="shared" si="13"/>
        <v>2155.7777777777778</v>
      </c>
      <c r="H155" s="22">
        <f t="shared" si="13"/>
        <v>2271.6666666666665</v>
      </c>
      <c r="I155" s="22">
        <f>HP(I$2,I$4,$A155,Avatars!$L$17,Avatars!$N$17+$A155-1)+$A$1</f>
        <v>3862.7777777777778</v>
      </c>
      <c r="J155" s="22">
        <f>HP(J$2,J$4,$A155,Avatars!$L$17,Avatars!$N$17+$A155-1)+$A$1</f>
        <v>4094.5555555555557</v>
      </c>
      <c r="K155" s="22">
        <f>HP(K$2,K$4,$A155,Avatars!$L$17,Avatars!$N$17+$A155-1)+$A$1</f>
        <v>4210.4444444444443</v>
      </c>
      <c r="L155" s="22">
        <f>HP(L$2,L$4,$A155,Avatars!$L$17,Avatars!$N$17+$A155-1)+$A$1</f>
        <v>4442.2222222222226</v>
      </c>
      <c r="M155" s="22">
        <f>HP(M$2,M$4,$A155,Avatars!$L$17,Avatars!$N$17+$A155-1)+$A$1</f>
        <v>4558.1111111111113</v>
      </c>
      <c r="N155" s="22">
        <f>HP(N$2,N$4,$A155,Avatars!$L$17,Avatars!$N$17+$A155-1)+$A$1</f>
        <v>4674</v>
      </c>
      <c r="O155" s="23">
        <f t="shared" si="12"/>
        <v>2140.3333333333335</v>
      </c>
      <c r="P155" s="23">
        <f t="shared" si="12"/>
        <v>1544.3333333333335</v>
      </c>
      <c r="Q155" s="23">
        <f t="shared" si="12"/>
        <v>1345.6666666666667</v>
      </c>
      <c r="R155" s="23">
        <f t="shared" si="12"/>
        <v>352.33333333333331</v>
      </c>
      <c r="S155" s="23">
        <f t="shared" si="12"/>
        <v>551</v>
      </c>
      <c r="T155" s="23">
        <f t="shared" si="12"/>
        <v>252.99999999999997</v>
      </c>
      <c r="U155" s="23">
        <f>mp(U$2,U$4,$A155,Avatars!$O$16,Avatars!$O$17+$A155)+$A$1</f>
        <v>4589.666666666667</v>
      </c>
      <c r="V155" s="23">
        <f>mp(V$2,V$4,$A155,Avatars!$O$16,Avatars!$O$17+$A155)+$A$1</f>
        <v>3993.666666666667</v>
      </c>
      <c r="W155" s="23">
        <f>mp(W$2,W$4,$A155,Avatars!$O$16,Avatars!$O$17+$A155)+$A$1</f>
        <v>3795</v>
      </c>
      <c r="X155" s="23">
        <f>mp(X$2,X$4,$A155,Avatars!$O$16,Avatars!$O$17+$A155)+$A$1</f>
        <v>2801.6666666666665</v>
      </c>
      <c r="Y155" s="23">
        <f>mp(Y$2,Y$4,$A155,Avatars!$O$16,Avatars!$O$17+$A155)+$A$1</f>
        <v>3000.3333333333335</v>
      </c>
      <c r="Z155" s="23">
        <f>mp(Z$2,Z$4,$A155,Avatars!$O$16,Avatars!$O$17+$A155)+$A$1</f>
        <v>2702.3333333333335</v>
      </c>
    </row>
    <row r="156" spans="1:26" s="2" customFormat="1">
      <c r="A156" s="17">
        <v>150</v>
      </c>
      <c r="B156" s="17"/>
      <c r="C156" s="22">
        <f t="shared" si="13"/>
        <v>1470</v>
      </c>
      <c r="D156" s="22">
        <f t="shared" si="13"/>
        <v>1703.3333333333333</v>
      </c>
      <c r="E156" s="22">
        <f t="shared" si="13"/>
        <v>1820</v>
      </c>
      <c r="F156" s="22">
        <f t="shared" si="13"/>
        <v>2053.3333333333335</v>
      </c>
      <c r="G156" s="22">
        <f t="shared" si="13"/>
        <v>2170</v>
      </c>
      <c r="H156" s="22">
        <f t="shared" si="13"/>
        <v>2286.6666666666665</v>
      </c>
      <c r="I156" s="22">
        <f>HP(I$2,I$4,$A156,Avatars!$L$17,Avatars!$N$17+$A156-1)+$A$1</f>
        <v>3885.3333333333335</v>
      </c>
      <c r="J156" s="22">
        <f>HP(J$2,J$4,$A156,Avatars!$L$17,Avatars!$N$17+$A156-1)+$A$1</f>
        <v>4118.666666666667</v>
      </c>
      <c r="K156" s="22">
        <f>HP(K$2,K$4,$A156,Avatars!$L$17,Avatars!$N$17+$A156-1)+$A$1</f>
        <v>4235.333333333333</v>
      </c>
      <c r="L156" s="22">
        <f>HP(L$2,L$4,$A156,Avatars!$L$17,Avatars!$N$17+$A156-1)+$A$1</f>
        <v>4468.666666666667</v>
      </c>
      <c r="M156" s="22">
        <f>HP(M$2,M$4,$A156,Avatars!$L$17,Avatars!$N$17+$A156-1)+$A$1</f>
        <v>4585.333333333333</v>
      </c>
      <c r="N156" s="22">
        <f>HP(N$2,N$4,$A156,Avatars!$L$17,Avatars!$N$17+$A156-1)+$A$1</f>
        <v>4702</v>
      </c>
      <c r="O156" s="23">
        <f t="shared" si="12"/>
        <v>2154.666666666667</v>
      </c>
      <c r="P156" s="23">
        <f t="shared" si="12"/>
        <v>1554.6666666666667</v>
      </c>
      <c r="Q156" s="23">
        <f t="shared" si="12"/>
        <v>1354.6666666666667</v>
      </c>
      <c r="R156" s="23">
        <f t="shared" si="12"/>
        <v>354.66666666666663</v>
      </c>
      <c r="S156" s="23">
        <f t="shared" si="12"/>
        <v>554.66666666666663</v>
      </c>
      <c r="T156" s="23">
        <f t="shared" si="12"/>
        <v>254.66666666666666</v>
      </c>
      <c r="U156" s="23">
        <f>mp(U$2,U$4,$A156,Avatars!$O$16,Avatars!$O$17+$A156)+$A$1</f>
        <v>4617</v>
      </c>
      <c r="V156" s="23">
        <f>mp(V$2,V$4,$A156,Avatars!$O$16,Avatars!$O$17+$A156)+$A$1</f>
        <v>4017</v>
      </c>
      <c r="W156" s="23">
        <f>mp(W$2,W$4,$A156,Avatars!$O$16,Avatars!$O$17+$A156)+$A$1</f>
        <v>3817</v>
      </c>
      <c r="X156" s="23">
        <f>mp(X$2,X$4,$A156,Avatars!$O$16,Avatars!$O$17+$A156)+$A$1</f>
        <v>2817</v>
      </c>
      <c r="Y156" s="23">
        <f>mp(Y$2,Y$4,$A156,Avatars!$O$16,Avatars!$O$17+$A156)+$A$1</f>
        <v>3017</v>
      </c>
      <c r="Z156" s="23">
        <f>mp(Z$2,Z$4,$A156,Avatars!$O$16,Avatars!$O$17+$A156)+$A$1</f>
        <v>2717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J151"/>
  <sheetViews>
    <sheetView workbookViewId="0">
      <pane ySplit="1" topLeftCell="A2" activePane="bottomLeft" state="frozen"/>
      <selection pane="bottomLeft" activeCell="H16" sqref="H16"/>
    </sheetView>
  </sheetViews>
  <sheetFormatPr defaultRowHeight="15"/>
  <cols>
    <col min="6" max="6" width="23.5703125" bestFit="1" customWidth="1"/>
    <col min="7" max="7" width="27.5703125" bestFit="1" customWidth="1"/>
    <col min="8" max="8" width="23.85546875" customWidth="1"/>
  </cols>
  <sheetData>
    <row r="1" spans="1:10">
      <c r="A1" s="10" t="s">
        <v>53</v>
      </c>
      <c r="B1" s="104" t="s">
        <v>155</v>
      </c>
      <c r="C1" s="104"/>
      <c r="D1" s="105" t="s">
        <v>156</v>
      </c>
      <c r="E1" s="105"/>
      <c r="F1" s="10" t="s">
        <v>157</v>
      </c>
      <c r="G1" s="10" t="s">
        <v>158</v>
      </c>
      <c r="H1" s="10" t="s">
        <v>168</v>
      </c>
      <c r="J1" t="s">
        <v>79</v>
      </c>
    </row>
    <row r="2" spans="1:10">
      <c r="A2" s="10">
        <v>1</v>
      </c>
      <c r="B2" s="103">
        <v>0</v>
      </c>
      <c r="C2" s="103"/>
      <c r="D2" s="103">
        <f>B3-B2</f>
        <v>100</v>
      </c>
      <c r="E2" s="103"/>
      <c r="F2" s="26">
        <v>20</v>
      </c>
      <c r="G2" s="9">
        <f>D2/F2</f>
        <v>5</v>
      </c>
      <c r="H2" s="9">
        <f>SUM($G$2:G2)</f>
        <v>5</v>
      </c>
      <c r="J2" t="s">
        <v>166</v>
      </c>
    </row>
    <row r="3" spans="1:10">
      <c r="A3" s="10">
        <v>2</v>
      </c>
      <c r="B3" s="103">
        <v>100</v>
      </c>
      <c r="C3" s="103"/>
      <c r="D3" s="103">
        <f t="shared" ref="D3:D66" si="0">B4-B3</f>
        <v>200</v>
      </c>
      <c r="E3" s="103"/>
      <c r="F3" s="62">
        <v>21</v>
      </c>
      <c r="G3" s="9">
        <f t="shared" ref="G3:G66" si="1">D3/F3</f>
        <v>9.5238095238095237</v>
      </c>
      <c r="H3" s="9">
        <f>SUM($G$2:G3)</f>
        <v>14.523809523809524</v>
      </c>
      <c r="J3" t="s">
        <v>159</v>
      </c>
    </row>
    <row r="4" spans="1:10">
      <c r="A4" s="10">
        <v>3</v>
      </c>
      <c r="B4" s="103">
        <v>300</v>
      </c>
      <c r="C4" s="103"/>
      <c r="D4" s="103">
        <f t="shared" si="0"/>
        <v>350</v>
      </c>
      <c r="E4" s="103"/>
      <c r="F4" s="62">
        <v>22</v>
      </c>
      <c r="G4" s="9">
        <f t="shared" si="1"/>
        <v>15.909090909090908</v>
      </c>
      <c r="H4" s="9">
        <f>SUM($G$2:G4)</f>
        <v>30.432900432900432</v>
      </c>
      <c r="J4" t="s">
        <v>167</v>
      </c>
    </row>
    <row r="5" spans="1:10">
      <c r="A5" s="10">
        <v>4</v>
      </c>
      <c r="B5" s="103">
        <v>650</v>
      </c>
      <c r="C5" s="103"/>
      <c r="D5" s="103">
        <f t="shared" si="0"/>
        <v>500</v>
      </c>
      <c r="E5" s="103"/>
      <c r="F5" s="62">
        <v>23</v>
      </c>
      <c r="G5" s="9">
        <f t="shared" si="1"/>
        <v>21.739130434782609</v>
      </c>
      <c r="H5" s="9">
        <f>SUM($G$2:G5)</f>
        <v>52.172030867683041</v>
      </c>
      <c r="J5" t="s">
        <v>160</v>
      </c>
    </row>
    <row r="6" spans="1:10">
      <c r="A6" s="10">
        <v>5</v>
      </c>
      <c r="B6" s="103">
        <v>1150</v>
      </c>
      <c r="C6" s="103"/>
      <c r="D6" s="103">
        <f t="shared" si="0"/>
        <v>750</v>
      </c>
      <c r="E6" s="103"/>
      <c r="F6" s="62">
        <v>24</v>
      </c>
      <c r="G6" s="9">
        <f t="shared" si="1"/>
        <v>31.25</v>
      </c>
      <c r="H6" s="9">
        <f>SUM($G$2:G6)</f>
        <v>83.422030867683048</v>
      </c>
      <c r="J6" t="s">
        <v>161</v>
      </c>
    </row>
    <row r="7" spans="1:10">
      <c r="A7" s="10">
        <v>6</v>
      </c>
      <c r="B7" s="103">
        <v>1900</v>
      </c>
      <c r="C7" s="103"/>
      <c r="D7" s="103">
        <f t="shared" si="0"/>
        <v>1100</v>
      </c>
      <c r="E7" s="103"/>
      <c r="F7" s="62">
        <v>25</v>
      </c>
      <c r="G7" s="9">
        <f t="shared" si="1"/>
        <v>44</v>
      </c>
      <c r="H7" s="9">
        <f>SUM($G$2:G7)</f>
        <v>127.42203086768305</v>
      </c>
      <c r="J7" t="s">
        <v>162</v>
      </c>
    </row>
    <row r="8" spans="1:10">
      <c r="A8" s="10">
        <v>7</v>
      </c>
      <c r="B8" s="103">
        <v>3000</v>
      </c>
      <c r="C8" s="103"/>
      <c r="D8" s="103">
        <f t="shared" si="0"/>
        <v>1500</v>
      </c>
      <c r="E8" s="103"/>
      <c r="F8" s="62">
        <v>26</v>
      </c>
      <c r="G8" s="9">
        <f t="shared" si="1"/>
        <v>57.692307692307693</v>
      </c>
      <c r="H8" s="9">
        <f>SUM($G$2:G8)</f>
        <v>185.11433855999076</v>
      </c>
    </row>
    <row r="9" spans="1:10">
      <c r="A9" s="10">
        <v>8</v>
      </c>
      <c r="B9" s="103">
        <v>4500</v>
      </c>
      <c r="C9" s="103"/>
      <c r="D9" s="103">
        <f t="shared" si="0"/>
        <v>2000</v>
      </c>
      <c r="E9" s="103"/>
      <c r="F9" s="62">
        <v>27</v>
      </c>
      <c r="G9" s="9">
        <f t="shared" si="1"/>
        <v>74.074074074074076</v>
      </c>
      <c r="H9" s="9">
        <f>SUM($G$2:G9)</f>
        <v>259.18841263406483</v>
      </c>
      <c r="J9" t="s">
        <v>163</v>
      </c>
    </row>
    <row r="10" spans="1:10">
      <c r="A10" s="10">
        <v>9</v>
      </c>
      <c r="B10" s="103">
        <v>6500</v>
      </c>
      <c r="C10" s="103"/>
      <c r="D10" s="103">
        <f t="shared" si="0"/>
        <v>2800</v>
      </c>
      <c r="E10" s="103"/>
      <c r="F10" s="62">
        <v>28</v>
      </c>
      <c r="G10" s="9">
        <f t="shared" si="1"/>
        <v>100</v>
      </c>
      <c r="H10" s="9">
        <f>SUM($G$2:G10)</f>
        <v>359.18841263406483</v>
      </c>
      <c r="J10" t="s">
        <v>164</v>
      </c>
    </row>
    <row r="11" spans="1:10">
      <c r="A11" s="10">
        <v>10</v>
      </c>
      <c r="B11" s="103">
        <v>9300</v>
      </c>
      <c r="C11" s="103"/>
      <c r="D11" s="103">
        <f t="shared" si="0"/>
        <v>3700</v>
      </c>
      <c r="E11" s="103"/>
      <c r="F11" s="62">
        <v>29</v>
      </c>
      <c r="G11" s="9">
        <f t="shared" si="1"/>
        <v>127.58620689655173</v>
      </c>
      <c r="H11" s="9">
        <f>SUM($G$2:G11)</f>
        <v>486.77461953061658</v>
      </c>
      <c r="J11" t="s">
        <v>165</v>
      </c>
    </row>
    <row r="12" spans="1:10">
      <c r="A12" s="10">
        <v>11</v>
      </c>
      <c r="B12" s="103">
        <v>13000</v>
      </c>
      <c r="C12" s="103"/>
      <c r="D12" s="103">
        <f t="shared" si="0"/>
        <v>5000</v>
      </c>
      <c r="E12" s="103"/>
      <c r="F12" s="62">
        <v>30</v>
      </c>
      <c r="G12" s="9">
        <f t="shared" si="1"/>
        <v>166.66666666666666</v>
      </c>
      <c r="H12" s="9">
        <f>SUM($G$2:G12)</f>
        <v>653.44128619728326</v>
      </c>
    </row>
    <row r="13" spans="1:10">
      <c r="A13" s="10">
        <v>12</v>
      </c>
      <c r="B13" s="103">
        <v>18000</v>
      </c>
      <c r="C13" s="103"/>
      <c r="D13" s="103">
        <f t="shared" si="0"/>
        <v>7000</v>
      </c>
      <c r="E13" s="103"/>
      <c r="F13" s="62">
        <v>31</v>
      </c>
      <c r="G13" s="9">
        <f t="shared" si="1"/>
        <v>225.80645161290323</v>
      </c>
      <c r="H13" s="9">
        <f>SUM($G$2:G13)</f>
        <v>879.24773781018644</v>
      </c>
    </row>
    <row r="14" spans="1:10">
      <c r="A14" s="10">
        <v>13</v>
      </c>
      <c r="B14" s="103">
        <v>25000</v>
      </c>
      <c r="C14" s="103"/>
      <c r="D14" s="103">
        <f t="shared" si="0"/>
        <v>10000</v>
      </c>
      <c r="E14" s="103"/>
      <c r="F14" s="62">
        <v>32</v>
      </c>
      <c r="G14" s="9">
        <f t="shared" si="1"/>
        <v>312.5</v>
      </c>
      <c r="H14" s="9">
        <f>SUM($G$2:G14)</f>
        <v>1191.7477378101864</v>
      </c>
    </row>
    <row r="15" spans="1:10">
      <c r="A15" s="10">
        <v>14</v>
      </c>
      <c r="B15" s="103">
        <v>35000</v>
      </c>
      <c r="C15" s="103"/>
      <c r="D15" s="103">
        <f t="shared" si="0"/>
        <v>12000</v>
      </c>
      <c r="E15" s="103"/>
      <c r="F15" s="62">
        <v>33</v>
      </c>
      <c r="G15" s="9">
        <f t="shared" si="1"/>
        <v>363.63636363636363</v>
      </c>
      <c r="H15" s="9">
        <f>SUM($G$2:G15)</f>
        <v>1555.3841014465502</v>
      </c>
    </row>
    <row r="16" spans="1:10">
      <c r="A16" s="10">
        <v>15</v>
      </c>
      <c r="B16" s="103">
        <v>47000</v>
      </c>
      <c r="C16" s="103"/>
      <c r="D16" s="103">
        <f t="shared" si="0"/>
        <v>15000</v>
      </c>
      <c r="E16" s="103"/>
      <c r="F16" s="62">
        <v>34</v>
      </c>
      <c r="G16" s="9">
        <f t="shared" si="1"/>
        <v>441.1764705882353</v>
      </c>
      <c r="H16" s="9">
        <f>SUM($G$2:G16)</f>
        <v>1996.5605720347855</v>
      </c>
    </row>
    <row r="17" spans="1:8">
      <c r="A17" s="10">
        <v>16</v>
      </c>
      <c r="B17" s="103">
        <v>62000</v>
      </c>
      <c r="C17" s="103"/>
      <c r="D17" s="103">
        <f t="shared" si="0"/>
        <v>21000</v>
      </c>
      <c r="E17" s="103"/>
      <c r="F17" s="62">
        <v>35</v>
      </c>
      <c r="G17" s="9">
        <f t="shared" si="1"/>
        <v>600</v>
      </c>
      <c r="H17" s="9">
        <f>SUM($G$2:G17)</f>
        <v>2596.5605720347858</v>
      </c>
    </row>
    <row r="18" spans="1:8">
      <c r="A18" s="10">
        <v>17</v>
      </c>
      <c r="B18" s="103">
        <v>83000</v>
      </c>
      <c r="C18" s="103"/>
      <c r="D18" s="103">
        <f t="shared" si="0"/>
        <v>27000</v>
      </c>
      <c r="E18" s="103"/>
      <c r="F18" s="62">
        <v>36</v>
      </c>
      <c r="G18" s="9">
        <f t="shared" si="1"/>
        <v>750</v>
      </c>
      <c r="H18" s="9">
        <f>SUM($G$2:G18)</f>
        <v>3346.5605720347858</v>
      </c>
    </row>
    <row r="19" spans="1:8">
      <c r="A19" s="10">
        <v>18</v>
      </c>
      <c r="B19" s="103">
        <v>110000</v>
      </c>
      <c r="C19" s="103"/>
      <c r="D19" s="103">
        <f t="shared" si="0"/>
        <v>30000</v>
      </c>
      <c r="E19" s="103"/>
      <c r="F19" s="62">
        <v>37</v>
      </c>
      <c r="G19" s="9">
        <f t="shared" si="1"/>
        <v>810.81081081081084</v>
      </c>
      <c r="H19" s="9">
        <f>SUM($G$2:G19)</f>
        <v>4157.3713828455966</v>
      </c>
    </row>
    <row r="20" spans="1:8">
      <c r="A20" s="10">
        <v>19</v>
      </c>
      <c r="B20" s="103">
        <v>140000</v>
      </c>
      <c r="C20" s="103"/>
      <c r="D20" s="103">
        <f t="shared" si="0"/>
        <v>46000</v>
      </c>
      <c r="E20" s="103"/>
      <c r="F20" s="62">
        <v>38</v>
      </c>
      <c r="G20" s="9">
        <f t="shared" si="1"/>
        <v>1210.5263157894738</v>
      </c>
      <c r="H20" s="9">
        <f>SUM($G$2:G20)</f>
        <v>5367.8976986350699</v>
      </c>
    </row>
    <row r="21" spans="1:8">
      <c r="A21" s="10">
        <v>20</v>
      </c>
      <c r="B21" s="103">
        <v>186000</v>
      </c>
      <c r="C21" s="103"/>
      <c r="D21" s="103">
        <f t="shared" si="0"/>
        <v>54000</v>
      </c>
      <c r="E21" s="103"/>
      <c r="F21" s="62">
        <v>39</v>
      </c>
      <c r="G21" s="9">
        <f t="shared" si="1"/>
        <v>1384.6153846153845</v>
      </c>
      <c r="H21" s="9">
        <f>SUM($G$2:G21)</f>
        <v>6752.5130832504547</v>
      </c>
    </row>
    <row r="22" spans="1:8">
      <c r="A22" s="10">
        <v>21</v>
      </c>
      <c r="B22" s="103">
        <v>240000</v>
      </c>
      <c r="C22" s="103"/>
      <c r="D22" s="103">
        <f t="shared" si="0"/>
        <v>70000</v>
      </c>
      <c r="E22" s="103"/>
      <c r="F22" s="62">
        <v>40</v>
      </c>
      <c r="G22" s="9">
        <f t="shared" si="1"/>
        <v>1750</v>
      </c>
      <c r="H22" s="9">
        <f>SUM($G$2:G22)</f>
        <v>8502.5130832504547</v>
      </c>
    </row>
    <row r="23" spans="1:8">
      <c r="A23" s="10">
        <v>22</v>
      </c>
      <c r="B23" s="103">
        <v>310000</v>
      </c>
      <c r="C23" s="103"/>
      <c r="D23" s="103">
        <f t="shared" si="0"/>
        <v>80000</v>
      </c>
      <c r="E23" s="103"/>
      <c r="F23" s="62">
        <v>41</v>
      </c>
      <c r="G23" s="9">
        <f t="shared" si="1"/>
        <v>1951.219512195122</v>
      </c>
      <c r="H23" s="9">
        <f>SUM($G$2:G23)</f>
        <v>10453.732595445577</v>
      </c>
    </row>
    <row r="24" spans="1:8">
      <c r="A24" s="10">
        <v>23</v>
      </c>
      <c r="B24" s="103">
        <v>390000</v>
      </c>
      <c r="C24" s="103"/>
      <c r="D24" s="103">
        <f t="shared" si="0"/>
        <v>110000</v>
      </c>
      <c r="E24" s="103"/>
      <c r="F24" s="62">
        <v>42</v>
      </c>
      <c r="G24" s="9">
        <f t="shared" si="1"/>
        <v>2619.0476190476193</v>
      </c>
      <c r="H24" s="9">
        <f>SUM($G$2:G24)</f>
        <v>13072.780214493196</v>
      </c>
    </row>
    <row r="25" spans="1:8">
      <c r="A25" s="10">
        <v>24</v>
      </c>
      <c r="B25" s="103">
        <v>500000</v>
      </c>
      <c r="C25" s="103"/>
      <c r="D25" s="103">
        <f t="shared" si="0"/>
        <v>125000</v>
      </c>
      <c r="E25" s="103"/>
      <c r="F25" s="62">
        <v>43</v>
      </c>
      <c r="G25" s="9">
        <f t="shared" si="1"/>
        <v>2906.9767441860463</v>
      </c>
      <c r="H25" s="9">
        <f>SUM($G$2:G25)</f>
        <v>15979.756958679242</v>
      </c>
    </row>
    <row r="26" spans="1:8">
      <c r="A26" s="10">
        <v>25</v>
      </c>
      <c r="B26" s="103">
        <v>625000</v>
      </c>
      <c r="C26" s="103"/>
      <c r="D26" s="103">
        <f t="shared" si="0"/>
        <v>152000</v>
      </c>
      <c r="E26" s="103"/>
      <c r="F26" s="62">
        <v>44</v>
      </c>
      <c r="G26" s="9">
        <f t="shared" si="1"/>
        <v>3454.5454545454545</v>
      </c>
      <c r="H26" s="9">
        <f>SUM($G$2:G26)</f>
        <v>19434.302413224697</v>
      </c>
    </row>
    <row r="27" spans="1:8">
      <c r="A27" s="10">
        <v>26</v>
      </c>
      <c r="B27" s="103">
        <v>777000</v>
      </c>
      <c r="C27" s="103"/>
      <c r="D27" s="103">
        <f t="shared" si="0"/>
        <v>173000</v>
      </c>
      <c r="E27" s="103"/>
      <c r="F27" s="62">
        <v>45</v>
      </c>
      <c r="G27" s="9">
        <f t="shared" si="1"/>
        <v>3844.4444444444443</v>
      </c>
      <c r="H27" s="9">
        <f>SUM($G$2:G27)</f>
        <v>23278.746857669143</v>
      </c>
    </row>
    <row r="28" spans="1:8">
      <c r="A28" s="10">
        <v>27</v>
      </c>
      <c r="B28" s="103">
        <v>950000</v>
      </c>
      <c r="C28" s="103"/>
      <c r="D28" s="103">
        <f t="shared" si="0"/>
        <v>200000</v>
      </c>
      <c r="E28" s="103"/>
      <c r="F28" s="62">
        <v>46</v>
      </c>
      <c r="G28" s="9">
        <f t="shared" si="1"/>
        <v>4347.826086956522</v>
      </c>
      <c r="H28" s="9">
        <f>SUM($G$2:G28)</f>
        <v>27626.572944625666</v>
      </c>
    </row>
    <row r="29" spans="1:8">
      <c r="A29" s="10">
        <v>28</v>
      </c>
      <c r="B29" s="103">
        <v>1150000</v>
      </c>
      <c r="C29" s="103"/>
      <c r="D29" s="103">
        <f t="shared" si="0"/>
        <v>250000</v>
      </c>
      <c r="E29" s="103"/>
      <c r="F29" s="62">
        <v>47</v>
      </c>
      <c r="G29" s="9">
        <f t="shared" si="1"/>
        <v>5319.1489361702124</v>
      </c>
      <c r="H29" s="9">
        <f>SUM($G$2:G29)</f>
        <v>32945.721880795878</v>
      </c>
    </row>
    <row r="30" spans="1:8">
      <c r="A30" s="10">
        <v>29</v>
      </c>
      <c r="B30" s="103">
        <v>1400000</v>
      </c>
      <c r="C30" s="103"/>
      <c r="D30" s="103">
        <f t="shared" si="0"/>
        <v>340000</v>
      </c>
      <c r="E30" s="103"/>
      <c r="F30" s="62">
        <v>48</v>
      </c>
      <c r="G30" s="9">
        <f t="shared" si="1"/>
        <v>7083.333333333333</v>
      </c>
      <c r="H30" s="9">
        <f>SUM($G$2:G30)</f>
        <v>40029.055214129214</v>
      </c>
    </row>
    <row r="31" spans="1:8">
      <c r="A31" s="10">
        <v>30</v>
      </c>
      <c r="B31" s="103">
        <v>1740000</v>
      </c>
      <c r="C31" s="103"/>
      <c r="D31" s="103">
        <f t="shared" si="0"/>
        <v>380000</v>
      </c>
      <c r="E31" s="103"/>
      <c r="F31" s="62">
        <v>49</v>
      </c>
      <c r="G31" s="9">
        <f t="shared" si="1"/>
        <v>7755.1020408163267</v>
      </c>
      <c r="H31" s="9">
        <f>SUM($G$2:G31)</f>
        <v>47784.157254945538</v>
      </c>
    </row>
    <row r="32" spans="1:8">
      <c r="A32" s="10">
        <v>31</v>
      </c>
      <c r="B32" s="103">
        <v>2120000</v>
      </c>
      <c r="C32" s="103"/>
      <c r="D32" s="103">
        <f t="shared" si="0"/>
        <v>430000</v>
      </c>
      <c r="E32" s="103"/>
      <c r="F32" s="62">
        <v>50</v>
      </c>
      <c r="G32" s="9">
        <f t="shared" si="1"/>
        <v>8600</v>
      </c>
      <c r="H32" s="9">
        <f>SUM($G$2:G32)</f>
        <v>56384.157254945538</v>
      </c>
    </row>
    <row r="33" spans="1:8">
      <c r="A33" s="10">
        <v>32</v>
      </c>
      <c r="B33" s="103">
        <v>2550000</v>
      </c>
      <c r="C33" s="103"/>
      <c r="D33" s="103">
        <f t="shared" si="0"/>
        <v>450000</v>
      </c>
      <c r="E33" s="103"/>
      <c r="F33" s="62">
        <v>51</v>
      </c>
      <c r="G33" s="9">
        <f t="shared" si="1"/>
        <v>8823.5294117647063</v>
      </c>
      <c r="H33" s="9">
        <f>SUM($G$2:G33)</f>
        <v>65207.686666710244</v>
      </c>
    </row>
    <row r="34" spans="1:8">
      <c r="A34" s="10">
        <v>33</v>
      </c>
      <c r="B34" s="103">
        <v>3000000</v>
      </c>
      <c r="C34" s="103"/>
      <c r="D34" s="103">
        <f t="shared" si="0"/>
        <v>500000</v>
      </c>
      <c r="E34" s="103"/>
      <c r="F34" s="62">
        <v>52</v>
      </c>
      <c r="G34" s="9">
        <f t="shared" si="1"/>
        <v>9615.3846153846152</v>
      </c>
      <c r="H34" s="9">
        <f>SUM($G$2:G34)</f>
        <v>74823.071282094854</v>
      </c>
    </row>
    <row r="35" spans="1:8">
      <c r="A35" s="10">
        <v>34</v>
      </c>
      <c r="B35" s="103">
        <v>3500000</v>
      </c>
      <c r="C35" s="103"/>
      <c r="D35" s="103">
        <f t="shared" si="0"/>
        <v>550000</v>
      </c>
      <c r="E35" s="103"/>
      <c r="F35" s="62">
        <v>53</v>
      </c>
      <c r="G35" s="9">
        <f t="shared" si="1"/>
        <v>10377.358490566037</v>
      </c>
      <c r="H35" s="9">
        <f>SUM($G$2:G35)</f>
        <v>85200.429772660893</v>
      </c>
    </row>
    <row r="36" spans="1:8">
      <c r="A36" s="10">
        <v>35</v>
      </c>
      <c r="B36" s="103">
        <v>4050000</v>
      </c>
      <c r="C36" s="103"/>
      <c r="D36" s="103">
        <f t="shared" si="0"/>
        <v>650000</v>
      </c>
      <c r="E36" s="103"/>
      <c r="F36" s="62">
        <v>54</v>
      </c>
      <c r="G36" s="9">
        <f t="shared" si="1"/>
        <v>12037.037037037036</v>
      </c>
      <c r="H36" s="9">
        <f>SUM($G$2:G36)</f>
        <v>97237.466809697929</v>
      </c>
    </row>
    <row r="37" spans="1:8">
      <c r="A37" s="10">
        <v>36</v>
      </c>
      <c r="B37" s="103">
        <v>4700000</v>
      </c>
      <c r="C37" s="103"/>
      <c r="D37" s="103">
        <f t="shared" si="0"/>
        <v>700000</v>
      </c>
      <c r="E37" s="103"/>
      <c r="F37" s="62">
        <v>55</v>
      </c>
      <c r="G37" s="9">
        <f t="shared" si="1"/>
        <v>12727.272727272728</v>
      </c>
      <c r="H37" s="9">
        <f>SUM($G$2:G37)</f>
        <v>109964.73953697065</v>
      </c>
    </row>
    <row r="38" spans="1:8">
      <c r="A38" s="10">
        <v>37</v>
      </c>
      <c r="B38" s="103">
        <v>5400000</v>
      </c>
      <c r="C38" s="103"/>
      <c r="D38" s="103">
        <f t="shared" si="0"/>
        <v>750000</v>
      </c>
      <c r="E38" s="103"/>
      <c r="F38" s="62">
        <v>56</v>
      </c>
      <c r="G38" s="9">
        <f t="shared" si="1"/>
        <v>13392.857142857143</v>
      </c>
      <c r="H38" s="9">
        <f>SUM($G$2:G38)</f>
        <v>123357.5966798278</v>
      </c>
    </row>
    <row r="39" spans="1:8">
      <c r="A39" s="10">
        <v>38</v>
      </c>
      <c r="B39" s="103">
        <v>6150000</v>
      </c>
      <c r="C39" s="103"/>
      <c r="D39" s="103">
        <f t="shared" si="0"/>
        <v>850000</v>
      </c>
      <c r="E39" s="103"/>
      <c r="F39" s="62">
        <v>57</v>
      </c>
      <c r="G39" s="9">
        <f t="shared" si="1"/>
        <v>14912.280701754386</v>
      </c>
      <c r="H39" s="9">
        <f>SUM($G$2:G39)</f>
        <v>138269.87738158219</v>
      </c>
    </row>
    <row r="40" spans="1:8">
      <c r="A40" s="10">
        <v>39</v>
      </c>
      <c r="B40" s="103">
        <v>7000000</v>
      </c>
      <c r="C40" s="103"/>
      <c r="D40" s="103">
        <f t="shared" si="0"/>
        <v>1000000</v>
      </c>
      <c r="E40" s="103"/>
      <c r="F40" s="62">
        <v>58</v>
      </c>
      <c r="G40" s="9">
        <f t="shared" si="1"/>
        <v>17241.379310344826</v>
      </c>
      <c r="H40" s="9">
        <f>SUM($G$2:G40)</f>
        <v>155511.25669192703</v>
      </c>
    </row>
    <row r="41" spans="1:8">
      <c r="A41" s="10">
        <v>40</v>
      </c>
      <c r="B41" s="103">
        <v>8000000</v>
      </c>
      <c r="C41" s="103"/>
      <c r="D41" s="103">
        <f t="shared" si="0"/>
        <v>1050000</v>
      </c>
      <c r="E41" s="103"/>
      <c r="F41" s="62">
        <v>59</v>
      </c>
      <c r="G41" s="9">
        <f t="shared" si="1"/>
        <v>17796.610169491527</v>
      </c>
      <c r="H41" s="9">
        <f>SUM($G$2:G41)</f>
        <v>173307.86686141856</v>
      </c>
    </row>
    <row r="42" spans="1:8">
      <c r="A42" s="10">
        <v>41</v>
      </c>
      <c r="B42" s="103">
        <v>9050000</v>
      </c>
      <c r="C42" s="103"/>
      <c r="D42" s="103">
        <f t="shared" si="0"/>
        <v>1090000</v>
      </c>
      <c r="E42" s="103"/>
      <c r="F42" s="62">
        <v>60</v>
      </c>
      <c r="G42" s="9">
        <f t="shared" si="1"/>
        <v>18166.666666666668</v>
      </c>
      <c r="H42" s="9">
        <f>SUM($G$2:G42)</f>
        <v>191474.53352808522</v>
      </c>
    </row>
    <row r="43" spans="1:8">
      <c r="A43" s="10">
        <v>42</v>
      </c>
      <c r="B43" s="103">
        <v>10140000</v>
      </c>
      <c r="C43" s="103"/>
      <c r="D43" s="103">
        <f t="shared" si="0"/>
        <v>1160000</v>
      </c>
      <c r="E43" s="103"/>
      <c r="F43" s="62">
        <v>61</v>
      </c>
      <c r="G43" s="9">
        <f t="shared" si="1"/>
        <v>19016.39344262295</v>
      </c>
      <c r="H43" s="9">
        <f>SUM($G$2:G43)</f>
        <v>210490.92697070815</v>
      </c>
    </row>
    <row r="44" spans="1:8">
      <c r="A44" s="10">
        <v>43</v>
      </c>
      <c r="B44" s="103">
        <v>11300000</v>
      </c>
      <c r="C44" s="103"/>
      <c r="D44" s="103">
        <f t="shared" si="0"/>
        <v>1200000</v>
      </c>
      <c r="E44" s="103"/>
      <c r="F44" s="62">
        <v>62</v>
      </c>
      <c r="G44" s="9">
        <f t="shared" si="1"/>
        <v>19354.83870967742</v>
      </c>
      <c r="H44" s="9">
        <f>SUM($G$2:G44)</f>
        <v>229845.76568038558</v>
      </c>
    </row>
    <row r="45" spans="1:8">
      <c r="A45" s="10">
        <v>44</v>
      </c>
      <c r="B45" s="103">
        <v>12500000</v>
      </c>
      <c r="C45" s="103"/>
      <c r="D45" s="103">
        <f t="shared" si="0"/>
        <v>1350000</v>
      </c>
      <c r="E45" s="103"/>
      <c r="F45" s="62">
        <v>63</v>
      </c>
      <c r="G45" s="9">
        <f t="shared" si="1"/>
        <v>21428.571428571428</v>
      </c>
      <c r="H45" s="9">
        <f>SUM($G$2:G45)</f>
        <v>251274.337108957</v>
      </c>
    </row>
    <row r="46" spans="1:8">
      <c r="A46" s="10">
        <v>45</v>
      </c>
      <c r="B46" s="103">
        <v>13850000</v>
      </c>
      <c r="C46" s="103"/>
      <c r="D46" s="103">
        <f t="shared" si="0"/>
        <v>1550000</v>
      </c>
      <c r="E46" s="103"/>
      <c r="F46" s="62">
        <v>64</v>
      </c>
      <c r="G46" s="9">
        <f t="shared" si="1"/>
        <v>24218.75</v>
      </c>
      <c r="H46" s="9">
        <f>SUM($G$2:G46)</f>
        <v>275493.087108957</v>
      </c>
    </row>
    <row r="47" spans="1:8">
      <c r="A47" s="10">
        <v>46</v>
      </c>
      <c r="B47" s="103">
        <v>15400000</v>
      </c>
      <c r="C47" s="103"/>
      <c r="D47" s="103">
        <f t="shared" si="0"/>
        <v>1600000</v>
      </c>
      <c r="E47" s="103"/>
      <c r="F47" s="62">
        <v>65</v>
      </c>
      <c r="G47" s="9">
        <f t="shared" si="1"/>
        <v>24615.384615384617</v>
      </c>
      <c r="H47" s="9">
        <f>SUM($G$2:G47)</f>
        <v>300108.47172434162</v>
      </c>
    </row>
    <row r="48" spans="1:8">
      <c r="A48" s="10">
        <v>47</v>
      </c>
      <c r="B48" s="103">
        <v>17000000</v>
      </c>
      <c r="C48" s="103"/>
      <c r="D48" s="103">
        <f t="shared" si="0"/>
        <v>1750000</v>
      </c>
      <c r="E48" s="103"/>
      <c r="F48" s="62">
        <v>66</v>
      </c>
      <c r="G48" s="9">
        <f t="shared" si="1"/>
        <v>26515.151515151516</v>
      </c>
      <c r="H48" s="9">
        <f>SUM($G$2:G48)</f>
        <v>326623.62323949311</v>
      </c>
    </row>
    <row r="49" spans="1:8">
      <c r="A49" s="10">
        <v>48</v>
      </c>
      <c r="B49" s="103">
        <v>18750000</v>
      </c>
      <c r="C49" s="103"/>
      <c r="D49" s="103">
        <f t="shared" si="0"/>
        <v>2000000</v>
      </c>
      <c r="E49" s="103"/>
      <c r="F49" s="62">
        <v>67</v>
      </c>
      <c r="G49" s="9">
        <f t="shared" si="1"/>
        <v>29850.746268656716</v>
      </c>
      <c r="H49" s="9">
        <f>SUM($G$2:G49)</f>
        <v>356474.3695081498</v>
      </c>
    </row>
    <row r="50" spans="1:8">
      <c r="A50" s="10">
        <v>49</v>
      </c>
      <c r="B50" s="103">
        <v>20750000</v>
      </c>
      <c r="C50" s="103"/>
      <c r="D50" s="103">
        <f t="shared" si="0"/>
        <v>2125000</v>
      </c>
      <c r="E50" s="103"/>
      <c r="F50" s="62">
        <v>68</v>
      </c>
      <c r="G50" s="9">
        <f t="shared" si="1"/>
        <v>31250</v>
      </c>
      <c r="H50" s="9">
        <f>SUM($G$2:G50)</f>
        <v>387724.3695081498</v>
      </c>
    </row>
    <row r="51" spans="1:8">
      <c r="A51" s="10">
        <v>50</v>
      </c>
      <c r="B51" s="103">
        <v>22875000</v>
      </c>
      <c r="C51" s="103"/>
      <c r="D51" s="103">
        <f t="shared" si="0"/>
        <v>2275000</v>
      </c>
      <c r="E51" s="103"/>
      <c r="F51" s="62">
        <v>69</v>
      </c>
      <c r="G51" s="9">
        <f t="shared" si="1"/>
        <v>32971.014492753624</v>
      </c>
      <c r="H51" s="9">
        <f>SUM($G$2:G51)</f>
        <v>420695.3840009034</v>
      </c>
    </row>
    <row r="52" spans="1:8">
      <c r="A52" s="10">
        <v>51</v>
      </c>
      <c r="B52" s="103">
        <v>25150000</v>
      </c>
      <c r="C52" s="103"/>
      <c r="D52" s="103">
        <f t="shared" si="0"/>
        <v>2475000</v>
      </c>
      <c r="E52" s="103"/>
      <c r="F52" s="62">
        <v>70</v>
      </c>
      <c r="G52" s="9">
        <f t="shared" si="1"/>
        <v>35357.142857142855</v>
      </c>
      <c r="H52" s="9">
        <f>SUM($G$2:G52)</f>
        <v>456052.52685804624</v>
      </c>
    </row>
    <row r="53" spans="1:8">
      <c r="A53" s="10">
        <v>52</v>
      </c>
      <c r="B53" s="103">
        <v>27625000</v>
      </c>
      <c r="C53" s="103"/>
      <c r="D53" s="103">
        <f t="shared" si="0"/>
        <v>2675000</v>
      </c>
      <c r="E53" s="103"/>
      <c r="F53" s="62">
        <v>71</v>
      </c>
      <c r="G53" s="9">
        <f t="shared" si="1"/>
        <v>37676.056338028167</v>
      </c>
      <c r="H53" s="9">
        <f>SUM($G$2:G53)</f>
        <v>493728.58319607441</v>
      </c>
    </row>
    <row r="54" spans="1:8">
      <c r="A54" s="10">
        <v>53</v>
      </c>
      <c r="B54" s="103">
        <v>30300000</v>
      </c>
      <c r="C54" s="103"/>
      <c r="D54" s="103">
        <f t="shared" si="0"/>
        <v>2900000</v>
      </c>
      <c r="E54" s="103"/>
      <c r="F54" s="62">
        <v>72</v>
      </c>
      <c r="G54" s="9">
        <f t="shared" si="1"/>
        <v>40277.777777777781</v>
      </c>
      <c r="H54" s="9">
        <f>SUM($G$2:G54)</f>
        <v>534006.36097385222</v>
      </c>
    </row>
    <row r="55" spans="1:8">
      <c r="A55" s="10">
        <v>54</v>
      </c>
      <c r="B55" s="103">
        <v>33200000</v>
      </c>
      <c r="C55" s="103"/>
      <c r="D55" s="103">
        <f t="shared" si="0"/>
        <v>3175000</v>
      </c>
      <c r="E55" s="103"/>
      <c r="F55" s="62">
        <v>73</v>
      </c>
      <c r="G55" s="9">
        <f t="shared" si="1"/>
        <v>43493.150684931505</v>
      </c>
      <c r="H55" s="9">
        <f>SUM($G$2:G55)</f>
        <v>577499.51165878377</v>
      </c>
    </row>
    <row r="56" spans="1:8">
      <c r="A56" s="10">
        <v>55</v>
      </c>
      <c r="B56" s="103">
        <v>36375000</v>
      </c>
      <c r="C56" s="103"/>
      <c r="D56" s="103">
        <f t="shared" si="0"/>
        <v>3425000</v>
      </c>
      <c r="E56" s="103"/>
      <c r="F56" s="62">
        <v>74</v>
      </c>
      <c r="G56" s="9">
        <f t="shared" si="1"/>
        <v>46283.783783783787</v>
      </c>
      <c r="H56" s="9">
        <f>SUM($G$2:G56)</f>
        <v>623783.29544256756</v>
      </c>
    </row>
    <row r="57" spans="1:8">
      <c r="A57" s="10">
        <v>56</v>
      </c>
      <c r="B57" s="103">
        <v>39800000</v>
      </c>
      <c r="C57" s="103"/>
      <c r="D57" s="103">
        <f t="shared" si="0"/>
        <v>3705000</v>
      </c>
      <c r="E57" s="103"/>
      <c r="F57" s="62">
        <v>75</v>
      </c>
      <c r="G57" s="9">
        <f t="shared" si="1"/>
        <v>49400</v>
      </c>
      <c r="H57" s="9">
        <f>SUM($G$2:G57)</f>
        <v>673183.29544256756</v>
      </c>
    </row>
    <row r="58" spans="1:8">
      <c r="A58" s="10">
        <v>57</v>
      </c>
      <c r="B58" s="103">
        <v>43505000</v>
      </c>
      <c r="C58" s="103"/>
      <c r="D58" s="103">
        <f t="shared" si="0"/>
        <v>3995000</v>
      </c>
      <c r="E58" s="103"/>
      <c r="F58" s="62">
        <v>76</v>
      </c>
      <c r="G58" s="9">
        <f t="shared" si="1"/>
        <v>52565.789473684214</v>
      </c>
      <c r="H58" s="9">
        <f>SUM($G$2:G58)</f>
        <v>725749.08491625171</v>
      </c>
    </row>
    <row r="59" spans="1:8">
      <c r="A59" s="10">
        <v>58</v>
      </c>
      <c r="B59" s="103">
        <v>47500000</v>
      </c>
      <c r="C59" s="103"/>
      <c r="D59" s="103">
        <f t="shared" si="0"/>
        <v>4250000</v>
      </c>
      <c r="E59" s="103"/>
      <c r="F59" s="62">
        <v>77</v>
      </c>
      <c r="G59" s="9">
        <f t="shared" si="1"/>
        <v>55194.805194805194</v>
      </c>
      <c r="H59" s="9">
        <f>SUM($G$2:G59)</f>
        <v>780943.89011105685</v>
      </c>
    </row>
    <row r="60" spans="1:8">
      <c r="A60" s="10">
        <v>59</v>
      </c>
      <c r="B60" s="103">
        <v>51750000</v>
      </c>
      <c r="C60" s="103"/>
      <c r="D60" s="103">
        <f t="shared" si="0"/>
        <v>4700000</v>
      </c>
      <c r="E60" s="103"/>
      <c r="F60" s="62">
        <v>78</v>
      </c>
      <c r="G60" s="9">
        <f t="shared" si="1"/>
        <v>60256.410256410258</v>
      </c>
      <c r="H60" s="9">
        <f>SUM($G$2:G60)</f>
        <v>841200.30036746711</v>
      </c>
    </row>
    <row r="61" spans="1:8">
      <c r="A61" s="10">
        <v>60</v>
      </c>
      <c r="B61" s="103">
        <v>56450000</v>
      </c>
      <c r="C61" s="103"/>
      <c r="D61" s="103">
        <f t="shared" si="0"/>
        <v>5150000</v>
      </c>
      <c r="E61" s="103"/>
      <c r="F61" s="62">
        <v>79</v>
      </c>
      <c r="G61" s="9">
        <f t="shared" si="1"/>
        <v>65189.873417721516</v>
      </c>
      <c r="H61" s="9">
        <f>SUM($G$2:G61)</f>
        <v>906390.17378518858</v>
      </c>
    </row>
    <row r="62" spans="1:8">
      <c r="A62" s="10">
        <v>61</v>
      </c>
      <c r="B62" s="103">
        <v>61600000</v>
      </c>
      <c r="C62" s="103"/>
      <c r="D62" s="103">
        <f t="shared" si="0"/>
        <v>5650000</v>
      </c>
      <c r="E62" s="103"/>
      <c r="F62" s="62">
        <v>80</v>
      </c>
      <c r="G62" s="9">
        <f t="shared" si="1"/>
        <v>70625</v>
      </c>
      <c r="H62" s="9">
        <f>SUM($G$2:G62)</f>
        <v>977015.17378518858</v>
      </c>
    </row>
    <row r="63" spans="1:8">
      <c r="A63" s="10">
        <v>62</v>
      </c>
      <c r="B63" s="103">
        <v>67250000</v>
      </c>
      <c r="C63" s="103"/>
      <c r="D63" s="103">
        <f t="shared" si="0"/>
        <v>6000000</v>
      </c>
      <c r="E63" s="103"/>
      <c r="F63" s="62">
        <v>81</v>
      </c>
      <c r="G63" s="9">
        <f t="shared" si="1"/>
        <v>74074.074074074073</v>
      </c>
      <c r="H63" s="9">
        <f>SUM($G$2:G63)</f>
        <v>1051089.2478592626</v>
      </c>
    </row>
    <row r="64" spans="1:8">
      <c r="A64" s="10">
        <v>63</v>
      </c>
      <c r="B64" s="103">
        <v>73250000</v>
      </c>
      <c r="C64" s="103"/>
      <c r="D64" s="103">
        <f t="shared" si="0"/>
        <v>6500000</v>
      </c>
      <c r="E64" s="103"/>
      <c r="F64" s="62">
        <v>82</v>
      </c>
      <c r="G64" s="9">
        <f t="shared" si="1"/>
        <v>79268.292682926825</v>
      </c>
      <c r="H64" s="9">
        <f>SUM($G$2:G64)</f>
        <v>1130357.5405421895</v>
      </c>
    </row>
    <row r="65" spans="1:8">
      <c r="A65" s="10">
        <v>64</v>
      </c>
      <c r="B65" s="103">
        <v>79750000</v>
      </c>
      <c r="C65" s="103"/>
      <c r="D65" s="103">
        <f t="shared" si="0"/>
        <v>7000000</v>
      </c>
      <c r="E65" s="103"/>
      <c r="F65" s="62">
        <v>83</v>
      </c>
      <c r="G65" s="9">
        <f t="shared" si="1"/>
        <v>84337.349397590355</v>
      </c>
      <c r="H65" s="9">
        <f>SUM($G$2:G65)</f>
        <v>1214694.8899397799</v>
      </c>
    </row>
    <row r="66" spans="1:8">
      <c r="A66" s="10">
        <v>65</v>
      </c>
      <c r="B66" s="103">
        <v>86750000</v>
      </c>
      <c r="C66" s="103"/>
      <c r="D66" s="103">
        <f t="shared" si="0"/>
        <v>7250000</v>
      </c>
      <c r="E66" s="103"/>
      <c r="F66" s="62">
        <v>84</v>
      </c>
      <c r="G66" s="9">
        <f t="shared" si="1"/>
        <v>86309.523809523816</v>
      </c>
      <c r="H66" s="9">
        <f>SUM($G$2:G66)</f>
        <v>1301004.4137493037</v>
      </c>
    </row>
    <row r="67" spans="1:8">
      <c r="A67" s="10">
        <v>66</v>
      </c>
      <c r="B67" s="103">
        <v>94000000</v>
      </c>
      <c r="C67" s="103"/>
      <c r="D67" s="103">
        <f t="shared" ref="D67:D130" si="2">B68-B67</f>
        <v>7500000</v>
      </c>
      <c r="E67" s="103"/>
      <c r="F67" s="62">
        <v>85</v>
      </c>
      <c r="G67" s="9">
        <f t="shared" ref="G67:G130" si="3">D67/F67</f>
        <v>88235.294117647063</v>
      </c>
      <c r="H67" s="9">
        <f>SUM($G$2:G67)</f>
        <v>1389239.7078669507</v>
      </c>
    </row>
    <row r="68" spans="1:8">
      <c r="A68" s="10">
        <v>67</v>
      </c>
      <c r="B68" s="103">
        <v>101500000</v>
      </c>
      <c r="C68" s="103"/>
      <c r="D68" s="103">
        <f t="shared" si="2"/>
        <v>8000000</v>
      </c>
      <c r="E68" s="103"/>
      <c r="F68" s="62">
        <v>86</v>
      </c>
      <c r="G68" s="9">
        <f t="shared" si="3"/>
        <v>93023.255813953481</v>
      </c>
      <c r="H68" s="9">
        <f>SUM($G$2:G68)</f>
        <v>1482262.9636809041</v>
      </c>
    </row>
    <row r="69" spans="1:8">
      <c r="A69" s="10">
        <v>68</v>
      </c>
      <c r="B69" s="103">
        <v>109500000</v>
      </c>
      <c r="C69" s="103"/>
      <c r="D69" s="103">
        <f t="shared" si="2"/>
        <v>8500000</v>
      </c>
      <c r="E69" s="103"/>
      <c r="F69" s="62">
        <v>87</v>
      </c>
      <c r="G69" s="9">
        <f t="shared" si="3"/>
        <v>97701.149425287353</v>
      </c>
      <c r="H69" s="9">
        <f>SUM($G$2:G69)</f>
        <v>1579964.1131061914</v>
      </c>
    </row>
    <row r="70" spans="1:8">
      <c r="A70" s="10">
        <v>69</v>
      </c>
      <c r="B70" s="103">
        <v>118000000</v>
      </c>
      <c r="C70" s="103"/>
      <c r="D70" s="103">
        <f t="shared" si="2"/>
        <v>9500000</v>
      </c>
      <c r="E70" s="103"/>
      <c r="F70" s="62">
        <v>88</v>
      </c>
      <c r="G70" s="9">
        <f t="shared" si="3"/>
        <v>107954.54545454546</v>
      </c>
      <c r="H70" s="9">
        <f>SUM($G$2:G70)</f>
        <v>1687918.6585607368</v>
      </c>
    </row>
    <row r="71" spans="1:8">
      <c r="A71" s="10">
        <v>70</v>
      </c>
      <c r="B71" s="103">
        <v>127500000</v>
      </c>
      <c r="C71" s="103"/>
      <c r="D71" s="103">
        <f t="shared" si="2"/>
        <v>10250000</v>
      </c>
      <c r="E71" s="103"/>
      <c r="F71" s="62">
        <v>89</v>
      </c>
      <c r="G71" s="9">
        <f t="shared" si="3"/>
        <v>115168.53932584269</v>
      </c>
      <c r="H71" s="9">
        <f>SUM($G$2:G71)</f>
        <v>1803087.1978865794</v>
      </c>
    </row>
    <row r="72" spans="1:8">
      <c r="A72" s="10">
        <v>71</v>
      </c>
      <c r="B72" s="103">
        <v>137750000</v>
      </c>
      <c r="C72" s="103"/>
      <c r="D72" s="103">
        <f t="shared" si="2"/>
        <v>11000000</v>
      </c>
      <c r="E72" s="103"/>
      <c r="F72" s="62">
        <v>90</v>
      </c>
      <c r="G72" s="9">
        <f t="shared" si="3"/>
        <v>122222.22222222222</v>
      </c>
      <c r="H72" s="9">
        <f>SUM($G$2:G72)</f>
        <v>1925309.4201088017</v>
      </c>
    </row>
    <row r="73" spans="1:8">
      <c r="A73" s="10">
        <v>72</v>
      </c>
      <c r="B73" s="103">
        <v>148750000</v>
      </c>
      <c r="C73" s="103"/>
      <c r="D73" s="103">
        <f t="shared" si="2"/>
        <v>11500000</v>
      </c>
      <c r="E73" s="103"/>
      <c r="F73" s="62">
        <v>91</v>
      </c>
      <c r="G73" s="9">
        <f t="shared" si="3"/>
        <v>126373.62637362638</v>
      </c>
      <c r="H73" s="9">
        <f>SUM($G$2:G73)</f>
        <v>2051683.046482428</v>
      </c>
    </row>
    <row r="74" spans="1:8">
      <c r="A74" s="10">
        <v>73</v>
      </c>
      <c r="B74" s="103">
        <v>160250000</v>
      </c>
      <c r="C74" s="103"/>
      <c r="D74" s="103">
        <f t="shared" si="2"/>
        <v>12250000</v>
      </c>
      <c r="E74" s="103"/>
      <c r="F74" s="62">
        <v>92</v>
      </c>
      <c r="G74" s="9">
        <f t="shared" si="3"/>
        <v>133152.17391304349</v>
      </c>
      <c r="H74" s="9">
        <f>SUM($G$2:G74)</f>
        <v>2184835.2203954714</v>
      </c>
    </row>
    <row r="75" spans="1:8">
      <c r="A75" s="10">
        <v>74</v>
      </c>
      <c r="B75" s="103">
        <v>172500000</v>
      </c>
      <c r="C75" s="103"/>
      <c r="D75" s="103">
        <f t="shared" si="2"/>
        <v>13250000</v>
      </c>
      <c r="E75" s="103"/>
      <c r="F75" s="62">
        <v>93</v>
      </c>
      <c r="G75" s="9">
        <f t="shared" si="3"/>
        <v>142473.1182795699</v>
      </c>
      <c r="H75" s="9">
        <f>SUM($G$2:G75)</f>
        <v>2327308.3386750412</v>
      </c>
    </row>
    <row r="76" spans="1:8">
      <c r="A76" s="10">
        <v>75</v>
      </c>
      <c r="B76" s="103">
        <v>185750000</v>
      </c>
      <c r="C76" s="103"/>
      <c r="D76" s="103">
        <f t="shared" si="2"/>
        <v>14250000</v>
      </c>
      <c r="E76" s="103"/>
      <c r="F76" s="62">
        <v>94</v>
      </c>
      <c r="G76" s="9">
        <f t="shared" si="3"/>
        <v>151595.74468085106</v>
      </c>
      <c r="H76" s="9">
        <f>SUM($G$2:G76)</f>
        <v>2478904.0833558924</v>
      </c>
    </row>
    <row r="77" spans="1:8">
      <c r="A77" s="10">
        <v>76</v>
      </c>
      <c r="B77" s="103">
        <v>200000000</v>
      </c>
      <c r="C77" s="103"/>
      <c r="D77" s="103">
        <f t="shared" si="2"/>
        <v>15250000</v>
      </c>
      <c r="E77" s="103"/>
      <c r="F77" s="62">
        <v>95</v>
      </c>
      <c r="G77" s="9">
        <f t="shared" si="3"/>
        <v>160526.31578947368</v>
      </c>
      <c r="H77" s="9">
        <f>SUM($G$2:G77)</f>
        <v>2639430.3991453662</v>
      </c>
    </row>
    <row r="78" spans="1:8">
      <c r="A78" s="10">
        <v>77</v>
      </c>
      <c r="B78" s="103">
        <v>215250000</v>
      </c>
      <c r="C78" s="103"/>
      <c r="D78" s="103">
        <f t="shared" si="2"/>
        <v>16750000</v>
      </c>
      <c r="E78" s="103"/>
      <c r="F78" s="62">
        <v>96</v>
      </c>
      <c r="G78" s="9">
        <f t="shared" si="3"/>
        <v>174479.16666666666</v>
      </c>
      <c r="H78" s="9">
        <f>SUM($G$2:G78)</f>
        <v>2813909.5658120327</v>
      </c>
    </row>
    <row r="79" spans="1:8">
      <c r="A79" s="10">
        <v>78</v>
      </c>
      <c r="B79" s="103">
        <v>232000000</v>
      </c>
      <c r="C79" s="103"/>
      <c r="D79" s="103">
        <f t="shared" si="2"/>
        <v>18000000</v>
      </c>
      <c r="E79" s="103"/>
      <c r="F79" s="62">
        <v>97</v>
      </c>
      <c r="G79" s="9">
        <f t="shared" si="3"/>
        <v>185567.01030927835</v>
      </c>
      <c r="H79" s="9">
        <f>SUM($G$2:G79)</f>
        <v>2999476.5761213112</v>
      </c>
    </row>
    <row r="80" spans="1:8">
      <c r="A80" s="10">
        <v>79</v>
      </c>
      <c r="B80" s="103">
        <v>250000000</v>
      </c>
      <c r="C80" s="103"/>
      <c r="D80" s="103">
        <f t="shared" si="2"/>
        <v>20000000</v>
      </c>
      <c r="E80" s="103"/>
      <c r="F80" s="62">
        <v>98</v>
      </c>
      <c r="G80" s="9">
        <f t="shared" si="3"/>
        <v>204081.63265306121</v>
      </c>
      <c r="H80" s="9">
        <f>SUM($G$2:G80)</f>
        <v>3203558.2087743725</v>
      </c>
    </row>
    <row r="81" spans="1:8">
      <c r="A81" s="10">
        <v>80</v>
      </c>
      <c r="B81" s="103">
        <v>270000000</v>
      </c>
      <c r="C81" s="103"/>
      <c r="D81" s="103">
        <f t="shared" si="2"/>
        <v>21000000</v>
      </c>
      <c r="E81" s="103"/>
      <c r="F81" s="62">
        <v>99</v>
      </c>
      <c r="G81" s="9">
        <f t="shared" si="3"/>
        <v>212121.21212121213</v>
      </c>
      <c r="H81" s="9">
        <f>SUM($G$2:G81)</f>
        <v>3415679.4208955844</v>
      </c>
    </row>
    <row r="82" spans="1:8">
      <c r="A82" s="10">
        <v>81</v>
      </c>
      <c r="B82" s="103">
        <v>291000000</v>
      </c>
      <c r="C82" s="103"/>
      <c r="D82" s="103">
        <f t="shared" si="2"/>
        <v>22750000</v>
      </c>
      <c r="E82" s="103"/>
      <c r="F82" s="62">
        <v>100</v>
      </c>
      <c r="G82" s="9">
        <f t="shared" si="3"/>
        <v>227500</v>
      </c>
      <c r="H82" s="9">
        <f>SUM($G$2:G82)</f>
        <v>3643179.4208955844</v>
      </c>
    </row>
    <row r="83" spans="1:8">
      <c r="A83" s="10">
        <v>82</v>
      </c>
      <c r="B83" s="103">
        <v>313750000</v>
      </c>
      <c r="C83" s="103"/>
      <c r="D83" s="103">
        <f t="shared" si="2"/>
        <v>24000000</v>
      </c>
      <c r="E83" s="103"/>
      <c r="F83" s="62">
        <v>101</v>
      </c>
      <c r="G83" s="9">
        <f t="shared" si="3"/>
        <v>237623.76237623763</v>
      </c>
      <c r="H83" s="9">
        <f>SUM($G$2:G83)</f>
        <v>3880803.1832718221</v>
      </c>
    </row>
    <row r="84" spans="1:8">
      <c r="A84" s="10">
        <v>83</v>
      </c>
      <c r="B84" s="103">
        <v>337750000</v>
      </c>
      <c r="C84" s="103"/>
      <c r="D84" s="103">
        <f t="shared" si="2"/>
        <v>25750000</v>
      </c>
      <c r="E84" s="103"/>
      <c r="F84" s="62">
        <v>102</v>
      </c>
      <c r="G84" s="9">
        <f t="shared" si="3"/>
        <v>252450.98039215687</v>
      </c>
      <c r="H84" s="9">
        <f>SUM($G$2:G84)</f>
        <v>4133254.1636639787</v>
      </c>
    </row>
    <row r="85" spans="1:8">
      <c r="A85" s="10">
        <v>84</v>
      </c>
      <c r="B85" s="103">
        <v>363500000</v>
      </c>
      <c r="C85" s="103"/>
      <c r="D85" s="103">
        <f t="shared" si="2"/>
        <v>28000000</v>
      </c>
      <c r="E85" s="103"/>
      <c r="F85" s="62">
        <v>103</v>
      </c>
      <c r="G85" s="9">
        <f t="shared" si="3"/>
        <v>271844.66019417474</v>
      </c>
      <c r="H85" s="9">
        <f>SUM($G$2:G85)</f>
        <v>4405098.8238581531</v>
      </c>
    </row>
    <row r="86" spans="1:8">
      <c r="A86" s="10">
        <v>85</v>
      </c>
      <c r="B86" s="103">
        <v>391500000</v>
      </c>
      <c r="C86" s="103"/>
      <c r="D86" s="103">
        <f t="shared" si="2"/>
        <v>29500000</v>
      </c>
      <c r="E86" s="103"/>
      <c r="F86" s="62">
        <v>104</v>
      </c>
      <c r="G86" s="9">
        <f t="shared" si="3"/>
        <v>283653.84615384613</v>
      </c>
      <c r="H86" s="9">
        <f>SUM($G$2:G86)</f>
        <v>4688752.6700119991</v>
      </c>
    </row>
    <row r="87" spans="1:8">
      <c r="A87" s="10">
        <v>86</v>
      </c>
      <c r="B87" s="103">
        <v>421000000</v>
      </c>
      <c r="C87" s="103"/>
      <c r="D87" s="103">
        <f t="shared" si="2"/>
        <v>31500000</v>
      </c>
      <c r="E87" s="103"/>
      <c r="F87" s="62">
        <v>105</v>
      </c>
      <c r="G87" s="9">
        <f t="shared" si="3"/>
        <v>300000</v>
      </c>
      <c r="H87" s="9">
        <f>SUM($G$2:G87)</f>
        <v>4988752.6700119991</v>
      </c>
    </row>
    <row r="88" spans="1:8">
      <c r="A88" s="10">
        <v>87</v>
      </c>
      <c r="B88" s="103">
        <v>452500000</v>
      </c>
      <c r="C88" s="103"/>
      <c r="D88" s="103">
        <f t="shared" si="2"/>
        <v>33500000</v>
      </c>
      <c r="E88" s="103"/>
      <c r="F88" s="62">
        <v>106</v>
      </c>
      <c r="G88" s="9">
        <f t="shared" si="3"/>
        <v>316037.73584905663</v>
      </c>
      <c r="H88" s="9">
        <f>SUM($G$2:G88)</f>
        <v>5304790.4058610555</v>
      </c>
    </row>
    <row r="89" spans="1:8">
      <c r="A89" s="10">
        <v>88</v>
      </c>
      <c r="B89" s="103">
        <v>486000000</v>
      </c>
      <c r="C89" s="103"/>
      <c r="D89" s="103">
        <f t="shared" si="2"/>
        <v>36000000</v>
      </c>
      <c r="E89" s="103"/>
      <c r="F89" s="62">
        <v>107</v>
      </c>
      <c r="G89" s="9">
        <f t="shared" si="3"/>
        <v>336448.5981308411</v>
      </c>
      <c r="H89" s="9">
        <f>SUM($G$2:G89)</f>
        <v>5641239.0039918963</v>
      </c>
    </row>
    <row r="90" spans="1:8">
      <c r="A90" s="10">
        <v>89</v>
      </c>
      <c r="B90" s="103">
        <v>522000000</v>
      </c>
      <c r="C90" s="103"/>
      <c r="D90" s="103">
        <f t="shared" si="2"/>
        <v>38000000</v>
      </c>
      <c r="E90" s="103"/>
      <c r="F90" s="62">
        <v>108</v>
      </c>
      <c r="G90" s="9">
        <f t="shared" si="3"/>
        <v>351851.85185185185</v>
      </c>
      <c r="H90" s="9">
        <f>SUM($G$2:G90)</f>
        <v>5993090.855843748</v>
      </c>
    </row>
    <row r="91" spans="1:8">
      <c r="A91" s="10">
        <v>90</v>
      </c>
      <c r="B91" s="103">
        <v>560000000</v>
      </c>
      <c r="C91" s="103"/>
      <c r="D91" s="103">
        <f t="shared" si="2"/>
        <v>40000000</v>
      </c>
      <c r="E91" s="103"/>
      <c r="F91" s="62">
        <v>109</v>
      </c>
      <c r="G91" s="9">
        <f t="shared" si="3"/>
        <v>366972.47706422018</v>
      </c>
      <c r="H91" s="9">
        <f>SUM($G$2:G91)</f>
        <v>6360063.3329079682</v>
      </c>
    </row>
    <row r="92" spans="1:8">
      <c r="A92" s="10">
        <v>91</v>
      </c>
      <c r="B92" s="103">
        <v>600000000</v>
      </c>
      <c r="C92" s="103"/>
      <c r="D92" s="103">
        <f t="shared" si="2"/>
        <v>41000000</v>
      </c>
      <c r="E92" s="103"/>
      <c r="F92" s="62">
        <v>110</v>
      </c>
      <c r="G92" s="9">
        <f t="shared" si="3"/>
        <v>372727.27272727271</v>
      </c>
      <c r="H92" s="9">
        <f>SUM($G$2:G92)</f>
        <v>6732790.6056352407</v>
      </c>
    </row>
    <row r="93" spans="1:8">
      <c r="A93" s="10">
        <v>92</v>
      </c>
      <c r="B93" s="103">
        <v>641000000</v>
      </c>
      <c r="C93" s="103"/>
      <c r="D93" s="103">
        <f t="shared" si="2"/>
        <v>42000000</v>
      </c>
      <c r="E93" s="103"/>
      <c r="F93" s="62">
        <v>111</v>
      </c>
      <c r="G93" s="9">
        <f t="shared" si="3"/>
        <v>378378.3783783784</v>
      </c>
      <c r="H93" s="9">
        <f>SUM($G$2:G93)</f>
        <v>7111168.9840136189</v>
      </c>
    </row>
    <row r="94" spans="1:8">
      <c r="A94" s="10">
        <v>93</v>
      </c>
      <c r="B94" s="103">
        <v>683000000</v>
      </c>
      <c r="C94" s="103"/>
      <c r="D94" s="103">
        <f t="shared" si="2"/>
        <v>44500000</v>
      </c>
      <c r="E94" s="103"/>
      <c r="F94" s="62">
        <v>112</v>
      </c>
      <c r="G94" s="9">
        <f t="shared" si="3"/>
        <v>397321.42857142858</v>
      </c>
      <c r="H94" s="9">
        <f>SUM($G$2:G94)</f>
        <v>7508490.4125850471</v>
      </c>
    </row>
    <row r="95" spans="1:8">
      <c r="A95" s="10">
        <v>94</v>
      </c>
      <c r="B95" s="103">
        <v>727500000</v>
      </c>
      <c r="C95" s="103"/>
      <c r="D95" s="103">
        <f t="shared" si="2"/>
        <v>47500000</v>
      </c>
      <c r="E95" s="103"/>
      <c r="F95" s="62">
        <v>113</v>
      </c>
      <c r="G95" s="9">
        <f t="shared" si="3"/>
        <v>420353.98230088496</v>
      </c>
      <c r="H95" s="9">
        <f>SUM($G$2:G95)</f>
        <v>7928844.3948859321</v>
      </c>
    </row>
    <row r="96" spans="1:8">
      <c r="A96" s="10">
        <v>95</v>
      </c>
      <c r="B96" s="103">
        <v>775000000</v>
      </c>
      <c r="C96" s="103"/>
      <c r="D96" s="103">
        <f t="shared" si="2"/>
        <v>51000000</v>
      </c>
      <c r="E96" s="103"/>
      <c r="F96" s="62">
        <v>114</v>
      </c>
      <c r="G96" s="9">
        <f t="shared" si="3"/>
        <v>447368.42105263157</v>
      </c>
      <c r="H96" s="9">
        <f>SUM($G$2:G96)</f>
        <v>8376212.815938564</v>
      </c>
    </row>
    <row r="97" spans="1:8">
      <c r="A97" s="10">
        <v>96</v>
      </c>
      <c r="B97" s="103">
        <v>826000000</v>
      </c>
      <c r="C97" s="103"/>
      <c r="D97" s="103">
        <f t="shared" si="2"/>
        <v>52000000</v>
      </c>
      <c r="E97" s="103"/>
      <c r="F97" s="62">
        <v>115</v>
      </c>
      <c r="G97" s="9">
        <f t="shared" si="3"/>
        <v>452173.91304347827</v>
      </c>
      <c r="H97" s="9">
        <f>SUM($G$2:G97)</f>
        <v>8828386.7289820425</v>
      </c>
    </row>
    <row r="98" spans="1:8">
      <c r="A98" s="10">
        <v>97</v>
      </c>
      <c r="B98" s="103">
        <v>878000000</v>
      </c>
      <c r="C98" s="103"/>
      <c r="D98" s="103">
        <f t="shared" si="2"/>
        <v>57000000</v>
      </c>
      <c r="E98" s="103"/>
      <c r="F98" s="62">
        <v>116</v>
      </c>
      <c r="G98" s="9">
        <f t="shared" si="3"/>
        <v>491379.31034482759</v>
      </c>
      <c r="H98" s="9">
        <f>SUM($G$2:G98)</f>
        <v>9319766.0393268708</v>
      </c>
    </row>
    <row r="99" spans="1:8">
      <c r="A99" s="10">
        <v>98</v>
      </c>
      <c r="B99" s="103">
        <v>935000000</v>
      </c>
      <c r="C99" s="103"/>
      <c r="D99" s="103">
        <f t="shared" si="2"/>
        <v>65000000</v>
      </c>
      <c r="E99" s="103"/>
      <c r="F99" s="62">
        <v>117</v>
      </c>
      <c r="G99" s="9">
        <f t="shared" si="3"/>
        <v>555555.5555555555</v>
      </c>
      <c r="H99" s="9">
        <f>SUM($G$2:G99)</f>
        <v>9875321.5948824268</v>
      </c>
    </row>
    <row r="100" spans="1:8">
      <c r="A100" s="10">
        <v>99</v>
      </c>
      <c r="B100" s="103">
        <v>1000000000</v>
      </c>
      <c r="C100" s="103"/>
      <c r="D100" s="103">
        <f t="shared" si="2"/>
        <v>75000000</v>
      </c>
      <c r="E100" s="103"/>
      <c r="F100" s="62">
        <v>118</v>
      </c>
      <c r="G100" s="9">
        <f t="shared" si="3"/>
        <v>635593.220338983</v>
      </c>
      <c r="H100" s="9">
        <f>SUM($G$2:G100)</f>
        <v>10510914.81522141</v>
      </c>
    </row>
    <row r="101" spans="1:8">
      <c r="A101" s="10">
        <v>100</v>
      </c>
      <c r="B101" s="103">
        <v>1075000000</v>
      </c>
      <c r="C101" s="103"/>
      <c r="D101" s="103">
        <f t="shared" si="2"/>
        <v>80000000</v>
      </c>
      <c r="E101" s="103"/>
      <c r="F101" s="62">
        <v>119</v>
      </c>
      <c r="G101" s="9">
        <f t="shared" si="3"/>
        <v>672268.90756302525</v>
      </c>
      <c r="H101" s="9">
        <f>SUM($G$2:G101)</f>
        <v>11183183.722784435</v>
      </c>
    </row>
    <row r="102" spans="1:8">
      <c r="A102" s="10">
        <v>101</v>
      </c>
      <c r="B102" s="103">
        <v>1155000000</v>
      </c>
      <c r="C102" s="103"/>
      <c r="D102" s="103">
        <f t="shared" si="2"/>
        <v>85000000</v>
      </c>
      <c r="E102" s="103"/>
      <c r="F102" s="62">
        <v>120</v>
      </c>
      <c r="G102" s="9">
        <f t="shared" si="3"/>
        <v>708333.33333333337</v>
      </c>
      <c r="H102" s="9">
        <f>SUM($G$2:G102)</f>
        <v>11891517.056117769</v>
      </c>
    </row>
    <row r="103" spans="1:8">
      <c r="A103" s="10">
        <v>102</v>
      </c>
      <c r="B103" s="103">
        <v>1240000000</v>
      </c>
      <c r="C103" s="103"/>
      <c r="D103" s="103">
        <f t="shared" si="2"/>
        <v>91000000</v>
      </c>
      <c r="E103" s="103"/>
      <c r="F103" s="62">
        <v>121</v>
      </c>
      <c r="G103" s="9">
        <f t="shared" si="3"/>
        <v>752066.11570247938</v>
      </c>
      <c r="H103" s="9">
        <f>SUM($G$2:G103)</f>
        <v>12643583.171820249</v>
      </c>
    </row>
    <row r="104" spans="1:8">
      <c r="A104" s="10">
        <v>103</v>
      </c>
      <c r="B104" s="103">
        <v>1331000000</v>
      </c>
      <c r="C104" s="103"/>
      <c r="D104" s="103">
        <f t="shared" si="2"/>
        <v>97000000</v>
      </c>
      <c r="E104" s="103"/>
      <c r="F104" s="62">
        <v>122</v>
      </c>
      <c r="G104" s="9">
        <f t="shared" si="3"/>
        <v>795081.96721311472</v>
      </c>
      <c r="H104" s="9">
        <f>SUM($G$2:G104)</f>
        <v>13438665.139033364</v>
      </c>
    </row>
    <row r="105" spans="1:8">
      <c r="A105" s="10">
        <v>104</v>
      </c>
      <c r="B105" s="103">
        <v>1428000000</v>
      </c>
      <c r="C105" s="103"/>
      <c r="D105" s="103">
        <f t="shared" si="2"/>
        <v>104000000</v>
      </c>
      <c r="E105" s="103"/>
      <c r="F105" s="62">
        <v>123</v>
      </c>
      <c r="G105" s="9">
        <f t="shared" si="3"/>
        <v>845528.45528455288</v>
      </c>
      <c r="H105" s="9">
        <f>SUM($G$2:G105)</f>
        <v>14284193.594317917</v>
      </c>
    </row>
    <row r="106" spans="1:8">
      <c r="A106" s="10">
        <v>105</v>
      </c>
      <c r="B106" s="103">
        <v>1532000000</v>
      </c>
      <c r="C106" s="103"/>
      <c r="D106" s="103">
        <f t="shared" si="2"/>
        <v>113000000</v>
      </c>
      <c r="E106" s="103"/>
      <c r="F106" s="62">
        <v>124</v>
      </c>
      <c r="G106" s="9">
        <f t="shared" si="3"/>
        <v>911290.32258064521</v>
      </c>
      <c r="H106" s="9">
        <f>SUM($G$2:G106)</f>
        <v>15195483.916898562</v>
      </c>
    </row>
    <row r="107" spans="1:8">
      <c r="A107" s="10">
        <v>106</v>
      </c>
      <c r="B107" s="103">
        <v>1645000000</v>
      </c>
      <c r="C107" s="103"/>
      <c r="D107" s="103">
        <f t="shared" si="2"/>
        <v>120000000</v>
      </c>
      <c r="E107" s="103"/>
      <c r="F107" s="62">
        <v>125</v>
      </c>
      <c r="G107" s="9">
        <f t="shared" si="3"/>
        <v>960000</v>
      </c>
      <c r="H107" s="9">
        <f>SUM($G$2:G107)</f>
        <v>16155483.916898562</v>
      </c>
    </row>
    <row r="108" spans="1:8">
      <c r="A108" s="10">
        <v>107</v>
      </c>
      <c r="B108" s="103">
        <v>1765000000</v>
      </c>
      <c r="C108" s="103"/>
      <c r="D108" s="103">
        <f t="shared" si="2"/>
        <v>129000000</v>
      </c>
      <c r="E108" s="103"/>
      <c r="F108" s="62">
        <v>126</v>
      </c>
      <c r="G108" s="9">
        <f t="shared" si="3"/>
        <v>1023809.5238095238</v>
      </c>
      <c r="H108" s="9">
        <f>SUM($G$2:G108)</f>
        <v>17179293.440708086</v>
      </c>
    </row>
    <row r="109" spans="1:8">
      <c r="A109" s="10">
        <v>108</v>
      </c>
      <c r="B109" s="103">
        <v>1894000000</v>
      </c>
      <c r="C109" s="103"/>
      <c r="D109" s="103">
        <f t="shared" si="2"/>
        <v>141000000</v>
      </c>
      <c r="E109" s="103"/>
      <c r="F109" s="62">
        <v>127</v>
      </c>
      <c r="G109" s="9">
        <f t="shared" si="3"/>
        <v>1110236.2204724411</v>
      </c>
      <c r="H109" s="9">
        <f>SUM($G$2:G109)</f>
        <v>18289529.661180526</v>
      </c>
    </row>
    <row r="110" spans="1:8">
      <c r="A110" s="10">
        <v>109</v>
      </c>
      <c r="B110" s="103">
        <v>2035000000</v>
      </c>
      <c r="C110" s="103"/>
      <c r="D110" s="103">
        <f t="shared" si="2"/>
        <v>155000000</v>
      </c>
      <c r="E110" s="103"/>
      <c r="F110" s="62">
        <v>128</v>
      </c>
      <c r="G110" s="9">
        <f t="shared" si="3"/>
        <v>1210937.5</v>
      </c>
      <c r="H110" s="9">
        <f>SUM($G$2:G110)</f>
        <v>19500467.161180526</v>
      </c>
    </row>
    <row r="111" spans="1:8">
      <c r="A111" s="10">
        <v>110</v>
      </c>
      <c r="B111" s="103">
        <v>2190000000</v>
      </c>
      <c r="C111" s="103"/>
      <c r="D111" s="103">
        <f t="shared" si="2"/>
        <v>165000000</v>
      </c>
      <c r="E111" s="103"/>
      <c r="F111" s="62">
        <v>129</v>
      </c>
      <c r="G111" s="9">
        <f t="shared" si="3"/>
        <v>1279069.7674418604</v>
      </c>
      <c r="H111" s="9">
        <f>SUM($G$2:G111)</f>
        <v>20779536.928622387</v>
      </c>
    </row>
    <row r="112" spans="1:8">
      <c r="A112" s="10">
        <v>111</v>
      </c>
      <c r="B112" s="103">
        <v>2355000000</v>
      </c>
      <c r="C112" s="103"/>
      <c r="D112" s="103">
        <f t="shared" si="2"/>
        <v>175000000</v>
      </c>
      <c r="E112" s="103"/>
      <c r="F112" s="62">
        <v>130</v>
      </c>
      <c r="G112" s="9">
        <f t="shared" si="3"/>
        <v>1346153.8461538462</v>
      </c>
      <c r="H112" s="9">
        <f>SUM($G$2:G112)</f>
        <v>22125690.774776235</v>
      </c>
    </row>
    <row r="113" spans="1:8">
      <c r="A113" s="10">
        <v>112</v>
      </c>
      <c r="B113" s="103">
        <v>2530000000</v>
      </c>
      <c r="C113" s="103"/>
      <c r="D113" s="103">
        <f t="shared" si="2"/>
        <v>186000000</v>
      </c>
      <c r="E113" s="103"/>
      <c r="F113" s="62">
        <v>131</v>
      </c>
      <c r="G113" s="9">
        <f t="shared" si="3"/>
        <v>1419847.3282442747</v>
      </c>
      <c r="H113" s="9">
        <f>SUM($G$2:G113)</f>
        <v>23545538.103020512</v>
      </c>
    </row>
    <row r="114" spans="1:8">
      <c r="A114" s="10">
        <v>113</v>
      </c>
      <c r="B114" s="103">
        <v>2716000000</v>
      </c>
      <c r="C114" s="103"/>
      <c r="D114" s="103">
        <f t="shared" si="2"/>
        <v>199000000</v>
      </c>
      <c r="E114" s="103"/>
      <c r="F114" s="62">
        <v>132</v>
      </c>
      <c r="G114" s="9">
        <f t="shared" si="3"/>
        <v>1507575.7575757576</v>
      </c>
      <c r="H114" s="9">
        <f>SUM($G$2:G114)</f>
        <v>25053113.860596269</v>
      </c>
    </row>
    <row r="115" spans="1:8">
      <c r="A115" s="10">
        <v>114</v>
      </c>
      <c r="B115" s="103">
        <v>2915000000</v>
      </c>
      <c r="C115" s="103"/>
      <c r="D115" s="103">
        <f t="shared" si="2"/>
        <v>215000000</v>
      </c>
      <c r="E115" s="103"/>
      <c r="F115" s="62">
        <v>133</v>
      </c>
      <c r="G115" s="9">
        <f t="shared" si="3"/>
        <v>1616541.3533834587</v>
      </c>
      <c r="H115" s="9">
        <f>SUM($G$2:G115)</f>
        <v>26669655.213979729</v>
      </c>
    </row>
    <row r="116" spans="1:8">
      <c r="A116" s="10">
        <v>115</v>
      </c>
      <c r="B116" s="103">
        <v>3130000000</v>
      </c>
      <c r="C116" s="103"/>
      <c r="D116" s="103">
        <f t="shared" si="2"/>
        <v>232000000</v>
      </c>
      <c r="E116" s="103"/>
      <c r="F116" s="62">
        <v>134</v>
      </c>
      <c r="G116" s="9">
        <f t="shared" si="3"/>
        <v>1731343.2835820895</v>
      </c>
      <c r="H116" s="9">
        <f>SUM($G$2:G116)</f>
        <v>28400998.49756182</v>
      </c>
    </row>
    <row r="117" spans="1:8">
      <c r="A117" s="10">
        <v>116</v>
      </c>
      <c r="B117" s="103">
        <v>3362000000</v>
      </c>
      <c r="C117" s="103"/>
      <c r="D117" s="103">
        <f t="shared" si="2"/>
        <v>254000000</v>
      </c>
      <c r="E117" s="103"/>
      <c r="F117" s="62">
        <v>135</v>
      </c>
      <c r="G117" s="9">
        <f t="shared" si="3"/>
        <v>1881481.4814814816</v>
      </c>
      <c r="H117" s="9">
        <f>SUM($G$2:G117)</f>
        <v>30282479.979043301</v>
      </c>
    </row>
    <row r="118" spans="1:8">
      <c r="A118" s="10">
        <v>117</v>
      </c>
      <c r="B118" s="103">
        <v>3616000000</v>
      </c>
      <c r="C118" s="103"/>
      <c r="D118" s="103">
        <f t="shared" si="2"/>
        <v>278000000</v>
      </c>
      <c r="E118" s="103"/>
      <c r="F118" s="62">
        <v>136</v>
      </c>
      <c r="G118" s="9">
        <f t="shared" si="3"/>
        <v>2044117.6470588236</v>
      </c>
      <c r="H118" s="9">
        <f>SUM($G$2:G118)</f>
        <v>32326597.626102123</v>
      </c>
    </row>
    <row r="119" spans="1:8">
      <c r="A119" s="10">
        <v>118</v>
      </c>
      <c r="B119" s="103">
        <v>3894000000</v>
      </c>
      <c r="C119" s="103"/>
      <c r="D119" s="103">
        <f t="shared" si="2"/>
        <v>306000000</v>
      </c>
      <c r="E119" s="103"/>
      <c r="F119" s="62">
        <v>137</v>
      </c>
      <c r="G119" s="9">
        <f t="shared" si="3"/>
        <v>2233576.6423357665</v>
      </c>
      <c r="H119" s="9">
        <f>SUM($G$2:G119)</f>
        <v>34560174.268437892</v>
      </c>
    </row>
    <row r="120" spans="1:8">
      <c r="A120" s="10">
        <v>119</v>
      </c>
      <c r="B120" s="103">
        <v>4200000000</v>
      </c>
      <c r="C120" s="103"/>
      <c r="D120" s="103">
        <f t="shared" si="2"/>
        <v>338000000</v>
      </c>
      <c r="E120" s="103"/>
      <c r="F120" s="62">
        <v>138</v>
      </c>
      <c r="G120" s="9">
        <f t="shared" si="3"/>
        <v>2449275.3623188408</v>
      </c>
      <c r="H120" s="9">
        <f>SUM($G$2:G120)</f>
        <v>37009449.630756736</v>
      </c>
    </row>
    <row r="121" spans="1:8">
      <c r="A121" s="10">
        <v>120</v>
      </c>
      <c r="B121" s="103">
        <v>4538000000</v>
      </c>
      <c r="C121" s="103"/>
      <c r="D121" s="103">
        <f t="shared" si="2"/>
        <v>373000000</v>
      </c>
      <c r="E121" s="103"/>
      <c r="F121" s="62">
        <v>139</v>
      </c>
      <c r="G121" s="9">
        <f t="shared" si="3"/>
        <v>2683453.2374100718</v>
      </c>
      <c r="H121" s="9">
        <f>SUM($G$2:G121)</f>
        <v>39692902.868166804</v>
      </c>
    </row>
    <row r="122" spans="1:8">
      <c r="A122" s="10">
        <v>121</v>
      </c>
      <c r="B122" s="103">
        <v>4911000000</v>
      </c>
      <c r="C122" s="103"/>
      <c r="D122" s="103">
        <f t="shared" si="2"/>
        <v>413000000</v>
      </c>
      <c r="E122" s="103"/>
      <c r="F122" s="62">
        <v>140</v>
      </c>
      <c r="G122" s="9">
        <f t="shared" si="3"/>
        <v>2950000</v>
      </c>
      <c r="H122" s="9">
        <f>SUM($G$2:G122)</f>
        <v>42642902.868166804</v>
      </c>
    </row>
    <row r="123" spans="1:8">
      <c r="A123" s="10">
        <v>122</v>
      </c>
      <c r="B123" s="103">
        <v>5324000000</v>
      </c>
      <c r="C123" s="103"/>
      <c r="D123" s="103">
        <f t="shared" si="2"/>
        <v>456000000</v>
      </c>
      <c r="E123" s="103"/>
      <c r="F123" s="62">
        <v>141</v>
      </c>
      <c r="G123" s="9">
        <f t="shared" si="3"/>
        <v>3234042.5531914895</v>
      </c>
      <c r="H123" s="9">
        <f>SUM($G$2:G123)</f>
        <v>45876945.421358295</v>
      </c>
    </row>
    <row r="124" spans="1:8">
      <c r="A124" s="10">
        <v>123</v>
      </c>
      <c r="B124" s="103">
        <v>5780000000</v>
      </c>
      <c r="C124" s="103"/>
      <c r="D124" s="103">
        <f t="shared" si="2"/>
        <v>505000000</v>
      </c>
      <c r="E124" s="103"/>
      <c r="F124" s="62">
        <v>142</v>
      </c>
      <c r="G124" s="9">
        <f t="shared" si="3"/>
        <v>3556338.028169014</v>
      </c>
      <c r="H124" s="9">
        <f>SUM($G$2:G124)</f>
        <v>49433283.449527308</v>
      </c>
    </row>
    <row r="125" spans="1:8">
      <c r="A125" s="10">
        <v>124</v>
      </c>
      <c r="B125" s="103">
        <v>6285000000</v>
      </c>
      <c r="C125" s="103"/>
      <c r="D125" s="103">
        <f t="shared" si="2"/>
        <v>560000000</v>
      </c>
      <c r="E125" s="103"/>
      <c r="F125" s="62">
        <v>143</v>
      </c>
      <c r="G125" s="9">
        <f t="shared" si="3"/>
        <v>3916083.9160839161</v>
      </c>
      <c r="H125" s="9">
        <f>SUM($G$2:G125)</f>
        <v>53349367.365611225</v>
      </c>
    </row>
    <row r="126" spans="1:8">
      <c r="A126" s="10">
        <v>125</v>
      </c>
      <c r="B126" s="103">
        <v>6845000000</v>
      </c>
      <c r="C126" s="103"/>
      <c r="D126" s="103">
        <f t="shared" si="2"/>
        <v>619000000</v>
      </c>
      <c r="E126" s="103"/>
      <c r="F126" s="62">
        <v>144</v>
      </c>
      <c r="G126" s="9">
        <f t="shared" si="3"/>
        <v>4298611.111111111</v>
      </c>
      <c r="H126" s="9">
        <f>SUM($G$2:G126)</f>
        <v>57647978.476722337</v>
      </c>
    </row>
    <row r="127" spans="1:8">
      <c r="A127" s="10">
        <v>126</v>
      </c>
      <c r="B127" s="103">
        <v>7464000000</v>
      </c>
      <c r="C127" s="103"/>
      <c r="D127" s="103">
        <f t="shared" si="2"/>
        <v>691000000</v>
      </c>
      <c r="E127" s="103"/>
      <c r="F127" s="62">
        <v>145</v>
      </c>
      <c r="G127" s="9">
        <f t="shared" si="3"/>
        <v>4765517.2413793104</v>
      </c>
      <c r="H127" s="9">
        <f>SUM($G$2:G127)</f>
        <v>62413495.71810165</v>
      </c>
    </row>
    <row r="128" spans="1:8">
      <c r="A128" s="10">
        <v>127</v>
      </c>
      <c r="B128" s="103">
        <v>8155000000</v>
      </c>
      <c r="C128" s="103"/>
      <c r="D128" s="103">
        <f t="shared" si="2"/>
        <v>770000000</v>
      </c>
      <c r="E128" s="103"/>
      <c r="F128" s="62">
        <v>146</v>
      </c>
      <c r="G128" s="9">
        <f t="shared" si="3"/>
        <v>5273972.6027397262</v>
      </c>
      <c r="H128" s="9">
        <f>SUM($G$2:G128)</f>
        <v>67687468.320841372</v>
      </c>
    </row>
    <row r="129" spans="1:8">
      <c r="A129" s="10">
        <v>128</v>
      </c>
      <c r="B129" s="103">
        <v>8925000000</v>
      </c>
      <c r="C129" s="103"/>
      <c r="D129" s="103">
        <f t="shared" si="2"/>
        <v>860000000</v>
      </c>
      <c r="E129" s="103"/>
      <c r="F129" s="62">
        <v>147</v>
      </c>
      <c r="G129" s="9">
        <f t="shared" si="3"/>
        <v>5850340.1360544218</v>
      </c>
      <c r="H129" s="9">
        <f>SUM($G$2:G129)</f>
        <v>73537808.456895798</v>
      </c>
    </row>
    <row r="130" spans="1:8">
      <c r="A130" s="10">
        <v>129</v>
      </c>
      <c r="B130" s="103">
        <v>9785000000</v>
      </c>
      <c r="C130" s="103"/>
      <c r="D130" s="103">
        <f t="shared" si="2"/>
        <v>956000000</v>
      </c>
      <c r="E130" s="103"/>
      <c r="F130" s="62">
        <v>148</v>
      </c>
      <c r="G130" s="9">
        <f t="shared" si="3"/>
        <v>6459459.4594594594</v>
      </c>
      <c r="H130" s="9">
        <f>SUM($G$2:G130)</f>
        <v>79997267.916355252</v>
      </c>
    </row>
    <row r="131" spans="1:8">
      <c r="A131" s="10">
        <v>130</v>
      </c>
      <c r="B131" s="103">
        <v>10741000000</v>
      </c>
      <c r="C131" s="103"/>
      <c r="D131" s="103">
        <f t="shared" ref="D131:D150" si="4">B132-B131</f>
        <v>1075000000</v>
      </c>
      <c r="E131" s="103"/>
      <c r="F131" s="62">
        <v>149</v>
      </c>
      <c r="G131" s="9">
        <f t="shared" ref="G131:G150" si="5">D131/F131</f>
        <v>7214765.1006711405</v>
      </c>
      <c r="H131" s="9">
        <f>SUM($G$2:G131)</f>
        <v>87212033.017026395</v>
      </c>
    </row>
    <row r="132" spans="1:8">
      <c r="A132" s="10">
        <v>131</v>
      </c>
      <c r="B132" s="103">
        <v>11816000000</v>
      </c>
      <c r="C132" s="103"/>
      <c r="D132" s="103">
        <f t="shared" si="4"/>
        <v>1209000000</v>
      </c>
      <c r="E132" s="103"/>
      <c r="F132" s="62">
        <v>150</v>
      </c>
      <c r="G132" s="9">
        <f t="shared" si="5"/>
        <v>8060000</v>
      </c>
      <c r="H132" s="9">
        <f>SUM($G$2:G132)</f>
        <v>95272033.017026395</v>
      </c>
    </row>
    <row r="133" spans="1:8">
      <c r="A133" s="10">
        <v>132</v>
      </c>
      <c r="B133" s="103">
        <v>13025000000</v>
      </c>
      <c r="C133" s="103"/>
      <c r="D133" s="103">
        <f t="shared" si="4"/>
        <v>1361000000</v>
      </c>
      <c r="E133" s="103"/>
      <c r="F133" s="62">
        <v>151</v>
      </c>
      <c r="G133" s="9">
        <f t="shared" si="5"/>
        <v>9013245.0331125837</v>
      </c>
      <c r="H133" s="9">
        <f>SUM($G$2:G133)</f>
        <v>104285278.05013898</v>
      </c>
    </row>
    <row r="134" spans="1:8">
      <c r="A134" s="10">
        <v>133</v>
      </c>
      <c r="B134" s="103">
        <v>14386000000</v>
      </c>
      <c r="C134" s="103"/>
      <c r="D134" s="103">
        <f t="shared" si="4"/>
        <v>1535000000</v>
      </c>
      <c r="E134" s="103"/>
      <c r="F134" s="62">
        <v>152</v>
      </c>
      <c r="G134" s="9">
        <f t="shared" si="5"/>
        <v>10098684.210526315</v>
      </c>
      <c r="H134" s="9">
        <f>SUM($G$2:G134)</f>
        <v>114383962.2606653</v>
      </c>
    </row>
    <row r="135" spans="1:8">
      <c r="A135" s="10">
        <v>134</v>
      </c>
      <c r="B135" s="103">
        <v>15921000000</v>
      </c>
      <c r="C135" s="103"/>
      <c r="D135" s="103">
        <f t="shared" si="4"/>
        <v>1734000000</v>
      </c>
      <c r="E135" s="103"/>
      <c r="F135" s="62">
        <v>153</v>
      </c>
      <c r="G135" s="9">
        <f t="shared" si="5"/>
        <v>11333333.333333334</v>
      </c>
      <c r="H135" s="9">
        <f>SUM($G$2:G135)</f>
        <v>125717295.59399863</v>
      </c>
    </row>
    <row r="136" spans="1:8">
      <c r="A136" s="10">
        <v>135</v>
      </c>
      <c r="B136" s="103">
        <v>17655000000</v>
      </c>
      <c r="C136" s="103"/>
      <c r="D136" s="103">
        <f t="shared" si="4"/>
        <v>1964000000</v>
      </c>
      <c r="E136" s="103"/>
      <c r="F136" s="62">
        <v>154</v>
      </c>
      <c r="G136" s="9">
        <f t="shared" si="5"/>
        <v>12753246.753246753</v>
      </c>
      <c r="H136" s="9">
        <f>SUM($G$2:G136)</f>
        <v>138470542.34724537</v>
      </c>
    </row>
    <row r="137" spans="1:8">
      <c r="A137" s="10">
        <v>136</v>
      </c>
      <c r="B137" s="103">
        <v>19619000000</v>
      </c>
      <c r="C137" s="103"/>
      <c r="D137" s="103">
        <f t="shared" si="4"/>
        <v>2226000000</v>
      </c>
      <c r="E137" s="103"/>
      <c r="F137" s="62">
        <v>155</v>
      </c>
      <c r="G137" s="9">
        <f t="shared" si="5"/>
        <v>14361290.322580645</v>
      </c>
      <c r="H137" s="9">
        <f>SUM($G$2:G137)</f>
        <v>152831832.669826</v>
      </c>
    </row>
    <row r="138" spans="1:8">
      <c r="A138" s="10">
        <v>137</v>
      </c>
      <c r="B138" s="103">
        <v>21845000000</v>
      </c>
      <c r="C138" s="103"/>
      <c r="D138" s="103">
        <f t="shared" si="4"/>
        <v>2530000000</v>
      </c>
      <c r="E138" s="103"/>
      <c r="F138" s="62">
        <v>156</v>
      </c>
      <c r="G138" s="9">
        <f t="shared" si="5"/>
        <v>16217948.717948718</v>
      </c>
      <c r="H138" s="9">
        <f>SUM($G$2:G138)</f>
        <v>169049781.38777471</v>
      </c>
    </row>
    <row r="139" spans="1:8">
      <c r="A139" s="10">
        <v>138</v>
      </c>
      <c r="B139" s="103">
        <v>24375000000</v>
      </c>
      <c r="C139" s="103"/>
      <c r="D139" s="103">
        <f t="shared" si="4"/>
        <v>2880000000</v>
      </c>
      <c r="E139" s="103"/>
      <c r="F139" s="62">
        <v>157</v>
      </c>
      <c r="G139" s="9">
        <f t="shared" si="5"/>
        <v>18343949.044585988</v>
      </c>
      <c r="H139" s="9">
        <f>SUM($G$2:G139)</f>
        <v>187393730.43236071</v>
      </c>
    </row>
    <row r="140" spans="1:8">
      <c r="A140" s="10">
        <v>139</v>
      </c>
      <c r="B140" s="103">
        <v>27255000000</v>
      </c>
      <c r="C140" s="103"/>
      <c r="D140" s="103">
        <f t="shared" si="4"/>
        <v>3280000000</v>
      </c>
      <c r="E140" s="103"/>
      <c r="F140" s="62">
        <v>158</v>
      </c>
      <c r="G140" s="9">
        <f t="shared" si="5"/>
        <v>20759493.670886077</v>
      </c>
      <c r="H140" s="9">
        <f>SUM($G$2:G140)</f>
        <v>208153224.10324678</v>
      </c>
    </row>
    <row r="141" spans="1:8">
      <c r="A141" s="10">
        <v>140</v>
      </c>
      <c r="B141" s="103">
        <v>30535000000</v>
      </c>
      <c r="C141" s="103"/>
      <c r="D141" s="103">
        <f t="shared" si="4"/>
        <v>3775000000</v>
      </c>
      <c r="E141" s="103"/>
      <c r="F141" s="62">
        <v>159</v>
      </c>
      <c r="G141" s="9">
        <f t="shared" si="5"/>
        <v>23742138.364779875</v>
      </c>
      <c r="H141" s="9">
        <f>SUM($G$2:G141)</f>
        <v>231895362.46802664</v>
      </c>
    </row>
    <row r="142" spans="1:8">
      <c r="A142" s="10">
        <v>141</v>
      </c>
      <c r="B142" s="103">
        <v>34310000000</v>
      </c>
      <c r="C142" s="103"/>
      <c r="D142" s="103">
        <f t="shared" si="4"/>
        <v>4440000000</v>
      </c>
      <c r="E142" s="103"/>
      <c r="F142" s="62">
        <v>160</v>
      </c>
      <c r="G142" s="9">
        <f t="shared" si="5"/>
        <v>27750000</v>
      </c>
      <c r="H142" s="9">
        <f>SUM($G$2:G142)</f>
        <v>259645362.46802664</v>
      </c>
    </row>
    <row r="143" spans="1:8">
      <c r="A143" s="10">
        <v>142</v>
      </c>
      <c r="B143" s="103">
        <v>38750000000</v>
      </c>
      <c r="C143" s="103"/>
      <c r="D143" s="103">
        <f t="shared" si="4"/>
        <v>5250000000</v>
      </c>
      <c r="E143" s="103"/>
      <c r="F143" s="62">
        <v>161</v>
      </c>
      <c r="G143" s="9">
        <f t="shared" si="5"/>
        <v>32608695.652173914</v>
      </c>
      <c r="H143" s="9">
        <f>SUM($G$2:G143)</f>
        <v>292254058.12020057</v>
      </c>
    </row>
    <row r="144" spans="1:8">
      <c r="A144" s="10">
        <v>143</v>
      </c>
      <c r="B144" s="103">
        <v>44000000000</v>
      </c>
      <c r="C144" s="103"/>
      <c r="D144" s="103">
        <f t="shared" si="4"/>
        <v>6000000000</v>
      </c>
      <c r="E144" s="103"/>
      <c r="F144" s="62">
        <v>162</v>
      </c>
      <c r="G144" s="9">
        <f t="shared" si="5"/>
        <v>37037037.037037037</v>
      </c>
      <c r="H144" s="9">
        <f>SUM($G$2:G144)</f>
        <v>329291095.15723759</v>
      </c>
    </row>
    <row r="145" spans="1:8">
      <c r="A145" s="10">
        <v>144</v>
      </c>
      <c r="B145" s="103">
        <v>50000000000</v>
      </c>
      <c r="C145" s="103"/>
      <c r="D145" s="103">
        <f t="shared" si="4"/>
        <v>7000000000</v>
      </c>
      <c r="E145" s="103"/>
      <c r="F145" s="62">
        <v>163</v>
      </c>
      <c r="G145" s="9">
        <f t="shared" si="5"/>
        <v>42944785.27607362</v>
      </c>
      <c r="H145" s="9">
        <f>SUM($G$2:G145)</f>
        <v>372235880.43331122</v>
      </c>
    </row>
    <row r="146" spans="1:8">
      <c r="A146" s="10">
        <v>145</v>
      </c>
      <c r="B146" s="103">
        <v>57000000000</v>
      </c>
      <c r="C146" s="103"/>
      <c r="D146" s="103">
        <f t="shared" si="4"/>
        <v>8000000000</v>
      </c>
      <c r="E146" s="103"/>
      <c r="F146" s="62">
        <v>164</v>
      </c>
      <c r="G146" s="9">
        <f t="shared" si="5"/>
        <v>48780487.804878049</v>
      </c>
      <c r="H146" s="9">
        <f>SUM($G$2:G146)</f>
        <v>421016368.23818928</v>
      </c>
    </row>
    <row r="147" spans="1:8">
      <c r="A147" s="10">
        <v>146</v>
      </c>
      <c r="B147" s="103">
        <v>65000000000</v>
      </c>
      <c r="C147" s="103"/>
      <c r="D147" s="103">
        <f t="shared" si="4"/>
        <v>9500000000</v>
      </c>
      <c r="E147" s="103"/>
      <c r="F147" s="62">
        <v>165</v>
      </c>
      <c r="G147" s="9">
        <f t="shared" si="5"/>
        <v>57575757.575757578</v>
      </c>
      <c r="H147" s="9">
        <f>SUM($G$2:G147)</f>
        <v>478592125.81394684</v>
      </c>
    </row>
    <row r="148" spans="1:8">
      <c r="A148" s="10">
        <v>147</v>
      </c>
      <c r="B148" s="103">
        <v>74500000000</v>
      </c>
      <c r="C148" s="103"/>
      <c r="D148" s="103">
        <f t="shared" si="4"/>
        <v>11500000000</v>
      </c>
      <c r="E148" s="103"/>
      <c r="F148" s="62">
        <v>166</v>
      </c>
      <c r="G148" s="9">
        <f t="shared" si="5"/>
        <v>69277108.433734939</v>
      </c>
      <c r="H148" s="9">
        <f>SUM($G$2:G148)</f>
        <v>547869234.24768174</v>
      </c>
    </row>
    <row r="149" spans="1:8">
      <c r="A149" s="10">
        <v>148</v>
      </c>
      <c r="B149" s="103">
        <v>86000000000</v>
      </c>
      <c r="C149" s="103"/>
      <c r="D149" s="103">
        <f t="shared" si="4"/>
        <v>14000000000</v>
      </c>
      <c r="E149" s="103"/>
      <c r="F149" s="62">
        <v>167</v>
      </c>
      <c r="G149" s="9">
        <f t="shared" si="5"/>
        <v>83832335.329341322</v>
      </c>
      <c r="H149" s="9">
        <f>SUM($G$2:G149)</f>
        <v>631701569.57702303</v>
      </c>
    </row>
    <row r="150" spans="1:8">
      <c r="A150" s="10">
        <v>149</v>
      </c>
      <c r="B150" s="103">
        <v>100000000000</v>
      </c>
      <c r="C150" s="103"/>
      <c r="D150" s="103">
        <f t="shared" si="4"/>
        <v>23456789000</v>
      </c>
      <c r="E150" s="103"/>
      <c r="F150" s="62">
        <v>168</v>
      </c>
      <c r="G150" s="9">
        <f t="shared" si="5"/>
        <v>139623744.04761904</v>
      </c>
      <c r="H150" s="9">
        <f>SUM($G$2:G150)</f>
        <v>771325313.62464213</v>
      </c>
    </row>
    <row r="151" spans="1:8">
      <c r="A151" s="10">
        <v>150</v>
      </c>
      <c r="B151" s="103">
        <v>123456789000</v>
      </c>
      <c r="C151" s="103"/>
      <c r="D151" s="103"/>
      <c r="E151" s="103"/>
    </row>
  </sheetData>
  <mergeCells count="302">
    <mergeCell ref="B151:C151"/>
    <mergeCell ref="D151:E151"/>
    <mergeCell ref="B148:C148"/>
    <mergeCell ref="D148:E148"/>
    <mergeCell ref="B149:C149"/>
    <mergeCell ref="D149:E149"/>
    <mergeCell ref="B150:C150"/>
    <mergeCell ref="D150:E150"/>
    <mergeCell ref="B145:C145"/>
    <mergeCell ref="D145:E145"/>
    <mergeCell ref="B146:C146"/>
    <mergeCell ref="D146:E146"/>
    <mergeCell ref="B147:C147"/>
    <mergeCell ref="D147:E147"/>
    <mergeCell ref="B142:C142"/>
    <mergeCell ref="D142:E142"/>
    <mergeCell ref="B143:C143"/>
    <mergeCell ref="D143:E143"/>
    <mergeCell ref="B144:C144"/>
    <mergeCell ref="D144:E144"/>
    <mergeCell ref="B139:C139"/>
    <mergeCell ref="D139:E139"/>
    <mergeCell ref="B140:C140"/>
    <mergeCell ref="D140:E140"/>
    <mergeCell ref="B141:C141"/>
    <mergeCell ref="D141:E141"/>
    <mergeCell ref="B136:C136"/>
    <mergeCell ref="D136:E136"/>
    <mergeCell ref="B137:C137"/>
    <mergeCell ref="D137:E137"/>
    <mergeCell ref="B138:C138"/>
    <mergeCell ref="D138:E138"/>
    <mergeCell ref="B133:C133"/>
    <mergeCell ref="D133:E133"/>
    <mergeCell ref="B134:C134"/>
    <mergeCell ref="D134:E134"/>
    <mergeCell ref="B135:C135"/>
    <mergeCell ref="D135:E135"/>
    <mergeCell ref="B130:C130"/>
    <mergeCell ref="D130:E130"/>
    <mergeCell ref="B131:C131"/>
    <mergeCell ref="D131:E131"/>
    <mergeCell ref="B132:C132"/>
    <mergeCell ref="D132:E132"/>
    <mergeCell ref="B127:C127"/>
    <mergeCell ref="D127:E127"/>
    <mergeCell ref="B128:C128"/>
    <mergeCell ref="D128:E128"/>
    <mergeCell ref="B129:C129"/>
    <mergeCell ref="D129:E129"/>
    <mergeCell ref="B124:C124"/>
    <mergeCell ref="D124:E124"/>
    <mergeCell ref="B125:C125"/>
    <mergeCell ref="D125:E125"/>
    <mergeCell ref="B126:C126"/>
    <mergeCell ref="D126:E126"/>
    <mergeCell ref="B121:C121"/>
    <mergeCell ref="D121:E121"/>
    <mergeCell ref="B122:C122"/>
    <mergeCell ref="D122:E122"/>
    <mergeCell ref="B123:C123"/>
    <mergeCell ref="D123:E123"/>
    <mergeCell ref="B118:C118"/>
    <mergeCell ref="D118:E118"/>
    <mergeCell ref="B119:C119"/>
    <mergeCell ref="D119:E119"/>
    <mergeCell ref="B120:C120"/>
    <mergeCell ref="D120:E120"/>
    <mergeCell ref="B115:C115"/>
    <mergeCell ref="D115:E115"/>
    <mergeCell ref="B116:C116"/>
    <mergeCell ref="D116:E116"/>
    <mergeCell ref="B117:C117"/>
    <mergeCell ref="D117:E117"/>
    <mergeCell ref="B112:C112"/>
    <mergeCell ref="D112:E112"/>
    <mergeCell ref="B113:C113"/>
    <mergeCell ref="D113:E113"/>
    <mergeCell ref="B114:C114"/>
    <mergeCell ref="D114:E114"/>
    <mergeCell ref="B109:C109"/>
    <mergeCell ref="D109:E109"/>
    <mergeCell ref="B110:C110"/>
    <mergeCell ref="D110:E110"/>
    <mergeCell ref="B111:C111"/>
    <mergeCell ref="D111:E111"/>
    <mergeCell ref="B106:C106"/>
    <mergeCell ref="D106:E106"/>
    <mergeCell ref="B107:C107"/>
    <mergeCell ref="D107:E107"/>
    <mergeCell ref="B108:C108"/>
    <mergeCell ref="D108:E108"/>
    <mergeCell ref="B103:C103"/>
    <mergeCell ref="D103:E103"/>
    <mergeCell ref="B104:C104"/>
    <mergeCell ref="D104:E104"/>
    <mergeCell ref="B105:C105"/>
    <mergeCell ref="D105:E105"/>
    <mergeCell ref="B100:C100"/>
    <mergeCell ref="D100:E100"/>
    <mergeCell ref="B101:C101"/>
    <mergeCell ref="D101:E101"/>
    <mergeCell ref="B102:C102"/>
    <mergeCell ref="D102:E102"/>
    <mergeCell ref="B97:C97"/>
    <mergeCell ref="D97:E97"/>
    <mergeCell ref="B98:C98"/>
    <mergeCell ref="D98:E98"/>
    <mergeCell ref="B99:C99"/>
    <mergeCell ref="D99:E99"/>
    <mergeCell ref="B94:C94"/>
    <mergeCell ref="D94:E94"/>
    <mergeCell ref="B95:C95"/>
    <mergeCell ref="D95:E95"/>
    <mergeCell ref="B96:C96"/>
    <mergeCell ref="D96:E96"/>
    <mergeCell ref="B91:C91"/>
    <mergeCell ref="D91:E91"/>
    <mergeCell ref="B92:C92"/>
    <mergeCell ref="D92:E92"/>
    <mergeCell ref="B93:C93"/>
    <mergeCell ref="D93:E93"/>
    <mergeCell ref="B88:C88"/>
    <mergeCell ref="D88:E88"/>
    <mergeCell ref="B89:C89"/>
    <mergeCell ref="D89:E89"/>
    <mergeCell ref="B90:C90"/>
    <mergeCell ref="D90:E90"/>
    <mergeCell ref="B85:C85"/>
    <mergeCell ref="D85:E85"/>
    <mergeCell ref="B86:C86"/>
    <mergeCell ref="D86:E86"/>
    <mergeCell ref="B87:C87"/>
    <mergeCell ref="D87:E87"/>
    <mergeCell ref="B82:C82"/>
    <mergeCell ref="D82:E82"/>
    <mergeCell ref="B83:C83"/>
    <mergeCell ref="D83:E83"/>
    <mergeCell ref="B84:C84"/>
    <mergeCell ref="D84:E84"/>
    <mergeCell ref="B79:C79"/>
    <mergeCell ref="D79:E79"/>
    <mergeCell ref="B80:C80"/>
    <mergeCell ref="D80:E80"/>
    <mergeCell ref="B81:C81"/>
    <mergeCell ref="D81:E81"/>
    <mergeCell ref="B76:C76"/>
    <mergeCell ref="D76:E76"/>
    <mergeCell ref="B77:C77"/>
    <mergeCell ref="D77:E77"/>
    <mergeCell ref="B78:C78"/>
    <mergeCell ref="D78:E78"/>
    <mergeCell ref="B73:C73"/>
    <mergeCell ref="D73:E73"/>
    <mergeCell ref="B74:C74"/>
    <mergeCell ref="D74:E74"/>
    <mergeCell ref="B75:C75"/>
    <mergeCell ref="D75:E75"/>
    <mergeCell ref="B70:C70"/>
    <mergeCell ref="D70:E70"/>
    <mergeCell ref="B71:C71"/>
    <mergeCell ref="D71:E71"/>
    <mergeCell ref="B72:C72"/>
    <mergeCell ref="D72:E72"/>
    <mergeCell ref="B67:C67"/>
    <mergeCell ref="D67:E67"/>
    <mergeCell ref="B68:C68"/>
    <mergeCell ref="D68:E68"/>
    <mergeCell ref="B69:C69"/>
    <mergeCell ref="D69:E69"/>
    <mergeCell ref="B64:C64"/>
    <mergeCell ref="D64:E64"/>
    <mergeCell ref="B65:C65"/>
    <mergeCell ref="D65:E65"/>
    <mergeCell ref="B66:C66"/>
    <mergeCell ref="D66:E66"/>
    <mergeCell ref="B61:C61"/>
    <mergeCell ref="D61:E61"/>
    <mergeCell ref="B62:C62"/>
    <mergeCell ref="D62:E62"/>
    <mergeCell ref="B63:C63"/>
    <mergeCell ref="D63:E63"/>
    <mergeCell ref="B58:C58"/>
    <mergeCell ref="D58:E58"/>
    <mergeCell ref="B59:C59"/>
    <mergeCell ref="D59:E59"/>
    <mergeCell ref="B60:C60"/>
    <mergeCell ref="D60:E60"/>
    <mergeCell ref="B55:C55"/>
    <mergeCell ref="D55:E55"/>
    <mergeCell ref="B56:C56"/>
    <mergeCell ref="D56:E56"/>
    <mergeCell ref="B57:C57"/>
    <mergeCell ref="D57:E57"/>
    <mergeCell ref="B52:C52"/>
    <mergeCell ref="D52:E52"/>
    <mergeCell ref="B53:C53"/>
    <mergeCell ref="D53:E53"/>
    <mergeCell ref="B54:C54"/>
    <mergeCell ref="D54:E54"/>
    <mergeCell ref="B49:C49"/>
    <mergeCell ref="D49:E49"/>
    <mergeCell ref="B50:C50"/>
    <mergeCell ref="D50:E50"/>
    <mergeCell ref="B51:C51"/>
    <mergeCell ref="D51:E51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25:C25"/>
    <mergeCell ref="D25:E25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19:C19"/>
    <mergeCell ref="D19:E19"/>
    <mergeCell ref="B20:C20"/>
    <mergeCell ref="D20:E20"/>
    <mergeCell ref="B21:C21"/>
    <mergeCell ref="D21:E21"/>
    <mergeCell ref="B16:C16"/>
    <mergeCell ref="D16:E16"/>
    <mergeCell ref="B17:C17"/>
    <mergeCell ref="D17:E17"/>
    <mergeCell ref="B18:C18"/>
    <mergeCell ref="D18:E18"/>
    <mergeCell ref="B13:C13"/>
    <mergeCell ref="D13:E13"/>
    <mergeCell ref="B14:C14"/>
    <mergeCell ref="D14:E14"/>
    <mergeCell ref="B15:C15"/>
    <mergeCell ref="D15:E15"/>
    <mergeCell ref="B10:C10"/>
    <mergeCell ref="D10:E10"/>
    <mergeCell ref="B11:C11"/>
    <mergeCell ref="D11:E11"/>
    <mergeCell ref="B12:C12"/>
    <mergeCell ref="D12:E12"/>
    <mergeCell ref="B7:C7"/>
    <mergeCell ref="D7:E7"/>
    <mergeCell ref="B8:C8"/>
    <mergeCell ref="D8:E8"/>
    <mergeCell ref="B9:C9"/>
    <mergeCell ref="D9:E9"/>
    <mergeCell ref="B4:C4"/>
    <mergeCell ref="D4:E4"/>
    <mergeCell ref="B5:C5"/>
    <mergeCell ref="D5:E5"/>
    <mergeCell ref="B6:C6"/>
    <mergeCell ref="D6:E6"/>
    <mergeCell ref="B1:C1"/>
    <mergeCell ref="D1:E1"/>
    <mergeCell ref="B2:C2"/>
    <mergeCell ref="D2:E2"/>
    <mergeCell ref="B3:C3"/>
    <mergeCell ref="D3:E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:P151"/>
  <sheetViews>
    <sheetView workbookViewId="0">
      <selection activeCell="G45" sqref="G45"/>
    </sheetView>
  </sheetViews>
  <sheetFormatPr defaultRowHeight="15"/>
  <cols>
    <col min="2" max="2" width="20" style="26" customWidth="1"/>
    <col min="3" max="4" width="15.85546875" style="48" bestFit="1" customWidth="1"/>
    <col min="5" max="5" width="27.85546875" style="43" bestFit="1" customWidth="1"/>
    <col min="6" max="6" width="19.42578125" style="43" customWidth="1"/>
    <col min="7" max="8" width="19.42578125" style="46" customWidth="1"/>
    <col min="9" max="9" width="32" style="43" customWidth="1"/>
    <col min="10" max="10" width="14.7109375" style="35" customWidth="1"/>
    <col min="11" max="11" width="38" style="43" customWidth="1"/>
    <col min="12" max="12" width="27.5703125" style="43" customWidth="1"/>
  </cols>
  <sheetData>
    <row r="1" spans="1:16">
      <c r="A1" s="10" t="s">
        <v>53</v>
      </c>
      <c r="B1" s="10" t="s">
        <v>172</v>
      </c>
      <c r="C1" s="47" t="s">
        <v>173</v>
      </c>
      <c r="D1" s="47" t="s">
        <v>174</v>
      </c>
      <c r="E1" s="42" t="s">
        <v>180</v>
      </c>
      <c r="F1" s="42" t="s">
        <v>175</v>
      </c>
      <c r="G1" s="44" t="s">
        <v>178</v>
      </c>
      <c r="H1" s="44" t="s">
        <v>179</v>
      </c>
      <c r="I1" s="42" t="s">
        <v>176</v>
      </c>
      <c r="J1" s="37" t="s">
        <v>177</v>
      </c>
      <c r="K1" s="42" t="s">
        <v>181</v>
      </c>
      <c r="L1" s="42" t="s">
        <v>182</v>
      </c>
      <c r="O1" s="51" t="s">
        <v>79</v>
      </c>
    </row>
    <row r="2" spans="1:16">
      <c r="A2" s="10">
        <v>1</v>
      </c>
      <c r="B2" s="9">
        <f>Ranges!C7/(1.5*((5+A2)/(1+A2)))</f>
        <v>10.271604938271604</v>
      </c>
      <c r="C2" s="48">
        <f>Ranges!C7/B2</f>
        <v>4.5</v>
      </c>
      <c r="D2" s="48">
        <f>Ranges!N7/B2</f>
        <v>7.665144230769231</v>
      </c>
      <c r="E2" s="43">
        <f>4*((2*A2+15)/(2*A2+10))</f>
        <v>5.666666666666667</v>
      </c>
      <c r="F2" s="43">
        <f t="shared" ref="F2:F33" si="0">AVERAGE(C2:D2)*B2/E2</f>
        <v>11.02549019607843</v>
      </c>
      <c r="G2" s="45">
        <f>Ranges!C7/F2</f>
        <v>4.1923054122947425</v>
      </c>
      <c r="H2" s="45">
        <f>Ranges!N7/F2</f>
        <v>7.1410279210385932</v>
      </c>
      <c r="I2" s="43">
        <f>3*(A2+2)/(A2+5)</f>
        <v>1.5</v>
      </c>
      <c r="J2" s="35">
        <f t="shared" ref="J2:J33" si="1">I2*F2</f>
        <v>16.538235294117644</v>
      </c>
      <c r="K2" s="43">
        <f>E2*3</f>
        <v>17</v>
      </c>
      <c r="L2" s="43">
        <f t="shared" ref="L2:L33" si="2">AVERAGE(C2:D2)*B2/K2</f>
        <v>3.6751633986928103</v>
      </c>
      <c r="O2" s="30" t="s">
        <v>198</v>
      </c>
    </row>
    <row r="3" spans="1:16">
      <c r="A3" s="10">
        <v>2</v>
      </c>
      <c r="B3" s="9">
        <f>Ranges!C8/(1.5*((5+A3)/(1+A3)))</f>
        <v>15.936507936507935</v>
      </c>
      <c r="C3" s="48">
        <f>Ranges!C8/B3</f>
        <v>3.5</v>
      </c>
      <c r="D3" s="48">
        <f>Ranges!N8/B3</f>
        <v>6.463147410358566</v>
      </c>
      <c r="E3" s="43">
        <f t="shared" ref="E3:E66" si="3">4*((2*A3+15)/(2*A3+10))</f>
        <v>5.4285714285714288</v>
      </c>
      <c r="F3" s="43">
        <f t="shared" si="0"/>
        <v>14.624269005847951</v>
      </c>
      <c r="G3" s="45">
        <f>Ranges!C8/F3</f>
        <v>3.8140557832650206</v>
      </c>
      <c r="H3" s="45">
        <f>Ranges!N8/F3</f>
        <v>7.0430870738778379</v>
      </c>
      <c r="I3" s="43">
        <f t="shared" ref="I3:I66" si="4">3*(A3+2)/(A3+5)</f>
        <v>1.7142857142857142</v>
      </c>
      <c r="J3" s="35">
        <f t="shared" si="1"/>
        <v>25.070175438596486</v>
      </c>
      <c r="K3" s="43">
        <f t="shared" ref="K3:K66" si="5">E3*3</f>
        <v>16.285714285714285</v>
      </c>
      <c r="L3" s="43">
        <f t="shared" si="2"/>
        <v>4.8747563352826511</v>
      </c>
      <c r="O3" t="s">
        <v>199</v>
      </c>
    </row>
    <row r="4" spans="1:16">
      <c r="A4" s="10">
        <v>3</v>
      </c>
      <c r="B4" s="9">
        <f>Ranges!C9/(1.5*((5+A4)/(1+A4)))</f>
        <v>21.777777777777775</v>
      </c>
      <c r="C4" s="48">
        <f>Ranges!C9/B4</f>
        <v>3</v>
      </c>
      <c r="D4" s="48">
        <f>Ranges!N9/B4</f>
        <v>6.0153061224489806</v>
      </c>
      <c r="E4" s="43">
        <f t="shared" si="3"/>
        <v>5.25</v>
      </c>
      <c r="F4" s="43">
        <f t="shared" si="0"/>
        <v>18.698412698412696</v>
      </c>
      <c r="G4" s="45">
        <f>Ranges!C9/F4</f>
        <v>3.4940577249575555</v>
      </c>
      <c r="H4" s="45">
        <f>Ranges!N9/F4</f>
        <v>7.0059422750424458</v>
      </c>
      <c r="I4" s="43">
        <f t="shared" si="4"/>
        <v>1.875</v>
      </c>
      <c r="J4" s="35">
        <f t="shared" si="1"/>
        <v>35.059523809523803</v>
      </c>
      <c r="K4" s="43">
        <f t="shared" si="5"/>
        <v>15.75</v>
      </c>
      <c r="L4" s="43">
        <f t="shared" si="2"/>
        <v>6.2328042328042326</v>
      </c>
      <c r="O4" t="s">
        <v>200</v>
      </c>
    </row>
    <row r="5" spans="1:16">
      <c r="A5" s="10">
        <v>4</v>
      </c>
      <c r="B5" s="9">
        <f>Ranges!C10/(1.5*((5+A5)/(1+A5)))</f>
        <v>27.73662551440329</v>
      </c>
      <c r="C5" s="48">
        <f>Ranges!C10/B5</f>
        <v>2.7</v>
      </c>
      <c r="D5" s="48">
        <f>Ranges!N10/B5</f>
        <v>5.732492581602374</v>
      </c>
      <c r="E5" s="43">
        <f t="shared" si="3"/>
        <v>5.1111111111111107</v>
      </c>
      <c r="F5" s="43">
        <f t="shared" si="0"/>
        <v>22.880434782608699</v>
      </c>
      <c r="G5" s="45">
        <f>Ranges!C10/F5</f>
        <v>3.2730535761414616</v>
      </c>
      <c r="H5" s="45">
        <f>Ranges!N10/F5</f>
        <v>6.9491686460807589</v>
      </c>
      <c r="I5" s="43">
        <f t="shared" si="4"/>
        <v>2</v>
      </c>
      <c r="J5" s="35">
        <f t="shared" si="1"/>
        <v>45.760869565217398</v>
      </c>
      <c r="K5" s="43">
        <f t="shared" si="5"/>
        <v>15.333333333333332</v>
      </c>
      <c r="L5" s="43">
        <f t="shared" si="2"/>
        <v>7.6268115942029002</v>
      </c>
      <c r="O5" t="s">
        <v>201</v>
      </c>
    </row>
    <row r="6" spans="1:16">
      <c r="A6" s="10">
        <v>5</v>
      </c>
      <c r="B6" s="9">
        <f>Ranges!C11/(1.5*((5+A6)/(1+A6)))</f>
        <v>33.777777777777779</v>
      </c>
      <c r="C6" s="48">
        <f>Ranges!C11/B6</f>
        <v>2.5</v>
      </c>
      <c r="D6" s="48">
        <f>Ranges!N11/B6</f>
        <v>5.5361842105263159</v>
      </c>
      <c r="E6" s="43">
        <f t="shared" si="3"/>
        <v>5</v>
      </c>
      <c r="F6" s="43">
        <f t="shared" si="0"/>
        <v>27.144444444444439</v>
      </c>
      <c r="G6" s="45">
        <f>Ranges!C11/F6</f>
        <v>3.1109291854277532</v>
      </c>
      <c r="H6" s="45">
        <f>Ranges!N11/F6</f>
        <v>6.889070814572249</v>
      </c>
      <c r="I6" s="43">
        <f t="shared" si="4"/>
        <v>2.1</v>
      </c>
      <c r="J6" s="35">
        <f t="shared" si="1"/>
        <v>57.003333333333323</v>
      </c>
      <c r="K6" s="43">
        <f t="shared" si="5"/>
        <v>15</v>
      </c>
      <c r="L6" s="43">
        <f t="shared" si="2"/>
        <v>9.0481481481481474</v>
      </c>
      <c r="O6" t="s">
        <v>202</v>
      </c>
    </row>
    <row r="7" spans="1:16">
      <c r="A7" s="10">
        <v>6</v>
      </c>
      <c r="B7" s="9">
        <f>Ranges!C12/(1.5*((5+A7)/(1+A7)))</f>
        <v>39.878787878787875</v>
      </c>
      <c r="C7" s="48">
        <f>Ranges!C12/B7</f>
        <v>2.3571428571428572</v>
      </c>
      <c r="D7" s="48">
        <f>Ranges!N12/B7</f>
        <v>5.717325227963526</v>
      </c>
      <c r="E7" s="43">
        <f t="shared" si="3"/>
        <v>4.9090909090909092</v>
      </c>
      <c r="F7" s="43">
        <f t="shared" si="0"/>
        <v>32.796296296296298</v>
      </c>
      <c r="G7" s="45">
        <f>Ranges!C12/F7</f>
        <v>2.8661773009599094</v>
      </c>
      <c r="H7" s="45">
        <f>Ranges!N12/F7</f>
        <v>6.9520045172219085</v>
      </c>
      <c r="I7" s="43">
        <f t="shared" si="4"/>
        <v>2.1818181818181817</v>
      </c>
      <c r="J7" s="35">
        <f t="shared" si="1"/>
        <v>71.555555555555557</v>
      </c>
      <c r="K7" s="43">
        <f t="shared" si="5"/>
        <v>14.727272727272727</v>
      </c>
      <c r="L7" s="43">
        <f t="shared" si="2"/>
        <v>10.9320987654321</v>
      </c>
      <c r="O7" t="s">
        <v>203</v>
      </c>
      <c r="P7" s="50">
        <f>SQRT(1.5)</f>
        <v>1.2247448713915889</v>
      </c>
    </row>
    <row r="8" spans="1:16">
      <c r="A8" s="10">
        <v>7</v>
      </c>
      <c r="B8" s="9">
        <f>Ranges!C13/(1.5*((5+A8)/(1+A8)))</f>
        <v>46.02469135802469</v>
      </c>
      <c r="C8" s="48">
        <f>Ranges!C13/B8</f>
        <v>2.25</v>
      </c>
      <c r="D8" s="48">
        <f>Ranges!N13/B8</f>
        <v>5.5622317596566528</v>
      </c>
      <c r="E8" s="43">
        <f t="shared" si="3"/>
        <v>4.833333333333333</v>
      </c>
      <c r="F8" s="43">
        <f t="shared" si="0"/>
        <v>37.195402298850574</v>
      </c>
      <c r="G8" s="45">
        <f>Ranges!C13/F8</f>
        <v>2.7840955912649363</v>
      </c>
      <c r="H8" s="45">
        <f>Ranges!N13/F8</f>
        <v>6.8825710754017306</v>
      </c>
      <c r="I8" s="43">
        <f t="shared" si="4"/>
        <v>2.25</v>
      </c>
      <c r="J8" s="35">
        <f t="shared" si="1"/>
        <v>83.689655172413794</v>
      </c>
      <c r="K8" s="43">
        <f t="shared" si="5"/>
        <v>14.5</v>
      </c>
      <c r="L8" s="43">
        <f t="shared" si="2"/>
        <v>12.398467432950191</v>
      </c>
    </row>
    <row r="9" spans="1:16">
      <c r="A9" s="10">
        <v>8</v>
      </c>
      <c r="B9" s="9">
        <f>Ranges!C14/(1.5*((5+A9)/(1+A9)))</f>
        <v>52.205128205128212</v>
      </c>
      <c r="C9" s="48">
        <f>Ranges!C14/B9</f>
        <v>2.1666666666666665</v>
      </c>
      <c r="D9" s="48">
        <f>Ranges!N14/B9</f>
        <v>5.4400785854616887</v>
      </c>
      <c r="E9" s="43">
        <f t="shared" si="3"/>
        <v>4.7692307692307692</v>
      </c>
      <c r="F9" s="43">
        <f t="shared" si="0"/>
        <v>41.632616487455202</v>
      </c>
      <c r="G9" s="45">
        <f>Ranges!C14/F9</f>
        <v>2.7168869183418707</v>
      </c>
      <c r="H9" s="45">
        <f>Ranges!N14/F9</f>
        <v>6.8215746201196668</v>
      </c>
      <c r="I9" s="43">
        <f t="shared" si="4"/>
        <v>2.3076923076923075</v>
      </c>
      <c r="J9" s="35">
        <f t="shared" si="1"/>
        <v>96.075268817204304</v>
      </c>
      <c r="K9" s="43">
        <f t="shared" si="5"/>
        <v>14.307692307692307</v>
      </c>
      <c r="L9" s="43">
        <f t="shared" si="2"/>
        <v>13.877538829151735</v>
      </c>
    </row>
    <row r="10" spans="1:16">
      <c r="A10" s="10">
        <v>9</v>
      </c>
      <c r="B10" s="9">
        <f>Ranges!C15/(1.5*((5+A10)/(1+A10)))</f>
        <v>58.412698412698418</v>
      </c>
      <c r="C10" s="48">
        <f>Ranges!C15/B10</f>
        <v>2.0999999999999996</v>
      </c>
      <c r="D10" s="48">
        <f>Ranges!N15/B10</f>
        <v>5.3413043478260862</v>
      </c>
      <c r="E10" s="43">
        <f t="shared" si="3"/>
        <v>4.7142857142857144</v>
      </c>
      <c r="F10" s="43">
        <f t="shared" si="0"/>
        <v>46.101010101010097</v>
      </c>
      <c r="G10" s="45">
        <f>Ranges!C15/F10</f>
        <v>2.660823838737949</v>
      </c>
      <c r="H10" s="45">
        <f>Ranges!N15/F10</f>
        <v>6.7677475898334798</v>
      </c>
      <c r="I10" s="43">
        <f t="shared" si="4"/>
        <v>2.3571428571428572</v>
      </c>
      <c r="J10" s="35">
        <f t="shared" si="1"/>
        <v>108.66666666666666</v>
      </c>
      <c r="K10" s="43">
        <f t="shared" si="5"/>
        <v>14.142857142857142</v>
      </c>
      <c r="L10" s="43">
        <f t="shared" si="2"/>
        <v>15.367003367003367</v>
      </c>
    </row>
    <row r="11" spans="1:16">
      <c r="A11" s="10">
        <v>10</v>
      </c>
      <c r="B11" s="9">
        <f>Ranges!C16/(1.5*((5+A11)/(1+A11)))</f>
        <v>64.641975308641975</v>
      </c>
      <c r="C11" s="48">
        <f>Ranges!C16/B11</f>
        <v>2.0454545454545454</v>
      </c>
      <c r="D11" s="48">
        <f>Ranges!N16/B11</f>
        <v>5.4608479755538584</v>
      </c>
      <c r="E11" s="43">
        <f t="shared" si="3"/>
        <v>4.666666666666667</v>
      </c>
      <c r="F11" s="43">
        <f t="shared" si="0"/>
        <v>51.988095238095241</v>
      </c>
      <c r="G11" s="45">
        <f>Ranges!C16/F11</f>
        <v>2.5433173040225938</v>
      </c>
      <c r="H11" s="45">
        <f>Ranges!N16/F11</f>
        <v>6.7900160293107392</v>
      </c>
      <c r="I11" s="43">
        <f t="shared" si="4"/>
        <v>2.4</v>
      </c>
      <c r="J11" s="35">
        <f t="shared" si="1"/>
        <v>124.77142857142857</v>
      </c>
      <c r="K11" s="43">
        <f t="shared" si="5"/>
        <v>14</v>
      </c>
      <c r="L11" s="43">
        <f t="shared" si="2"/>
        <v>17.329365079365083</v>
      </c>
    </row>
    <row r="12" spans="1:16">
      <c r="A12" s="10">
        <v>11</v>
      </c>
      <c r="B12" s="9">
        <f>Ranges!C17/(1.5*((5+A12)/(1+A12)))</f>
        <v>70.888888888888886</v>
      </c>
      <c r="C12" s="48">
        <f>Ranges!C17/B12</f>
        <v>2</v>
      </c>
      <c r="D12" s="48">
        <f>Ranges!N17/B12</f>
        <v>5.3746081504702197</v>
      </c>
      <c r="E12" s="43">
        <f t="shared" si="3"/>
        <v>4.625</v>
      </c>
      <c r="F12" s="43">
        <f t="shared" si="0"/>
        <v>56.516516516516511</v>
      </c>
      <c r="G12" s="45">
        <f>Ranges!C17/F12</f>
        <v>2.5086078639744955</v>
      </c>
      <c r="H12" s="45">
        <f>Ranges!N17/F12</f>
        <v>6.7413921360255058</v>
      </c>
      <c r="I12" s="43">
        <f t="shared" si="4"/>
        <v>2.4375</v>
      </c>
      <c r="J12" s="35">
        <f t="shared" si="1"/>
        <v>137.75900900900899</v>
      </c>
      <c r="K12" s="43">
        <f t="shared" si="5"/>
        <v>13.875</v>
      </c>
      <c r="L12" s="43">
        <f t="shared" si="2"/>
        <v>18.838838838838836</v>
      </c>
    </row>
    <row r="13" spans="1:16">
      <c r="A13" s="10">
        <v>12</v>
      </c>
      <c r="B13" s="9">
        <f>Ranges!C18/(1.5*((5+A13)/(1+A13)))</f>
        <v>77.150326797385603</v>
      </c>
      <c r="C13" s="48">
        <f>Ranges!C18/B13</f>
        <v>1.9615384615384617</v>
      </c>
      <c r="D13" s="48">
        <f>Ranges!N18/B13</f>
        <v>5.3013385293120985</v>
      </c>
      <c r="E13" s="43">
        <f t="shared" si="3"/>
        <v>4.5882352941176467</v>
      </c>
      <c r="F13" s="43">
        <f t="shared" si="0"/>
        <v>61.061965811965806</v>
      </c>
      <c r="G13" s="45">
        <f>Ranges!C18/F13</f>
        <v>2.478356720439514</v>
      </c>
      <c r="H13" s="45">
        <f>Ranges!N18/F13</f>
        <v>6.6981138677957803</v>
      </c>
      <c r="I13" s="43">
        <f t="shared" si="4"/>
        <v>2.4705882352941178</v>
      </c>
      <c r="J13" s="35">
        <f t="shared" si="1"/>
        <v>150.85897435897434</v>
      </c>
      <c r="K13" s="43">
        <f t="shared" si="5"/>
        <v>13.76470588235294</v>
      </c>
      <c r="L13" s="43">
        <f t="shared" si="2"/>
        <v>20.353988603988604</v>
      </c>
    </row>
    <row r="14" spans="1:16">
      <c r="A14" s="10">
        <v>13</v>
      </c>
      <c r="B14" s="9">
        <f>Ranges!C19/(1.5*((5+A14)/(1+A14)))</f>
        <v>83.423868312757193</v>
      </c>
      <c r="C14" s="48">
        <f>Ranges!C19/B14</f>
        <v>1.9285714285714288</v>
      </c>
      <c r="D14" s="48">
        <f>Ranges!N19/B14</f>
        <v>5.2383089976322026</v>
      </c>
      <c r="E14" s="43">
        <f t="shared" si="3"/>
        <v>4.5555555555555554</v>
      </c>
      <c r="F14" s="43">
        <f t="shared" si="0"/>
        <v>65.621951219512198</v>
      </c>
      <c r="G14" s="45">
        <f>Ranges!C19/F14</f>
        <v>2.4517541142703752</v>
      </c>
      <c r="H14" s="45">
        <f>Ranges!N19/F14</f>
        <v>6.659356996840736</v>
      </c>
      <c r="I14" s="43">
        <f t="shared" si="4"/>
        <v>2.5</v>
      </c>
      <c r="J14" s="35">
        <f t="shared" si="1"/>
        <v>164.05487804878049</v>
      </c>
      <c r="K14" s="43">
        <f t="shared" si="5"/>
        <v>13.666666666666666</v>
      </c>
      <c r="L14" s="43">
        <f t="shared" si="2"/>
        <v>21.873983739837399</v>
      </c>
    </row>
    <row r="15" spans="1:16">
      <c r="A15" s="10">
        <v>14</v>
      </c>
      <c r="B15" s="9">
        <f>Ranges!C20/(1.5*((5+A15)/(1+A15)))</f>
        <v>89.707602339181278</v>
      </c>
      <c r="C15" s="48">
        <f>Ranges!C20/B15</f>
        <v>1.9</v>
      </c>
      <c r="D15" s="48">
        <f>Ranges!N20/B15</f>
        <v>5.1835071707953064</v>
      </c>
      <c r="E15" s="43">
        <f t="shared" si="3"/>
        <v>4.5263157894736841</v>
      </c>
      <c r="F15" s="43">
        <f t="shared" si="0"/>
        <v>70.194444444444429</v>
      </c>
      <c r="G15" s="45">
        <f>Ranges!C20/F15</f>
        <v>2.4281757024139301</v>
      </c>
      <c r="H15" s="45">
        <f>Ranges!N20/F15</f>
        <v>6.6244558765334407</v>
      </c>
      <c r="I15" s="43">
        <f t="shared" si="4"/>
        <v>2.5263157894736841</v>
      </c>
      <c r="J15" s="35">
        <f t="shared" si="1"/>
        <v>177.33333333333329</v>
      </c>
      <c r="K15" s="43">
        <f t="shared" si="5"/>
        <v>13.578947368421051</v>
      </c>
      <c r="L15" s="43">
        <f t="shared" si="2"/>
        <v>23.398148148148145</v>
      </c>
    </row>
    <row r="16" spans="1:16">
      <c r="A16" s="10">
        <v>15</v>
      </c>
      <c r="B16" s="9">
        <f>Ranges!C21/(1.5*((5+A16)/(1+A16)))</f>
        <v>96</v>
      </c>
      <c r="C16" s="48">
        <f>Ranges!C21/B16</f>
        <v>1.875</v>
      </c>
      <c r="D16" s="48">
        <f>Ranges!N21/B16</f>
        <v>5.270833333333333</v>
      </c>
      <c r="E16" s="43">
        <f t="shared" si="3"/>
        <v>4.5</v>
      </c>
      <c r="F16" s="43">
        <f t="shared" si="0"/>
        <v>76.222222222222229</v>
      </c>
      <c r="G16" s="45">
        <f>Ranges!C21/F16</f>
        <v>2.3615160349854225</v>
      </c>
      <c r="H16" s="45">
        <f>Ranges!N21/F16</f>
        <v>6.6384839650145766</v>
      </c>
      <c r="I16" s="43">
        <f t="shared" si="4"/>
        <v>2.5499999999999998</v>
      </c>
      <c r="J16" s="35">
        <f t="shared" si="1"/>
        <v>194.36666666666667</v>
      </c>
      <c r="K16" s="43">
        <f t="shared" si="5"/>
        <v>13.5</v>
      </c>
      <c r="L16" s="43">
        <f t="shared" si="2"/>
        <v>25.407407407407408</v>
      </c>
    </row>
    <row r="17" spans="1:12">
      <c r="A17" s="10">
        <v>16</v>
      </c>
      <c r="B17" s="9">
        <f>Ranges!C22/(1.5*((5+A17)/(1+A17)))</f>
        <v>102.29982363315696</v>
      </c>
      <c r="C17" s="48">
        <f>Ranges!C22/B17</f>
        <v>1.8529411764705883</v>
      </c>
      <c r="D17" s="48">
        <f>Ranges!N22/B17</f>
        <v>5.219950348251845</v>
      </c>
      <c r="E17" s="43">
        <f t="shared" si="3"/>
        <v>4.4761904761904763</v>
      </c>
      <c r="F17" s="43">
        <f t="shared" si="0"/>
        <v>80.822695035460995</v>
      </c>
      <c r="G17" s="45">
        <f>Ranges!C22/F17</f>
        <v>2.3453258453258452</v>
      </c>
      <c r="H17" s="45">
        <f>Ranges!N22/F17</f>
        <v>6.6070551070551069</v>
      </c>
      <c r="I17" s="43">
        <f t="shared" si="4"/>
        <v>2.5714285714285716</v>
      </c>
      <c r="J17" s="35">
        <f t="shared" si="1"/>
        <v>207.82978723404258</v>
      </c>
      <c r="K17" s="43">
        <f t="shared" si="5"/>
        <v>13.428571428571429</v>
      </c>
      <c r="L17" s="43">
        <f t="shared" si="2"/>
        <v>26.940898345153663</v>
      </c>
    </row>
    <row r="18" spans="1:12">
      <c r="A18" s="10">
        <v>17</v>
      </c>
      <c r="B18" s="9">
        <f>Ranges!C23/(1.5*((5+A18)/(1+A18)))</f>
        <v>108.60606060606059</v>
      </c>
      <c r="C18" s="48">
        <f>Ranges!C23/B18</f>
        <v>1.8333333333333335</v>
      </c>
      <c r="D18" s="48">
        <f>Ranges!N23/B18</f>
        <v>5.1746651785714288</v>
      </c>
      <c r="E18" s="43">
        <f t="shared" si="3"/>
        <v>4.4545454545454541</v>
      </c>
      <c r="F18" s="43">
        <f t="shared" si="0"/>
        <v>85.430839002267575</v>
      </c>
      <c r="G18" s="45">
        <f>Ranges!C23/F18</f>
        <v>2.3306702057067019</v>
      </c>
      <c r="H18" s="45">
        <f>Ranges!N23/F18</f>
        <v>6.5784207033842073</v>
      </c>
      <c r="I18" s="43">
        <f t="shared" si="4"/>
        <v>2.5909090909090908</v>
      </c>
      <c r="J18" s="35">
        <f t="shared" si="1"/>
        <v>221.34353741496599</v>
      </c>
      <c r="K18" s="43">
        <f t="shared" si="5"/>
        <v>13.363636363636363</v>
      </c>
      <c r="L18" s="43">
        <f t="shared" si="2"/>
        <v>28.476946334089192</v>
      </c>
    </row>
    <row r="19" spans="1:12">
      <c r="A19" s="10">
        <v>18</v>
      </c>
      <c r="B19" s="9">
        <f>Ranges!C24/(1.5*((5+A19)/(1+A19)))</f>
        <v>114.91787439613526</v>
      </c>
      <c r="C19" s="48">
        <f>Ranges!C24/B19</f>
        <v>1.8157894736842106</v>
      </c>
      <c r="D19" s="48">
        <f>Ranges!N24/B19</f>
        <v>5.1341012275096691</v>
      </c>
      <c r="E19" s="43">
        <f t="shared" si="3"/>
        <v>4.4347826086956523</v>
      </c>
      <c r="F19" s="43">
        <f t="shared" si="0"/>
        <v>90.045751633986939</v>
      </c>
      <c r="G19" s="45">
        <f>Ranges!C24/F19</f>
        <v>2.3173404950279446</v>
      </c>
      <c r="H19" s="45">
        <f>Ranges!N24/F19</f>
        <v>6.5522247223633583</v>
      </c>
      <c r="I19" s="43">
        <f t="shared" si="4"/>
        <v>2.6086956521739131</v>
      </c>
      <c r="J19" s="35">
        <f t="shared" si="1"/>
        <v>234.90196078431376</v>
      </c>
      <c r="K19" s="43">
        <f t="shared" si="5"/>
        <v>13.304347826086957</v>
      </c>
      <c r="L19" s="43">
        <f t="shared" si="2"/>
        <v>30.015250544662312</v>
      </c>
    </row>
    <row r="20" spans="1:12">
      <c r="A20" s="10">
        <v>19</v>
      </c>
      <c r="B20" s="9">
        <f>Ranges!C25/(1.5*((5+A20)/(1+A20)))</f>
        <v>121.23456790123458</v>
      </c>
      <c r="C20" s="48">
        <f>Ranges!C25/B20</f>
        <v>1.7999999999999998</v>
      </c>
      <c r="D20" s="48">
        <f>Ranges!N25/B20</f>
        <v>5.0975560081466389</v>
      </c>
      <c r="E20" s="43">
        <f t="shared" si="3"/>
        <v>4.416666666666667</v>
      </c>
      <c r="F20" s="43">
        <f t="shared" si="0"/>
        <v>94.666666666666671</v>
      </c>
      <c r="G20" s="45">
        <f>Ranges!C25/F20</f>
        <v>2.305164319248826</v>
      </c>
      <c r="H20" s="45">
        <f>Ranges!N25/F20</f>
        <v>6.528169014084507</v>
      </c>
      <c r="I20" s="43">
        <f t="shared" si="4"/>
        <v>2.625</v>
      </c>
      <c r="J20" s="35">
        <f t="shared" si="1"/>
        <v>248.5</v>
      </c>
      <c r="K20" s="43">
        <f t="shared" si="5"/>
        <v>13.25</v>
      </c>
      <c r="L20" s="43">
        <f t="shared" si="2"/>
        <v>31.555555555555557</v>
      </c>
    </row>
    <row r="21" spans="1:12">
      <c r="A21" s="10">
        <v>20</v>
      </c>
      <c r="B21" s="9">
        <f>Ranges!C26/(1.5*((5+A21)/(1+A21)))</f>
        <v>127.55555555555556</v>
      </c>
      <c r="C21" s="48">
        <f>Ranges!C26/B21</f>
        <v>1.7857142857142856</v>
      </c>
      <c r="D21" s="48">
        <f>Ranges!N26/B21</f>
        <v>5.2682926829268295</v>
      </c>
      <c r="E21" s="43">
        <f t="shared" si="3"/>
        <v>4.4000000000000004</v>
      </c>
      <c r="F21" s="43">
        <f t="shared" si="0"/>
        <v>102.24747474747474</v>
      </c>
      <c r="G21" s="45">
        <f>Ranges!C26/F21</f>
        <v>2.2277105458137814</v>
      </c>
      <c r="H21" s="45">
        <f>Ranges!N26/F21</f>
        <v>6.5722894541862189</v>
      </c>
      <c r="I21" s="43">
        <f t="shared" si="4"/>
        <v>2.64</v>
      </c>
      <c r="J21" s="35">
        <f t="shared" si="1"/>
        <v>269.93333333333334</v>
      </c>
      <c r="K21" s="43">
        <f t="shared" si="5"/>
        <v>13.200000000000001</v>
      </c>
      <c r="L21" s="43">
        <f t="shared" si="2"/>
        <v>34.082491582491585</v>
      </c>
    </row>
    <row r="22" spans="1:12">
      <c r="A22" s="10">
        <v>21</v>
      </c>
      <c r="B22" s="9">
        <f>Ranges!C27/(1.5*((5+A22)/(1+A22)))</f>
        <v>133.88034188034186</v>
      </c>
      <c r="C22" s="48">
        <f>Ranges!C27/B22</f>
        <v>1.7727272727272729</v>
      </c>
      <c r="D22" s="48">
        <f>Ranges!N27/B22</f>
        <v>5.2285495403472941</v>
      </c>
      <c r="E22" s="43">
        <f t="shared" si="3"/>
        <v>4.384615384615385</v>
      </c>
      <c r="F22" s="43">
        <f t="shared" si="0"/>
        <v>106.88888888888887</v>
      </c>
      <c r="G22" s="45">
        <f>Ranges!C27/F22</f>
        <v>2.2203742203742207</v>
      </c>
      <c r="H22" s="45">
        <f>Ranges!N27/F22</f>
        <v>6.5488565488565502</v>
      </c>
      <c r="I22" s="43">
        <f t="shared" si="4"/>
        <v>2.6538461538461537</v>
      </c>
      <c r="J22" s="35">
        <f t="shared" si="1"/>
        <v>283.66666666666663</v>
      </c>
      <c r="K22" s="43">
        <f t="shared" si="5"/>
        <v>13.153846153846155</v>
      </c>
      <c r="L22" s="43">
        <f t="shared" si="2"/>
        <v>35.629629629629626</v>
      </c>
    </row>
    <row r="23" spans="1:12">
      <c r="A23" s="10">
        <v>22</v>
      </c>
      <c r="B23" s="9">
        <f>Ranges!C28/(1.5*((5+A23)/(1+A23)))</f>
        <v>140.20850480109738</v>
      </c>
      <c r="C23" s="48">
        <f>Ranges!C28/B23</f>
        <v>1.7608695652173916</v>
      </c>
      <c r="D23" s="48">
        <f>Ranges!N28/B23</f>
        <v>5.1922670527922365</v>
      </c>
      <c r="E23" s="43">
        <f t="shared" si="3"/>
        <v>4.3703703703703702</v>
      </c>
      <c r="F23" s="43">
        <f t="shared" si="0"/>
        <v>111.53389830508475</v>
      </c>
      <c r="G23" s="45">
        <f>Ranges!C28/F23</f>
        <v>2.2135771513478373</v>
      </c>
      <c r="H23" s="45">
        <f>Ranges!N28/F23</f>
        <v>6.5271635893929032</v>
      </c>
      <c r="I23" s="43">
        <f t="shared" si="4"/>
        <v>2.6666666666666665</v>
      </c>
      <c r="J23" s="35">
        <f t="shared" si="1"/>
        <v>297.42372881355931</v>
      </c>
      <c r="K23" s="43">
        <f t="shared" si="5"/>
        <v>13.111111111111111</v>
      </c>
      <c r="L23" s="43">
        <f t="shared" si="2"/>
        <v>37.177966101694921</v>
      </c>
    </row>
    <row r="24" spans="1:12">
      <c r="A24" s="10">
        <v>23</v>
      </c>
      <c r="B24" s="9">
        <f>Ranges!C29/(1.5*((5+A24)/(1+A24)))</f>
        <v>146.53968253968256</v>
      </c>
      <c r="C24" s="48">
        <f>Ranges!C29/B24</f>
        <v>1.7499999999999998</v>
      </c>
      <c r="D24" s="48">
        <f>Ranges!N29/B24</f>
        <v>5.1590121317157704</v>
      </c>
      <c r="E24" s="43">
        <f t="shared" si="3"/>
        <v>4.3571428571428568</v>
      </c>
      <c r="F24" s="43">
        <f t="shared" si="0"/>
        <v>116.18214936247725</v>
      </c>
      <c r="G24" s="45">
        <f>Ranges!C29/F24</f>
        <v>2.2072620092813242</v>
      </c>
      <c r="H24" s="45">
        <f>Ranges!N29/F24</f>
        <v>6.5070237050043893</v>
      </c>
      <c r="I24" s="43">
        <f t="shared" si="4"/>
        <v>2.6785714285714284</v>
      </c>
      <c r="J24" s="35">
        <f t="shared" si="1"/>
        <v>311.20218579234972</v>
      </c>
      <c r="K24" s="43">
        <f t="shared" si="5"/>
        <v>13.071428571428569</v>
      </c>
      <c r="L24" s="43">
        <f t="shared" si="2"/>
        <v>38.727383120825749</v>
      </c>
    </row>
    <row r="25" spans="1:12">
      <c r="A25" s="10">
        <v>24</v>
      </c>
      <c r="B25" s="9">
        <f>Ranges!C30/(1.5*((5+A25)/(1+A25)))</f>
        <v>152.87356321839081</v>
      </c>
      <c r="C25" s="48">
        <f>Ranges!C30/B25</f>
        <v>1.74</v>
      </c>
      <c r="D25" s="48">
        <f>Ranges!N30/B25</f>
        <v>5.1284210526315785</v>
      </c>
      <c r="E25" s="43">
        <f t="shared" si="3"/>
        <v>4.3448275862068968</v>
      </c>
      <c r="F25" s="43">
        <f t="shared" si="0"/>
        <v>120.83333333333333</v>
      </c>
      <c r="G25" s="45">
        <f>Ranges!C30/F25</f>
        <v>2.2013793103448278</v>
      </c>
      <c r="H25" s="45">
        <f>Ranges!N30/F25</f>
        <v>6.4882758620689653</v>
      </c>
      <c r="I25" s="43">
        <f t="shared" si="4"/>
        <v>2.6896551724137931</v>
      </c>
      <c r="J25" s="35">
        <f t="shared" si="1"/>
        <v>325</v>
      </c>
      <c r="K25" s="43">
        <f t="shared" si="5"/>
        <v>13.03448275862069</v>
      </c>
      <c r="L25" s="43">
        <f t="shared" si="2"/>
        <v>40.277777777777779</v>
      </c>
    </row>
    <row r="26" spans="1:12">
      <c r="A26" s="10">
        <v>25</v>
      </c>
      <c r="B26" s="9">
        <f>Ranges!C31/(1.5*((5+A26)/(1+A26)))</f>
        <v>159.20987654320987</v>
      </c>
      <c r="C26" s="48">
        <f>Ranges!C31/B26</f>
        <v>1.7307692307692308</v>
      </c>
      <c r="D26" s="48">
        <f>Ranges!N31/B26</f>
        <v>5.1001861042183627</v>
      </c>
      <c r="E26" s="43">
        <f t="shared" si="3"/>
        <v>4.333333333333333</v>
      </c>
      <c r="F26" s="43">
        <f t="shared" si="0"/>
        <v>125.4871794871795</v>
      </c>
      <c r="G26" s="45">
        <f>Ranges!C31/F26</f>
        <v>2.1958861190573487</v>
      </c>
      <c r="H26" s="45">
        <f>Ranges!N31/F26</f>
        <v>6.4707805476093165</v>
      </c>
      <c r="I26" s="43">
        <f t="shared" si="4"/>
        <v>2.7</v>
      </c>
      <c r="J26" s="35">
        <f t="shared" si="1"/>
        <v>338.81538461538469</v>
      </c>
      <c r="K26" s="43">
        <f t="shared" si="5"/>
        <v>13</v>
      </c>
      <c r="L26" s="43">
        <f t="shared" si="2"/>
        <v>41.82905982905983</v>
      </c>
    </row>
    <row r="27" spans="1:12">
      <c r="A27" s="10">
        <v>26</v>
      </c>
      <c r="B27" s="9">
        <f>Ranges!C32/(1.5*((5+A27)/(1+A27)))</f>
        <v>165.54838709677418</v>
      </c>
      <c r="C27" s="48">
        <f>Ranges!C32/B27</f>
        <v>1.7222222222222223</v>
      </c>
      <c r="D27" s="48">
        <f>Ranges!N32/B27</f>
        <v>5.2310989867498057</v>
      </c>
      <c r="E27" s="43">
        <f t="shared" si="3"/>
        <v>4.32258064516129</v>
      </c>
      <c r="F27" s="43">
        <f t="shared" si="0"/>
        <v>133.15091210613599</v>
      </c>
      <c r="G27" s="45">
        <f>Ranges!C32/F27</f>
        <v>2.141262921908083</v>
      </c>
      <c r="H27" s="45">
        <f>Ranges!N32/F27</f>
        <v>6.5038983684144975</v>
      </c>
      <c r="I27" s="43">
        <f t="shared" si="4"/>
        <v>2.7096774193548385</v>
      </c>
      <c r="J27" s="35">
        <f t="shared" si="1"/>
        <v>360.79601990049747</v>
      </c>
      <c r="K27" s="43">
        <f t="shared" si="5"/>
        <v>12.96774193548387</v>
      </c>
      <c r="L27" s="43">
        <f t="shared" si="2"/>
        <v>44.383637368711994</v>
      </c>
    </row>
    <row r="28" spans="1:12">
      <c r="A28" s="10">
        <v>27</v>
      </c>
      <c r="B28" s="9">
        <f>Ranges!C33/(1.5*((5+A28)/(1+A28)))</f>
        <v>171.88888888888891</v>
      </c>
      <c r="C28" s="48">
        <f>Ranges!C33/B28</f>
        <v>1.7142857142857142</v>
      </c>
      <c r="D28" s="48">
        <f>Ranges!N33/B28</f>
        <v>5.2010342598577886</v>
      </c>
      <c r="E28" s="43">
        <f t="shared" si="3"/>
        <v>4.3125</v>
      </c>
      <c r="F28" s="43">
        <f t="shared" si="0"/>
        <v>137.81642512077295</v>
      </c>
      <c r="G28" s="45">
        <f>Ranges!C33/F28</f>
        <v>2.1381099270891757</v>
      </c>
      <c r="H28" s="45">
        <f>Ranges!N33/F28</f>
        <v>6.4868900729108248</v>
      </c>
      <c r="I28" s="43">
        <f t="shared" si="4"/>
        <v>2.71875</v>
      </c>
      <c r="J28" s="35">
        <f t="shared" si="1"/>
        <v>374.68840579710144</v>
      </c>
      <c r="K28" s="43">
        <f t="shared" si="5"/>
        <v>12.9375</v>
      </c>
      <c r="L28" s="43">
        <f t="shared" si="2"/>
        <v>45.938808373590987</v>
      </c>
    </row>
    <row r="29" spans="1:12">
      <c r="A29" s="10">
        <v>28</v>
      </c>
      <c r="B29" s="9">
        <f>Ranges!C34/(1.5*((5+A29)/(1+A29)))</f>
        <v>178.23120089786758</v>
      </c>
      <c r="C29" s="48">
        <f>Ranges!C34/B29</f>
        <v>1.7068965517241379</v>
      </c>
      <c r="D29" s="48">
        <f>Ranges!N34/B29</f>
        <v>5.1730560943049291</v>
      </c>
      <c r="E29" s="43">
        <f t="shared" si="3"/>
        <v>4.3030303030303028</v>
      </c>
      <c r="F29" s="43">
        <f t="shared" si="0"/>
        <v>142.48356807511738</v>
      </c>
      <c r="G29" s="45">
        <f>Ranges!C34/F29</f>
        <v>2.1351389941458807</v>
      </c>
      <c r="H29" s="45">
        <f>Ranges!N34/F29</f>
        <v>6.4709216119147248</v>
      </c>
      <c r="I29" s="43">
        <f t="shared" si="4"/>
        <v>2.7272727272727271</v>
      </c>
      <c r="J29" s="35">
        <f t="shared" si="1"/>
        <v>388.59154929577466</v>
      </c>
      <c r="K29" s="43">
        <f t="shared" si="5"/>
        <v>12.909090909090908</v>
      </c>
      <c r="L29" s="43">
        <f t="shared" si="2"/>
        <v>47.494522691705789</v>
      </c>
    </row>
    <row r="30" spans="1:12">
      <c r="A30" s="10">
        <v>29</v>
      </c>
      <c r="B30" s="9">
        <f>Ranges!C35/(1.5*((5+A30)/(1+A30)))</f>
        <v>184.57516339869281</v>
      </c>
      <c r="C30" s="48">
        <f>Ranges!C35/B30</f>
        <v>1.7</v>
      </c>
      <c r="D30" s="48">
        <f>Ranges!N35/B30</f>
        <v>5.1469546742209635</v>
      </c>
      <c r="E30" s="43">
        <f t="shared" si="3"/>
        <v>4.2941176470588234</v>
      </c>
      <c r="F30" s="43">
        <f t="shared" si="0"/>
        <v>147.15220700152207</v>
      </c>
      <c r="G30" s="45">
        <f>Ranges!C35/F30</f>
        <v>2.1323348400376503</v>
      </c>
      <c r="H30" s="45">
        <f>Ranges!N35/F30</f>
        <v>6.4559004540799965</v>
      </c>
      <c r="I30" s="43">
        <f t="shared" si="4"/>
        <v>2.7352941176470589</v>
      </c>
      <c r="J30" s="35">
        <f t="shared" si="1"/>
        <v>402.50456621004565</v>
      </c>
      <c r="K30" s="43">
        <f t="shared" si="5"/>
        <v>12.882352941176471</v>
      </c>
      <c r="L30" s="43">
        <f t="shared" si="2"/>
        <v>49.050735667174024</v>
      </c>
    </row>
    <row r="31" spans="1:12">
      <c r="A31" s="10">
        <v>30</v>
      </c>
      <c r="B31" s="9">
        <f>Ranges!C36/(1.5*((5+A31)/(1+A31)))</f>
        <v>190.92063492063488</v>
      </c>
      <c r="C31" s="48">
        <f>Ranges!C36/B31</f>
        <v>1.6935483870967745</v>
      </c>
      <c r="D31" s="48">
        <f>Ranges!N36/B31</f>
        <v>5.1225473894246765</v>
      </c>
      <c r="E31" s="43">
        <f t="shared" si="3"/>
        <v>4.2857142857142856</v>
      </c>
      <c r="F31" s="43">
        <f t="shared" si="0"/>
        <v>151.82222222222222</v>
      </c>
      <c r="G31" s="45">
        <f>Ranges!C36/F31</f>
        <v>2.1296838407494145</v>
      </c>
      <c r="H31" s="45">
        <f>Ranges!N36/F31</f>
        <v>6.4417447306791571</v>
      </c>
      <c r="I31" s="43">
        <f t="shared" si="4"/>
        <v>2.7428571428571429</v>
      </c>
      <c r="J31" s="35">
        <f t="shared" si="1"/>
        <v>416.42666666666668</v>
      </c>
      <c r="K31" s="43">
        <f t="shared" si="5"/>
        <v>12.857142857142858</v>
      </c>
      <c r="L31" s="43">
        <f t="shared" si="2"/>
        <v>50.607407407407401</v>
      </c>
    </row>
    <row r="32" spans="1:12">
      <c r="A32" s="10">
        <v>31</v>
      </c>
      <c r="B32" s="9">
        <f>Ranges!C37/(1.5*((5+A32)/(1+A32)))</f>
        <v>197.26748971193413</v>
      </c>
      <c r="C32" s="48">
        <f>Ranges!C37/B32</f>
        <v>1.6875</v>
      </c>
      <c r="D32" s="48">
        <f>Ranges!N37/B32</f>
        <v>5.099674566088118</v>
      </c>
      <c r="E32" s="43">
        <f t="shared" si="3"/>
        <v>4.2777777777777777</v>
      </c>
      <c r="F32" s="43">
        <f t="shared" si="0"/>
        <v>156.49350649350649</v>
      </c>
      <c r="G32" s="45">
        <f>Ranges!C37/F32</f>
        <v>2.1271738128169662</v>
      </c>
      <c r="H32" s="45">
        <f>Ranges!N37/F32</f>
        <v>6.4283817427385896</v>
      </c>
      <c r="I32" s="43">
        <f t="shared" si="4"/>
        <v>2.75</v>
      </c>
      <c r="J32" s="35">
        <f t="shared" si="1"/>
        <v>430.35714285714283</v>
      </c>
      <c r="K32" s="43">
        <f t="shared" si="5"/>
        <v>12.833333333333332</v>
      </c>
      <c r="L32" s="43">
        <f t="shared" si="2"/>
        <v>52.164502164502167</v>
      </c>
    </row>
    <row r="33" spans="1:12">
      <c r="A33" s="10">
        <v>32</v>
      </c>
      <c r="B33" s="9">
        <f>Ranges!C38/(1.5*((5+A33)/(1+A33)))</f>
        <v>203.61561561561564</v>
      </c>
      <c r="C33" s="48">
        <f>Ranges!C38/B33</f>
        <v>1.6818181818181817</v>
      </c>
      <c r="D33" s="48">
        <f>Ranges!N38/B33</f>
        <v>5.2058875582561495</v>
      </c>
      <c r="E33" s="43">
        <f t="shared" si="3"/>
        <v>4.2702702702702702</v>
      </c>
      <c r="F33" s="43">
        <f t="shared" si="0"/>
        <v>164.21026722925455</v>
      </c>
      <c r="G33" s="45">
        <f>Ranges!C38/F33</f>
        <v>2.0854021506849905</v>
      </c>
      <c r="H33" s="45">
        <f>Ranges!N38/F33</f>
        <v>6.4551383898555512</v>
      </c>
      <c r="I33" s="43">
        <f t="shared" si="4"/>
        <v>2.7567567567567566</v>
      </c>
      <c r="J33" s="35">
        <f t="shared" si="1"/>
        <v>452.68776371308007</v>
      </c>
      <c r="K33" s="43">
        <f t="shared" si="5"/>
        <v>12.810810810810811</v>
      </c>
      <c r="L33" s="43">
        <f t="shared" si="2"/>
        <v>54.736755743084856</v>
      </c>
    </row>
    <row r="34" spans="1:12">
      <c r="A34" s="10">
        <v>33</v>
      </c>
      <c r="B34" s="9">
        <f>Ranges!C39/(1.5*((5+A34)/(1+A34)))</f>
        <v>209.96491228070175</v>
      </c>
      <c r="C34" s="48">
        <f>Ranges!C39/B34</f>
        <v>1.6764705882352942</v>
      </c>
      <c r="D34" s="48">
        <f>Ranges!N39/B34</f>
        <v>5.1818181818181817</v>
      </c>
      <c r="E34" s="43">
        <f t="shared" si="3"/>
        <v>4.2631578947368425</v>
      </c>
      <c r="F34" s="43">
        <f t="shared" ref="F34:F65" si="6">AVERAGE(C34:D34)*B34/E34</f>
        <v>168.88888888888889</v>
      </c>
      <c r="G34" s="45">
        <f>Ranges!C39/F34</f>
        <v>2.0842105263157893</v>
      </c>
      <c r="H34" s="45">
        <f>Ranges!N39/F34</f>
        <v>6.4421052631578952</v>
      </c>
      <c r="I34" s="43">
        <f t="shared" si="4"/>
        <v>2.763157894736842</v>
      </c>
      <c r="J34" s="35">
        <f t="shared" ref="J34:J65" si="7">I34*F34</f>
        <v>466.66666666666663</v>
      </c>
      <c r="K34" s="43">
        <f t="shared" si="5"/>
        <v>12.789473684210527</v>
      </c>
      <c r="L34" s="43">
        <f t="shared" ref="L34:L65" si="8">AVERAGE(C34:D34)*B34/K34</f>
        <v>56.296296296296291</v>
      </c>
    </row>
    <row r="35" spans="1:12">
      <c r="A35" s="10">
        <v>34</v>
      </c>
      <c r="B35" s="9">
        <f>Ranges!C40/(1.5*((5+A35)/(1+A35)))</f>
        <v>216.31528964862298</v>
      </c>
      <c r="C35" s="48">
        <f>Ranges!C40/B35</f>
        <v>1.6714285714285715</v>
      </c>
      <c r="D35" s="48">
        <f>Ranges!N40/B35</f>
        <v>5.1591360084291864</v>
      </c>
      <c r="E35" s="43">
        <f t="shared" si="3"/>
        <v>4.2564102564102564</v>
      </c>
      <c r="F35" s="43">
        <f t="shared" si="6"/>
        <v>173.56827309236948</v>
      </c>
      <c r="G35" s="45">
        <f>Ranges!C40/F35</f>
        <v>2.0830739922332642</v>
      </c>
      <c r="H35" s="45">
        <f>Ranges!N40/F35</f>
        <v>6.4297465205872486</v>
      </c>
      <c r="I35" s="43">
        <f t="shared" si="4"/>
        <v>2.7692307692307692</v>
      </c>
      <c r="J35" s="35">
        <f t="shared" si="7"/>
        <v>480.65060240963857</v>
      </c>
      <c r="K35" s="43">
        <f t="shared" si="5"/>
        <v>12.76923076923077</v>
      </c>
      <c r="L35" s="43">
        <f t="shared" si="8"/>
        <v>57.856091030789827</v>
      </c>
    </row>
    <row r="36" spans="1:12">
      <c r="A36" s="10">
        <v>35</v>
      </c>
      <c r="B36" s="9">
        <f>Ranges!C41/(1.5*((5+A36)/(1+A36)))</f>
        <v>222.66666666666663</v>
      </c>
      <c r="C36" s="48">
        <f>Ranges!C41/B36</f>
        <v>1.6666666666666667</v>
      </c>
      <c r="D36" s="48">
        <f>Ranges!N41/B36</f>
        <v>5.1377245508982048</v>
      </c>
      <c r="E36" s="43">
        <f t="shared" si="3"/>
        <v>4.25</v>
      </c>
      <c r="F36" s="43">
        <f t="shared" si="6"/>
        <v>178.24836601307189</v>
      </c>
      <c r="G36" s="45">
        <f>Ranges!C41/F36</f>
        <v>2.0819888530360808</v>
      </c>
      <c r="H36" s="45">
        <f>Ranges!N41/F36</f>
        <v>6.4180111469639192</v>
      </c>
      <c r="I36" s="43">
        <f t="shared" si="4"/>
        <v>2.7749999999999999</v>
      </c>
      <c r="J36" s="35">
        <f t="shared" si="7"/>
        <v>494.6392156862745</v>
      </c>
      <c r="K36" s="43">
        <f t="shared" si="5"/>
        <v>12.75</v>
      </c>
      <c r="L36" s="43">
        <f t="shared" si="8"/>
        <v>59.416122004357298</v>
      </c>
    </row>
    <row r="37" spans="1:12">
      <c r="A37" s="10">
        <v>36</v>
      </c>
      <c r="B37" s="9">
        <f>Ranges!C42/(1.5*((5+A37)/(1+A37)))</f>
        <v>229.01897018970186</v>
      </c>
      <c r="C37" s="48">
        <f>Ranges!C42/B37</f>
        <v>1.6621621621621623</v>
      </c>
      <c r="D37" s="48">
        <f>Ranges!N42/B37</f>
        <v>5.1174800018933126</v>
      </c>
      <c r="E37" s="43">
        <f t="shared" si="3"/>
        <v>4.2439024390243905</v>
      </c>
      <c r="F37" s="43">
        <f t="shared" si="6"/>
        <v>182.92911877394633</v>
      </c>
      <c r="G37" s="45">
        <f>Ranges!C42/F37</f>
        <v>2.0809517326603064</v>
      </c>
      <c r="H37" s="45">
        <f>Ranges!N42/F37</f>
        <v>6.4068531453884754</v>
      </c>
      <c r="I37" s="43">
        <f t="shared" si="4"/>
        <v>2.7804878048780486</v>
      </c>
      <c r="J37" s="35">
        <f t="shared" si="7"/>
        <v>508.63218390804587</v>
      </c>
      <c r="K37" s="43">
        <f t="shared" si="5"/>
        <v>12.731707317073171</v>
      </c>
      <c r="L37" s="43">
        <f t="shared" si="8"/>
        <v>60.976372924648778</v>
      </c>
    </row>
    <row r="38" spans="1:12">
      <c r="A38" s="10">
        <v>37</v>
      </c>
      <c r="B38" s="9">
        <f>Ranges!C43/(1.5*((5+A38)/(1+A38)))</f>
        <v>235.37213403880071</v>
      </c>
      <c r="C38" s="48">
        <f>Ranges!C43/B38</f>
        <v>1.6578947368421053</v>
      </c>
      <c r="D38" s="48">
        <f>Ranges!N43/B38</f>
        <v>5.098309555209207</v>
      </c>
      <c r="E38" s="43">
        <f t="shared" si="3"/>
        <v>4.2380952380952381</v>
      </c>
      <c r="F38" s="43">
        <f t="shared" si="6"/>
        <v>187.61048689138576</v>
      </c>
      <c r="G38" s="45">
        <f>Ranges!C43/F38</f>
        <v>2.0799595411110223</v>
      </c>
      <c r="H38" s="45">
        <f>Ranges!N43/F38</f>
        <v>6.3962309350794539</v>
      </c>
      <c r="I38" s="43">
        <f t="shared" si="4"/>
        <v>2.7857142857142856</v>
      </c>
      <c r="J38" s="35">
        <f t="shared" si="7"/>
        <v>522.62921348314603</v>
      </c>
      <c r="K38" s="43">
        <f t="shared" si="5"/>
        <v>12.714285714285715</v>
      </c>
      <c r="L38" s="43">
        <f t="shared" si="8"/>
        <v>62.536828963795251</v>
      </c>
    </row>
    <row r="39" spans="1:12">
      <c r="A39" s="10">
        <v>38</v>
      </c>
      <c r="B39" s="9">
        <f>Ranges!C44/(1.5*((5+A39)/(1+A39)))</f>
        <v>241.72609819121445</v>
      </c>
      <c r="C39" s="48">
        <f>Ranges!C44/B39</f>
        <v>1.653846153846154</v>
      </c>
      <c r="D39" s="48">
        <f>Ranges!N44/B39</f>
        <v>5.1876897421644506</v>
      </c>
      <c r="E39" s="43">
        <f t="shared" si="3"/>
        <v>4.2325581395348841</v>
      </c>
      <c r="F39" s="43">
        <f t="shared" si="6"/>
        <v>195.36385836385836</v>
      </c>
      <c r="G39" s="45">
        <f>Ranges!C44/F39</f>
        <v>2.0463241314225358</v>
      </c>
      <c r="H39" s="45">
        <f>Ranges!N44/F39</f>
        <v>6.418792147647232</v>
      </c>
      <c r="I39" s="43">
        <f t="shared" si="4"/>
        <v>2.7906976744186047</v>
      </c>
      <c r="J39" s="35">
        <f t="shared" si="7"/>
        <v>545.20146520146523</v>
      </c>
      <c r="K39" s="43">
        <f t="shared" si="5"/>
        <v>12.697674418604652</v>
      </c>
      <c r="L39" s="43">
        <f t="shared" si="8"/>
        <v>65.121286121286118</v>
      </c>
    </row>
    <row r="40" spans="1:12">
      <c r="A40" s="10">
        <v>39</v>
      </c>
      <c r="B40" s="9">
        <f>Ranges!C45/(1.5*((5+A40)/(1+A40)))</f>
        <v>248.08080808080805</v>
      </c>
      <c r="C40" s="48">
        <f>Ranges!C45/B40</f>
        <v>1.6500000000000001</v>
      </c>
      <c r="D40" s="48">
        <f>Ranges!N45/B40</f>
        <v>5.1676710097719871</v>
      </c>
      <c r="E40" s="43">
        <f t="shared" si="3"/>
        <v>4.2272727272727275</v>
      </c>
      <c r="F40" s="43">
        <f t="shared" si="6"/>
        <v>200.05017921146953</v>
      </c>
      <c r="G40" s="45">
        <f>Ranges!C45/F40</f>
        <v>2.0461532948722541</v>
      </c>
      <c r="H40" s="45">
        <f>Ranges!N45/F40</f>
        <v>6.4083921596732001</v>
      </c>
      <c r="I40" s="43">
        <f t="shared" si="4"/>
        <v>2.7954545454545454</v>
      </c>
      <c r="J40" s="35">
        <f t="shared" si="7"/>
        <v>559.23118279569894</v>
      </c>
      <c r="K40" s="43">
        <f t="shared" si="5"/>
        <v>12.681818181818183</v>
      </c>
      <c r="L40" s="43">
        <f t="shared" si="8"/>
        <v>66.683393070489828</v>
      </c>
    </row>
    <row r="41" spans="1:12">
      <c r="A41" s="10">
        <v>40</v>
      </c>
      <c r="B41" s="9">
        <f>Ranges!C46/(1.5*((5+A41)/(1+A41)))</f>
        <v>254.43621399176951</v>
      </c>
      <c r="C41" s="48">
        <f>Ranges!C46/B41</f>
        <v>1.6463414634146343</v>
      </c>
      <c r="D41" s="48">
        <f>Ranges!N46/B41</f>
        <v>5.1486381574691089</v>
      </c>
      <c r="E41" s="43">
        <f t="shared" si="3"/>
        <v>4.2222222222222223</v>
      </c>
      <c r="F41" s="43">
        <f t="shared" si="6"/>
        <v>204.73684210526315</v>
      </c>
      <c r="G41" s="45">
        <f>Ranges!C46/F41</f>
        <v>2.0459868608968863</v>
      </c>
      <c r="H41" s="45">
        <f>Ranges!N46/F41</f>
        <v>6.3984575835475583</v>
      </c>
      <c r="I41" s="43">
        <f t="shared" si="4"/>
        <v>2.8</v>
      </c>
      <c r="J41" s="35">
        <f t="shared" si="7"/>
        <v>573.26315789473676</v>
      </c>
      <c r="K41" s="43">
        <f t="shared" si="5"/>
        <v>12.666666666666668</v>
      </c>
      <c r="L41" s="43">
        <f t="shared" si="8"/>
        <v>68.245614035087712</v>
      </c>
    </row>
    <row r="42" spans="1:12">
      <c r="A42" s="10">
        <v>41</v>
      </c>
      <c r="B42" s="9">
        <f>Ranges!C47/(1.5*((5+A42)/(1+A42)))</f>
        <v>260.79227053140096</v>
      </c>
      <c r="C42" s="48">
        <f>Ranges!C47/B42</f>
        <v>1.642857142857143</v>
      </c>
      <c r="D42" s="48">
        <f>Ranges!N47/B42</f>
        <v>5.2302163604030829</v>
      </c>
      <c r="E42" s="43">
        <f t="shared" si="3"/>
        <v>4.2173913043478262</v>
      </c>
      <c r="F42" s="43">
        <f t="shared" si="6"/>
        <v>212.50630011454754</v>
      </c>
      <c r="G42" s="45">
        <f>Ranges!C47/F42</f>
        <v>2.0161493763408402</v>
      </c>
      <c r="H42" s="45">
        <f>Ranges!N47/F42</f>
        <v>6.4186332323548116</v>
      </c>
      <c r="I42" s="43">
        <f t="shared" si="4"/>
        <v>2.8043478260869565</v>
      </c>
      <c r="J42" s="35">
        <f t="shared" si="7"/>
        <v>595.94158075601376</v>
      </c>
      <c r="K42" s="43">
        <f t="shared" si="5"/>
        <v>12.652173913043478</v>
      </c>
      <c r="L42" s="43">
        <f t="shared" si="8"/>
        <v>70.835433371515848</v>
      </c>
    </row>
    <row r="43" spans="1:12">
      <c r="A43" s="10">
        <v>42</v>
      </c>
      <c r="B43" s="9">
        <f>Ranges!C48/(1.5*((5+A43)/(1+A43)))</f>
        <v>267.14893617021278</v>
      </c>
      <c r="C43" s="48">
        <f>Ranges!C48/B43</f>
        <v>1.6395348837209303</v>
      </c>
      <c r="D43" s="48">
        <f>Ranges!N48/B43</f>
        <v>5.2105766167569287</v>
      </c>
      <c r="E43" s="43">
        <f t="shared" si="3"/>
        <v>4.2127659574468082</v>
      </c>
      <c r="F43" s="43">
        <f t="shared" si="6"/>
        <v>217.19696969696972</v>
      </c>
      <c r="G43" s="45">
        <f>Ranges!C48/F43</f>
        <v>2.0166027206138821</v>
      </c>
      <c r="H43" s="45">
        <f>Ranges!N48/F43</f>
        <v>6.4089291942797342</v>
      </c>
      <c r="I43" s="43">
        <f t="shared" si="4"/>
        <v>2.8085106382978724</v>
      </c>
      <c r="J43" s="35">
        <f t="shared" si="7"/>
        <v>610.00000000000011</v>
      </c>
      <c r="K43" s="43">
        <f t="shared" si="5"/>
        <v>12.638297872340424</v>
      </c>
      <c r="L43" s="43">
        <f t="shared" si="8"/>
        <v>72.39898989898991</v>
      </c>
    </row>
    <row r="44" spans="1:12">
      <c r="A44" s="10">
        <v>43</v>
      </c>
      <c r="B44" s="9">
        <f>Ranges!C49/(1.5*((5+A44)/(1+A44)))</f>
        <v>273.50617283950618</v>
      </c>
      <c r="C44" s="48">
        <f>Ranges!C49/B44</f>
        <v>1.6363636363636362</v>
      </c>
      <c r="D44" s="48">
        <f>Ranges!N49/B44</f>
        <v>5.1918389455628775</v>
      </c>
      <c r="E44" s="43">
        <f t="shared" si="3"/>
        <v>4.208333333333333</v>
      </c>
      <c r="F44" s="43">
        <f t="shared" si="6"/>
        <v>221.88778877887785</v>
      </c>
      <c r="G44" s="45">
        <f>Ranges!C49/F44</f>
        <v>2.0170355386323977</v>
      </c>
      <c r="H44" s="45">
        <f>Ranges!N49/F44</f>
        <v>6.3996311280342706</v>
      </c>
      <c r="I44" s="43">
        <f t="shared" si="4"/>
        <v>2.8125</v>
      </c>
      <c r="J44" s="35">
        <f t="shared" si="7"/>
        <v>624.05940594059393</v>
      </c>
      <c r="K44" s="43">
        <f t="shared" si="5"/>
        <v>12.625</v>
      </c>
      <c r="L44" s="43">
        <f t="shared" si="8"/>
        <v>73.962596259625954</v>
      </c>
    </row>
    <row r="45" spans="1:12">
      <c r="A45" s="10">
        <v>44</v>
      </c>
      <c r="B45" s="9">
        <f>Ranges!C50/(1.5*((5+A45)/(1+A45)))</f>
        <v>279.86394557823127</v>
      </c>
      <c r="C45" s="48">
        <f>Ranges!C50/B45</f>
        <v>1.6333333333333333</v>
      </c>
      <c r="D45" s="48">
        <f>Ranges!N50/B45</f>
        <v>5.1739426349052025</v>
      </c>
      <c r="E45" s="43">
        <f t="shared" si="3"/>
        <v>4.204081632653061</v>
      </c>
      <c r="F45" s="43">
        <f t="shared" si="6"/>
        <v>226.57874865156418</v>
      </c>
      <c r="G45" s="45">
        <f>Ranges!C50/F45</f>
        <v>2.0174491819356928</v>
      </c>
      <c r="H45" s="45">
        <f>Ranges!N50/F45</f>
        <v>6.3907140833704297</v>
      </c>
      <c r="I45" s="43">
        <f t="shared" si="4"/>
        <v>2.8163265306122449</v>
      </c>
      <c r="J45" s="35">
        <f t="shared" si="7"/>
        <v>638.11974110032361</v>
      </c>
      <c r="K45" s="43">
        <f t="shared" si="5"/>
        <v>12.612244897959183</v>
      </c>
      <c r="L45" s="43">
        <f t="shared" si="8"/>
        <v>75.526249550521399</v>
      </c>
    </row>
    <row r="46" spans="1:12">
      <c r="A46" s="10">
        <v>45</v>
      </c>
      <c r="B46" s="9">
        <f>Ranges!C51/(1.5*((5+A46)/(1+A46)))</f>
        <v>286.22222222222223</v>
      </c>
      <c r="C46" s="48">
        <f>Ranges!C51/B46</f>
        <v>1.6304347826086956</v>
      </c>
      <c r="D46" s="48">
        <f>Ranges!N51/B46</f>
        <v>5.1568322981366457</v>
      </c>
      <c r="E46" s="43">
        <f t="shared" si="3"/>
        <v>4.2</v>
      </c>
      <c r="F46" s="43">
        <f t="shared" si="6"/>
        <v>231.26984126984124</v>
      </c>
      <c r="G46" s="45">
        <f>Ranges!C51/F46</f>
        <v>2.0178448867536036</v>
      </c>
      <c r="H46" s="45">
        <f>Ranges!N51/F46</f>
        <v>6.3821551132463972</v>
      </c>
      <c r="I46" s="43">
        <f t="shared" si="4"/>
        <v>2.82</v>
      </c>
      <c r="J46" s="35">
        <f t="shared" si="7"/>
        <v>652.18095238095225</v>
      </c>
      <c r="K46" s="43">
        <f t="shared" si="5"/>
        <v>12.600000000000001</v>
      </c>
      <c r="L46" s="43">
        <f t="shared" si="8"/>
        <v>77.089947089947074</v>
      </c>
    </row>
    <row r="47" spans="1:12">
      <c r="A47" s="10">
        <v>46</v>
      </c>
      <c r="B47" s="9">
        <f>Ranges!C52/(1.5*((5+A47)/(1+A47)))</f>
        <v>292.58097312999274</v>
      </c>
      <c r="C47" s="48">
        <f>Ranges!C52/B47</f>
        <v>1.6276595744680851</v>
      </c>
      <c r="D47" s="48">
        <f>Ranges!N52/B47</f>
        <v>5.1404573028464764</v>
      </c>
      <c r="E47" s="43">
        <f t="shared" si="3"/>
        <v>4.1960784313725492</v>
      </c>
      <c r="F47" s="43">
        <f t="shared" si="6"/>
        <v>235.96105919003114</v>
      </c>
      <c r="G47" s="45">
        <f>Ranges!C52/F47</f>
        <v>2.0182237859794352</v>
      </c>
      <c r="H47" s="45">
        <f>Ranges!N52/F47</f>
        <v>6.3739330767656632</v>
      </c>
      <c r="I47" s="43">
        <f t="shared" si="4"/>
        <v>2.8235294117647061</v>
      </c>
      <c r="J47" s="35">
        <f t="shared" si="7"/>
        <v>666.24299065420564</v>
      </c>
      <c r="K47" s="43">
        <f t="shared" si="5"/>
        <v>12.588235294117649</v>
      </c>
      <c r="L47" s="43">
        <f t="shared" si="8"/>
        <v>78.653686396677045</v>
      </c>
    </row>
    <row r="48" spans="1:12">
      <c r="A48" s="10">
        <v>47</v>
      </c>
      <c r="B48" s="9">
        <f>Ranges!C53/(1.5*((5+A48)/(1+A48)))</f>
        <v>298.94017094017096</v>
      </c>
      <c r="C48" s="48">
        <f>Ranges!C53/B48</f>
        <v>1.6249999999999998</v>
      </c>
      <c r="D48" s="48">
        <f>Ranges!N53/B48</f>
        <v>5.2552321591948763</v>
      </c>
      <c r="E48" s="43">
        <f t="shared" si="3"/>
        <v>4.1923076923076925</v>
      </c>
      <c r="F48" s="43">
        <f t="shared" si="6"/>
        <v>245.30377166156981</v>
      </c>
      <c r="G48" s="45">
        <f>Ranges!C53/F48</f>
        <v>1.9803110832228654</v>
      </c>
      <c r="H48" s="45">
        <f>Ranges!N53/F48</f>
        <v>6.4043043013925196</v>
      </c>
      <c r="I48" s="43">
        <f t="shared" si="4"/>
        <v>2.8269230769230771</v>
      </c>
      <c r="J48" s="35">
        <f t="shared" si="7"/>
        <v>693.45489296636083</v>
      </c>
      <c r="K48" s="43">
        <f t="shared" si="5"/>
        <v>12.576923076923077</v>
      </c>
      <c r="L48" s="43">
        <f t="shared" si="8"/>
        <v>81.767923887189951</v>
      </c>
    </row>
    <row r="49" spans="1:12">
      <c r="A49" s="10">
        <v>48</v>
      </c>
      <c r="B49" s="9">
        <f>Ranges!C54/(1.5*((5+A49)/(1+A49)))</f>
        <v>305.29979035639411</v>
      </c>
      <c r="C49" s="48">
        <f>Ranges!C54/B49</f>
        <v>1.6224489795918369</v>
      </c>
      <c r="D49" s="48">
        <f>Ranges!N54/B49</f>
        <v>5.2374749361386552</v>
      </c>
      <c r="E49" s="43">
        <f t="shared" si="3"/>
        <v>4.1886792452830193</v>
      </c>
      <c r="F49" s="43">
        <f t="shared" si="6"/>
        <v>249.99924924924923</v>
      </c>
      <c r="G49" s="45">
        <f>Ranges!C54/F49</f>
        <v>1.9813392833011512</v>
      </c>
      <c r="H49" s="45">
        <f>Ranges!N54/F49</f>
        <v>6.3960192072648869</v>
      </c>
      <c r="I49" s="43">
        <f t="shared" si="4"/>
        <v>2.8301886792452828</v>
      </c>
      <c r="J49" s="35">
        <f t="shared" si="7"/>
        <v>707.54504504504496</v>
      </c>
      <c r="K49" s="43">
        <f t="shared" si="5"/>
        <v>12.566037735849058</v>
      </c>
      <c r="L49" s="43">
        <f t="shared" si="8"/>
        <v>83.333083083083082</v>
      </c>
    </row>
    <row r="50" spans="1:12">
      <c r="A50" s="10">
        <v>49</v>
      </c>
      <c r="B50" s="9">
        <f>Ranges!C55/(1.5*((5+A50)/(1+A50)))</f>
        <v>311.6598079561042</v>
      </c>
      <c r="C50" s="48">
        <f>Ranges!C55/B50</f>
        <v>1.62</v>
      </c>
      <c r="D50" s="48">
        <f>Ranges!N55/B50</f>
        <v>5.2204357394366205</v>
      </c>
      <c r="E50" s="43">
        <f t="shared" si="3"/>
        <v>4.1851851851851851</v>
      </c>
      <c r="F50" s="43">
        <f t="shared" si="6"/>
        <v>254.69469026548671</v>
      </c>
      <c r="G50" s="45">
        <f>Ranges!C55/F50</f>
        <v>1.9823298568282151</v>
      </c>
      <c r="H50" s="45">
        <f>Ranges!N55/F50</f>
        <v>6.3880405135421556</v>
      </c>
      <c r="I50" s="43">
        <f t="shared" si="4"/>
        <v>2.8333333333333335</v>
      </c>
      <c r="J50" s="35">
        <f t="shared" si="7"/>
        <v>721.63495575221236</v>
      </c>
      <c r="K50" s="43">
        <f t="shared" si="5"/>
        <v>12.555555555555555</v>
      </c>
      <c r="L50" s="43">
        <f t="shared" si="8"/>
        <v>84.898230088495566</v>
      </c>
    </row>
    <row r="51" spans="1:12">
      <c r="A51" s="10">
        <v>50</v>
      </c>
      <c r="B51" s="9">
        <f>Ranges!C56/(1.5*((5+A51)/(1+A51)))</f>
        <v>318.02020202020202</v>
      </c>
      <c r="C51" s="48">
        <f>Ranges!C56/B51</f>
        <v>1.6176470588235294</v>
      </c>
      <c r="D51" s="48">
        <f>Ranges!N56/B51</f>
        <v>5.2040719095413541</v>
      </c>
      <c r="E51" s="43">
        <f t="shared" si="3"/>
        <v>4.1818181818181817</v>
      </c>
      <c r="F51" s="43">
        <f t="shared" si="6"/>
        <v>259.39009661835746</v>
      </c>
      <c r="G51" s="45">
        <f>Ranges!C56/F51</f>
        <v>1.9832848329647308</v>
      </c>
      <c r="H51" s="45">
        <f>Ranges!N56/F51</f>
        <v>6.3803515306716339</v>
      </c>
      <c r="I51" s="43">
        <f t="shared" si="4"/>
        <v>2.8363636363636364</v>
      </c>
      <c r="J51" s="35">
        <f t="shared" si="7"/>
        <v>735.72463768115938</v>
      </c>
      <c r="K51" s="43">
        <f t="shared" si="5"/>
        <v>12.545454545454545</v>
      </c>
      <c r="L51" s="43">
        <f t="shared" si="8"/>
        <v>86.463365539452496</v>
      </c>
    </row>
    <row r="52" spans="1:12">
      <c r="A52" s="10">
        <v>51</v>
      </c>
      <c r="B52" s="9">
        <f>Ranges!C57/(1.5*((5+A52)/(1+A52)))</f>
        <v>324.38095238095235</v>
      </c>
      <c r="C52" s="48">
        <f>Ranges!C57/B52</f>
        <v>1.6153846153846156</v>
      </c>
      <c r="D52" s="48">
        <f>Ranges!N57/B52</f>
        <v>5.1883440986494422</v>
      </c>
      <c r="E52" s="43">
        <f t="shared" si="3"/>
        <v>4.1785714285714288</v>
      </c>
      <c r="F52" s="43">
        <f t="shared" si="6"/>
        <v>264.08547008547009</v>
      </c>
      <c r="G52" s="45">
        <f>Ranges!C57/F52</f>
        <v>1.9842060974820377</v>
      </c>
      <c r="H52" s="45">
        <f>Ranges!N57/F52</f>
        <v>6.3729367596608197</v>
      </c>
      <c r="I52" s="43">
        <f t="shared" si="4"/>
        <v>2.8392857142857144</v>
      </c>
      <c r="J52" s="35">
        <f t="shared" si="7"/>
        <v>749.81410256410265</v>
      </c>
      <c r="K52" s="43">
        <f t="shared" si="5"/>
        <v>12.535714285714286</v>
      </c>
      <c r="L52" s="43">
        <f t="shared" si="8"/>
        <v>88.028490028490026</v>
      </c>
    </row>
    <row r="53" spans="1:12">
      <c r="A53" s="10">
        <v>52</v>
      </c>
      <c r="B53" s="9">
        <f>Ranges!C58/(1.5*((5+A53)/(1+A53)))</f>
        <v>330.74204028589992</v>
      </c>
      <c r="C53" s="48">
        <f>Ranges!C58/B53</f>
        <v>1.6132075471698113</v>
      </c>
      <c r="D53" s="48">
        <f>Ranges!N58/B53</f>
        <v>5.1732159556159782</v>
      </c>
      <c r="E53" s="43">
        <f t="shared" si="3"/>
        <v>4.1754385964912277</v>
      </c>
      <c r="F53" s="43">
        <f t="shared" si="6"/>
        <v>268.78081232493003</v>
      </c>
      <c r="G53" s="45">
        <f>Ranges!C58/F53</f>
        <v>1.9850954052126997</v>
      </c>
      <c r="H53" s="45">
        <f>Ranges!N58/F53</f>
        <v>6.3657817877697545</v>
      </c>
      <c r="I53" s="43">
        <f t="shared" si="4"/>
        <v>2.8421052631578947</v>
      </c>
      <c r="J53" s="35">
        <f t="shared" si="7"/>
        <v>763.90336134453798</v>
      </c>
      <c r="K53" s="43">
        <f t="shared" si="5"/>
        <v>12.526315789473683</v>
      </c>
      <c r="L53" s="43">
        <f t="shared" si="8"/>
        <v>89.593604108310004</v>
      </c>
    </row>
    <row r="54" spans="1:12">
      <c r="A54" s="10">
        <v>53</v>
      </c>
      <c r="B54" s="9">
        <f>Ranges!C59/(1.5*((5+A54)/(1+A54)))</f>
        <v>337.10344827586204</v>
      </c>
      <c r="C54" s="48">
        <f>Ranges!C59/B54</f>
        <v>1.6111111111111112</v>
      </c>
      <c r="D54" s="48">
        <f>Ranges!N59/B54</f>
        <v>5.274345335515549</v>
      </c>
      <c r="E54" s="43">
        <f t="shared" si="3"/>
        <v>4.1724137931034484</v>
      </c>
      <c r="F54" s="43">
        <f t="shared" si="6"/>
        <v>278.14967860422405</v>
      </c>
      <c r="G54" s="45">
        <f>Ranges!C59/F54</f>
        <v>1.9525857942259124</v>
      </c>
      <c r="H54" s="45">
        <f>Ranges!N59/F54</f>
        <v>6.3922417919809842</v>
      </c>
      <c r="I54" s="43">
        <f t="shared" si="4"/>
        <v>2.8448275862068964</v>
      </c>
      <c r="J54" s="35">
        <f t="shared" si="7"/>
        <v>791.28787878787875</v>
      </c>
      <c r="K54" s="43">
        <f t="shared" si="5"/>
        <v>12.517241379310345</v>
      </c>
      <c r="L54" s="43">
        <f t="shared" si="8"/>
        <v>92.716559534741364</v>
      </c>
    </row>
    <row r="55" spans="1:12">
      <c r="A55" s="10">
        <v>54</v>
      </c>
      <c r="B55" s="9">
        <f>Ranges!C60/(1.5*((5+A55)/(1+A55)))</f>
        <v>343.46516007532955</v>
      </c>
      <c r="C55" s="48">
        <f>Ranges!C60/B55</f>
        <v>1.6090909090909091</v>
      </c>
      <c r="D55" s="48">
        <f>Ranges!N60/B55</f>
        <v>5.2581752385129947</v>
      </c>
      <c r="E55" s="43">
        <f t="shared" si="3"/>
        <v>4.1694915254237293</v>
      </c>
      <c r="F55" s="43">
        <f t="shared" si="6"/>
        <v>282.84823848238477</v>
      </c>
      <c r="G55" s="45">
        <f>Ranges!C60/F55</f>
        <v>1.9539335639210127</v>
      </c>
      <c r="H55" s="45">
        <f>Ranges!N60/F55</f>
        <v>6.3850494869264462</v>
      </c>
      <c r="I55" s="43">
        <f t="shared" si="4"/>
        <v>2.847457627118644</v>
      </c>
      <c r="J55" s="35">
        <f t="shared" si="7"/>
        <v>805.3983739837397</v>
      </c>
      <c r="K55" s="43">
        <f t="shared" si="5"/>
        <v>12.508474576271187</v>
      </c>
      <c r="L55" s="43">
        <f t="shared" si="8"/>
        <v>94.282746160794929</v>
      </c>
    </row>
    <row r="56" spans="1:12">
      <c r="A56" s="10">
        <v>55</v>
      </c>
      <c r="B56" s="9">
        <f>Ranges!C61/(1.5*((5+A56)/(1+A56)))</f>
        <v>349.82716049382714</v>
      </c>
      <c r="C56" s="48">
        <f>Ranges!C61/B56</f>
        <v>1.6071428571428572</v>
      </c>
      <c r="D56" s="48">
        <f>Ranges!N61/B56</f>
        <v>5.2425889328063242</v>
      </c>
      <c r="E56" s="43">
        <f t="shared" si="3"/>
        <v>4.166666666666667</v>
      </c>
      <c r="F56" s="43">
        <f t="shared" si="6"/>
        <v>287.54666666666662</v>
      </c>
      <c r="G56" s="45">
        <f>Ranges!C61/F56</f>
        <v>1.955238183560543</v>
      </c>
      <c r="H56" s="45">
        <f>Ranges!N61/F56</f>
        <v>6.3780951497727916</v>
      </c>
      <c r="I56" s="43">
        <f t="shared" si="4"/>
        <v>2.85</v>
      </c>
      <c r="J56" s="35">
        <f t="shared" si="7"/>
        <v>819.50799999999992</v>
      </c>
      <c r="K56" s="43">
        <f t="shared" si="5"/>
        <v>12.5</v>
      </c>
      <c r="L56" s="43">
        <f t="shared" si="8"/>
        <v>95.848888888888894</v>
      </c>
    </row>
    <row r="57" spans="1:12">
      <c r="A57" s="10">
        <v>56</v>
      </c>
      <c r="B57" s="9">
        <f>Ranges!C62/(1.5*((5+A57)/(1+A57)))</f>
        <v>356.18943533697632</v>
      </c>
      <c r="C57" s="48">
        <f>Ranges!C62/B57</f>
        <v>1.6052631578947367</v>
      </c>
      <c r="D57" s="48">
        <f>Ranges!N62/B57</f>
        <v>5.2275553828216088</v>
      </c>
      <c r="E57" s="43">
        <f t="shared" si="3"/>
        <v>4.1639344262295079</v>
      </c>
      <c r="F57" s="43">
        <f t="shared" si="6"/>
        <v>292.24496937882765</v>
      </c>
      <c r="G57" s="45">
        <f>Ranges!C62/F57</f>
        <v>1.9565016944281453</v>
      </c>
      <c r="H57" s="45">
        <f>Ranges!N62/F57</f>
        <v>6.3713671580308713</v>
      </c>
      <c r="I57" s="43">
        <f t="shared" si="4"/>
        <v>2.8524590163934427</v>
      </c>
      <c r="J57" s="35">
        <f t="shared" si="7"/>
        <v>833.61679790026244</v>
      </c>
      <c r="K57" s="43">
        <f t="shared" si="5"/>
        <v>12.491803278688524</v>
      </c>
      <c r="L57" s="43">
        <f t="shared" si="8"/>
        <v>97.414989792942563</v>
      </c>
    </row>
    <row r="58" spans="1:12">
      <c r="A58" s="10">
        <v>57</v>
      </c>
      <c r="B58" s="9">
        <f>Ranges!C63/(1.5*((5+A58)/(1+A58)))</f>
        <v>362.5519713261649</v>
      </c>
      <c r="C58" s="48">
        <f>Ranges!C63/B58</f>
        <v>1.603448275862069</v>
      </c>
      <c r="D58" s="48">
        <f>Ranges!N63/B58</f>
        <v>5.2130457133818409</v>
      </c>
      <c r="E58" s="43">
        <f t="shared" si="3"/>
        <v>4.161290322580645</v>
      </c>
      <c r="F58" s="43">
        <f t="shared" si="6"/>
        <v>296.94315245478032</v>
      </c>
      <c r="G58" s="45">
        <f>Ranges!C63/F58</f>
        <v>1.9577260109470318</v>
      </c>
      <c r="H58" s="45">
        <f>Ranges!N63/F58</f>
        <v>6.36485463421426</v>
      </c>
      <c r="I58" s="43">
        <f t="shared" si="4"/>
        <v>2.8548387096774195</v>
      </c>
      <c r="J58" s="35">
        <f t="shared" si="7"/>
        <v>847.72480620155034</v>
      </c>
      <c r="K58" s="43">
        <f t="shared" si="5"/>
        <v>12.483870967741936</v>
      </c>
      <c r="L58" s="43">
        <f t="shared" si="8"/>
        <v>98.981050818260101</v>
      </c>
    </row>
    <row r="59" spans="1:12">
      <c r="A59" s="10">
        <v>58</v>
      </c>
      <c r="B59" s="9">
        <f>Ranges!C64/(1.5*((5+A59)/(1+A59)))</f>
        <v>368.91475602586712</v>
      </c>
      <c r="C59" s="48">
        <f>Ranges!C64/B59</f>
        <v>1.6016949152542375</v>
      </c>
      <c r="D59" s="48">
        <f>Ranges!N64/B59</f>
        <v>5.1990330250317118</v>
      </c>
      <c r="E59" s="43">
        <f t="shared" si="3"/>
        <v>4.1587301587301591</v>
      </c>
      <c r="F59" s="43">
        <f t="shared" si="6"/>
        <v>301.64122137404576</v>
      </c>
      <c r="G59" s="45">
        <f>Ranges!C64/F59</f>
        <v>1.9589129303921158</v>
      </c>
      <c r="H59" s="45">
        <f>Ranges!N64/F59</f>
        <v>6.358547387068203</v>
      </c>
      <c r="I59" s="43">
        <f t="shared" si="4"/>
        <v>2.8571428571428572</v>
      </c>
      <c r="J59" s="35">
        <f t="shared" si="7"/>
        <v>861.83206106870216</v>
      </c>
      <c r="K59" s="43">
        <f t="shared" si="5"/>
        <v>12.476190476190478</v>
      </c>
      <c r="L59" s="43">
        <f t="shared" si="8"/>
        <v>100.54707379134858</v>
      </c>
    </row>
    <row r="60" spans="1:12">
      <c r="A60" s="10">
        <v>59</v>
      </c>
      <c r="B60" s="9">
        <f>Ranges!C65/(1.5*((5+A60)/(1+A60)))</f>
        <v>375.27777777777777</v>
      </c>
      <c r="C60" s="48">
        <f>Ranges!C65/B60</f>
        <v>1.6</v>
      </c>
      <c r="D60" s="48">
        <f>Ranges!N65/B60</f>
        <v>5.2894152479644712</v>
      </c>
      <c r="E60" s="43">
        <f t="shared" si="3"/>
        <v>4.15625</v>
      </c>
      <c r="F60" s="43">
        <f t="shared" si="6"/>
        <v>311.03091060985804</v>
      </c>
      <c r="G60" s="45">
        <f>Ranges!C65/F60</f>
        <v>1.9304976578280111</v>
      </c>
      <c r="H60" s="45">
        <f>Ranges!N65/F60</f>
        <v>6.3820023421719876</v>
      </c>
      <c r="I60" s="43">
        <f t="shared" si="4"/>
        <v>2.859375</v>
      </c>
      <c r="J60" s="35">
        <f t="shared" si="7"/>
        <v>889.35401002506285</v>
      </c>
      <c r="K60" s="43">
        <f t="shared" si="5"/>
        <v>12.46875</v>
      </c>
      <c r="L60" s="43">
        <f t="shared" si="8"/>
        <v>103.676970203286</v>
      </c>
    </row>
    <row r="61" spans="1:12">
      <c r="A61" s="10">
        <v>60</v>
      </c>
      <c r="B61" s="9">
        <f>Ranges!C66/(1.5*((5+A61)/(1+A61)))</f>
        <v>381.64102564102564</v>
      </c>
      <c r="C61" s="48">
        <f>Ranges!C66/B61</f>
        <v>1.598360655737705</v>
      </c>
      <c r="D61" s="48">
        <f>Ranges!N66/B61</f>
        <v>5.2745901639344259</v>
      </c>
      <c r="E61" s="43">
        <f t="shared" si="3"/>
        <v>4.1538461538461542</v>
      </c>
      <c r="F61" s="43">
        <f t="shared" si="6"/>
        <v>315.73148148148141</v>
      </c>
      <c r="G61" s="45">
        <f>Ranges!C66/F61</f>
        <v>1.9320214669051883</v>
      </c>
      <c r="H61" s="45">
        <f>Ranges!N66/F61</f>
        <v>6.3756708407871212</v>
      </c>
      <c r="I61" s="43">
        <f t="shared" si="4"/>
        <v>2.8615384615384616</v>
      </c>
      <c r="J61" s="35">
        <f t="shared" si="7"/>
        <v>903.47777777777753</v>
      </c>
      <c r="K61" s="43">
        <f t="shared" si="5"/>
        <v>12.461538461538463</v>
      </c>
      <c r="L61" s="43">
        <f t="shared" si="8"/>
        <v>105.24382716049379</v>
      </c>
    </row>
    <row r="62" spans="1:12">
      <c r="A62" s="10">
        <v>61</v>
      </c>
      <c r="B62" s="9">
        <f>Ranges!C67/(1.5*((5+A62)/(1+A62)))</f>
        <v>388.00448933782269</v>
      </c>
      <c r="C62" s="48">
        <f>Ranges!C67/B62</f>
        <v>1.596774193548387</v>
      </c>
      <c r="D62" s="48">
        <f>Ranges!N67/B62</f>
        <v>5.2602484148655524</v>
      </c>
      <c r="E62" s="43">
        <f t="shared" si="3"/>
        <v>4.1515151515151514</v>
      </c>
      <c r="F62" s="43">
        <f t="shared" si="6"/>
        <v>320.43187347931877</v>
      </c>
      <c r="G62" s="45">
        <f>Ranges!C67/F62</f>
        <v>1.9335016483481713</v>
      </c>
      <c r="H62" s="45">
        <f>Ranges!N67/F62</f>
        <v>6.3695286546821306</v>
      </c>
      <c r="I62" s="43">
        <f t="shared" si="4"/>
        <v>2.8636363636363638</v>
      </c>
      <c r="J62" s="35">
        <f t="shared" si="7"/>
        <v>917.60036496350381</v>
      </c>
      <c r="K62" s="43">
        <f t="shared" si="5"/>
        <v>12.454545454545453</v>
      </c>
      <c r="L62" s="43">
        <f t="shared" si="8"/>
        <v>106.81062449310626</v>
      </c>
    </row>
    <row r="63" spans="1:12">
      <c r="A63" s="10">
        <v>62</v>
      </c>
      <c r="B63" s="9">
        <f>Ranges!C68/(1.5*((5+A63)/(1+A63)))</f>
        <v>394.36815920398004</v>
      </c>
      <c r="C63" s="48">
        <f>Ranges!C68/B63</f>
        <v>1.5952380952380953</v>
      </c>
      <c r="D63" s="48">
        <f>Ranges!N68/B63</f>
        <v>5.246366755815715</v>
      </c>
      <c r="E63" s="43">
        <f t="shared" si="3"/>
        <v>4.1492537313432836</v>
      </c>
      <c r="F63" s="43">
        <f t="shared" si="6"/>
        <v>325.13209432454039</v>
      </c>
      <c r="G63" s="45">
        <f>Ranges!C68/F63</f>
        <v>1.9349400508063805</v>
      </c>
      <c r="H63" s="45">
        <f>Ranges!N68/F63</f>
        <v>6.3635674118801857</v>
      </c>
      <c r="I63" s="43">
        <f t="shared" si="4"/>
        <v>2.8656716417910446</v>
      </c>
      <c r="J63" s="35">
        <f t="shared" si="7"/>
        <v>931.72182254196639</v>
      </c>
      <c r="K63" s="43">
        <f t="shared" si="5"/>
        <v>12.447761194029852</v>
      </c>
      <c r="L63" s="43">
        <f t="shared" si="8"/>
        <v>108.3773647748468</v>
      </c>
    </row>
    <row r="64" spans="1:12">
      <c r="A64" s="10">
        <v>63</v>
      </c>
      <c r="B64" s="9">
        <f>Ranges!C69/(1.5*((5+A64)/(1+A64)))</f>
        <v>400.73202614379085</v>
      </c>
      <c r="C64" s="48">
        <f>Ranges!C69/B64</f>
        <v>1.59375</v>
      </c>
      <c r="D64" s="48">
        <f>Ranges!N69/B64</f>
        <v>5.2329234081419624</v>
      </c>
      <c r="E64" s="43">
        <f t="shared" si="3"/>
        <v>4.1470588235294121</v>
      </c>
      <c r="F64" s="43">
        <f t="shared" si="6"/>
        <v>329.83215130023638</v>
      </c>
      <c r="G64" s="45">
        <f>Ranges!C69/F64</f>
        <v>1.9363384198567937</v>
      </c>
      <c r="H64" s="45">
        <f>Ranges!N69/F64</f>
        <v>6.3577792272020304</v>
      </c>
      <c r="I64" s="43">
        <f t="shared" si="4"/>
        <v>2.8676470588235294</v>
      </c>
      <c r="J64" s="35">
        <f t="shared" si="7"/>
        <v>945.84219858156018</v>
      </c>
      <c r="K64" s="43">
        <f t="shared" si="5"/>
        <v>12.441176470588236</v>
      </c>
      <c r="L64" s="43">
        <f t="shared" si="8"/>
        <v>109.94405043341213</v>
      </c>
    </row>
    <row r="65" spans="1:12">
      <c r="A65" s="10">
        <v>64</v>
      </c>
      <c r="B65" s="9">
        <f>Ranges!C70/(1.5*((5+A65)/(1+A65)))</f>
        <v>407.09608158883515</v>
      </c>
      <c r="C65" s="48">
        <f>Ranges!C70/B65</f>
        <v>1.5923076923076924</v>
      </c>
      <c r="D65" s="48">
        <f>Ranges!N70/B65</f>
        <v>5.2198979457292802</v>
      </c>
      <c r="E65" s="43">
        <f t="shared" si="3"/>
        <v>4.1449275362318838</v>
      </c>
      <c r="F65" s="43">
        <f t="shared" si="6"/>
        <v>334.53205128205127</v>
      </c>
      <c r="G65" s="45">
        <f>Ranges!C70/F65</f>
        <v>1.9376984050944999</v>
      </c>
      <c r="H65" s="45">
        <f>Ranges!N70/F65</f>
        <v>6.3521566673692682</v>
      </c>
      <c r="I65" s="43">
        <f t="shared" si="4"/>
        <v>2.8695652173913042</v>
      </c>
      <c r="J65" s="35">
        <f t="shared" si="7"/>
        <v>959.96153846153834</v>
      </c>
      <c r="K65" s="43">
        <f t="shared" si="5"/>
        <v>12.434782608695652</v>
      </c>
      <c r="L65" s="43">
        <f t="shared" si="8"/>
        <v>111.51068376068376</v>
      </c>
    </row>
    <row r="66" spans="1:12">
      <c r="A66" s="10">
        <v>65</v>
      </c>
      <c r="B66" s="9">
        <f>Ranges!C71/(1.5*((5+A66)/(1+A66)))</f>
        <v>413.46031746031747</v>
      </c>
      <c r="C66" s="48">
        <f>Ranges!C71/B66</f>
        <v>1.5909090909090908</v>
      </c>
      <c r="D66" s="48">
        <f>Ranges!N71/B66</f>
        <v>5.3330390049140046</v>
      </c>
      <c r="E66" s="43">
        <f t="shared" si="3"/>
        <v>4.1428571428571432</v>
      </c>
      <c r="F66" s="43">
        <f t="shared" ref="F66:F97" si="9">AVERAGE(C66:D66)*B66/E66</f>
        <v>345.50766283524899</v>
      </c>
      <c r="G66" s="45">
        <f>Ranges!C71/F66</f>
        <v>1.9038008372376702</v>
      </c>
      <c r="H66" s="45">
        <f>Ranges!N71/F66</f>
        <v>6.3819134484766167</v>
      </c>
      <c r="I66" s="43">
        <f t="shared" si="4"/>
        <v>2.8714285714285714</v>
      </c>
      <c r="J66" s="35">
        <f t="shared" ref="J66:J97" si="10">I66*F66</f>
        <v>992.10057471264349</v>
      </c>
      <c r="K66" s="43">
        <f t="shared" si="5"/>
        <v>12.428571428571431</v>
      </c>
      <c r="L66" s="43">
        <f t="shared" ref="L66:L97" si="11">AVERAGE(C66:D66)*B66/K66</f>
        <v>115.169220945083</v>
      </c>
    </row>
    <row r="67" spans="1:12">
      <c r="A67" s="10">
        <v>66</v>
      </c>
      <c r="B67" s="9">
        <f>Ranges!C72/(1.5*((5+A67)/(1+A67)))</f>
        <v>419.82472613458538</v>
      </c>
      <c r="C67" s="48">
        <f>Ranges!C72/B67</f>
        <v>1.58955223880597</v>
      </c>
      <c r="D67" s="48">
        <f>Ranges!N72/B67</f>
        <v>5.3188863375430531</v>
      </c>
      <c r="E67" s="43">
        <f t="shared" ref="E67:E130" si="12">4*((2*A67+15)/(2*A67+10))</f>
        <v>4.140845070422535</v>
      </c>
      <c r="F67" s="43">
        <f t="shared" si="9"/>
        <v>350.21031746031747</v>
      </c>
      <c r="G67" s="45">
        <f>Ranges!C72/F67</f>
        <v>1.9055216253271845</v>
      </c>
      <c r="H67" s="45">
        <f>Ranges!N72/F67</f>
        <v>6.376168515517886</v>
      </c>
      <c r="I67" s="43">
        <f t="shared" ref="I67:I130" si="13">3*(A67+2)/(A67+5)</f>
        <v>2.8732394366197185</v>
      </c>
      <c r="J67" s="35">
        <f t="shared" si="10"/>
        <v>1006.2380952380953</v>
      </c>
      <c r="K67" s="43">
        <f t="shared" ref="K67:K130" si="14">E67*3</f>
        <v>12.422535211267604</v>
      </c>
      <c r="L67" s="43">
        <f t="shared" si="11"/>
        <v>116.73677248677251</v>
      </c>
    </row>
    <row r="68" spans="1:12">
      <c r="A68" s="10">
        <v>67</v>
      </c>
      <c r="B68" s="9">
        <f>Ranges!C73/(1.5*((5+A68)/(1+A68)))</f>
        <v>426.18930041152259</v>
      </c>
      <c r="C68" s="48">
        <f>Ranges!C73/B68</f>
        <v>1.5882352941176472</v>
      </c>
      <c r="D68" s="48">
        <f>Ranges!N73/B68</f>
        <v>5.3051543007222595</v>
      </c>
      <c r="E68" s="43">
        <f t="shared" si="12"/>
        <v>4.1388888888888893</v>
      </c>
      <c r="F68" s="43">
        <f t="shared" si="9"/>
        <v>354.91275167785227</v>
      </c>
      <c r="G68" s="45">
        <f>Ranges!C73/F68</f>
        <v>1.9071979963776799</v>
      </c>
      <c r="H68" s="45">
        <f>Ranges!N73/F68</f>
        <v>6.3705797814000995</v>
      </c>
      <c r="I68" s="43">
        <f t="shared" si="13"/>
        <v>2.875</v>
      </c>
      <c r="J68" s="35">
        <f t="shared" si="10"/>
        <v>1020.3741610738252</v>
      </c>
      <c r="K68" s="43">
        <f t="shared" si="14"/>
        <v>12.416666666666668</v>
      </c>
      <c r="L68" s="43">
        <f t="shared" si="11"/>
        <v>118.3042505592841</v>
      </c>
    </row>
    <row r="69" spans="1:12">
      <c r="A69" s="10">
        <v>68</v>
      </c>
      <c r="B69" s="9">
        <f>Ranges!C74/(1.5*((5+A69)/(1+A69)))</f>
        <v>432.55403348554034</v>
      </c>
      <c r="C69" s="48">
        <f>Ranges!C74/B69</f>
        <v>1.5869565217391304</v>
      </c>
      <c r="D69" s="48">
        <f>Ranges!N74/B69</f>
        <v>5.2918244260841414</v>
      </c>
      <c r="E69" s="43">
        <f t="shared" si="12"/>
        <v>4.1369863013698627</v>
      </c>
      <c r="F69" s="43">
        <f t="shared" si="9"/>
        <v>359.61497424576896</v>
      </c>
      <c r="G69" s="45">
        <f>Ranges!C74/F69</f>
        <v>1.9088316494165587</v>
      </c>
      <c r="H69" s="45">
        <f>Ranges!N74/F69</f>
        <v>6.3651409533231673</v>
      </c>
      <c r="I69" s="43">
        <f t="shared" si="13"/>
        <v>2.8767123287671232</v>
      </c>
      <c r="J69" s="35">
        <f t="shared" si="10"/>
        <v>1034.508830022075</v>
      </c>
      <c r="K69" s="43">
        <f t="shared" si="14"/>
        <v>12.410958904109588</v>
      </c>
      <c r="L69" s="43">
        <f t="shared" si="11"/>
        <v>119.87165808192299</v>
      </c>
    </row>
    <row r="70" spans="1:12">
      <c r="A70" s="10">
        <v>69</v>
      </c>
      <c r="B70" s="9">
        <f>Ranges!C75/(1.5*((5+A70)/(1+A70)))</f>
        <v>438.91891891891891</v>
      </c>
      <c r="C70" s="48">
        <f>Ranges!C75/B70</f>
        <v>1.5857142857142859</v>
      </c>
      <c r="D70" s="48">
        <f>Ranges!N75/B70</f>
        <v>5.2788793103448279</v>
      </c>
      <c r="E70" s="43">
        <f t="shared" si="12"/>
        <v>4.1351351351351351</v>
      </c>
      <c r="F70" s="43">
        <f t="shared" si="9"/>
        <v>364.31699346405236</v>
      </c>
      <c r="G70" s="45">
        <f>Ranges!C75/F70</f>
        <v>1.9104241978453724</v>
      </c>
      <c r="H70" s="45">
        <f>Ranges!N75/F70</f>
        <v>6.3598460724248964</v>
      </c>
      <c r="I70" s="43">
        <f t="shared" si="13"/>
        <v>2.8783783783783785</v>
      </c>
      <c r="J70" s="35">
        <f t="shared" si="10"/>
        <v>1048.6421568627454</v>
      </c>
      <c r="K70" s="43">
        <f t="shared" si="14"/>
        <v>12.405405405405405</v>
      </c>
      <c r="L70" s="43">
        <f t="shared" si="11"/>
        <v>121.43899782135078</v>
      </c>
    </row>
    <row r="71" spans="1:12">
      <c r="A71" s="10">
        <v>70</v>
      </c>
      <c r="B71" s="9">
        <f>Ranges!C76/(1.5*((5+A71)/(1+A71)))</f>
        <v>445.28395061728395</v>
      </c>
      <c r="C71" s="48">
        <f>Ranges!C76/B71</f>
        <v>1.584507042253521</v>
      </c>
      <c r="D71" s="48">
        <f>Ranges!N76/B71</f>
        <v>5.2663025396473326</v>
      </c>
      <c r="E71" s="43">
        <f t="shared" si="12"/>
        <v>4.1333333333333337</v>
      </c>
      <c r="F71" s="43">
        <f t="shared" si="9"/>
        <v>369.018817204301</v>
      </c>
      <c r="G71" s="45">
        <f>Ranges!C76/F71</f>
        <v>1.9119771747708374</v>
      </c>
      <c r="H71" s="45">
        <f>Ranges!N76/F71</f>
        <v>6.3546894918958312</v>
      </c>
      <c r="I71" s="43">
        <f t="shared" si="13"/>
        <v>2.88</v>
      </c>
      <c r="J71" s="35">
        <f t="shared" si="10"/>
        <v>1062.7741935483868</v>
      </c>
      <c r="K71" s="43">
        <f t="shared" si="14"/>
        <v>12.400000000000002</v>
      </c>
      <c r="L71" s="43">
        <f t="shared" si="11"/>
        <v>123.00627240143366</v>
      </c>
    </row>
    <row r="72" spans="1:12">
      <c r="A72" s="10">
        <v>71</v>
      </c>
      <c r="B72" s="9">
        <f>Ranges!C77/(1.5*((5+A72)/(1+A72)))</f>
        <v>451.64912280701748</v>
      </c>
      <c r="C72" s="48">
        <f>Ranges!C77/B72</f>
        <v>1.5833333333333335</v>
      </c>
      <c r="D72" s="48">
        <f>Ranges!N77/B72</f>
        <v>5.3692122436295842</v>
      </c>
      <c r="E72" s="43">
        <f t="shared" si="12"/>
        <v>4.1315789473684212</v>
      </c>
      <c r="F72" s="43">
        <f t="shared" si="9"/>
        <v>380.01344656758664</v>
      </c>
      <c r="G72" s="45">
        <f>Ranges!C77/F72</f>
        <v>1.8818047560428266</v>
      </c>
      <c r="H72" s="45">
        <f>Ranges!N77/F72</f>
        <v>6.381353138694017</v>
      </c>
      <c r="I72" s="43">
        <f t="shared" si="13"/>
        <v>2.8815789473684212</v>
      </c>
      <c r="J72" s="35">
        <f t="shared" si="10"/>
        <v>1095.0387473460721</v>
      </c>
      <c r="K72" s="43">
        <f t="shared" si="14"/>
        <v>12.394736842105264</v>
      </c>
      <c r="L72" s="43">
        <f t="shared" si="11"/>
        <v>126.67114885586221</v>
      </c>
    </row>
    <row r="73" spans="1:12">
      <c r="A73" s="10">
        <v>72</v>
      </c>
      <c r="B73" s="9">
        <f>Ranges!C78/(1.5*((5+A73)/(1+A73)))</f>
        <v>458.01443001443005</v>
      </c>
      <c r="C73" s="48">
        <f>Ranges!C78/B73</f>
        <v>1.5821917808219177</v>
      </c>
      <c r="D73" s="48">
        <f>Ranges!N78/B73</f>
        <v>5.3557264558732713</v>
      </c>
      <c r="E73" s="43">
        <f t="shared" si="12"/>
        <v>4.1298701298701301</v>
      </c>
      <c r="F73" s="43">
        <f t="shared" si="9"/>
        <v>384.71750524109018</v>
      </c>
      <c r="G73" s="45">
        <f>Ranges!C78/F73</f>
        <v>1.8836332030499656</v>
      </c>
      <c r="H73" s="45">
        <f>Ranges!N78/F73</f>
        <v>6.3761070566902935</v>
      </c>
      <c r="I73" s="43">
        <f t="shared" si="13"/>
        <v>2.883116883116883</v>
      </c>
      <c r="J73" s="35">
        <f t="shared" si="10"/>
        <v>1109.1855345911949</v>
      </c>
      <c r="K73" s="43">
        <f t="shared" si="14"/>
        <v>12.38961038961039</v>
      </c>
      <c r="L73" s="43">
        <f t="shared" si="11"/>
        <v>128.23916841369672</v>
      </c>
    </row>
    <row r="74" spans="1:12">
      <c r="A74" s="10">
        <v>73</v>
      </c>
      <c r="B74" s="9">
        <f>Ranges!C79/(1.5*((5+A74)/(1+A74)))</f>
        <v>464.37986704653372</v>
      </c>
      <c r="C74" s="48">
        <f>Ranges!C79/B74</f>
        <v>1.5810810810810809</v>
      </c>
      <c r="D74" s="48">
        <f>Ranges!N79/B74</f>
        <v>5.3426088770368434</v>
      </c>
      <c r="E74" s="43">
        <f t="shared" si="12"/>
        <v>4.1282051282051286</v>
      </c>
      <c r="F74" s="43">
        <f t="shared" si="9"/>
        <v>389.42132505175977</v>
      </c>
      <c r="G74" s="45">
        <f>Ranges!C79/F74</f>
        <v>1.8854186326972036</v>
      </c>
      <c r="H74" s="45">
        <f>Ranges!N79/F74</f>
        <v>6.3709916237130537</v>
      </c>
      <c r="I74" s="43">
        <f t="shared" si="13"/>
        <v>2.8846153846153846</v>
      </c>
      <c r="J74" s="35">
        <f t="shared" si="10"/>
        <v>1123.3307453416146</v>
      </c>
      <c r="K74" s="43">
        <f t="shared" si="14"/>
        <v>12.384615384615387</v>
      </c>
      <c r="L74" s="43">
        <f t="shared" si="11"/>
        <v>129.80710835058659</v>
      </c>
    </row>
    <row r="75" spans="1:12">
      <c r="A75" s="10">
        <v>74</v>
      </c>
      <c r="B75" s="9">
        <f>Ranges!C80/(1.5*((5+A75)/(1+A75)))</f>
        <v>470.74542897327706</v>
      </c>
      <c r="C75" s="48">
        <f>Ranges!C80/B75</f>
        <v>1.5799999999999998</v>
      </c>
      <c r="D75" s="48">
        <f>Ranges!N80/B75</f>
        <v>5.3298446369883479</v>
      </c>
      <c r="E75" s="43">
        <f t="shared" si="12"/>
        <v>4.1265822784810124</v>
      </c>
      <c r="F75" s="43">
        <f t="shared" si="9"/>
        <v>394.12491479209274</v>
      </c>
      <c r="G75" s="45">
        <f>Ranges!C80/F75</f>
        <v>1.8871625463468416</v>
      </c>
      <c r="H75" s="45">
        <f>Ranges!N80/F75</f>
        <v>6.3660020106151824</v>
      </c>
      <c r="I75" s="43">
        <f t="shared" si="13"/>
        <v>2.8860759493670884</v>
      </c>
      <c r="J75" s="35">
        <f t="shared" si="10"/>
        <v>1137.474437627812</v>
      </c>
      <c r="K75" s="43">
        <f t="shared" si="14"/>
        <v>12.379746835443036</v>
      </c>
      <c r="L75" s="43">
        <f t="shared" si="11"/>
        <v>131.37497159736427</v>
      </c>
    </row>
    <row r="76" spans="1:12">
      <c r="A76" s="10">
        <v>75</v>
      </c>
      <c r="B76" s="9">
        <f>Ranges!C81/(1.5*((5+A76)/(1+A76)))</f>
        <v>477.11111111111114</v>
      </c>
      <c r="C76" s="48">
        <f>Ranges!C81/B76</f>
        <v>1.5789473684210527</v>
      </c>
      <c r="D76" s="48">
        <f>Ranges!N81/B76</f>
        <v>5.3174196553330226</v>
      </c>
      <c r="E76" s="43">
        <f t="shared" si="12"/>
        <v>4.125</v>
      </c>
      <c r="F76" s="43">
        <f t="shared" si="9"/>
        <v>398.82828282828285</v>
      </c>
      <c r="G76" s="45">
        <f>Ranges!C81/F76</f>
        <v>1.8888663762536724</v>
      </c>
      <c r="H76" s="45">
        <f>Ranges!N81/F76</f>
        <v>6.3611336237463272</v>
      </c>
      <c r="I76" s="43">
        <f t="shared" si="13"/>
        <v>2.8875000000000002</v>
      </c>
      <c r="J76" s="35">
        <f t="shared" si="10"/>
        <v>1151.6166666666668</v>
      </c>
      <c r="K76" s="43">
        <f t="shared" si="14"/>
        <v>12.375</v>
      </c>
      <c r="L76" s="43">
        <f t="shared" si="11"/>
        <v>132.94276094276094</v>
      </c>
    </row>
    <row r="77" spans="1:12">
      <c r="A77" s="10">
        <v>76</v>
      </c>
      <c r="B77" s="9">
        <f>Ranges!C82/(1.5*((5+A77)/(1+A77)))</f>
        <v>483.4769090077732</v>
      </c>
      <c r="C77" s="48">
        <f>Ranges!C82/B77</f>
        <v>1.5779220779220779</v>
      </c>
      <c r="D77" s="48">
        <f>Ranges!N82/B77</f>
        <v>5.305320589692859</v>
      </c>
      <c r="E77" s="43">
        <f t="shared" si="12"/>
        <v>4.1234567901234565</v>
      </c>
      <c r="F77" s="43">
        <f t="shared" si="9"/>
        <v>403.53143712574854</v>
      </c>
      <c r="G77" s="45">
        <f>Ranges!C82/F77</f>
        <v>1.8905314894986913</v>
      </c>
      <c r="H77" s="45">
        <f>Ranges!N82/F77</f>
        <v>6.3563820907482214</v>
      </c>
      <c r="I77" s="43">
        <f t="shared" si="13"/>
        <v>2.8888888888888888</v>
      </c>
      <c r="J77" s="35">
        <f t="shared" si="10"/>
        <v>1165.7574850299402</v>
      </c>
      <c r="K77" s="43">
        <f t="shared" si="14"/>
        <v>12.37037037037037</v>
      </c>
      <c r="L77" s="43">
        <f t="shared" si="11"/>
        <v>134.51047904191617</v>
      </c>
    </row>
    <row r="78" spans="1:12">
      <c r="A78" s="10">
        <v>77</v>
      </c>
      <c r="B78" s="9">
        <f>Ranges!C83/(1.5*((5+A78)/(1+A78)))</f>
        <v>489.84281842818422</v>
      </c>
      <c r="C78" s="48">
        <f>Ranges!C83/B78</f>
        <v>1.5769230769230771</v>
      </c>
      <c r="D78" s="48">
        <f>Ranges!N83/B78</f>
        <v>5.4262304151544667</v>
      </c>
      <c r="E78" s="43">
        <f t="shared" si="12"/>
        <v>4.1219512195121952</v>
      </c>
      <c r="F78" s="43">
        <f t="shared" si="9"/>
        <v>416.11900065746221</v>
      </c>
      <c r="G78" s="45">
        <f>Ranges!C83/F78</f>
        <v>1.8563065931235849</v>
      </c>
      <c r="H78" s="45">
        <f>Ranges!N83/F78</f>
        <v>6.3875958459008055</v>
      </c>
      <c r="I78" s="43">
        <f t="shared" si="13"/>
        <v>2.8902439024390243</v>
      </c>
      <c r="J78" s="35">
        <f t="shared" si="10"/>
        <v>1202.6854043392505</v>
      </c>
      <c r="K78" s="43">
        <f t="shared" si="14"/>
        <v>12.365853658536587</v>
      </c>
      <c r="L78" s="43">
        <f t="shared" si="11"/>
        <v>138.70633355248739</v>
      </c>
    </row>
    <row r="79" spans="1:12">
      <c r="A79" s="10">
        <v>78</v>
      </c>
      <c r="B79" s="9">
        <f>Ranges!C84/(1.5*((5+A79)/(1+A79)))</f>
        <v>496.2088353413655</v>
      </c>
      <c r="C79" s="48">
        <f>Ranges!C84/B79</f>
        <v>1.5759493670886076</v>
      </c>
      <c r="D79" s="48">
        <f>Ranges!N84/B79</f>
        <v>5.4130434782608692</v>
      </c>
      <c r="E79" s="43">
        <f t="shared" si="12"/>
        <v>4.1204819277108431</v>
      </c>
      <c r="F79" s="43">
        <f t="shared" si="9"/>
        <v>420.82456140350888</v>
      </c>
      <c r="G79" s="45">
        <f>Ranges!C84/F79</f>
        <v>1.8582565556343014</v>
      </c>
      <c r="H79" s="45">
        <f>Ranges!N84/F79</f>
        <v>6.3827072997873833</v>
      </c>
      <c r="I79" s="43">
        <f t="shared" si="13"/>
        <v>2.8915662650602409</v>
      </c>
      <c r="J79" s="35">
        <f t="shared" si="10"/>
        <v>1216.8421052631581</v>
      </c>
      <c r="K79" s="43">
        <f t="shared" si="14"/>
        <v>12.361445783132529</v>
      </c>
      <c r="L79" s="43">
        <f t="shared" si="11"/>
        <v>140.27485380116963</v>
      </c>
    </row>
    <row r="80" spans="1:12">
      <c r="A80" s="10">
        <v>79</v>
      </c>
      <c r="B80" s="9">
        <f>Ranges!C85/(1.5*((5+A80)/(1+A80)))</f>
        <v>502.57495590828916</v>
      </c>
      <c r="C80" s="48">
        <f>Ranges!C85/B80</f>
        <v>1.5750000000000002</v>
      </c>
      <c r="D80" s="48">
        <f>Ranges!N85/B80</f>
        <v>5.4001895002807423</v>
      </c>
      <c r="E80" s="43">
        <f t="shared" si="12"/>
        <v>4.1190476190476186</v>
      </c>
      <c r="F80" s="43">
        <f t="shared" si="9"/>
        <v>425.52986512524092</v>
      </c>
      <c r="G80" s="45">
        <f>Ranges!C85/F80</f>
        <v>1.8601645158855933</v>
      </c>
      <c r="H80" s="45">
        <f>Ranges!N85/F80</f>
        <v>6.3779307222096433</v>
      </c>
      <c r="I80" s="43">
        <f t="shared" si="13"/>
        <v>2.8928571428571428</v>
      </c>
      <c r="J80" s="35">
        <f t="shared" si="10"/>
        <v>1230.9971098265898</v>
      </c>
      <c r="K80" s="43">
        <f t="shared" si="14"/>
        <v>12.357142857142856</v>
      </c>
      <c r="L80" s="43">
        <f t="shared" si="11"/>
        <v>141.84328837508031</v>
      </c>
    </row>
    <row r="81" spans="1:12">
      <c r="A81" s="10">
        <v>80</v>
      </c>
      <c r="B81" s="9">
        <f>Ranges!C86/(1.5*((5+A81)/(1+A81)))</f>
        <v>508.94117647058823</v>
      </c>
      <c r="C81" s="48">
        <f>Ranges!C86/B81</f>
        <v>1.574074074074074</v>
      </c>
      <c r="D81" s="48">
        <f>Ranges!N86/B81</f>
        <v>5.3876560332871009</v>
      </c>
      <c r="E81" s="43">
        <f t="shared" si="12"/>
        <v>4.117647058823529</v>
      </c>
      <c r="F81" s="43">
        <f t="shared" si="9"/>
        <v>430.23492063492063</v>
      </c>
      <c r="G81" s="45">
        <f>Ranges!C86/F81</f>
        <v>1.8620318172427024</v>
      </c>
      <c r="H81" s="45">
        <f>Ranges!N86/F81</f>
        <v>6.3732623004043569</v>
      </c>
      <c r="I81" s="43">
        <f t="shared" si="13"/>
        <v>2.8941176470588235</v>
      </c>
      <c r="J81" s="35">
        <f t="shared" si="10"/>
        <v>1245.1504761904762</v>
      </c>
      <c r="K81" s="43">
        <f t="shared" si="14"/>
        <v>12.352941176470587</v>
      </c>
      <c r="L81" s="43">
        <f t="shared" si="11"/>
        <v>143.41164021164022</v>
      </c>
    </row>
    <row r="82" spans="1:12">
      <c r="A82" s="10">
        <v>81</v>
      </c>
      <c r="B82" s="9">
        <f>Ranges!C87/(1.5*((5+A82)/(1+A82)))</f>
        <v>515.30749354005161</v>
      </c>
      <c r="C82" s="48">
        <f>Ranges!C87/B82</f>
        <v>1.5731707317073171</v>
      </c>
      <c r="D82" s="48">
        <f>Ranges!N87/B82</f>
        <v>5.3754312419768944</v>
      </c>
      <c r="E82" s="43">
        <f t="shared" si="12"/>
        <v>4.1162790697674421</v>
      </c>
      <c r="F82" s="43">
        <f t="shared" si="9"/>
        <v>434.93973634651599</v>
      </c>
      <c r="G82" s="45">
        <f>Ranges!C87/F82</f>
        <v>1.863859746355319</v>
      </c>
      <c r="H82" s="45">
        <f>Ranges!N87/F82</f>
        <v>6.3686983931795647</v>
      </c>
      <c r="I82" s="43">
        <f t="shared" si="13"/>
        <v>2.8953488372093021</v>
      </c>
      <c r="J82" s="35">
        <f t="shared" si="10"/>
        <v>1259.3022598870054</v>
      </c>
      <c r="K82" s="43">
        <f t="shared" si="14"/>
        <v>12.348837209302326</v>
      </c>
      <c r="L82" s="43">
        <f t="shared" si="11"/>
        <v>144.97991211550533</v>
      </c>
    </row>
    <row r="83" spans="1:12">
      <c r="A83" s="10">
        <v>82</v>
      </c>
      <c r="B83" s="9">
        <f>Ranges!C88/(1.5*((5+A83)/(1+A83)))</f>
        <v>521.67390378884625</v>
      </c>
      <c r="C83" s="48">
        <f>Ranges!C88/B83</f>
        <v>1.572289156626506</v>
      </c>
      <c r="D83" s="48">
        <f>Ranges!N88/B83</f>
        <v>5.3635038664547112</v>
      </c>
      <c r="E83" s="43">
        <f t="shared" si="12"/>
        <v>4.1149425287356323</v>
      </c>
      <c r="F83" s="43">
        <f t="shared" si="9"/>
        <v>439.64432029795159</v>
      </c>
      <c r="G83" s="45">
        <f>Ranges!C88/F83</f>
        <v>1.8656495361212648</v>
      </c>
      <c r="H83" s="45">
        <f>Ranges!N88/F83</f>
        <v>6.3642355213499995</v>
      </c>
      <c r="I83" s="43">
        <f t="shared" si="13"/>
        <v>2.896551724137931</v>
      </c>
      <c r="J83" s="35">
        <f t="shared" si="10"/>
        <v>1273.4525139664804</v>
      </c>
      <c r="K83" s="43">
        <f t="shared" si="14"/>
        <v>12.344827586206897</v>
      </c>
      <c r="L83" s="43">
        <f t="shared" si="11"/>
        <v>146.54810676598385</v>
      </c>
    </row>
    <row r="84" spans="1:12">
      <c r="A84" s="10">
        <v>83</v>
      </c>
      <c r="B84" s="9">
        <f>Ranges!C89/(1.5*((5+A84)/(1+A84)))</f>
        <v>528.04040404040393</v>
      </c>
      <c r="C84" s="48">
        <f>Ranges!C89/B84</f>
        <v>1.5714285714285716</v>
      </c>
      <c r="D84" s="48">
        <f>Ranges!N89/B84</f>
        <v>5.3518631876960754</v>
      </c>
      <c r="E84" s="43">
        <f t="shared" si="12"/>
        <v>4.1136363636363633</v>
      </c>
      <c r="F84" s="43">
        <f t="shared" si="9"/>
        <v>444.34868017188455</v>
      </c>
      <c r="G84" s="45">
        <f>Ranges!C89/F84</f>
        <v>1.8674023684661336</v>
      </c>
      <c r="H84" s="45">
        <f>Ranges!N89/F84</f>
        <v>6.3598703588065941</v>
      </c>
      <c r="I84" s="43">
        <f t="shared" si="13"/>
        <v>2.8977272727272729</v>
      </c>
      <c r="J84" s="35">
        <f t="shared" si="10"/>
        <v>1287.6012891344383</v>
      </c>
      <c r="K84" s="43">
        <f t="shared" si="14"/>
        <v>12.34090909090909</v>
      </c>
      <c r="L84" s="43">
        <f t="shared" si="11"/>
        <v>148.11622672396152</v>
      </c>
    </row>
    <row r="85" spans="1:12">
      <c r="A85" s="10">
        <v>84</v>
      </c>
      <c r="B85" s="9">
        <f>Ranges!C90/(1.5*((5+A85)/(1+A85)))</f>
        <v>534.40699126092375</v>
      </c>
      <c r="C85" s="48">
        <f>Ranges!C90/B85</f>
        <v>1.5705882352941178</v>
      </c>
      <c r="D85" s="48">
        <f>Ranges!N90/B85</f>
        <v>5.3404989954679261</v>
      </c>
      <c r="E85" s="43">
        <f t="shared" si="12"/>
        <v>4.1123595505617976</v>
      </c>
      <c r="F85" s="43">
        <f t="shared" si="9"/>
        <v>449.05282331511842</v>
      </c>
      <c r="G85" s="45">
        <f>Ranges!C90/F85</f>
        <v>1.8691193769520948</v>
      </c>
      <c r="H85" s="45">
        <f>Ranges!N90/F85</f>
        <v>6.3555997241715003</v>
      </c>
      <c r="I85" s="43">
        <f t="shared" si="13"/>
        <v>2.898876404494382</v>
      </c>
      <c r="J85" s="35">
        <f t="shared" si="10"/>
        <v>1301.7486338797814</v>
      </c>
      <c r="K85" s="43">
        <f t="shared" si="14"/>
        <v>12.337078651685392</v>
      </c>
      <c r="L85" s="43">
        <f t="shared" si="11"/>
        <v>149.68427443837282</v>
      </c>
    </row>
    <row r="86" spans="1:12">
      <c r="A86" s="10">
        <v>85</v>
      </c>
      <c r="B86" s="9">
        <f>Ranges!C91/(1.5*((5+A86)/(1+A86)))</f>
        <v>540.77366255144034</v>
      </c>
      <c r="C86" s="48">
        <f>Ranges!C91/B86</f>
        <v>1.5697674418604652</v>
      </c>
      <c r="D86" s="48">
        <f>Ranges!N91/B86</f>
        <v>5.3294015585048093</v>
      </c>
      <c r="E86" s="43">
        <f t="shared" si="12"/>
        <v>4.1111111111111107</v>
      </c>
      <c r="F86" s="43">
        <f t="shared" si="9"/>
        <v>453.75675675675683</v>
      </c>
      <c r="G86" s="45">
        <f>Ranges!C91/F86</f>
        <v>1.8708016492279995</v>
      </c>
      <c r="H86" s="45">
        <f>Ranges!N91/F86</f>
        <v>6.351420572994221</v>
      </c>
      <c r="I86" s="43">
        <f t="shared" si="13"/>
        <v>2.9</v>
      </c>
      <c r="J86" s="35">
        <f t="shared" si="10"/>
        <v>1315.8945945945948</v>
      </c>
      <c r="K86" s="43">
        <f t="shared" si="14"/>
        <v>12.333333333333332</v>
      </c>
      <c r="L86" s="43">
        <f t="shared" si="11"/>
        <v>151.25225225225228</v>
      </c>
    </row>
    <row r="87" spans="1:12">
      <c r="A87" s="10">
        <v>86</v>
      </c>
      <c r="B87" s="9">
        <f>Ranges!C92/(1.5*((5+A87)/(1+A87)))</f>
        <v>547.14041514041514</v>
      </c>
      <c r="C87" s="48">
        <f>Ranges!C92/B87</f>
        <v>1.5689655172413792</v>
      </c>
      <c r="D87" s="48">
        <f>Ranges!N92/B87</f>
        <v>5.3185615967579247</v>
      </c>
      <c r="E87" s="43">
        <f t="shared" si="12"/>
        <v>4.1098901098901095</v>
      </c>
      <c r="F87" s="43">
        <f t="shared" si="9"/>
        <v>458.46048722519316</v>
      </c>
      <c r="G87" s="45">
        <f>Ranges!C92/F87</f>
        <v>1.8724502293319369</v>
      </c>
      <c r="H87" s="45">
        <f>Ranges!N92/F87</f>
        <v>6.3473299904482818</v>
      </c>
      <c r="I87" s="43">
        <f t="shared" si="13"/>
        <v>2.901098901098901</v>
      </c>
      <c r="J87" s="35">
        <f t="shared" si="10"/>
        <v>1330.0392156862747</v>
      </c>
      <c r="K87" s="43">
        <f t="shared" si="14"/>
        <v>12.329670329670328</v>
      </c>
      <c r="L87" s="43">
        <f t="shared" si="11"/>
        <v>152.82016240839772</v>
      </c>
    </row>
    <row r="88" spans="1:12">
      <c r="A88" s="10">
        <v>87</v>
      </c>
      <c r="B88" s="9">
        <f>Ranges!C93/(1.5*((5+A88)/(1+A88)))</f>
        <v>553.50724637681162</v>
      </c>
      <c r="C88" s="48">
        <f>Ranges!C93/B88</f>
        <v>1.5681818181818181</v>
      </c>
      <c r="D88" s="48">
        <f>Ranges!N93/B88</f>
        <v>5.3079702555509005</v>
      </c>
      <c r="E88" s="43">
        <f t="shared" si="12"/>
        <v>4.1086956521739131</v>
      </c>
      <c r="F88" s="43">
        <f t="shared" si="9"/>
        <v>463.16402116402116</v>
      </c>
      <c r="G88" s="45">
        <f>Ranges!C93/F88</f>
        <v>1.8740661198565194</v>
      </c>
      <c r="H88" s="45">
        <f>Ranges!N93/F88</f>
        <v>6.3433251844913068</v>
      </c>
      <c r="I88" s="43">
        <f t="shared" si="13"/>
        <v>2.902173913043478</v>
      </c>
      <c r="J88" s="35">
        <f t="shared" si="10"/>
        <v>1344.1825396825395</v>
      </c>
      <c r="K88" s="43">
        <f t="shared" si="14"/>
        <v>12.326086956521738</v>
      </c>
      <c r="L88" s="43">
        <f t="shared" si="11"/>
        <v>154.38800705467372</v>
      </c>
    </row>
    <row r="89" spans="1:12">
      <c r="A89" s="10">
        <v>88</v>
      </c>
      <c r="B89" s="9">
        <f>Ranges!C94/(1.5*((5+A89)/(1+A89)))</f>
        <v>559.87415372361602</v>
      </c>
      <c r="C89" s="48">
        <f>Ranges!C94/B89</f>
        <v>1.5674157303370788</v>
      </c>
      <c r="D89" s="48">
        <f>Ranges!N94/B89</f>
        <v>5.2976190814912618</v>
      </c>
      <c r="E89" s="43">
        <f t="shared" si="12"/>
        <v>4.10752688172043</v>
      </c>
      <c r="F89" s="43">
        <f t="shared" si="9"/>
        <v>467.86736474694595</v>
      </c>
      <c r="G89" s="45">
        <f>Ranges!C94/F89</f>
        <v>1.8756502839863525</v>
      </c>
      <c r="H89" s="45">
        <f>Ranges!N94/F89</f>
        <v>6.3394034794545071</v>
      </c>
      <c r="I89" s="43">
        <f t="shared" si="13"/>
        <v>2.903225806451613</v>
      </c>
      <c r="J89" s="35">
        <f t="shared" si="10"/>
        <v>1358.324607329843</v>
      </c>
      <c r="K89" s="43">
        <f t="shared" si="14"/>
        <v>12.32258064516129</v>
      </c>
      <c r="L89" s="43">
        <f t="shared" si="11"/>
        <v>155.955788248982</v>
      </c>
    </row>
    <row r="90" spans="1:12">
      <c r="A90" s="10">
        <v>89</v>
      </c>
      <c r="B90" s="9">
        <f>Ranges!C95/(1.5*((5+A90)/(1+A90)))</f>
        <v>566.24113475177296</v>
      </c>
      <c r="C90" s="48">
        <f>Ranges!C95/B90</f>
        <v>1.5666666666666669</v>
      </c>
      <c r="D90" s="48">
        <f>Ranges!N95/B90</f>
        <v>5.2875000000000005</v>
      </c>
      <c r="E90" s="43">
        <f t="shared" si="12"/>
        <v>4.1063829787234045</v>
      </c>
      <c r="F90" s="43">
        <f t="shared" si="9"/>
        <v>472.57052389176744</v>
      </c>
      <c r="G90" s="45">
        <f>Ranges!C95/F90</f>
        <v>1.8772036474164133</v>
      </c>
      <c r="H90" s="45">
        <f>Ranges!N95/F90</f>
        <v>6.3355623100303946</v>
      </c>
      <c r="I90" s="43">
        <f t="shared" si="13"/>
        <v>2.9042553191489362</v>
      </c>
      <c r="J90" s="35">
        <f t="shared" si="10"/>
        <v>1372.4654576856651</v>
      </c>
      <c r="K90" s="43">
        <f t="shared" si="14"/>
        <v>12.319148936170214</v>
      </c>
      <c r="L90" s="43">
        <f t="shared" si="11"/>
        <v>157.52350796392247</v>
      </c>
    </row>
    <row r="91" spans="1:12">
      <c r="A91" s="10">
        <v>90</v>
      </c>
      <c r="B91" s="9">
        <f>Ranges!C96/(1.5*((5+A91)/(1+A91)))</f>
        <v>572.60818713450283</v>
      </c>
      <c r="C91" s="48">
        <f>Ranges!C96/B91</f>
        <v>1.5659340659340661</v>
      </c>
      <c r="D91" s="48">
        <f>Ranges!N96/B91</f>
        <v>5.2776052943339193</v>
      </c>
      <c r="E91" s="43">
        <f t="shared" si="12"/>
        <v>4.1052631578947372</v>
      </c>
      <c r="F91" s="43">
        <f t="shared" si="9"/>
        <v>477.27350427350422</v>
      </c>
      <c r="G91" s="45">
        <f>Ranges!C96/F91</f>
        <v>1.8787271001593813</v>
      </c>
      <c r="H91" s="45">
        <f>Ranges!N96/F91</f>
        <v>6.3317992156300935</v>
      </c>
      <c r="I91" s="43">
        <f t="shared" si="13"/>
        <v>2.905263157894737</v>
      </c>
      <c r="J91" s="35">
        <f t="shared" si="10"/>
        <v>1386.605128205128</v>
      </c>
      <c r="K91" s="43">
        <f t="shared" si="14"/>
        <v>12.315789473684212</v>
      </c>
      <c r="L91" s="43">
        <f t="shared" si="11"/>
        <v>159.09116809116807</v>
      </c>
    </row>
    <row r="92" spans="1:12">
      <c r="A92" s="10">
        <v>91</v>
      </c>
      <c r="B92" s="9">
        <f>Ranges!C97/(1.5*((5+A92)/(1+A92)))</f>
        <v>578.97530864197529</v>
      </c>
      <c r="C92" s="48">
        <f>Ranges!C97/B92</f>
        <v>1.5652173913043479</v>
      </c>
      <c r="D92" s="48">
        <f>Ranges!N97/B92</f>
        <v>5.2679275859863104</v>
      </c>
      <c r="E92" s="43">
        <f t="shared" si="12"/>
        <v>4.104166666666667</v>
      </c>
      <c r="F92" s="43">
        <f t="shared" si="9"/>
        <v>481.9763113367174</v>
      </c>
      <c r="G92" s="45">
        <f>Ranges!C97/F92</f>
        <v>1.8802214982493588</v>
      </c>
      <c r="H92" s="45">
        <f>Ranges!N97/F92</f>
        <v>6.3281118350839751</v>
      </c>
      <c r="I92" s="43">
        <f t="shared" si="13"/>
        <v>2.90625</v>
      </c>
      <c r="J92" s="35">
        <f t="shared" si="10"/>
        <v>1400.743654822335</v>
      </c>
      <c r="K92" s="43">
        <f t="shared" si="14"/>
        <v>12.3125</v>
      </c>
      <c r="L92" s="43">
        <f t="shared" si="11"/>
        <v>160.65877044557249</v>
      </c>
    </row>
    <row r="93" spans="1:12">
      <c r="A93" s="10">
        <v>92</v>
      </c>
      <c r="B93" s="9">
        <f>Ranges!C98/(1.5*((5+A93)/(1+A93)))</f>
        <v>585.34249713631152</v>
      </c>
      <c r="C93" s="48">
        <f>Ranges!C98/B93</f>
        <v>1.564516129032258</v>
      </c>
      <c r="D93" s="48">
        <f>Ranges!N98/B93</f>
        <v>5.2584598163615164</v>
      </c>
      <c r="E93" s="43">
        <f t="shared" si="12"/>
        <v>4.1030927835051543</v>
      </c>
      <c r="F93" s="43">
        <f t="shared" si="9"/>
        <v>486.67895030709104</v>
      </c>
      <c r="G93" s="45">
        <f>Ranges!C98/F93</f>
        <v>1.881687665348847</v>
      </c>
      <c r="H93" s="45">
        <f>Ranges!N98/F93</f>
        <v>6.3244979016614611</v>
      </c>
      <c r="I93" s="43">
        <f t="shared" si="13"/>
        <v>2.9072164948453607</v>
      </c>
      <c r="J93" s="35">
        <f t="shared" si="10"/>
        <v>1414.8810720268007</v>
      </c>
      <c r="K93" s="43">
        <f t="shared" si="14"/>
        <v>12.309278350515463</v>
      </c>
      <c r="L93" s="43">
        <f t="shared" si="11"/>
        <v>162.22631676903035</v>
      </c>
    </row>
    <row r="94" spans="1:12">
      <c r="A94" s="10">
        <v>93</v>
      </c>
      <c r="B94" s="9">
        <f>Ranges!C99/(1.5*((5+A94)/(1+A94)))</f>
        <v>591.70975056689338</v>
      </c>
      <c r="C94" s="48">
        <f>Ranges!C99/B94</f>
        <v>1.5638297872340425</v>
      </c>
      <c r="D94" s="48">
        <f>Ranges!N99/B94</f>
        <v>5.249195229627813</v>
      </c>
      <c r="E94" s="43">
        <f t="shared" si="12"/>
        <v>4.1020408163265305</v>
      </c>
      <c r="F94" s="43">
        <f t="shared" si="9"/>
        <v>491.38142620232168</v>
      </c>
      <c r="G94" s="45">
        <f>Ranges!C99/F94</f>
        <v>1.8831263942653298</v>
      </c>
      <c r="H94" s="45">
        <f>Ranges!N99/F94</f>
        <v>6.3209552383877323</v>
      </c>
      <c r="I94" s="43">
        <f t="shared" si="13"/>
        <v>2.9081632653061225</v>
      </c>
      <c r="J94" s="35">
        <f t="shared" si="10"/>
        <v>1429.0174129353231</v>
      </c>
      <c r="K94" s="43">
        <f t="shared" si="14"/>
        <v>12.306122448979592</v>
      </c>
      <c r="L94" s="43">
        <f t="shared" si="11"/>
        <v>163.79380873410724</v>
      </c>
    </row>
    <row r="95" spans="1:12">
      <c r="A95" s="10">
        <v>94</v>
      </c>
      <c r="B95" s="9">
        <f>Ranges!C100/(1.5*((5+A95)/(1+A95)))</f>
        <v>598.07706696595596</v>
      </c>
      <c r="C95" s="48">
        <f>Ranges!C100/B95</f>
        <v>1.5631578947368419</v>
      </c>
      <c r="D95" s="48">
        <f>Ranges!N100/B95</f>
        <v>5.240127356661203</v>
      </c>
      <c r="E95" s="43">
        <f t="shared" si="12"/>
        <v>4.1010101010101012</v>
      </c>
      <c r="F95" s="43">
        <f t="shared" si="9"/>
        <v>496.08374384236447</v>
      </c>
      <c r="G95" s="45">
        <f>Ranges!C100/F95</f>
        <v>1.8845384483833423</v>
      </c>
      <c r="H95" s="45">
        <f>Ranges!N100/F95</f>
        <v>6.3174817536368613</v>
      </c>
      <c r="I95" s="43">
        <f t="shared" si="13"/>
        <v>2.9090909090909092</v>
      </c>
      <c r="J95" s="35">
        <f t="shared" si="10"/>
        <v>1443.1527093596058</v>
      </c>
      <c r="K95" s="43">
        <f t="shared" si="14"/>
        <v>12.303030303030305</v>
      </c>
      <c r="L95" s="43">
        <f t="shared" si="11"/>
        <v>165.36124794745481</v>
      </c>
    </row>
    <row r="96" spans="1:12">
      <c r="A96" s="10">
        <v>95</v>
      </c>
      <c r="B96" s="9">
        <f>Ranges!C101/(1.5*((5+A96)/(1+A96)))</f>
        <v>604.44444444444446</v>
      </c>
      <c r="C96" s="48">
        <f>Ranges!C101/B96</f>
        <v>1.5625</v>
      </c>
      <c r="D96" s="48">
        <f>Ranges!N101/B96</f>
        <v>5.2312500000000002</v>
      </c>
      <c r="E96" s="43">
        <f t="shared" si="12"/>
        <v>4.0999999999999996</v>
      </c>
      <c r="F96" s="43">
        <f t="shared" si="9"/>
        <v>500.78590785907863</v>
      </c>
      <c r="G96" s="45">
        <f>Ranges!C101/F96</f>
        <v>1.8859245630174792</v>
      </c>
      <c r="H96" s="45">
        <f>Ranges!N101/F96</f>
        <v>6.3140754369825203</v>
      </c>
      <c r="I96" s="43">
        <f t="shared" si="13"/>
        <v>2.91</v>
      </c>
      <c r="J96" s="35">
        <f t="shared" si="10"/>
        <v>1457.2869918699189</v>
      </c>
      <c r="K96" s="43">
        <f t="shared" si="14"/>
        <v>12.299999999999999</v>
      </c>
      <c r="L96" s="43">
        <f t="shared" si="11"/>
        <v>166.9286359530262</v>
      </c>
    </row>
    <row r="97" spans="1:12">
      <c r="A97" s="10">
        <v>96</v>
      </c>
      <c r="B97" s="9">
        <f>Ranges!C102/(1.5*((5+A97)/(1+A97)))</f>
        <v>610.81188118811872</v>
      </c>
      <c r="C97" s="48">
        <f>Ranges!C102/B97</f>
        <v>1.561855670103093</v>
      </c>
      <c r="D97" s="48">
        <f>Ranges!N102/B97</f>
        <v>5.2225572197367578</v>
      </c>
      <c r="E97" s="43">
        <f t="shared" si="12"/>
        <v>4.0990099009900991</v>
      </c>
      <c r="F97" s="43">
        <f t="shared" si="9"/>
        <v>505.48792270531402</v>
      </c>
      <c r="G97" s="45">
        <f>Ranges!C102/F97</f>
        <v>1.8872854466913873</v>
      </c>
      <c r="H97" s="45">
        <f>Ranges!N102/F97</f>
        <v>6.3107343552888109</v>
      </c>
      <c r="I97" s="43">
        <f t="shared" si="13"/>
        <v>2.9108910891089108</v>
      </c>
      <c r="J97" s="35">
        <f t="shared" si="10"/>
        <v>1471.4202898550725</v>
      </c>
      <c r="K97" s="43">
        <f t="shared" si="14"/>
        <v>12.297029702970297</v>
      </c>
      <c r="L97" s="43">
        <f t="shared" si="11"/>
        <v>168.49597423510465</v>
      </c>
    </row>
    <row r="98" spans="1:12">
      <c r="A98" s="10">
        <v>97</v>
      </c>
      <c r="B98" s="9">
        <f>Ranges!C103/(1.5*((5+A98)/(1+A98)))</f>
        <v>617.1793754538852</v>
      </c>
      <c r="C98" s="48">
        <f>Ranges!C103/B98</f>
        <v>1.5612244897959184</v>
      </c>
      <c r="D98" s="48">
        <f>Ranges!N103/B98</f>
        <v>5.2140433202801422</v>
      </c>
      <c r="E98" s="43">
        <f t="shared" si="12"/>
        <v>4.0980392156862742</v>
      </c>
      <c r="F98" s="43">
        <f t="shared" ref="F98:F129" si="15">AVERAGE(C98:D98)*B98/E98</f>
        <v>510.18979266347691</v>
      </c>
      <c r="G98" s="45">
        <f>Ranges!C103/F98</f>
        <v>1.8886217823474183</v>
      </c>
      <c r="H98" s="45">
        <f>Ranges!N103/F98</f>
        <v>6.3074566490251298</v>
      </c>
      <c r="I98" s="43">
        <f t="shared" si="13"/>
        <v>2.9117647058823528</v>
      </c>
      <c r="J98" s="35">
        <f t="shared" ref="J98:J129" si="16">I98*F98</f>
        <v>1485.5526315789475</v>
      </c>
      <c r="K98" s="43">
        <f t="shared" si="14"/>
        <v>12.294117647058822</v>
      </c>
      <c r="L98" s="43">
        <f t="shared" ref="L98:L129" si="17">AVERAGE(C98:D98)*B98/K98</f>
        <v>170.06326422115899</v>
      </c>
    </row>
    <row r="99" spans="1:12">
      <c r="A99" s="10">
        <v>98</v>
      </c>
      <c r="B99" s="9">
        <f>Ranges!C104/(1.5*((5+A99)/(1+A99)))</f>
        <v>623.54692556634302</v>
      </c>
      <c r="C99" s="48">
        <f>Ranges!C104/B99</f>
        <v>1.5606060606060606</v>
      </c>
      <c r="D99" s="48">
        <f>Ranges!N104/B99</f>
        <v>5.2057028379248065</v>
      </c>
      <c r="E99" s="43">
        <f t="shared" si="12"/>
        <v>4.0970873786407767</v>
      </c>
      <c r="F99" s="43">
        <f t="shared" si="15"/>
        <v>514.89152185360717</v>
      </c>
      <c r="G99" s="45">
        <f>Ranges!C104/F99</f>
        <v>1.8899342284913052</v>
      </c>
      <c r="H99" s="45">
        <f>Ranges!N104/F99</f>
        <v>6.3042405287902481</v>
      </c>
      <c r="I99" s="43">
        <f t="shared" si="13"/>
        <v>2.912621359223301</v>
      </c>
      <c r="J99" s="35">
        <f t="shared" si="16"/>
        <v>1499.6840442338073</v>
      </c>
      <c r="K99" s="43">
        <f t="shared" si="14"/>
        <v>12.291262135922331</v>
      </c>
      <c r="L99" s="43">
        <f t="shared" si="17"/>
        <v>171.63050728453572</v>
      </c>
    </row>
    <row r="100" spans="1:12">
      <c r="A100" s="10">
        <v>99</v>
      </c>
      <c r="B100" s="9">
        <f>Ranges!C105/(1.5*((5+A100)/(1+A100)))</f>
        <v>629.91452991452991</v>
      </c>
      <c r="C100" s="48">
        <f>Ranges!C105/B100</f>
        <v>1.56</v>
      </c>
      <c r="D100" s="48">
        <f>Ranges!N105/B100</f>
        <v>5.1975305291723206</v>
      </c>
      <c r="E100" s="43">
        <f t="shared" si="12"/>
        <v>4.0961538461538458</v>
      </c>
      <c r="F100" s="43">
        <f t="shared" si="15"/>
        <v>519.59311424100167</v>
      </c>
      <c r="G100" s="45">
        <f>Ranges!C105/F100</f>
        <v>1.8912234202758866</v>
      </c>
      <c r="H100" s="45">
        <f>Ranges!N105/F100</f>
        <v>6.3010842720318037</v>
      </c>
      <c r="I100" s="43">
        <f t="shared" si="13"/>
        <v>2.9134615384615383</v>
      </c>
      <c r="J100" s="35">
        <f t="shared" si="16"/>
        <v>1513.8145539906106</v>
      </c>
      <c r="K100" s="43">
        <f t="shared" si="14"/>
        <v>12.288461538461537</v>
      </c>
      <c r="L100" s="43">
        <f t="shared" si="17"/>
        <v>173.19770474700056</v>
      </c>
    </row>
    <row r="101" spans="1:12">
      <c r="A101" s="10">
        <v>100</v>
      </c>
      <c r="B101" s="9">
        <f>Ranges!C106/(1.5*((5+A101)/(1+A101)))</f>
        <v>636.28218694885356</v>
      </c>
      <c r="C101" s="48">
        <f>Ranges!C106/B101</f>
        <v>1.5594059405940595</v>
      </c>
      <c r="D101" s="48">
        <f>Ranges!N106/B101</f>
        <v>5.1895213597507572</v>
      </c>
      <c r="E101" s="43">
        <f t="shared" si="12"/>
        <v>4.0952380952380949</v>
      </c>
      <c r="F101" s="43">
        <f t="shared" si="15"/>
        <v>524.2945736434109</v>
      </c>
      <c r="G101" s="45">
        <f>Ranges!C106/F101</f>
        <v>1.8924899705276437</v>
      </c>
      <c r="H101" s="45">
        <f>Ranges!N106/F101</f>
        <v>6.2979862199485463</v>
      </c>
      <c r="I101" s="43">
        <f t="shared" si="13"/>
        <v>2.9142857142857141</v>
      </c>
      <c r="J101" s="35">
        <f t="shared" si="16"/>
        <v>1527.9441860465117</v>
      </c>
      <c r="K101" s="43">
        <f t="shared" si="14"/>
        <v>12.285714285714285</v>
      </c>
      <c r="L101" s="43">
        <f t="shared" si="17"/>
        <v>174.76485788113698</v>
      </c>
    </row>
    <row r="102" spans="1:12">
      <c r="A102" s="10">
        <v>101</v>
      </c>
      <c r="B102" s="9">
        <f>Ranges!C107/(1.5*((5+A102)/(1+A102)))</f>
        <v>642.64989517819697</v>
      </c>
      <c r="C102" s="48">
        <f>Ranges!C107/B102</f>
        <v>1.5588235294117649</v>
      </c>
      <c r="D102" s="48">
        <f>Ranges!N107/B102</f>
        <v>5.1816704942846714</v>
      </c>
      <c r="E102" s="43">
        <f t="shared" si="12"/>
        <v>4.0943396226415096</v>
      </c>
      <c r="F102" s="43">
        <f t="shared" si="15"/>
        <v>528.99590373783928</v>
      </c>
      <c r="G102" s="45">
        <f>Ranges!C107/F102</f>
        <v>1.8937344707195323</v>
      </c>
      <c r="H102" s="45">
        <f>Ranges!N107/F102</f>
        <v>6.2949447745634854</v>
      </c>
      <c r="I102" s="43">
        <f t="shared" si="13"/>
        <v>2.9150943396226414</v>
      </c>
      <c r="J102" s="35">
        <f t="shared" si="16"/>
        <v>1542.0729646697389</v>
      </c>
      <c r="K102" s="43">
        <f t="shared" si="14"/>
        <v>12.283018867924529</v>
      </c>
      <c r="L102" s="43">
        <f t="shared" si="17"/>
        <v>176.33196791261309</v>
      </c>
    </row>
    <row r="103" spans="1:12">
      <c r="A103" s="10">
        <v>102</v>
      </c>
      <c r="B103" s="9">
        <f>Ranges!C108/(1.5*((5+A103)/(1+A103)))</f>
        <v>649.01765316718581</v>
      </c>
      <c r="C103" s="48">
        <f>Ranges!C108/B103</f>
        <v>1.558252427184466</v>
      </c>
      <c r="D103" s="48">
        <f>Ranges!N108/B103</f>
        <v>5.1739732865709662</v>
      </c>
      <c r="E103" s="43">
        <f t="shared" si="12"/>
        <v>4.0934579439252339</v>
      </c>
      <c r="F103" s="43">
        <f t="shared" si="15"/>
        <v>533.69710806697105</v>
      </c>
      <c r="G103" s="45">
        <f>Ranges!C108/F103</f>
        <v>1.8949574918933718</v>
      </c>
      <c r="H103" s="45">
        <f>Ranges!N108/F103</f>
        <v>6.2919583959570957</v>
      </c>
      <c r="I103" s="43">
        <f t="shared" si="13"/>
        <v>2.9158878504672896</v>
      </c>
      <c r="J103" s="35">
        <f t="shared" si="16"/>
        <v>1556.2009132420089</v>
      </c>
      <c r="K103" s="43">
        <f t="shared" si="14"/>
        <v>12.280373831775702</v>
      </c>
      <c r="L103" s="43">
        <f t="shared" si="17"/>
        <v>177.89903602232368</v>
      </c>
    </row>
    <row r="104" spans="1:12">
      <c r="A104" s="10">
        <v>103</v>
      </c>
      <c r="B104" s="9">
        <f>Ranges!C109/(1.5*((5+A104)/(1+A104)))</f>
        <v>655.38545953360756</v>
      </c>
      <c r="C104" s="48">
        <f>Ranges!C109/B104</f>
        <v>1.5576923076923079</v>
      </c>
      <c r="D104" s="48">
        <f>Ranges!N109/B104</f>
        <v>5.1664252704196114</v>
      </c>
      <c r="E104" s="43">
        <f t="shared" si="12"/>
        <v>4.0925925925925926</v>
      </c>
      <c r="F104" s="43">
        <f t="shared" si="15"/>
        <v>538.39819004524884</v>
      </c>
      <c r="G104" s="45">
        <f>Ranges!C109/F104</f>
        <v>1.8961595855348063</v>
      </c>
      <c r="H104" s="45">
        <f>Ranges!N109/F104</f>
        <v>6.2890255996503797</v>
      </c>
      <c r="I104" s="43">
        <f t="shared" si="13"/>
        <v>2.9166666666666665</v>
      </c>
      <c r="J104" s="35">
        <f t="shared" si="16"/>
        <v>1570.3280542986424</v>
      </c>
      <c r="K104" s="43">
        <f t="shared" si="14"/>
        <v>12.277777777777779</v>
      </c>
      <c r="L104" s="43">
        <f t="shared" si="17"/>
        <v>179.46606334841627</v>
      </c>
    </row>
    <row r="105" spans="1:12">
      <c r="A105" s="10">
        <v>104</v>
      </c>
      <c r="B105" s="9">
        <f>Ranges!C110/(1.5*((5+A105)/(1+A105)))</f>
        <v>661.75331294597333</v>
      </c>
      <c r="C105" s="48">
        <f>Ranges!C110/B105</f>
        <v>1.5571428571428574</v>
      </c>
      <c r="D105" s="48">
        <f>Ranges!N110/B105</f>
        <v>5.1590221510212899</v>
      </c>
      <c r="E105" s="43">
        <f t="shared" si="12"/>
        <v>4.0917431192660549</v>
      </c>
      <c r="F105" s="43">
        <f t="shared" si="15"/>
        <v>543.09915296462384</v>
      </c>
      <c r="G105" s="45">
        <f>Ranges!C110/F105</f>
        <v>1.8973412844036694</v>
      </c>
      <c r="H105" s="45">
        <f>Ranges!N110/F105</f>
        <v>6.2861449541284404</v>
      </c>
      <c r="I105" s="43">
        <f t="shared" si="13"/>
        <v>2.9174311926605503</v>
      </c>
      <c r="J105" s="35">
        <f t="shared" si="16"/>
        <v>1584.4544095665171</v>
      </c>
      <c r="K105" s="43">
        <f t="shared" si="14"/>
        <v>12.275229357798164</v>
      </c>
      <c r="L105" s="43">
        <f t="shared" si="17"/>
        <v>181.03305098820795</v>
      </c>
    </row>
    <row r="106" spans="1:12">
      <c r="A106" s="10">
        <v>105</v>
      </c>
      <c r="B106" s="9">
        <f>Ranges!C111/(1.5*((5+A106)/(1+A106)))</f>
        <v>668.12121212121212</v>
      </c>
      <c r="C106" s="48">
        <f>Ranges!C111/B106</f>
        <v>1.5566037735849056</v>
      </c>
      <c r="D106" s="48">
        <f>Ranges!N111/B106</f>
        <v>5.1517597968069664</v>
      </c>
      <c r="E106" s="43">
        <f t="shared" si="12"/>
        <v>4.0909090909090908</v>
      </c>
      <c r="F106" s="43">
        <f t="shared" si="15"/>
        <v>547.79999999999995</v>
      </c>
      <c r="G106" s="45">
        <f>Ranges!C111/F106</f>
        <v>1.8985031033223805</v>
      </c>
      <c r="H106" s="45">
        <f>Ranges!N111/F106</f>
        <v>6.2833150784958018</v>
      </c>
      <c r="I106" s="43">
        <f t="shared" si="13"/>
        <v>2.918181818181818</v>
      </c>
      <c r="J106" s="35">
        <f t="shared" si="16"/>
        <v>1598.5799999999997</v>
      </c>
      <c r="K106" s="43">
        <f t="shared" si="14"/>
        <v>12.272727272727273</v>
      </c>
      <c r="L106" s="43">
        <f t="shared" si="17"/>
        <v>182.6</v>
      </c>
    </row>
    <row r="107" spans="1:12">
      <c r="A107" s="10">
        <v>106</v>
      </c>
      <c r="B107" s="9">
        <f>Ranges!C112/(1.5*((5+A107)/(1+A107)))</f>
        <v>674.48915582248912</v>
      </c>
      <c r="C107" s="48">
        <f>Ranges!C112/B107</f>
        <v>1.55607476635514</v>
      </c>
      <c r="D107" s="48">
        <f>Ranges!N112/B107</f>
        <v>5.1446342317669949</v>
      </c>
      <c r="E107" s="43">
        <f t="shared" si="12"/>
        <v>4.0900900900900901</v>
      </c>
      <c r="F107" s="43">
        <f t="shared" si="15"/>
        <v>552.5007342143906</v>
      </c>
      <c r="G107" s="45">
        <f>Ranges!C112/F107</f>
        <v>1.8996455399248198</v>
      </c>
      <c r="H107" s="45">
        <f>Ranges!N112/F107</f>
        <v>6.2805346402553601</v>
      </c>
      <c r="I107" s="43">
        <f t="shared" si="13"/>
        <v>2.9189189189189189</v>
      </c>
      <c r="J107" s="35">
        <f t="shared" si="16"/>
        <v>1612.7048458149779</v>
      </c>
      <c r="K107" s="43">
        <f t="shared" si="14"/>
        <v>12.27027027027027</v>
      </c>
      <c r="L107" s="43">
        <f t="shared" si="17"/>
        <v>184.16691140479688</v>
      </c>
    </row>
    <row r="108" spans="1:12">
      <c r="A108" s="10">
        <v>107</v>
      </c>
      <c r="B108" s="9">
        <f>Ranges!C113/(1.5*((5+A108)/(1+A108)))</f>
        <v>680.85714285714289</v>
      </c>
      <c r="C108" s="48">
        <f>Ranges!C113/B108</f>
        <v>1.5555555555555554</v>
      </c>
      <c r="D108" s="48">
        <f>Ranges!N113/B108</f>
        <v>5.1376416281997477</v>
      </c>
      <c r="E108" s="43">
        <f t="shared" si="12"/>
        <v>4.0892857142857144</v>
      </c>
      <c r="F108" s="43">
        <f t="shared" si="15"/>
        <v>557.20135856380386</v>
      </c>
      <c r="G108" s="45">
        <f>Ranges!C113/F108</f>
        <v>1.9007690753679931</v>
      </c>
      <c r="H108" s="45">
        <f>Ranges!N113/F108</f>
        <v>6.2778023532034366</v>
      </c>
      <c r="I108" s="43">
        <f t="shared" si="13"/>
        <v>2.9196428571428572</v>
      </c>
      <c r="J108" s="35">
        <f t="shared" si="16"/>
        <v>1626.8289665211059</v>
      </c>
      <c r="K108" s="43">
        <f t="shared" si="14"/>
        <v>12.267857142857142</v>
      </c>
      <c r="L108" s="43">
        <f t="shared" si="17"/>
        <v>185.73378618793464</v>
      </c>
    </row>
    <row r="109" spans="1:12">
      <c r="A109" s="10">
        <v>108</v>
      </c>
      <c r="B109" s="9">
        <f>Ranges!C114/(1.5*((5+A109)/(1+A109)))</f>
        <v>687.22517207472958</v>
      </c>
      <c r="C109" s="48">
        <f>Ranges!C114/B109</f>
        <v>1.5550458715596331</v>
      </c>
      <c r="D109" s="48">
        <f>Ranges!N114/B109</f>
        <v>5.1307782998620706</v>
      </c>
      <c r="E109" s="43">
        <f t="shared" si="12"/>
        <v>4.0884955752212386</v>
      </c>
      <c r="F109" s="43">
        <f t="shared" si="15"/>
        <v>561.901875901876</v>
      </c>
      <c r="G109" s="45">
        <f>Ranges!C114/F109</f>
        <v>1.9018741750086028</v>
      </c>
      <c r="H109" s="45">
        <f>Ranges!N114/F109</f>
        <v>6.2751169754338738</v>
      </c>
      <c r="I109" s="43">
        <f t="shared" si="13"/>
        <v>2.9203539823008851</v>
      </c>
      <c r="J109" s="35">
        <f t="shared" si="16"/>
        <v>1640.9523809523812</v>
      </c>
      <c r="K109" s="43">
        <f t="shared" si="14"/>
        <v>12.265486725663717</v>
      </c>
      <c r="L109" s="43">
        <f t="shared" si="17"/>
        <v>187.30062530062531</v>
      </c>
    </row>
    <row r="110" spans="1:12">
      <c r="A110" s="10">
        <v>109</v>
      </c>
      <c r="B110" s="9">
        <f>Ranges!C115/(1.5*((5+A110)/(1+A110)))</f>
        <v>693.59324236517205</v>
      </c>
      <c r="C110" s="48">
        <f>Ranges!C115/B110</f>
        <v>1.5545454545454549</v>
      </c>
      <c r="D110" s="48">
        <f>Ranges!N115/B110</f>
        <v>5.1240406954957667</v>
      </c>
      <c r="E110" s="43">
        <f t="shared" si="12"/>
        <v>4.0877192982456139</v>
      </c>
      <c r="F110" s="43">
        <f t="shared" si="15"/>
        <v>566.60228898426317</v>
      </c>
      <c r="G110" s="45">
        <f>Ranges!C115/F110</f>
        <v>1.902961289046555</v>
      </c>
      <c r="H110" s="45">
        <f>Ranges!N115/F110</f>
        <v>6.2724773074446736</v>
      </c>
      <c r="I110" s="43">
        <f t="shared" si="13"/>
        <v>2.9210526315789473</v>
      </c>
      <c r="J110" s="35">
        <f t="shared" si="16"/>
        <v>1655.075107296137</v>
      </c>
      <c r="K110" s="43">
        <f t="shared" si="14"/>
        <v>12.263157894736842</v>
      </c>
      <c r="L110" s="43">
        <f t="shared" si="17"/>
        <v>188.86742966142106</v>
      </c>
    </row>
    <row r="111" spans="1:12">
      <c r="A111" s="10">
        <v>110</v>
      </c>
      <c r="B111" s="9">
        <f>Ranges!C116/(1.5*((5+A111)/(1+A111)))</f>
        <v>699.9613526570048</v>
      </c>
      <c r="C111" s="48">
        <f>Ranges!C116/B111</f>
        <v>1.5540540540540542</v>
      </c>
      <c r="D111" s="48">
        <f>Ranges!N116/B111</f>
        <v>5.1174253927062923</v>
      </c>
      <c r="E111" s="43">
        <f t="shared" si="12"/>
        <v>4.0869565217391308</v>
      </c>
      <c r="F111" s="43">
        <f t="shared" si="15"/>
        <v>571.3026004728132</v>
      </c>
      <c r="G111" s="45">
        <f>Ranges!C116/F111</f>
        <v>1.9040308531372463</v>
      </c>
      <c r="H111" s="45">
        <f>Ranges!N116/F111</f>
        <v>6.2698821903410158</v>
      </c>
      <c r="I111" s="43">
        <f t="shared" si="13"/>
        <v>2.9217391304347826</v>
      </c>
      <c r="J111" s="35">
        <f t="shared" si="16"/>
        <v>1669.1971631205672</v>
      </c>
      <c r="K111" s="43">
        <f t="shared" si="14"/>
        <v>12.260869565217392</v>
      </c>
      <c r="L111" s="43">
        <f t="shared" si="17"/>
        <v>190.43420015760441</v>
      </c>
    </row>
    <row r="112" spans="1:12">
      <c r="A112" s="10">
        <v>111</v>
      </c>
      <c r="B112" s="9">
        <f>Ranges!C117/(1.5*((5+A112)/(1+A112)))</f>
        <v>706.32950191570865</v>
      </c>
      <c r="C112" s="48">
        <f>Ranges!C117/B112</f>
        <v>1.5535714285714288</v>
      </c>
      <c r="D112" s="48">
        <f>Ranges!N117/B112</f>
        <v>5.1109290921714994</v>
      </c>
      <c r="E112" s="43">
        <f t="shared" si="12"/>
        <v>4.0862068965517242</v>
      </c>
      <c r="F112" s="43">
        <f t="shared" si="15"/>
        <v>576.00281293952173</v>
      </c>
      <c r="G112" s="45">
        <f>Ranges!C117/F112</f>
        <v>1.9050832889744054</v>
      </c>
      <c r="H112" s="45">
        <f>Ranges!N117/F112</f>
        <v>6.2673305041290437</v>
      </c>
      <c r="I112" s="43">
        <f t="shared" si="13"/>
        <v>2.9224137931034484</v>
      </c>
      <c r="J112" s="35">
        <f t="shared" si="16"/>
        <v>1683.3185654008437</v>
      </c>
      <c r="K112" s="43">
        <f t="shared" si="14"/>
        <v>12.258620689655173</v>
      </c>
      <c r="L112" s="43">
        <f t="shared" si="17"/>
        <v>192.00093764650725</v>
      </c>
    </row>
    <row r="113" spans="1:12">
      <c r="A113" s="10">
        <v>112</v>
      </c>
      <c r="B113" s="9">
        <f>Ranges!C118/(1.5*((5+A113)/(1+A113)))</f>
        <v>712.69768914213353</v>
      </c>
      <c r="C113" s="48">
        <f>Ranges!C118/B113</f>
        <v>1.5530973451327434</v>
      </c>
      <c r="D113" s="48">
        <f>Ranges!N118/B113</f>
        <v>5.104548612159836</v>
      </c>
      <c r="E113" s="43">
        <f t="shared" si="12"/>
        <v>4.0854700854700852</v>
      </c>
      <c r="F113" s="43">
        <f t="shared" si="15"/>
        <v>580.70292887029291</v>
      </c>
      <c r="G113" s="45">
        <f>Ranges!C118/F113</f>
        <v>1.9061190048451195</v>
      </c>
      <c r="H113" s="45">
        <f>Ranges!N118/F113</f>
        <v>6.264821166095051</v>
      </c>
      <c r="I113" s="43">
        <f t="shared" si="13"/>
        <v>2.9230769230769229</v>
      </c>
      <c r="J113" s="35">
        <f t="shared" si="16"/>
        <v>1697.439330543933</v>
      </c>
      <c r="K113" s="43">
        <f t="shared" si="14"/>
        <v>12.256410256410255</v>
      </c>
      <c r="L113" s="43">
        <f t="shared" si="17"/>
        <v>193.5676429567643</v>
      </c>
    </row>
    <row r="114" spans="1:12">
      <c r="A114" s="10">
        <v>113</v>
      </c>
      <c r="B114" s="9">
        <f>Ranges!C119/(1.5*((5+A114)/(1+A114)))</f>
        <v>719.06591337099803</v>
      </c>
      <c r="C114" s="48">
        <f>Ranges!C119/B114</f>
        <v>1.5526315789473684</v>
      </c>
      <c r="D114" s="48">
        <f>Ranges!N119/B114</f>
        <v>5.098280883338921</v>
      </c>
      <c r="E114" s="43">
        <f t="shared" si="12"/>
        <v>4.0847457627118642</v>
      </c>
      <c r="F114" s="43">
        <f t="shared" si="15"/>
        <v>585.40295066851081</v>
      </c>
      <c r="G114" s="45">
        <f>Ranges!C119/F114</f>
        <v>1.9071383961585806</v>
      </c>
      <c r="H114" s="45">
        <f>Ranges!N119/F114</f>
        <v>6.2623531292651489</v>
      </c>
      <c r="I114" s="43">
        <f t="shared" si="13"/>
        <v>2.9237288135593222</v>
      </c>
      <c r="J114" s="35">
        <f t="shared" si="16"/>
        <v>1711.5594744121715</v>
      </c>
      <c r="K114" s="43">
        <f t="shared" si="14"/>
        <v>12.254237288135592</v>
      </c>
      <c r="L114" s="43">
        <f t="shared" si="17"/>
        <v>195.13431688950362</v>
      </c>
    </row>
    <row r="115" spans="1:12">
      <c r="A115" s="10">
        <v>114</v>
      </c>
      <c r="B115" s="9">
        <f>Ranges!C120/(1.5*((5+A115)/(1+A115)))</f>
        <v>725.43417366946767</v>
      </c>
      <c r="C115" s="48">
        <f>Ranges!C120/B115</f>
        <v>1.5521739130434786</v>
      </c>
      <c r="D115" s="48">
        <f>Ranges!N120/B115</f>
        <v>5.0921229438566691</v>
      </c>
      <c r="E115" s="43">
        <f t="shared" si="12"/>
        <v>4.0840336134453779</v>
      </c>
      <c r="F115" s="43">
        <f t="shared" si="15"/>
        <v>590.10288065843622</v>
      </c>
      <c r="G115" s="45">
        <f>Ranges!C120/F115</f>
        <v>1.9081418459499981</v>
      </c>
      <c r="H115" s="45">
        <f>Ranges!N120/F115</f>
        <v>6.259925380940758</v>
      </c>
      <c r="I115" s="43">
        <f t="shared" si="13"/>
        <v>2.9243697478991595</v>
      </c>
      <c r="J115" s="35">
        <f t="shared" si="16"/>
        <v>1725.679012345679</v>
      </c>
      <c r="K115" s="43">
        <f t="shared" si="14"/>
        <v>12.252100840336134</v>
      </c>
      <c r="L115" s="43">
        <f t="shared" si="17"/>
        <v>196.70096021947876</v>
      </c>
    </row>
    <row r="116" spans="1:12">
      <c r="A116" s="10">
        <v>115</v>
      </c>
      <c r="B116" s="9">
        <f>Ranges!C121/(1.5*((5+A116)/(1+A116)))</f>
        <v>731.80246913580231</v>
      </c>
      <c r="C116" s="48">
        <f>Ranges!C121/B116</f>
        <v>1.5517241379310347</v>
      </c>
      <c r="D116" s="48">
        <f>Ranges!N121/B116</f>
        <v>5.0860719346784542</v>
      </c>
      <c r="E116" s="43">
        <f t="shared" si="12"/>
        <v>4.083333333333333</v>
      </c>
      <c r="F116" s="43">
        <f t="shared" si="15"/>
        <v>594.80272108843542</v>
      </c>
      <c r="G116" s="45">
        <f>Ranges!C121/F116</f>
        <v>1.9091297253610255</v>
      </c>
      <c r="H116" s="45">
        <f>Ranges!N121/F116</f>
        <v>6.2575369413056405</v>
      </c>
      <c r="I116" s="43">
        <f t="shared" si="13"/>
        <v>2.9249999999999998</v>
      </c>
      <c r="J116" s="35">
        <f t="shared" si="16"/>
        <v>1739.7979591836736</v>
      </c>
      <c r="K116" s="43">
        <f t="shared" si="14"/>
        <v>12.25</v>
      </c>
      <c r="L116" s="43">
        <f t="shared" si="17"/>
        <v>198.26757369614512</v>
      </c>
    </row>
    <row r="117" spans="1:12">
      <c r="A117" s="10">
        <v>116</v>
      </c>
      <c r="B117" s="9">
        <f>Ranges!C122/(1.5*((5+A117)/(1+A117)))</f>
        <v>738.17079889807144</v>
      </c>
      <c r="C117" s="48">
        <f>Ranges!C122/B117</f>
        <v>1.5512820512820515</v>
      </c>
      <c r="D117" s="48">
        <f>Ranges!N122/B117</f>
        <v>5.0801250951648793</v>
      </c>
      <c r="E117" s="43">
        <f t="shared" si="12"/>
        <v>4.0826446280991737</v>
      </c>
      <c r="F117" s="43">
        <f t="shared" si="15"/>
        <v>599.50247413405293</v>
      </c>
      <c r="G117" s="45">
        <f>Ranges!C122/F117</f>
        <v>1.9101023940979704</v>
      </c>
      <c r="H117" s="45">
        <f>Ranges!N122/F117</f>
        <v>6.2551868621003788</v>
      </c>
      <c r="I117" s="43">
        <f t="shared" si="13"/>
        <v>2.9256198347107438</v>
      </c>
      <c r="J117" s="35">
        <f t="shared" si="16"/>
        <v>1753.91632928475</v>
      </c>
      <c r="K117" s="43">
        <f t="shared" si="14"/>
        <v>12.24793388429752</v>
      </c>
      <c r="L117" s="43">
        <f t="shared" si="17"/>
        <v>199.83415804468433</v>
      </c>
    </row>
    <row r="118" spans="1:12">
      <c r="A118" s="10">
        <v>117</v>
      </c>
      <c r="B118" s="9">
        <f>Ranges!C123/(1.5*((5+A118)/(1+A118)))</f>
        <v>744.53916211293267</v>
      </c>
      <c r="C118" s="48">
        <f>Ranges!C123/B118</f>
        <v>1.5508474576271185</v>
      </c>
      <c r="D118" s="48">
        <f>Ranges!N123/B118</f>
        <v>5.0742797588757975</v>
      </c>
      <c r="E118" s="43">
        <f t="shared" si="12"/>
        <v>4.081967213114754</v>
      </c>
      <c r="F118" s="43">
        <f t="shared" si="15"/>
        <v>604.20214190093714</v>
      </c>
      <c r="G118" s="45">
        <f>Ranges!C123/F118</f>
        <v>1.9110602008689699</v>
      </c>
      <c r="H118" s="45">
        <f>Ranges!N123/F118</f>
        <v>6.2528742253605376</v>
      </c>
      <c r="I118" s="43">
        <f t="shared" si="13"/>
        <v>2.9262295081967213</v>
      </c>
      <c r="J118" s="35">
        <f t="shared" si="16"/>
        <v>1768.034136546185</v>
      </c>
      <c r="K118" s="43">
        <f t="shared" si="14"/>
        <v>12.245901639344261</v>
      </c>
      <c r="L118" s="43">
        <f t="shared" si="17"/>
        <v>201.40071396697905</v>
      </c>
    </row>
    <row r="119" spans="1:12">
      <c r="A119" s="10">
        <v>118</v>
      </c>
      <c r="B119" s="9">
        <f>Ranges!C124/(1.5*((5+A119)/(1+A119)))</f>
        <v>750.90755796446842</v>
      </c>
      <c r="C119" s="48">
        <f>Ranges!C124/B119</f>
        <v>1.5504201680672272</v>
      </c>
      <c r="D119" s="48">
        <f>Ranges!N124/B119</f>
        <v>5.0685333495872111</v>
      </c>
      <c r="E119" s="43">
        <f t="shared" si="12"/>
        <v>4.0813008130081299</v>
      </c>
      <c r="F119" s="43">
        <f t="shared" si="15"/>
        <v>608.90172642762286</v>
      </c>
      <c r="G119" s="45">
        <f>Ranges!C124/F119</f>
        <v>1.9120034838012692</v>
      </c>
      <c r="H119" s="45">
        <f>Ranges!N124/F119</f>
        <v>6.250598142214991</v>
      </c>
      <c r="I119" s="43">
        <f t="shared" si="13"/>
        <v>2.9268292682926829</v>
      </c>
      <c r="J119" s="35">
        <f t="shared" si="16"/>
        <v>1782.1513944223109</v>
      </c>
      <c r="K119" s="43">
        <f t="shared" si="14"/>
        <v>12.243902439024389</v>
      </c>
      <c r="L119" s="43">
        <f t="shared" si="17"/>
        <v>202.96724214254095</v>
      </c>
    </row>
    <row r="120" spans="1:12">
      <c r="A120" s="10">
        <v>119</v>
      </c>
      <c r="B120" s="9">
        <f>Ranges!C125/(1.5*((5+A120)/(1+A120)))</f>
        <v>757.27598566308234</v>
      </c>
      <c r="C120" s="48">
        <f>Ranges!C125/B120</f>
        <v>1.5500000000000003</v>
      </c>
      <c r="D120" s="48">
        <f>Ranges!N125/B120</f>
        <v>5.0628833775085198</v>
      </c>
      <c r="E120" s="43">
        <f t="shared" si="12"/>
        <v>4.080645161290323</v>
      </c>
      <c r="F120" s="43">
        <f t="shared" si="15"/>
        <v>613.60122968818621</v>
      </c>
      <c r="G120" s="45">
        <f>Ranges!C125/F120</f>
        <v>1.9129325708396259</v>
      </c>
      <c r="H120" s="45">
        <f>Ranges!N125/F120</f>
        <v>6.2483577517410192</v>
      </c>
      <c r="I120" s="43">
        <f t="shared" si="13"/>
        <v>2.9274193548387095</v>
      </c>
      <c r="J120" s="35">
        <f t="shared" si="16"/>
        <v>1796.2681159420288</v>
      </c>
      <c r="K120" s="43">
        <f t="shared" si="14"/>
        <v>12.241935483870968</v>
      </c>
      <c r="L120" s="43">
        <f t="shared" si="17"/>
        <v>204.53374322939541</v>
      </c>
    </row>
    <row r="121" spans="1:12">
      <c r="A121" s="10">
        <v>120</v>
      </c>
      <c r="B121" s="9">
        <f>Ranges!C126/(1.5*((5+A121)/(1+A121)))</f>
        <v>763.6444444444445</v>
      </c>
      <c r="C121" s="48">
        <f>Ranges!C126/B121</f>
        <v>1.549586776859504</v>
      </c>
      <c r="D121" s="48">
        <f>Ranges!N126/B121</f>
        <v>5.057327435688511</v>
      </c>
      <c r="E121" s="43">
        <f t="shared" si="12"/>
        <v>4.08</v>
      </c>
      <c r="F121" s="43">
        <f t="shared" si="15"/>
        <v>618.30065359477123</v>
      </c>
      <c r="G121" s="45">
        <f>Ranges!C126/F121</f>
        <v>1.9138477801268499</v>
      </c>
      <c r="H121" s="45">
        <f>Ranges!N126/F121</f>
        <v>6.2461522198731503</v>
      </c>
      <c r="I121" s="43">
        <f t="shared" si="13"/>
        <v>2.9279999999999999</v>
      </c>
      <c r="J121" s="35">
        <f t="shared" si="16"/>
        <v>1810.3843137254901</v>
      </c>
      <c r="K121" s="43">
        <f t="shared" si="14"/>
        <v>12.24</v>
      </c>
      <c r="L121" s="43">
        <f t="shared" si="17"/>
        <v>206.10021786492374</v>
      </c>
    </row>
    <row r="122" spans="1:12">
      <c r="A122" s="10">
        <v>121</v>
      </c>
      <c r="B122" s="9">
        <f>Ranges!C127/(1.5*((5+A122)/(1+A122)))</f>
        <v>770.01293356848907</v>
      </c>
      <c r="C122" s="48">
        <f>Ranges!C127/B122</f>
        <v>1.5491803278688525</v>
      </c>
      <c r="D122" s="48">
        <f>Ranges!N127/B122</f>
        <v>5.0518631965991547</v>
      </c>
      <c r="E122" s="43">
        <f t="shared" si="12"/>
        <v>4.0793650793650791</v>
      </c>
      <c r="F122" s="43">
        <f t="shared" si="15"/>
        <v>623</v>
      </c>
      <c r="G122" s="45">
        <f>Ranges!C127/F122</f>
        <v>1.914749420367398</v>
      </c>
      <c r="H122" s="45">
        <f>Ranges!N127/F122</f>
        <v>6.2439807383627608</v>
      </c>
      <c r="I122" s="43">
        <f t="shared" si="13"/>
        <v>2.9285714285714284</v>
      </c>
      <c r="J122" s="35">
        <f t="shared" si="16"/>
        <v>1824.4999999999998</v>
      </c>
      <c r="K122" s="43">
        <f t="shared" si="14"/>
        <v>12.238095238095237</v>
      </c>
      <c r="L122" s="43">
        <f t="shared" si="17"/>
        <v>207.66666666666669</v>
      </c>
    </row>
    <row r="123" spans="1:12">
      <c r="A123" s="10">
        <v>122</v>
      </c>
      <c r="B123" s="9">
        <f>Ranges!C128/(1.5*((5+A123)/(1+A123)))</f>
        <v>776.38145231846011</v>
      </c>
      <c r="C123" s="48">
        <f>Ranges!C128/B123</f>
        <v>1.5487804878048781</v>
      </c>
      <c r="D123" s="48">
        <f>Ranges!N128/B123</f>
        <v>5.0464884088870461</v>
      </c>
      <c r="E123" s="43">
        <f t="shared" si="12"/>
        <v>4.0787401574803148</v>
      </c>
      <c r="F123" s="43">
        <f t="shared" si="15"/>
        <v>627.69927069927076</v>
      </c>
      <c r="G123" s="45">
        <f>Ranges!C128/F123</f>
        <v>1.9156377911748963</v>
      </c>
      <c r="H123" s="45">
        <f>Ranges!N128/F123</f>
        <v>6.2418425237857331</v>
      </c>
      <c r="I123" s="43">
        <f t="shared" si="13"/>
        <v>2.9291338582677167</v>
      </c>
      <c r="J123" s="35">
        <f t="shared" si="16"/>
        <v>1838.6151866151868</v>
      </c>
      <c r="K123" s="43">
        <f t="shared" si="14"/>
        <v>12.236220472440944</v>
      </c>
      <c r="L123" s="43">
        <f t="shared" si="17"/>
        <v>209.23309023309022</v>
      </c>
    </row>
    <row r="124" spans="1:12">
      <c r="A124" s="10">
        <v>123</v>
      </c>
      <c r="B124" s="9">
        <f>Ranges!C129/(1.5*((5+A124)/(1+A124)))</f>
        <v>782.75</v>
      </c>
      <c r="C124" s="48">
        <f>Ranges!C129/B124</f>
        <v>1.5483870967741935</v>
      </c>
      <c r="D124" s="48">
        <f>Ranges!N129/B124</f>
        <v>5.0412008942829765</v>
      </c>
      <c r="E124" s="43">
        <f t="shared" si="12"/>
        <v>4.078125</v>
      </c>
      <c r="F124" s="43">
        <f t="shared" si="15"/>
        <v>632.39846743295016</v>
      </c>
      <c r="G124" s="45">
        <f>Ranges!C129/F124</f>
        <v>1.9165131834044205</v>
      </c>
      <c r="H124" s="45">
        <f>Ranges!N129/F124</f>
        <v>6.2397368165955802</v>
      </c>
      <c r="I124" s="43">
        <f t="shared" si="13"/>
        <v>2.9296875</v>
      </c>
      <c r="J124" s="35">
        <f t="shared" si="16"/>
        <v>1852.7298850574712</v>
      </c>
      <c r="K124" s="43">
        <f t="shared" si="14"/>
        <v>12.234375</v>
      </c>
      <c r="L124" s="43">
        <f t="shared" si="17"/>
        <v>210.79948914431674</v>
      </c>
    </row>
    <row r="125" spans="1:12">
      <c r="A125" s="10">
        <v>124</v>
      </c>
      <c r="B125" s="9">
        <f>Ranges!C130/(1.5*((5+A125)/(1+A125)))</f>
        <v>789.11857594028129</v>
      </c>
      <c r="C125" s="48">
        <f>Ranges!C130/B125</f>
        <v>1.548</v>
      </c>
      <c r="D125" s="48">
        <f>Ranges!N130/B125</f>
        <v>5.0359985446607247</v>
      </c>
      <c r="E125" s="43">
        <f t="shared" si="12"/>
        <v>4.0775193798449614</v>
      </c>
      <c r="F125" s="43">
        <f t="shared" si="15"/>
        <v>637.09759188846635</v>
      </c>
      <c r="G125" s="45">
        <f>Ranges!C130/F125</f>
        <v>1.9173758794702953</v>
      </c>
      <c r="H125" s="45">
        <f>Ranges!N130/F125</f>
        <v>6.2376628802196281</v>
      </c>
      <c r="I125" s="43">
        <f t="shared" si="13"/>
        <v>2.9302325581395348</v>
      </c>
      <c r="J125" s="35">
        <f t="shared" si="16"/>
        <v>1866.844106463878</v>
      </c>
      <c r="K125" s="43">
        <f t="shared" si="14"/>
        <v>12.232558139534884</v>
      </c>
      <c r="L125" s="43">
        <f t="shared" si="17"/>
        <v>212.36586396282215</v>
      </c>
    </row>
    <row r="126" spans="1:12">
      <c r="A126" s="10">
        <v>125</v>
      </c>
      <c r="B126" s="9">
        <f>Ranges!C131/(1.5*((5+A126)/(1+A126)))</f>
        <v>795.48717948717933</v>
      </c>
      <c r="C126" s="48">
        <f>Ranges!C131/B126</f>
        <v>1.5476190476190479</v>
      </c>
      <c r="D126" s="48">
        <f>Ranges!N131/B126</f>
        <v>5.0308793192367212</v>
      </c>
      <c r="E126" s="43">
        <f t="shared" si="12"/>
        <v>4.0769230769230766</v>
      </c>
      <c r="F126" s="43">
        <f t="shared" si="15"/>
        <v>641.79664570230614</v>
      </c>
      <c r="G126" s="45">
        <f>Ranges!C131/F126</f>
        <v>1.918226153650163</v>
      </c>
      <c r="H126" s="45">
        <f>Ranges!N131/F126</f>
        <v>6.2356200001959898</v>
      </c>
      <c r="I126" s="43">
        <f t="shared" si="13"/>
        <v>2.9307692307692306</v>
      </c>
      <c r="J126" s="35">
        <f t="shared" si="16"/>
        <v>1880.9578616352201</v>
      </c>
      <c r="K126" s="43">
        <f t="shared" si="14"/>
        <v>12.23076923076923</v>
      </c>
      <c r="L126" s="43">
        <f t="shared" si="17"/>
        <v>213.93221523410205</v>
      </c>
    </row>
    <row r="127" spans="1:12">
      <c r="A127" s="10">
        <v>126</v>
      </c>
      <c r="B127" s="9">
        <f>Ranges!C132/(1.5*((5+A127)/(1+A127)))</f>
        <v>801.85581000848185</v>
      </c>
      <c r="C127" s="48">
        <f>Ranges!C132/B127</f>
        <v>1.5472440944881889</v>
      </c>
      <c r="D127" s="48">
        <f>Ranges!N132/B127</f>
        <v>5.0258412419027945</v>
      </c>
      <c r="E127" s="43">
        <f t="shared" si="12"/>
        <v>4.0763358778625953</v>
      </c>
      <c r="F127" s="43">
        <f t="shared" si="15"/>
        <v>646.49563046192259</v>
      </c>
      <c r="G127" s="45">
        <f>Ranges!C132/F127</f>
        <v>1.9190642723759905</v>
      </c>
      <c r="H127" s="45">
        <f>Ranges!N132/F127</f>
        <v>6.2336074833492008</v>
      </c>
      <c r="I127" s="43">
        <f t="shared" si="13"/>
        <v>2.9312977099236641</v>
      </c>
      <c r="J127" s="35">
        <f t="shared" si="16"/>
        <v>1895.0711610486892</v>
      </c>
      <c r="K127" s="43">
        <f t="shared" si="14"/>
        <v>12.229007633587786</v>
      </c>
      <c r="L127" s="43">
        <f t="shared" si="17"/>
        <v>215.4985434873075</v>
      </c>
    </row>
    <row r="128" spans="1:12">
      <c r="A128" s="10">
        <v>127</v>
      </c>
      <c r="B128" s="9">
        <f>Ranges!C133/(1.5*((5+A128)/(1+A128)))</f>
        <v>808.22446689113349</v>
      </c>
      <c r="C128" s="48">
        <f>Ranges!C133/B128</f>
        <v>1.546875</v>
      </c>
      <c r="D128" s="48">
        <f>Ranges!N133/B128</f>
        <v>5.0208823986846784</v>
      </c>
      <c r="E128" s="43">
        <f t="shared" si="12"/>
        <v>4.0757575757575761</v>
      </c>
      <c r="F128" s="43">
        <f t="shared" si="15"/>
        <v>651.19454770755874</v>
      </c>
      <c r="G128" s="45">
        <f>Ranges!C133/F128</f>
        <v>1.9198904945126742</v>
      </c>
      <c r="H128" s="45">
        <f>Ranges!N133/F128</f>
        <v>6.2316246570024791</v>
      </c>
      <c r="I128" s="43">
        <f t="shared" si="13"/>
        <v>2.9318181818181817</v>
      </c>
      <c r="J128" s="35">
        <f t="shared" si="16"/>
        <v>1909.184014869888</v>
      </c>
      <c r="K128" s="43">
        <f t="shared" si="14"/>
        <v>12.227272727272728</v>
      </c>
      <c r="L128" s="43">
        <f t="shared" si="17"/>
        <v>217.0648492358529</v>
      </c>
    </row>
    <row r="129" spans="1:12">
      <c r="A129" s="10">
        <v>128</v>
      </c>
      <c r="B129" s="9">
        <f>Ranges!C134/(1.5*((5+A129)/(1+A129)))</f>
        <v>814.59314954051797</v>
      </c>
      <c r="C129" s="48">
        <f>Ranges!C134/B129</f>
        <v>1.5465116279069768</v>
      </c>
      <c r="D129" s="48">
        <f>Ranges!N134/B129</f>
        <v>5.0160009353193828</v>
      </c>
      <c r="E129" s="43">
        <f t="shared" si="12"/>
        <v>4.0751879699248121</v>
      </c>
      <c r="F129" s="43">
        <f t="shared" si="15"/>
        <v>655.89339893398937</v>
      </c>
      <c r="G129" s="45">
        <f>Ranges!C134/F129</f>
        <v>1.9207050716248553</v>
      </c>
      <c r="H129" s="45">
        <f>Ranges!N134/F129</f>
        <v>6.2296708682247681</v>
      </c>
      <c r="I129" s="43">
        <f t="shared" si="13"/>
        <v>2.9323308270676693</v>
      </c>
      <c r="J129" s="35">
        <f t="shared" si="16"/>
        <v>1923.2964329643298</v>
      </c>
      <c r="K129" s="43">
        <f t="shared" si="14"/>
        <v>12.225563909774436</v>
      </c>
      <c r="L129" s="43">
        <f t="shared" si="17"/>
        <v>218.63113297799646</v>
      </c>
    </row>
    <row r="130" spans="1:12">
      <c r="A130" s="10">
        <v>129</v>
      </c>
      <c r="B130" s="9">
        <f>Ranges!C135/(1.5*((5+A130)/(1+A130)))</f>
        <v>820.96185737976782</v>
      </c>
      <c r="C130" s="48">
        <f>Ranges!C135/B130</f>
        <v>1.546153846153846</v>
      </c>
      <c r="D130" s="48">
        <f>Ranges!N135/B130</f>
        <v>5.0111950549450546</v>
      </c>
      <c r="E130" s="43">
        <f t="shared" si="12"/>
        <v>4.0746268656716422</v>
      </c>
      <c r="F130" s="43">
        <f t="shared" ref="F130:F151" si="18">AVERAGE(C130:D130)*B130/E130</f>
        <v>660.5921855921855</v>
      </c>
      <c r="G130" s="45">
        <f>Ranges!C135/F130</f>
        <v>1.9215082482325216</v>
      </c>
      <c r="H130" s="45">
        <f>Ranges!N135/F130</f>
        <v>6.2277454831107626</v>
      </c>
      <c r="I130" s="43">
        <f t="shared" si="13"/>
        <v>2.9328358208955225</v>
      </c>
      <c r="J130" s="35">
        <f t="shared" ref="J130:J151" si="19">I130*F130</f>
        <v>1937.4084249084246</v>
      </c>
      <c r="K130" s="43">
        <f t="shared" si="14"/>
        <v>12.223880597014926</v>
      </c>
      <c r="L130" s="43">
        <f t="shared" ref="L130:L151" si="20">AVERAGE(C130:D130)*B130/K130</f>
        <v>220.19739519739517</v>
      </c>
    </row>
    <row r="131" spans="1:12">
      <c r="A131" s="10">
        <v>130</v>
      </c>
      <c r="B131" s="9">
        <f>Ranges!C136/(1.5*((5+A131)/(1+A131)))</f>
        <v>827.33058984910838</v>
      </c>
      <c r="C131" s="48">
        <f>Ranges!C136/B131</f>
        <v>1.5458015267175573</v>
      </c>
      <c r="D131" s="48">
        <f>Ranges!N136/B131</f>
        <v>5.0064630158972285</v>
      </c>
      <c r="E131" s="43">
        <f t="shared" ref="E131:E151" si="21">4*((2*A131+15)/(2*A131+10))</f>
        <v>4.0740740740740744</v>
      </c>
      <c r="F131" s="43">
        <f t="shared" si="18"/>
        <v>665.29090909090917</v>
      </c>
      <c r="G131" s="45">
        <f>Ranges!C136/F131</f>
        <v>1.9223002620559395</v>
      </c>
      <c r="H131" s="45">
        <f>Ranges!N136/F131</f>
        <v>6.2258478860922075</v>
      </c>
      <c r="I131" s="43">
        <f t="shared" ref="I131:I151" si="22">3*(A131+2)/(A131+5)</f>
        <v>2.9333333333333331</v>
      </c>
      <c r="J131" s="35">
        <f t="shared" si="19"/>
        <v>1951.52</v>
      </c>
      <c r="K131" s="43">
        <f t="shared" ref="K131:K151" si="23">E131*3</f>
        <v>12.222222222222223</v>
      </c>
      <c r="L131" s="43">
        <f t="shared" si="20"/>
        <v>221.76363636363638</v>
      </c>
    </row>
    <row r="132" spans="1:12">
      <c r="A132" s="10">
        <v>131</v>
      </c>
      <c r="B132" s="9">
        <f>Ranges!C137/(1.5*((5+A132)/(1+A132)))</f>
        <v>833.69934640522877</v>
      </c>
      <c r="C132" s="48">
        <f>Ranges!C137/B132</f>
        <v>1.5454545454545454</v>
      </c>
      <c r="D132" s="48">
        <f>Ranges!N137/B132</f>
        <v>5.0018031296058201</v>
      </c>
      <c r="E132" s="43">
        <f t="shared" si="21"/>
        <v>4.0735294117647056</v>
      </c>
      <c r="F132" s="43">
        <f t="shared" si="18"/>
        <v>669.98957079823504</v>
      </c>
      <c r="G132" s="45">
        <f>Ranges!C137/F132</f>
        <v>1.9230813442504389</v>
      </c>
      <c r="H132" s="45">
        <f>Ranges!N137/F132</f>
        <v>6.2239774792789735</v>
      </c>
      <c r="I132" s="43">
        <f t="shared" si="22"/>
        <v>2.9338235294117645</v>
      </c>
      <c r="J132" s="35">
        <f t="shared" si="19"/>
        <v>1965.6311672683512</v>
      </c>
      <c r="K132" s="43">
        <f t="shared" si="23"/>
        <v>12.220588235294116</v>
      </c>
      <c r="L132" s="43">
        <f t="shared" si="20"/>
        <v>223.32985693274506</v>
      </c>
    </row>
    <row r="133" spans="1:12">
      <c r="A133" s="10">
        <v>132</v>
      </c>
      <c r="B133" s="9">
        <f>Ranges!C138/(1.5*((5+A133)/(1+A133)))</f>
        <v>840.06812652068129</v>
      </c>
      <c r="C133" s="48">
        <f>Ranges!C138/B133</f>
        <v>1.5451127819548871</v>
      </c>
      <c r="D133" s="48">
        <f>Ranges!N138/B133</f>
        <v>4.9972137585875318</v>
      </c>
      <c r="E133" s="43">
        <f t="shared" si="21"/>
        <v>4.0729927007299267</v>
      </c>
      <c r="F133" s="43">
        <f t="shared" si="18"/>
        <v>674.68817204301081</v>
      </c>
      <c r="G133" s="45">
        <f>Ranges!C138/F133</f>
        <v>1.9238517196315301</v>
      </c>
      <c r="H133" s="45">
        <f>Ranges!N138/F133</f>
        <v>6.222133681828323</v>
      </c>
      <c r="I133" s="43">
        <f t="shared" si="22"/>
        <v>2.9343065693430659</v>
      </c>
      <c r="J133" s="35">
        <f t="shared" si="19"/>
        <v>1979.7419354838712</v>
      </c>
      <c r="K133" s="43">
        <f t="shared" si="23"/>
        <v>12.21897810218978</v>
      </c>
      <c r="L133" s="43">
        <f t="shared" si="20"/>
        <v>224.89605734767028</v>
      </c>
    </row>
    <row r="134" spans="1:12">
      <c r="A134" s="10">
        <v>133</v>
      </c>
      <c r="B134" s="9">
        <f>Ranges!C139/(1.5*((5+A134)/(1+A134)))</f>
        <v>846.43692968330629</v>
      </c>
      <c r="C134" s="48">
        <f>Ranges!C139/B134</f>
        <v>1.5447761194029852</v>
      </c>
      <c r="D134" s="48">
        <f>Ranges!N139/B134</f>
        <v>4.9926933145286494</v>
      </c>
      <c r="E134" s="43">
        <f t="shared" si="21"/>
        <v>4.0724637681159424</v>
      </c>
      <c r="F134" s="43">
        <f t="shared" si="18"/>
        <v>679.38671411625137</v>
      </c>
      <c r="G134" s="45">
        <f>Ranges!C139/F134</f>
        <v>1.9246116068908241</v>
      </c>
      <c r="H134" s="45">
        <f>Ranges!N139/F134</f>
        <v>6.2203159293410613</v>
      </c>
      <c r="I134" s="43">
        <f t="shared" si="22"/>
        <v>2.9347826086956523</v>
      </c>
      <c r="J134" s="35">
        <f t="shared" si="19"/>
        <v>1993.8523131672596</v>
      </c>
      <c r="K134" s="43">
        <f t="shared" si="23"/>
        <v>12.217391304347828</v>
      </c>
      <c r="L134" s="43">
        <f t="shared" si="20"/>
        <v>226.46223803875043</v>
      </c>
    </row>
    <row r="135" spans="1:12">
      <c r="A135" s="10">
        <v>134</v>
      </c>
      <c r="B135" s="9">
        <f>Ranges!C140/(1.5*((5+A135)/(1+A135)))</f>
        <v>852.80575539568338</v>
      </c>
      <c r="C135" s="48">
        <f>Ranges!C140/B135</f>
        <v>1.5444444444444445</v>
      </c>
      <c r="D135" s="48">
        <f>Ranges!N140/B135</f>
        <v>4.9882402564535182</v>
      </c>
      <c r="E135" s="43">
        <f t="shared" si="21"/>
        <v>4.0719424460431659</v>
      </c>
      <c r="F135" s="43">
        <f t="shared" si="18"/>
        <v>684.08519827247721</v>
      </c>
      <c r="G135" s="45">
        <f>Ranges!C140/F135</f>
        <v>1.925361218803179</v>
      </c>
      <c r="H135" s="45">
        <f>Ranges!N140/F135</f>
        <v>6.2185236732831548</v>
      </c>
      <c r="I135" s="43">
        <f t="shared" si="22"/>
        <v>2.935251798561151</v>
      </c>
      <c r="J135" s="35">
        <f t="shared" si="19"/>
        <v>2007.9623085983503</v>
      </c>
      <c r="K135" s="43">
        <f t="shared" si="23"/>
        <v>12.215827338129497</v>
      </c>
      <c r="L135" s="43">
        <f t="shared" si="20"/>
        <v>228.02839942415909</v>
      </c>
    </row>
    <row r="136" spans="1:12">
      <c r="A136" s="10">
        <v>135</v>
      </c>
      <c r="B136" s="9">
        <f>Ranges!C141/(1.5*((5+A136)/(1+A136)))</f>
        <v>859.17460317460336</v>
      </c>
      <c r="C136" s="48">
        <f>Ranges!C141/B136</f>
        <v>1.5441176470588234</v>
      </c>
      <c r="D136" s="48">
        <f>Ranges!N141/B136</f>
        <v>4.983853088974282</v>
      </c>
      <c r="E136" s="43">
        <f t="shared" si="21"/>
        <v>4.0714285714285712</v>
      </c>
      <c r="F136" s="43">
        <f t="shared" si="18"/>
        <v>688.78362573099423</v>
      </c>
      <c r="G136" s="45">
        <f>Ranges!C141/F136</f>
        <v>1.9261007624254978</v>
      </c>
      <c r="H136" s="45">
        <f>Ranges!N141/F136</f>
        <v>6.2167563804316446</v>
      </c>
      <c r="I136" s="43">
        <f t="shared" si="22"/>
        <v>2.9357142857142855</v>
      </c>
      <c r="J136" s="35">
        <f t="shared" si="19"/>
        <v>2022.0719298245615</v>
      </c>
      <c r="K136" s="43">
        <f t="shared" si="23"/>
        <v>12.214285714285714</v>
      </c>
      <c r="L136" s="43">
        <f t="shared" si="20"/>
        <v>229.5945419103314</v>
      </c>
    </row>
    <row r="137" spans="1:12">
      <c r="A137" s="10">
        <v>136</v>
      </c>
      <c r="B137" s="9">
        <f>Ranges!C142/(1.5*((5+A137)/(1+A137)))</f>
        <v>865.54347255056473</v>
      </c>
      <c r="C137" s="48">
        <f>Ranges!C142/B137</f>
        <v>1.5437956204379562</v>
      </c>
      <c r="D137" s="48">
        <f>Ranges!N142/B137</f>
        <v>4.9795303606176882</v>
      </c>
      <c r="E137" s="43">
        <f t="shared" si="21"/>
        <v>4.0709219858156027</v>
      </c>
      <c r="F137" s="43">
        <f t="shared" si="18"/>
        <v>693.48199767711958</v>
      </c>
      <c r="G137" s="45">
        <f>Ranges!C142/F137</f>
        <v>1.9268304392875646</v>
      </c>
      <c r="H137" s="45">
        <f>Ranges!N142/F137</f>
        <v>6.215013532343642</v>
      </c>
      <c r="I137" s="43">
        <f t="shared" si="22"/>
        <v>2.9361702127659575</v>
      </c>
      <c r="J137" s="35">
        <f t="shared" si="19"/>
        <v>2036.1811846689893</v>
      </c>
      <c r="K137" s="43">
        <f t="shared" si="23"/>
        <v>12.212765957446809</v>
      </c>
      <c r="L137" s="43">
        <f t="shared" si="20"/>
        <v>231.16066589237317</v>
      </c>
    </row>
    <row r="138" spans="1:12">
      <c r="A138" s="10">
        <v>137</v>
      </c>
      <c r="B138" s="9">
        <f>Ranges!C143/(1.5*((5+A138)/(1+A138)))</f>
        <v>871.91236306729286</v>
      </c>
      <c r="C138" s="48">
        <f>Ranges!C143/B138</f>
        <v>1.543478260869565</v>
      </c>
      <c r="D138" s="48">
        <f>Ranges!N143/B138</f>
        <v>4.9752706622250287</v>
      </c>
      <c r="E138" s="43">
        <f t="shared" si="21"/>
        <v>4.070422535211268</v>
      </c>
      <c r="F138" s="43">
        <f t="shared" si="18"/>
        <v>698.18031526336017</v>
      </c>
      <c r="G138" s="45">
        <f>Ranges!C143/F138</f>
        <v>1.9275504455752779</v>
      </c>
      <c r="H138" s="45">
        <f>Ranges!N143/F138</f>
        <v>6.2132946248472587</v>
      </c>
      <c r="I138" s="43">
        <f t="shared" si="22"/>
        <v>2.936619718309859</v>
      </c>
      <c r="J138" s="35">
        <f t="shared" si="19"/>
        <v>2050.2900807381775</v>
      </c>
      <c r="K138" s="43">
        <f t="shared" si="23"/>
        <v>12.211267605633804</v>
      </c>
      <c r="L138" s="43">
        <f t="shared" si="20"/>
        <v>232.72677175445338</v>
      </c>
    </row>
    <row r="139" spans="1:12">
      <c r="A139" s="10">
        <v>138</v>
      </c>
      <c r="B139" s="9">
        <f>Ranges!C144/(1.5*((5+A139)/(1+A139)))</f>
        <v>878.28127428127414</v>
      </c>
      <c r="C139" s="48">
        <f>Ranges!C144/B139</f>
        <v>1.5431654676258995</v>
      </c>
      <c r="D139" s="48">
        <f>Ranges!N144/B139</f>
        <v>4.9710726254215523</v>
      </c>
      <c r="E139" s="43">
        <f t="shared" si="21"/>
        <v>4.06993006993007</v>
      </c>
      <c r="F139" s="43">
        <f t="shared" si="18"/>
        <v>702.87857961053828</v>
      </c>
      <c r="G139" s="45">
        <f>Ranges!C144/F139</f>
        <v>1.9282609723066495</v>
      </c>
      <c r="H139" s="45">
        <f>Ranges!N144/F139</f>
        <v>6.2115991675534916</v>
      </c>
      <c r="I139" s="43">
        <f t="shared" si="22"/>
        <v>2.9370629370629371</v>
      </c>
      <c r="J139" s="35">
        <f t="shared" si="19"/>
        <v>2064.3986254295528</v>
      </c>
      <c r="K139" s="43">
        <f t="shared" si="23"/>
        <v>12.20979020979021</v>
      </c>
      <c r="L139" s="43">
        <f t="shared" si="20"/>
        <v>234.29285987017943</v>
      </c>
    </row>
    <row r="140" spans="1:12">
      <c r="A140" s="10">
        <v>139</v>
      </c>
      <c r="B140" s="9">
        <f>Ranges!C145/(1.5*((5+A140)/(1+A140)))</f>
        <v>884.65020576131701</v>
      </c>
      <c r="C140" s="48">
        <f>Ranges!C145/B140</f>
        <v>1.5428571428571427</v>
      </c>
      <c r="D140" s="48">
        <f>Ranges!N145/B140</f>
        <v>4.9669349211517879</v>
      </c>
      <c r="E140" s="43">
        <f t="shared" si="21"/>
        <v>4.0694444444444446</v>
      </c>
      <c r="F140" s="43">
        <f t="shared" si="18"/>
        <v>707.57679180887362</v>
      </c>
      <c r="G140" s="45">
        <f>Ranges!C145/F140</f>
        <v>1.9289622055008899</v>
      </c>
      <c r="H140" s="45">
        <f>Ranges!N145/F140</f>
        <v>6.2099266833879998</v>
      </c>
      <c r="I140" s="43">
        <f t="shared" si="22"/>
        <v>2.9375</v>
      </c>
      <c r="J140" s="35">
        <f t="shared" si="19"/>
        <v>2078.5068259385662</v>
      </c>
      <c r="K140" s="43">
        <f t="shared" si="23"/>
        <v>12.208333333333334</v>
      </c>
      <c r="L140" s="43">
        <f t="shared" si="20"/>
        <v>235.85893060295788</v>
      </c>
    </row>
    <row r="141" spans="1:12">
      <c r="A141" s="10">
        <v>140</v>
      </c>
      <c r="B141" s="9">
        <f>Ranges!C146/(1.5*((5+A141)/(1+A141)))</f>
        <v>891.01915708812248</v>
      </c>
      <c r="C141" s="48">
        <f>Ranges!C146/B141</f>
        <v>1.5425531914893618</v>
      </c>
      <c r="D141" s="48">
        <f>Ranges!N146/B141</f>
        <v>4.9628562582775766</v>
      </c>
      <c r="E141" s="43">
        <f t="shared" si="21"/>
        <v>4.068965517241379</v>
      </c>
      <c r="F141" s="43">
        <f t="shared" si="18"/>
        <v>712.27495291902073</v>
      </c>
      <c r="G141" s="45">
        <f>Ranges!C146/F141</f>
        <v>1.9296543263408932</v>
      </c>
      <c r="H141" s="45">
        <f>Ranges!N146/F141</f>
        <v>6.2082767081418648</v>
      </c>
      <c r="I141" s="43">
        <f t="shared" si="22"/>
        <v>2.9379310344827587</v>
      </c>
      <c r="J141" s="35">
        <f t="shared" si="19"/>
        <v>2092.614689265537</v>
      </c>
      <c r="K141" s="43">
        <f t="shared" si="23"/>
        <v>12.206896551724137</v>
      </c>
      <c r="L141" s="43">
        <f t="shared" si="20"/>
        <v>237.42498430634026</v>
      </c>
    </row>
    <row r="142" spans="1:12">
      <c r="A142" s="10">
        <v>141</v>
      </c>
      <c r="B142" s="9">
        <f>Ranges!C147/(1.5*((5+A142)/(1+A142)))</f>
        <v>897.38812785388131</v>
      </c>
      <c r="C142" s="48">
        <f>Ranges!C147/B142</f>
        <v>1.5422535211267605</v>
      </c>
      <c r="D142" s="48">
        <f>Ranges!N147/B142</f>
        <v>4.9588353822356099</v>
      </c>
      <c r="E142" s="43">
        <f t="shared" si="21"/>
        <v>4.0684931506849313</v>
      </c>
      <c r="F142" s="43">
        <f t="shared" si="18"/>
        <v>716.97306397306397</v>
      </c>
      <c r="G142" s="45">
        <f>Ranges!C147/F142</f>
        <v>1.9303375113294292</v>
      </c>
      <c r="H142" s="45">
        <f>Ranges!N147/F142</f>
        <v>6.2066487900404335</v>
      </c>
      <c r="I142" s="43">
        <f t="shared" si="22"/>
        <v>2.9383561643835616</v>
      </c>
      <c r="J142" s="35">
        <f t="shared" si="19"/>
        <v>2106.7222222222222</v>
      </c>
      <c r="K142" s="43">
        <f t="shared" si="23"/>
        <v>12.205479452054794</v>
      </c>
      <c r="L142" s="43">
        <f t="shared" si="20"/>
        <v>238.99102132435468</v>
      </c>
    </row>
    <row r="143" spans="1:12">
      <c r="A143" s="10">
        <v>142</v>
      </c>
      <c r="B143" s="9">
        <f>Ranges!C148/(1.5*((5+A143)/(1+A143)))</f>
        <v>903.75711766187953</v>
      </c>
      <c r="C143" s="48">
        <f>Ranges!C148/B143</f>
        <v>1.5419580419580419</v>
      </c>
      <c r="D143" s="48">
        <f>Ranges!N148/B143</f>
        <v>4.9548710737516348</v>
      </c>
      <c r="E143" s="43">
        <f t="shared" si="21"/>
        <v>4.0680272108843534</v>
      </c>
      <c r="F143" s="43">
        <f t="shared" si="18"/>
        <v>721.67112597547373</v>
      </c>
      <c r="G143" s="45">
        <f>Ranges!C148/F143</f>
        <v>1.9310119324393145</v>
      </c>
      <c r="H143" s="45">
        <f>Ranges!N148/F143</f>
        <v>6.2050424893293936</v>
      </c>
      <c r="I143" s="43">
        <f t="shared" si="22"/>
        <v>2.9387755102040818</v>
      </c>
      <c r="J143" s="35">
        <f t="shared" si="19"/>
        <v>2120.8294314381269</v>
      </c>
      <c r="K143" s="43">
        <f t="shared" si="23"/>
        <v>12.204081632653061</v>
      </c>
      <c r="L143" s="43">
        <f t="shared" si="20"/>
        <v>240.55704199182458</v>
      </c>
    </row>
    <row r="144" spans="1:12">
      <c r="A144" s="10">
        <v>143</v>
      </c>
      <c r="B144" s="9">
        <f>Ranges!C149/(1.5*((5+A144)/(1+A144)))</f>
        <v>910.12612612612622</v>
      </c>
      <c r="C144" s="48">
        <f>Ranges!C149/B144</f>
        <v>1.5416666666666665</v>
      </c>
      <c r="D144" s="48">
        <f>Ranges!N149/B144</f>
        <v>4.9509621476084886</v>
      </c>
      <c r="E144" s="43">
        <f t="shared" si="21"/>
        <v>4.0675675675675675</v>
      </c>
      <c r="F144" s="43">
        <f t="shared" si="18"/>
        <v>726.36913990402365</v>
      </c>
      <c r="G144" s="45">
        <f>Ranges!C149/F144</f>
        <v>1.9316777572578405</v>
      </c>
      <c r="H144" s="45">
        <f>Ranges!N149/F144</f>
        <v>6.2034573778772941</v>
      </c>
      <c r="I144" s="43">
        <f t="shared" si="22"/>
        <v>2.939189189189189</v>
      </c>
      <c r="J144" s="35">
        <f t="shared" si="19"/>
        <v>2134.9363233665558</v>
      </c>
      <c r="K144" s="43">
        <f t="shared" si="23"/>
        <v>12.202702702702702</v>
      </c>
      <c r="L144" s="43">
        <f t="shared" si="20"/>
        <v>242.12304663467458</v>
      </c>
    </row>
    <row r="145" spans="1:12">
      <c r="A145" s="10">
        <v>144</v>
      </c>
      <c r="B145" s="9">
        <f>Ranges!C150/(1.5*((5+A145)/(1+A145)))</f>
        <v>916.49515287099177</v>
      </c>
      <c r="C145" s="48">
        <f>Ranges!C150/B145</f>
        <v>1.5413793103448277</v>
      </c>
      <c r="D145" s="48">
        <f>Ranges!N150/B145</f>
        <v>4.9471074514653957</v>
      </c>
      <c r="E145" s="43">
        <f t="shared" si="21"/>
        <v>4.0671140939597317</v>
      </c>
      <c r="F145" s="43">
        <f t="shared" si="18"/>
        <v>731.06710671067106</v>
      </c>
      <c r="G145" s="45">
        <f>Ranges!C150/F145</f>
        <v>1.9323351491257112</v>
      </c>
      <c r="H145" s="45">
        <f>Ranges!N150/F145</f>
        <v>6.2018930387937523</v>
      </c>
      <c r="I145" s="43">
        <f t="shared" si="22"/>
        <v>2.9395973154362416</v>
      </c>
      <c r="J145" s="35">
        <f t="shared" si="19"/>
        <v>2149.0429042904289</v>
      </c>
      <c r="K145" s="43">
        <f t="shared" si="23"/>
        <v>12.201342281879196</v>
      </c>
      <c r="L145" s="43">
        <f t="shared" si="20"/>
        <v>243.68903557022367</v>
      </c>
    </row>
    <row r="146" spans="1:12">
      <c r="A146" s="10">
        <v>145</v>
      </c>
      <c r="B146" s="9">
        <f>Ranges!C151/(1.5*((5+A146)/(1+A146)))</f>
        <v>922.86419753086409</v>
      </c>
      <c r="C146" s="48">
        <f>Ranges!C151/B146</f>
        <v>1.5410958904109591</v>
      </c>
      <c r="D146" s="48">
        <f>Ranges!N151/B146</f>
        <v>4.9433058647260282</v>
      </c>
      <c r="E146" s="43">
        <f t="shared" si="21"/>
        <v>4.0666666666666664</v>
      </c>
      <c r="F146" s="43">
        <f t="shared" si="18"/>
        <v>735.76502732240442</v>
      </c>
      <c r="G146" s="45">
        <f>Ranges!C151/F146</f>
        <v>1.932984267270724</v>
      </c>
      <c r="H146" s="45">
        <f>Ranges!N151/F146</f>
        <v>6.2003490660626088</v>
      </c>
      <c r="I146" s="43">
        <f t="shared" si="22"/>
        <v>2.94</v>
      </c>
      <c r="J146" s="35">
        <f t="shared" si="19"/>
        <v>2163.1491803278691</v>
      </c>
      <c r="K146" s="43">
        <f t="shared" si="23"/>
        <v>12.2</v>
      </c>
      <c r="L146" s="43">
        <f t="shared" si="20"/>
        <v>245.25500910746817</v>
      </c>
    </row>
    <row r="147" spans="1:12">
      <c r="A147" s="10">
        <v>146</v>
      </c>
      <c r="B147" s="9">
        <f>Ranges!C152/(1.5*((5+A147)/(1+A147)))</f>
        <v>929.23325974981606</v>
      </c>
      <c r="C147" s="48">
        <f>Ranges!C152/B147</f>
        <v>1.5408163265306123</v>
      </c>
      <c r="D147" s="48">
        <f>Ranges!N152/B147</f>
        <v>4.9395562974530183</v>
      </c>
      <c r="E147" s="43">
        <f t="shared" si="21"/>
        <v>4.0662251655629138</v>
      </c>
      <c r="F147" s="43">
        <f t="shared" si="18"/>
        <v>740.46290264205572</v>
      </c>
      <c r="G147" s="45">
        <f>Ranges!C152/F147</f>
        <v>1.9336252669364422</v>
      </c>
      <c r="H147" s="45">
        <f>Ranges!N152/F147</f>
        <v>6.1988250641893856</v>
      </c>
      <c r="I147" s="43">
        <f t="shared" si="22"/>
        <v>2.9403973509933774</v>
      </c>
      <c r="J147" s="35">
        <f t="shared" si="19"/>
        <v>2177.255157437568</v>
      </c>
      <c r="K147" s="43">
        <f t="shared" si="23"/>
        <v>12.198675496688741</v>
      </c>
      <c r="L147" s="43">
        <f t="shared" si="20"/>
        <v>246.8209675473519</v>
      </c>
    </row>
    <row r="148" spans="1:12">
      <c r="A148" s="10">
        <v>147</v>
      </c>
      <c r="B148" s="9">
        <f>Ranges!C153/(1.5*((5+A148)/(1+A148)))</f>
        <v>935.60233918128665</v>
      </c>
      <c r="C148" s="48">
        <f>Ranges!C153/B148</f>
        <v>1.5405405405405403</v>
      </c>
      <c r="D148" s="48">
        <f>Ranges!N153/B148</f>
        <v>4.9358576893266992</v>
      </c>
      <c r="E148" s="43">
        <f t="shared" si="21"/>
        <v>4.0657894736842106</v>
      </c>
      <c r="F148" s="43">
        <f t="shared" si="18"/>
        <v>745.16073354908315</v>
      </c>
      <c r="G148" s="45">
        <f>Ranges!C153/F148</f>
        <v>1.9342582995060538</v>
      </c>
      <c r="H148" s="45">
        <f>Ranges!N153/F148</f>
        <v>6.1973206478623659</v>
      </c>
      <c r="I148" s="43">
        <f t="shared" si="22"/>
        <v>2.9407894736842106</v>
      </c>
      <c r="J148" s="35">
        <f t="shared" si="19"/>
        <v>2191.3608414239484</v>
      </c>
      <c r="K148" s="43">
        <f t="shared" si="23"/>
        <v>12.197368421052632</v>
      </c>
      <c r="L148" s="43">
        <f t="shared" si="20"/>
        <v>248.38691118302771</v>
      </c>
    </row>
    <row r="149" spans="1:12">
      <c r="A149" s="10">
        <v>148</v>
      </c>
      <c r="B149" s="9">
        <f>Ranges!C154/(1.5*((5+A149)/(1+A149)))</f>
        <v>941.97143548777535</v>
      </c>
      <c r="C149" s="48">
        <f>Ranges!C154/B149</f>
        <v>1.5402684563758389</v>
      </c>
      <c r="D149" s="48">
        <f>Ranges!N154/B149</f>
        <v>4.9322090086459891</v>
      </c>
      <c r="E149" s="43">
        <f t="shared" si="21"/>
        <v>4.0653594771241828</v>
      </c>
      <c r="F149" s="43">
        <f t="shared" si="18"/>
        <v>749.85852090032154</v>
      </c>
      <c r="G149" s="45">
        <f>Ranges!C154/F149</f>
        <v>1.9348835126216497</v>
      </c>
      <c r="H149" s="45">
        <f>Ranges!N154/F149</f>
        <v>6.1958354416267163</v>
      </c>
      <c r="I149" s="43">
        <f t="shared" si="22"/>
        <v>2.9411764705882355</v>
      </c>
      <c r="J149" s="35">
        <f t="shared" si="19"/>
        <v>2205.4662379421225</v>
      </c>
      <c r="K149" s="43">
        <f t="shared" si="23"/>
        <v>12.196078431372548</v>
      </c>
      <c r="L149" s="43">
        <f t="shared" si="20"/>
        <v>249.9528403001072</v>
      </c>
    </row>
    <row r="150" spans="1:12">
      <c r="A150" s="10">
        <v>149</v>
      </c>
      <c r="B150" s="9">
        <f>Ranges!C155/(1.5*((5+A150)/(1+A150)))</f>
        <v>948.34054834054825</v>
      </c>
      <c r="C150" s="48">
        <f>Ranges!C155/B150</f>
        <v>1.54</v>
      </c>
      <c r="D150" s="48">
        <f>Ranges!N155/B150</f>
        <v>4.9286092513694468</v>
      </c>
      <c r="E150" s="43">
        <f t="shared" si="21"/>
        <v>4.0649350649350646</v>
      </c>
      <c r="F150" s="43">
        <f t="shared" si="18"/>
        <v>754.55626553070647</v>
      </c>
      <c r="G150" s="45">
        <f>Ranges!C155/F150</f>
        <v>1.9355010502990939</v>
      </c>
      <c r="H150" s="45">
        <f>Ranges!N155/F150</f>
        <v>6.1943690795710351</v>
      </c>
      <c r="I150" s="43">
        <f t="shared" si="22"/>
        <v>2.9415584415584415</v>
      </c>
      <c r="J150" s="35">
        <f t="shared" si="19"/>
        <v>2219.5713525026626</v>
      </c>
      <c r="K150" s="43">
        <f t="shared" si="23"/>
        <v>12.194805194805195</v>
      </c>
      <c r="L150" s="43">
        <f t="shared" si="20"/>
        <v>251.51875517690215</v>
      </c>
    </row>
    <row r="151" spans="1:12">
      <c r="A151" s="10">
        <v>150</v>
      </c>
      <c r="B151" s="9">
        <f>Ranges!C156/(1.5*((5+A151)/(1+A151)))</f>
        <v>954.70967741935499</v>
      </c>
      <c r="C151" s="48">
        <f>Ranges!C156/B151</f>
        <v>1.5397350993377481</v>
      </c>
      <c r="D151" s="48">
        <f>Ranges!N156/B151</f>
        <v>4.9250574401946201</v>
      </c>
      <c r="E151" s="43">
        <f t="shared" si="21"/>
        <v>4.064516129032258</v>
      </c>
      <c r="F151" s="43">
        <f t="shared" si="18"/>
        <v>759.25396825396831</v>
      </c>
      <c r="G151" s="45">
        <f>Ranges!C156/F151</f>
        <v>1.9361110530386969</v>
      </c>
      <c r="H151" s="45">
        <f>Ranges!N156/F151</f>
        <v>6.1929212050258187</v>
      </c>
      <c r="I151" s="43">
        <f t="shared" si="22"/>
        <v>2.9419354838709677</v>
      </c>
      <c r="J151" s="35">
        <f t="shared" si="19"/>
        <v>2233.6761904761906</v>
      </c>
      <c r="K151" s="43">
        <f t="shared" si="23"/>
        <v>12.193548387096774</v>
      </c>
      <c r="L151" s="43">
        <f t="shared" si="20"/>
        <v>253.08465608465607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:E151"/>
  <sheetViews>
    <sheetView workbookViewId="0">
      <selection activeCell="E7" sqref="E7"/>
    </sheetView>
  </sheetViews>
  <sheetFormatPr defaultRowHeight="15"/>
  <cols>
    <col min="2" max="2" width="16" style="71" customWidth="1"/>
    <col min="3" max="3" width="24" style="73" bestFit="1" customWidth="1"/>
    <col min="4" max="4" width="17.7109375" bestFit="1" customWidth="1"/>
    <col min="5" max="5" width="14.5703125" customWidth="1"/>
  </cols>
  <sheetData>
    <row r="1" spans="1:5">
      <c r="A1" s="64" t="s">
        <v>53</v>
      </c>
      <c r="B1" s="74" t="s">
        <v>514</v>
      </c>
      <c r="C1" s="72" t="s">
        <v>518</v>
      </c>
      <c r="D1" s="1" t="s">
        <v>516</v>
      </c>
      <c r="E1" s="1" t="s">
        <v>517</v>
      </c>
    </row>
    <row r="2" spans="1:5">
      <c r="A2" s="64">
        <v>1</v>
      </c>
      <c r="B2" s="71">
        <f>A2*6+44</f>
        <v>50</v>
      </c>
      <c r="C2" s="73">
        <f>20%*1/B2</f>
        <v>4.0000000000000001E-3</v>
      </c>
      <c r="D2" t="s">
        <v>401</v>
      </c>
      <c r="E2" s="28">
        <v>0.45</v>
      </c>
    </row>
    <row r="3" spans="1:5">
      <c r="A3" s="64">
        <v>2</v>
      </c>
      <c r="B3" s="71">
        <f>A3*6+44</f>
        <v>56</v>
      </c>
      <c r="C3" s="73">
        <f t="shared" ref="C3:C66" si="0">20%*1/B3</f>
        <v>3.5714285714285718E-3</v>
      </c>
      <c r="D3" t="s">
        <v>483</v>
      </c>
      <c r="E3" s="28">
        <v>0.1</v>
      </c>
    </row>
    <row r="4" spans="1:5">
      <c r="A4" s="64">
        <v>3</v>
      </c>
      <c r="B4" s="71">
        <f t="shared" ref="B4:B67" si="1">A4*6+44</f>
        <v>62</v>
      </c>
      <c r="C4" s="73">
        <f t="shared" si="0"/>
        <v>3.2258064516129032E-3</v>
      </c>
      <c r="D4" t="s">
        <v>484</v>
      </c>
      <c r="E4" s="28">
        <v>0.06</v>
      </c>
    </row>
    <row r="5" spans="1:5">
      <c r="A5" s="64">
        <v>4</v>
      </c>
      <c r="B5" s="71">
        <f t="shared" si="1"/>
        <v>68</v>
      </c>
      <c r="C5" s="73">
        <f t="shared" si="0"/>
        <v>2.9411764705882353E-3</v>
      </c>
      <c r="D5" t="s">
        <v>487</v>
      </c>
      <c r="E5" s="28">
        <v>0.1</v>
      </c>
    </row>
    <row r="6" spans="1:5">
      <c r="A6" s="64">
        <v>5</v>
      </c>
      <c r="B6" s="71">
        <f t="shared" si="1"/>
        <v>74</v>
      </c>
      <c r="C6" s="73">
        <f t="shared" si="0"/>
        <v>2.7027027027027029E-3</v>
      </c>
      <c r="D6" t="s">
        <v>488</v>
      </c>
      <c r="E6" s="28">
        <v>0.04</v>
      </c>
    </row>
    <row r="7" spans="1:5">
      <c r="A7" s="64">
        <v>6</v>
      </c>
      <c r="B7" s="71">
        <f t="shared" si="1"/>
        <v>80</v>
      </c>
      <c r="C7" s="73">
        <f t="shared" si="0"/>
        <v>2.5000000000000001E-3</v>
      </c>
      <c r="D7" t="s">
        <v>475</v>
      </c>
      <c r="E7" s="28">
        <v>0.25</v>
      </c>
    </row>
    <row r="8" spans="1:5">
      <c r="A8" s="64">
        <v>7</v>
      </c>
      <c r="B8" s="71">
        <f t="shared" si="1"/>
        <v>86</v>
      </c>
      <c r="C8" s="73">
        <f t="shared" si="0"/>
        <v>2.3255813953488372E-3</v>
      </c>
      <c r="E8" s="28">
        <f>SUM(E2:E7)</f>
        <v>1</v>
      </c>
    </row>
    <row r="9" spans="1:5">
      <c r="A9" s="64">
        <v>8</v>
      </c>
      <c r="B9" s="71">
        <f t="shared" si="1"/>
        <v>92</v>
      </c>
      <c r="C9" s="73">
        <f t="shared" si="0"/>
        <v>2.1739130434782609E-3</v>
      </c>
    </row>
    <row r="10" spans="1:5">
      <c r="A10" s="64">
        <v>9</v>
      </c>
      <c r="B10" s="71">
        <f t="shared" si="1"/>
        <v>98</v>
      </c>
      <c r="C10" s="73">
        <f t="shared" si="0"/>
        <v>2.0408163265306124E-3</v>
      </c>
    </row>
    <row r="11" spans="1:5">
      <c r="A11" s="64">
        <v>10</v>
      </c>
      <c r="B11" s="71">
        <f t="shared" si="1"/>
        <v>104</v>
      </c>
      <c r="C11" s="73">
        <f t="shared" si="0"/>
        <v>1.9230769230769232E-3</v>
      </c>
    </row>
    <row r="12" spans="1:5">
      <c r="A12" s="64">
        <v>11</v>
      </c>
      <c r="B12" s="71">
        <f t="shared" si="1"/>
        <v>110</v>
      </c>
      <c r="C12" s="73">
        <f t="shared" si="0"/>
        <v>1.8181818181818182E-3</v>
      </c>
    </row>
    <row r="13" spans="1:5">
      <c r="A13" s="64">
        <v>12</v>
      </c>
      <c r="B13" s="71">
        <f t="shared" si="1"/>
        <v>116</v>
      </c>
      <c r="C13" s="73">
        <f t="shared" si="0"/>
        <v>1.724137931034483E-3</v>
      </c>
    </row>
    <row r="14" spans="1:5">
      <c r="A14" s="64">
        <v>13</v>
      </c>
      <c r="B14" s="71">
        <f t="shared" si="1"/>
        <v>122</v>
      </c>
      <c r="C14" s="73">
        <f t="shared" si="0"/>
        <v>1.639344262295082E-3</v>
      </c>
    </row>
    <row r="15" spans="1:5">
      <c r="A15" s="64">
        <v>14</v>
      </c>
      <c r="B15" s="71">
        <f t="shared" si="1"/>
        <v>128</v>
      </c>
      <c r="C15" s="73">
        <f t="shared" si="0"/>
        <v>1.5625000000000001E-3</v>
      </c>
    </row>
    <row r="16" spans="1:5">
      <c r="A16" s="64">
        <v>15</v>
      </c>
      <c r="B16" s="71">
        <f t="shared" si="1"/>
        <v>134</v>
      </c>
      <c r="C16" s="73">
        <f t="shared" si="0"/>
        <v>1.4925373134328358E-3</v>
      </c>
    </row>
    <row r="17" spans="1:3">
      <c r="A17" s="64">
        <v>16</v>
      </c>
      <c r="B17" s="71">
        <f t="shared" si="1"/>
        <v>140</v>
      </c>
      <c r="C17" s="73">
        <f t="shared" si="0"/>
        <v>1.4285714285714286E-3</v>
      </c>
    </row>
    <row r="18" spans="1:3">
      <c r="A18" s="64">
        <v>17</v>
      </c>
      <c r="B18" s="71">
        <f t="shared" si="1"/>
        <v>146</v>
      </c>
      <c r="C18" s="73">
        <f t="shared" si="0"/>
        <v>1.3698630136986301E-3</v>
      </c>
    </row>
    <row r="19" spans="1:3">
      <c r="A19" s="64">
        <v>18</v>
      </c>
      <c r="B19" s="71">
        <f t="shared" si="1"/>
        <v>152</v>
      </c>
      <c r="C19" s="73">
        <f t="shared" si="0"/>
        <v>1.3157894736842105E-3</v>
      </c>
    </row>
    <row r="20" spans="1:3">
      <c r="A20" s="64">
        <v>19</v>
      </c>
      <c r="B20" s="71">
        <f t="shared" si="1"/>
        <v>158</v>
      </c>
      <c r="C20" s="73">
        <f t="shared" si="0"/>
        <v>1.2658227848101266E-3</v>
      </c>
    </row>
    <row r="21" spans="1:3">
      <c r="A21" s="64">
        <v>20</v>
      </c>
      <c r="B21" s="71">
        <f t="shared" si="1"/>
        <v>164</v>
      </c>
      <c r="C21" s="73">
        <f t="shared" si="0"/>
        <v>1.2195121951219512E-3</v>
      </c>
    </row>
    <row r="22" spans="1:3">
      <c r="A22" s="64">
        <v>21</v>
      </c>
      <c r="B22" s="71">
        <f t="shared" si="1"/>
        <v>170</v>
      </c>
      <c r="C22" s="73">
        <f t="shared" si="0"/>
        <v>1.1764705882352942E-3</v>
      </c>
    </row>
    <row r="23" spans="1:3">
      <c r="A23" s="64">
        <v>22</v>
      </c>
      <c r="B23" s="71">
        <f t="shared" si="1"/>
        <v>176</v>
      </c>
      <c r="C23" s="73">
        <f t="shared" si="0"/>
        <v>1.1363636363636365E-3</v>
      </c>
    </row>
    <row r="24" spans="1:3">
      <c r="A24" s="64">
        <v>23</v>
      </c>
      <c r="B24" s="71">
        <f t="shared" si="1"/>
        <v>182</v>
      </c>
      <c r="C24" s="73">
        <f t="shared" si="0"/>
        <v>1.0989010989010989E-3</v>
      </c>
    </row>
    <row r="25" spans="1:3">
      <c r="A25" s="64">
        <v>24</v>
      </c>
      <c r="B25" s="71">
        <f t="shared" si="1"/>
        <v>188</v>
      </c>
      <c r="C25" s="73">
        <f t="shared" si="0"/>
        <v>1.0638297872340426E-3</v>
      </c>
    </row>
    <row r="26" spans="1:3">
      <c r="A26" s="64">
        <v>25</v>
      </c>
      <c r="B26" s="71">
        <f t="shared" si="1"/>
        <v>194</v>
      </c>
      <c r="C26" s="73">
        <f t="shared" si="0"/>
        <v>1.0309278350515464E-3</v>
      </c>
    </row>
    <row r="27" spans="1:3">
      <c r="A27" s="64">
        <v>26</v>
      </c>
      <c r="B27" s="71">
        <f t="shared" si="1"/>
        <v>200</v>
      </c>
      <c r="C27" s="73">
        <f t="shared" si="0"/>
        <v>1E-3</v>
      </c>
    </row>
    <row r="28" spans="1:3">
      <c r="A28" s="64">
        <v>27</v>
      </c>
      <c r="B28" s="71">
        <f t="shared" si="1"/>
        <v>206</v>
      </c>
      <c r="C28" s="73">
        <f t="shared" si="0"/>
        <v>9.7087378640776706E-4</v>
      </c>
    </row>
    <row r="29" spans="1:3">
      <c r="A29" s="64">
        <v>28</v>
      </c>
      <c r="B29" s="71">
        <f t="shared" si="1"/>
        <v>212</v>
      </c>
      <c r="C29" s="73">
        <f t="shared" si="0"/>
        <v>9.4339622641509435E-4</v>
      </c>
    </row>
    <row r="30" spans="1:3">
      <c r="A30" s="64">
        <v>29</v>
      </c>
      <c r="B30" s="71">
        <f t="shared" si="1"/>
        <v>218</v>
      </c>
      <c r="C30" s="73">
        <f t="shared" si="0"/>
        <v>9.1743119266055051E-4</v>
      </c>
    </row>
    <row r="31" spans="1:3">
      <c r="A31" s="64">
        <v>30</v>
      </c>
      <c r="B31" s="71">
        <f t="shared" si="1"/>
        <v>224</v>
      </c>
      <c r="C31" s="73">
        <f t="shared" si="0"/>
        <v>8.9285714285714294E-4</v>
      </c>
    </row>
    <row r="32" spans="1:3">
      <c r="A32" s="64">
        <v>31</v>
      </c>
      <c r="B32" s="71">
        <f t="shared" si="1"/>
        <v>230</v>
      </c>
      <c r="C32" s="73">
        <f t="shared" si="0"/>
        <v>8.6956521739130438E-4</v>
      </c>
    </row>
    <row r="33" spans="1:3">
      <c r="A33" s="64">
        <v>32</v>
      </c>
      <c r="B33" s="71">
        <f t="shared" si="1"/>
        <v>236</v>
      </c>
      <c r="C33" s="73">
        <f t="shared" si="0"/>
        <v>8.4745762711864415E-4</v>
      </c>
    </row>
    <row r="34" spans="1:3">
      <c r="A34" s="64">
        <v>33</v>
      </c>
      <c r="B34" s="71">
        <f t="shared" si="1"/>
        <v>242</v>
      </c>
      <c r="C34" s="73">
        <f t="shared" si="0"/>
        <v>8.2644628099173563E-4</v>
      </c>
    </row>
    <row r="35" spans="1:3">
      <c r="A35" s="64">
        <v>34</v>
      </c>
      <c r="B35" s="71">
        <f t="shared" si="1"/>
        <v>248</v>
      </c>
      <c r="C35" s="73">
        <f t="shared" si="0"/>
        <v>8.0645161290322581E-4</v>
      </c>
    </row>
    <row r="36" spans="1:3">
      <c r="A36" s="64">
        <v>35</v>
      </c>
      <c r="B36" s="71">
        <f t="shared" si="1"/>
        <v>254</v>
      </c>
      <c r="C36" s="73">
        <f t="shared" si="0"/>
        <v>7.874015748031497E-4</v>
      </c>
    </row>
    <row r="37" spans="1:3">
      <c r="A37" s="64">
        <v>36</v>
      </c>
      <c r="B37" s="71">
        <f t="shared" si="1"/>
        <v>260</v>
      </c>
      <c r="C37" s="73">
        <f t="shared" si="0"/>
        <v>7.6923076923076923E-4</v>
      </c>
    </row>
    <row r="38" spans="1:3">
      <c r="A38" s="64">
        <v>37</v>
      </c>
      <c r="B38" s="71">
        <f t="shared" si="1"/>
        <v>266</v>
      </c>
      <c r="C38" s="73">
        <f t="shared" si="0"/>
        <v>7.5187969924812035E-4</v>
      </c>
    </row>
    <row r="39" spans="1:3">
      <c r="A39" s="64">
        <v>38</v>
      </c>
      <c r="B39" s="71">
        <f t="shared" si="1"/>
        <v>272</v>
      </c>
      <c r="C39" s="73">
        <f t="shared" si="0"/>
        <v>7.3529411764705881E-4</v>
      </c>
    </row>
    <row r="40" spans="1:3">
      <c r="A40" s="64">
        <v>39</v>
      </c>
      <c r="B40" s="71">
        <f t="shared" si="1"/>
        <v>278</v>
      </c>
      <c r="C40" s="73">
        <f t="shared" si="0"/>
        <v>7.1942446043165469E-4</v>
      </c>
    </row>
    <row r="41" spans="1:3">
      <c r="A41" s="64">
        <v>40</v>
      </c>
      <c r="B41" s="71">
        <f t="shared" si="1"/>
        <v>284</v>
      </c>
      <c r="C41" s="73">
        <f t="shared" si="0"/>
        <v>7.0422535211267609E-4</v>
      </c>
    </row>
    <row r="42" spans="1:3">
      <c r="A42" s="64">
        <v>41</v>
      </c>
      <c r="B42" s="71">
        <f t="shared" si="1"/>
        <v>290</v>
      </c>
      <c r="C42" s="73">
        <f t="shared" si="0"/>
        <v>6.8965517241379316E-4</v>
      </c>
    </row>
    <row r="43" spans="1:3">
      <c r="A43" s="64">
        <v>42</v>
      </c>
      <c r="B43" s="71">
        <f t="shared" si="1"/>
        <v>296</v>
      </c>
      <c r="C43" s="73">
        <f t="shared" si="0"/>
        <v>6.7567567567567571E-4</v>
      </c>
    </row>
    <row r="44" spans="1:3">
      <c r="A44" s="64">
        <v>43</v>
      </c>
      <c r="B44" s="71">
        <f t="shared" si="1"/>
        <v>302</v>
      </c>
      <c r="C44" s="73">
        <f t="shared" si="0"/>
        <v>6.6225165562913907E-4</v>
      </c>
    </row>
    <row r="45" spans="1:3">
      <c r="A45" s="64">
        <v>44</v>
      </c>
      <c r="B45" s="71">
        <f t="shared" si="1"/>
        <v>308</v>
      </c>
      <c r="C45" s="73">
        <f t="shared" si="0"/>
        <v>6.4935064935064935E-4</v>
      </c>
    </row>
    <row r="46" spans="1:3">
      <c r="A46" s="64">
        <v>45</v>
      </c>
      <c r="B46" s="71">
        <f t="shared" si="1"/>
        <v>314</v>
      </c>
      <c r="C46" s="73">
        <f t="shared" si="0"/>
        <v>6.3694267515923574E-4</v>
      </c>
    </row>
    <row r="47" spans="1:3">
      <c r="A47" s="64">
        <v>46</v>
      </c>
      <c r="B47" s="71">
        <f t="shared" si="1"/>
        <v>320</v>
      </c>
      <c r="C47" s="73">
        <f t="shared" si="0"/>
        <v>6.2500000000000001E-4</v>
      </c>
    </row>
    <row r="48" spans="1:3">
      <c r="A48" s="64">
        <v>47</v>
      </c>
      <c r="B48" s="71">
        <f t="shared" si="1"/>
        <v>326</v>
      </c>
      <c r="C48" s="73">
        <f t="shared" si="0"/>
        <v>6.1349693251533746E-4</v>
      </c>
    </row>
    <row r="49" spans="1:3">
      <c r="A49" s="64">
        <v>48</v>
      </c>
      <c r="B49" s="71">
        <f t="shared" si="1"/>
        <v>332</v>
      </c>
      <c r="C49" s="73">
        <f t="shared" si="0"/>
        <v>6.0240963855421692E-4</v>
      </c>
    </row>
    <row r="50" spans="1:3">
      <c r="A50" s="64">
        <v>49</v>
      </c>
      <c r="B50" s="71">
        <f t="shared" si="1"/>
        <v>338</v>
      </c>
      <c r="C50" s="73">
        <f t="shared" si="0"/>
        <v>5.9171597633136095E-4</v>
      </c>
    </row>
    <row r="51" spans="1:3">
      <c r="A51" s="64">
        <v>50</v>
      </c>
      <c r="B51" s="71">
        <f t="shared" si="1"/>
        <v>344</v>
      </c>
      <c r="C51" s="73">
        <f t="shared" si="0"/>
        <v>5.8139534883720929E-4</v>
      </c>
    </row>
    <row r="52" spans="1:3">
      <c r="A52" s="64">
        <v>51</v>
      </c>
      <c r="B52" s="71">
        <f t="shared" si="1"/>
        <v>350</v>
      </c>
      <c r="C52" s="73">
        <f t="shared" si="0"/>
        <v>5.7142857142857147E-4</v>
      </c>
    </row>
    <row r="53" spans="1:3">
      <c r="A53" s="64">
        <v>52</v>
      </c>
      <c r="B53" s="71">
        <f t="shared" si="1"/>
        <v>356</v>
      </c>
      <c r="C53" s="73">
        <f t="shared" si="0"/>
        <v>5.6179775280898881E-4</v>
      </c>
    </row>
    <row r="54" spans="1:3">
      <c r="A54" s="64">
        <v>53</v>
      </c>
      <c r="B54" s="71">
        <f t="shared" si="1"/>
        <v>362</v>
      </c>
      <c r="C54" s="73">
        <f t="shared" si="0"/>
        <v>5.5248618784530391E-4</v>
      </c>
    </row>
    <row r="55" spans="1:3">
      <c r="A55" s="64">
        <v>54</v>
      </c>
      <c r="B55" s="71">
        <f t="shared" si="1"/>
        <v>368</v>
      </c>
      <c r="C55" s="73">
        <f t="shared" si="0"/>
        <v>5.4347826086956522E-4</v>
      </c>
    </row>
    <row r="56" spans="1:3">
      <c r="A56" s="64">
        <v>55</v>
      </c>
      <c r="B56" s="71">
        <f t="shared" si="1"/>
        <v>374</v>
      </c>
      <c r="C56" s="73">
        <f t="shared" si="0"/>
        <v>5.3475935828877007E-4</v>
      </c>
    </row>
    <row r="57" spans="1:3">
      <c r="A57" s="64">
        <v>56</v>
      </c>
      <c r="B57" s="71">
        <f t="shared" si="1"/>
        <v>380</v>
      </c>
      <c r="C57" s="73">
        <f t="shared" si="0"/>
        <v>5.263157894736842E-4</v>
      </c>
    </row>
    <row r="58" spans="1:3">
      <c r="A58" s="64">
        <v>57</v>
      </c>
      <c r="B58" s="71">
        <f t="shared" si="1"/>
        <v>386</v>
      </c>
      <c r="C58" s="73">
        <f t="shared" si="0"/>
        <v>5.1813471502590671E-4</v>
      </c>
    </row>
    <row r="59" spans="1:3">
      <c r="A59" s="64">
        <v>58</v>
      </c>
      <c r="B59" s="71">
        <f t="shared" si="1"/>
        <v>392</v>
      </c>
      <c r="C59" s="73">
        <f t="shared" si="0"/>
        <v>5.1020408163265311E-4</v>
      </c>
    </row>
    <row r="60" spans="1:3">
      <c r="A60" s="64">
        <v>59</v>
      </c>
      <c r="B60" s="71">
        <f t="shared" si="1"/>
        <v>398</v>
      </c>
      <c r="C60" s="73">
        <f t="shared" si="0"/>
        <v>5.025125628140704E-4</v>
      </c>
    </row>
    <row r="61" spans="1:3">
      <c r="A61" s="64">
        <v>60</v>
      </c>
      <c r="B61" s="71">
        <f t="shared" si="1"/>
        <v>404</v>
      </c>
      <c r="C61" s="73">
        <f t="shared" si="0"/>
        <v>4.9504950495049506E-4</v>
      </c>
    </row>
    <row r="62" spans="1:3">
      <c r="A62" s="64">
        <v>61</v>
      </c>
      <c r="B62" s="71">
        <f t="shared" si="1"/>
        <v>410</v>
      </c>
      <c r="C62" s="73">
        <f t="shared" si="0"/>
        <v>4.8780487804878054E-4</v>
      </c>
    </row>
    <row r="63" spans="1:3">
      <c r="A63" s="64">
        <v>62</v>
      </c>
      <c r="B63" s="71">
        <f t="shared" si="1"/>
        <v>416</v>
      </c>
      <c r="C63" s="73">
        <f t="shared" si="0"/>
        <v>4.807692307692308E-4</v>
      </c>
    </row>
    <row r="64" spans="1:3">
      <c r="A64" s="64">
        <v>63</v>
      </c>
      <c r="B64" s="71">
        <f t="shared" si="1"/>
        <v>422</v>
      </c>
      <c r="C64" s="73">
        <f t="shared" si="0"/>
        <v>4.7393364928909954E-4</v>
      </c>
    </row>
    <row r="65" spans="1:3">
      <c r="A65" s="64">
        <v>64</v>
      </c>
      <c r="B65" s="71">
        <f t="shared" si="1"/>
        <v>428</v>
      </c>
      <c r="C65" s="73">
        <f t="shared" si="0"/>
        <v>4.6728971962616824E-4</v>
      </c>
    </row>
    <row r="66" spans="1:3">
      <c r="A66" s="64">
        <v>65</v>
      </c>
      <c r="B66" s="71">
        <f t="shared" si="1"/>
        <v>434</v>
      </c>
      <c r="C66" s="73">
        <f t="shared" si="0"/>
        <v>4.608294930875576E-4</v>
      </c>
    </row>
    <row r="67" spans="1:3">
      <c r="A67" s="64">
        <v>66</v>
      </c>
      <c r="B67" s="71">
        <f t="shared" si="1"/>
        <v>440</v>
      </c>
      <c r="C67" s="73">
        <f t="shared" ref="C67:C130" si="2">20%*1/B67</f>
        <v>4.5454545454545455E-4</v>
      </c>
    </row>
    <row r="68" spans="1:3">
      <c r="A68" s="64">
        <v>67</v>
      </c>
      <c r="B68" s="71">
        <f t="shared" ref="B68:B131" si="3">A68*6+44</f>
        <v>446</v>
      </c>
      <c r="C68" s="73">
        <f t="shared" si="2"/>
        <v>4.4843049327354261E-4</v>
      </c>
    </row>
    <row r="69" spans="1:3">
      <c r="A69" s="64">
        <v>68</v>
      </c>
      <c r="B69" s="71">
        <f t="shared" si="3"/>
        <v>452</v>
      </c>
      <c r="C69" s="73">
        <f t="shared" si="2"/>
        <v>4.4247787610619474E-4</v>
      </c>
    </row>
    <row r="70" spans="1:3">
      <c r="A70" s="64">
        <v>69</v>
      </c>
      <c r="B70" s="71">
        <f t="shared" si="3"/>
        <v>458</v>
      </c>
      <c r="C70" s="73">
        <f t="shared" si="2"/>
        <v>4.3668122270742359E-4</v>
      </c>
    </row>
    <row r="71" spans="1:3">
      <c r="A71" s="64">
        <v>70</v>
      </c>
      <c r="B71" s="71">
        <f t="shared" si="3"/>
        <v>464</v>
      </c>
      <c r="C71" s="73">
        <f t="shared" si="2"/>
        <v>4.3103448275862074E-4</v>
      </c>
    </row>
    <row r="72" spans="1:3">
      <c r="A72" s="64">
        <v>71</v>
      </c>
      <c r="B72" s="71">
        <f t="shared" si="3"/>
        <v>470</v>
      </c>
      <c r="C72" s="73">
        <f t="shared" si="2"/>
        <v>4.2553191489361707E-4</v>
      </c>
    </row>
    <row r="73" spans="1:3">
      <c r="A73" s="64">
        <v>72</v>
      </c>
      <c r="B73" s="71">
        <f t="shared" si="3"/>
        <v>476</v>
      </c>
      <c r="C73" s="73">
        <f t="shared" si="2"/>
        <v>4.2016806722689078E-4</v>
      </c>
    </row>
    <row r="74" spans="1:3">
      <c r="A74" s="64">
        <v>73</v>
      </c>
      <c r="B74" s="71">
        <f t="shared" si="3"/>
        <v>482</v>
      </c>
      <c r="C74" s="73">
        <f t="shared" si="2"/>
        <v>4.1493775933609963E-4</v>
      </c>
    </row>
    <row r="75" spans="1:3">
      <c r="A75" s="64">
        <v>74</v>
      </c>
      <c r="B75" s="71">
        <f t="shared" si="3"/>
        <v>488</v>
      </c>
      <c r="C75" s="73">
        <f t="shared" si="2"/>
        <v>4.0983606557377049E-4</v>
      </c>
    </row>
    <row r="76" spans="1:3">
      <c r="A76" s="64">
        <v>75</v>
      </c>
      <c r="B76" s="71">
        <f t="shared" si="3"/>
        <v>494</v>
      </c>
      <c r="C76" s="73">
        <f t="shared" si="2"/>
        <v>4.0485829959514174E-4</v>
      </c>
    </row>
    <row r="77" spans="1:3">
      <c r="A77" s="64">
        <v>76</v>
      </c>
      <c r="B77" s="71">
        <f t="shared" si="3"/>
        <v>500</v>
      </c>
      <c r="C77" s="73">
        <f t="shared" si="2"/>
        <v>4.0000000000000002E-4</v>
      </c>
    </row>
    <row r="78" spans="1:3">
      <c r="A78" s="64">
        <v>77</v>
      </c>
      <c r="B78" s="71">
        <f t="shared" si="3"/>
        <v>506</v>
      </c>
      <c r="C78" s="73">
        <f t="shared" si="2"/>
        <v>3.9525691699604743E-4</v>
      </c>
    </row>
    <row r="79" spans="1:3">
      <c r="A79" s="64">
        <v>78</v>
      </c>
      <c r="B79" s="71">
        <f t="shared" si="3"/>
        <v>512</v>
      </c>
      <c r="C79" s="73">
        <f t="shared" si="2"/>
        <v>3.9062500000000002E-4</v>
      </c>
    </row>
    <row r="80" spans="1:3">
      <c r="A80" s="64">
        <v>79</v>
      </c>
      <c r="B80" s="71">
        <f t="shared" si="3"/>
        <v>518</v>
      </c>
      <c r="C80" s="73">
        <f t="shared" si="2"/>
        <v>3.861003861003861E-4</v>
      </c>
    </row>
    <row r="81" spans="1:3">
      <c r="A81" s="64">
        <v>80</v>
      </c>
      <c r="B81" s="71">
        <f t="shared" si="3"/>
        <v>524</v>
      </c>
      <c r="C81" s="73">
        <f t="shared" si="2"/>
        <v>3.816793893129771E-4</v>
      </c>
    </row>
    <row r="82" spans="1:3">
      <c r="A82" s="64">
        <v>81</v>
      </c>
      <c r="B82" s="71">
        <f t="shared" si="3"/>
        <v>530</v>
      </c>
      <c r="C82" s="73">
        <f t="shared" si="2"/>
        <v>3.7735849056603777E-4</v>
      </c>
    </row>
    <row r="83" spans="1:3">
      <c r="A83" s="64">
        <v>82</v>
      </c>
      <c r="B83" s="71">
        <f t="shared" si="3"/>
        <v>536</v>
      </c>
      <c r="C83" s="73">
        <f t="shared" si="2"/>
        <v>3.7313432835820896E-4</v>
      </c>
    </row>
    <row r="84" spans="1:3">
      <c r="A84" s="64">
        <v>83</v>
      </c>
      <c r="B84" s="71">
        <f t="shared" si="3"/>
        <v>542</v>
      </c>
      <c r="C84" s="73">
        <f t="shared" si="2"/>
        <v>3.6900369003690041E-4</v>
      </c>
    </row>
    <row r="85" spans="1:3">
      <c r="A85" s="64">
        <v>84</v>
      </c>
      <c r="B85" s="71">
        <f t="shared" si="3"/>
        <v>548</v>
      </c>
      <c r="C85" s="73">
        <f t="shared" si="2"/>
        <v>3.6496350364963507E-4</v>
      </c>
    </row>
    <row r="86" spans="1:3">
      <c r="A86" s="64">
        <v>85</v>
      </c>
      <c r="B86" s="71">
        <f t="shared" si="3"/>
        <v>554</v>
      </c>
      <c r="C86" s="73">
        <f t="shared" si="2"/>
        <v>3.6101083032490978E-4</v>
      </c>
    </row>
    <row r="87" spans="1:3">
      <c r="A87" s="64">
        <v>86</v>
      </c>
      <c r="B87" s="71">
        <f t="shared" si="3"/>
        <v>560</v>
      </c>
      <c r="C87" s="73">
        <f t="shared" si="2"/>
        <v>3.5714285714285714E-4</v>
      </c>
    </row>
    <row r="88" spans="1:3">
      <c r="A88" s="64">
        <v>87</v>
      </c>
      <c r="B88" s="71">
        <f t="shared" si="3"/>
        <v>566</v>
      </c>
      <c r="C88" s="73">
        <f t="shared" si="2"/>
        <v>3.53356890459364E-4</v>
      </c>
    </row>
    <row r="89" spans="1:3">
      <c r="A89" s="64">
        <v>88</v>
      </c>
      <c r="B89" s="71">
        <f t="shared" si="3"/>
        <v>572</v>
      </c>
      <c r="C89" s="73">
        <f t="shared" si="2"/>
        <v>3.4965034965034965E-4</v>
      </c>
    </row>
    <row r="90" spans="1:3">
      <c r="A90" s="64">
        <v>89</v>
      </c>
      <c r="B90" s="71">
        <f t="shared" si="3"/>
        <v>578</v>
      </c>
      <c r="C90" s="73">
        <f t="shared" si="2"/>
        <v>3.4602076124567478E-4</v>
      </c>
    </row>
    <row r="91" spans="1:3">
      <c r="A91" s="64">
        <v>90</v>
      </c>
      <c r="B91" s="71">
        <f t="shared" si="3"/>
        <v>584</v>
      </c>
      <c r="C91" s="73">
        <f t="shared" si="2"/>
        <v>3.4246575342465754E-4</v>
      </c>
    </row>
    <row r="92" spans="1:3">
      <c r="A92" s="64">
        <v>91</v>
      </c>
      <c r="B92" s="71">
        <f t="shared" si="3"/>
        <v>590</v>
      </c>
      <c r="C92" s="73">
        <f t="shared" si="2"/>
        <v>3.3898305084745765E-4</v>
      </c>
    </row>
    <row r="93" spans="1:3">
      <c r="A93" s="64">
        <v>92</v>
      </c>
      <c r="B93" s="71">
        <f t="shared" si="3"/>
        <v>596</v>
      </c>
      <c r="C93" s="73">
        <f t="shared" si="2"/>
        <v>3.3557046979865775E-4</v>
      </c>
    </row>
    <row r="94" spans="1:3">
      <c r="A94" s="64">
        <v>93</v>
      </c>
      <c r="B94" s="71">
        <f t="shared" si="3"/>
        <v>602</v>
      </c>
      <c r="C94" s="73">
        <f t="shared" si="2"/>
        <v>3.3222591362126248E-4</v>
      </c>
    </row>
    <row r="95" spans="1:3">
      <c r="A95" s="64">
        <v>94</v>
      </c>
      <c r="B95" s="71">
        <f t="shared" si="3"/>
        <v>608</v>
      </c>
      <c r="C95" s="73">
        <f t="shared" si="2"/>
        <v>3.2894736842105262E-4</v>
      </c>
    </row>
    <row r="96" spans="1:3">
      <c r="A96" s="64">
        <v>95</v>
      </c>
      <c r="B96" s="71">
        <f t="shared" si="3"/>
        <v>614</v>
      </c>
      <c r="C96" s="73">
        <f t="shared" si="2"/>
        <v>3.2573289902280132E-4</v>
      </c>
    </row>
    <row r="97" spans="1:3">
      <c r="A97" s="64">
        <v>96</v>
      </c>
      <c r="B97" s="71">
        <f t="shared" si="3"/>
        <v>620</v>
      </c>
      <c r="C97" s="73">
        <f t="shared" si="2"/>
        <v>3.2258064516129032E-4</v>
      </c>
    </row>
    <row r="98" spans="1:3">
      <c r="A98" s="64">
        <v>97</v>
      </c>
      <c r="B98" s="71">
        <f t="shared" si="3"/>
        <v>626</v>
      </c>
      <c r="C98" s="73">
        <f t="shared" si="2"/>
        <v>3.1948881789137381E-4</v>
      </c>
    </row>
    <row r="99" spans="1:3">
      <c r="A99" s="64">
        <v>98</v>
      </c>
      <c r="B99" s="71">
        <f t="shared" si="3"/>
        <v>632</v>
      </c>
      <c r="C99" s="73">
        <f t="shared" si="2"/>
        <v>3.1645569620253165E-4</v>
      </c>
    </row>
    <row r="100" spans="1:3">
      <c r="A100" s="64">
        <v>99</v>
      </c>
      <c r="B100" s="71">
        <f t="shared" si="3"/>
        <v>638</v>
      </c>
      <c r="C100" s="73">
        <f t="shared" si="2"/>
        <v>3.1347962382445143E-4</v>
      </c>
    </row>
    <row r="101" spans="1:3">
      <c r="A101" s="64">
        <v>100</v>
      </c>
      <c r="B101" s="71">
        <f t="shared" si="3"/>
        <v>644</v>
      </c>
      <c r="C101" s="73">
        <f t="shared" si="2"/>
        <v>3.1055900621118014E-4</v>
      </c>
    </row>
    <row r="102" spans="1:3">
      <c r="A102" s="64">
        <v>101</v>
      </c>
      <c r="B102" s="71">
        <f t="shared" si="3"/>
        <v>650</v>
      </c>
      <c r="C102" s="73">
        <f t="shared" si="2"/>
        <v>3.076923076923077E-4</v>
      </c>
    </row>
    <row r="103" spans="1:3">
      <c r="A103" s="64">
        <v>102</v>
      </c>
      <c r="B103" s="71">
        <f t="shared" si="3"/>
        <v>656</v>
      </c>
      <c r="C103" s="73">
        <f t="shared" si="2"/>
        <v>3.048780487804878E-4</v>
      </c>
    </row>
    <row r="104" spans="1:3">
      <c r="A104" s="64">
        <v>103</v>
      </c>
      <c r="B104" s="71">
        <f t="shared" si="3"/>
        <v>662</v>
      </c>
      <c r="C104" s="73">
        <f t="shared" si="2"/>
        <v>3.0211480362537764E-4</v>
      </c>
    </row>
    <row r="105" spans="1:3">
      <c r="A105" s="64">
        <v>104</v>
      </c>
      <c r="B105" s="71">
        <f t="shared" si="3"/>
        <v>668</v>
      </c>
      <c r="C105" s="73">
        <f t="shared" si="2"/>
        <v>2.9940119760479042E-4</v>
      </c>
    </row>
    <row r="106" spans="1:3">
      <c r="A106" s="64">
        <v>105</v>
      </c>
      <c r="B106" s="71">
        <f t="shared" si="3"/>
        <v>674</v>
      </c>
      <c r="C106" s="73">
        <f t="shared" si="2"/>
        <v>2.9673590504451043E-4</v>
      </c>
    </row>
    <row r="107" spans="1:3">
      <c r="A107" s="64">
        <v>106</v>
      </c>
      <c r="B107" s="71">
        <f t="shared" si="3"/>
        <v>680</v>
      </c>
      <c r="C107" s="73">
        <f t="shared" si="2"/>
        <v>2.9411764705882356E-4</v>
      </c>
    </row>
    <row r="108" spans="1:3">
      <c r="A108" s="64">
        <v>107</v>
      </c>
      <c r="B108" s="71">
        <f t="shared" si="3"/>
        <v>686</v>
      </c>
      <c r="C108" s="73">
        <f t="shared" si="2"/>
        <v>2.9154518950437317E-4</v>
      </c>
    </row>
    <row r="109" spans="1:3">
      <c r="A109" s="64">
        <v>108</v>
      </c>
      <c r="B109" s="71">
        <f t="shared" si="3"/>
        <v>692</v>
      </c>
      <c r="C109" s="73">
        <f t="shared" si="2"/>
        <v>2.8901734104046245E-4</v>
      </c>
    </row>
    <row r="110" spans="1:3">
      <c r="A110" s="64">
        <v>109</v>
      </c>
      <c r="B110" s="71">
        <f t="shared" si="3"/>
        <v>698</v>
      </c>
      <c r="C110" s="73">
        <f t="shared" si="2"/>
        <v>2.8653295128939832E-4</v>
      </c>
    </row>
    <row r="111" spans="1:3">
      <c r="A111" s="64">
        <v>110</v>
      </c>
      <c r="B111" s="71">
        <f t="shared" si="3"/>
        <v>704</v>
      </c>
      <c r="C111" s="73">
        <f t="shared" si="2"/>
        <v>2.8409090909090913E-4</v>
      </c>
    </row>
    <row r="112" spans="1:3">
      <c r="A112" s="64">
        <v>111</v>
      </c>
      <c r="B112" s="71">
        <f t="shared" si="3"/>
        <v>710</v>
      </c>
      <c r="C112" s="73">
        <f t="shared" si="2"/>
        <v>2.8169014084507044E-4</v>
      </c>
    </row>
    <row r="113" spans="1:3">
      <c r="A113" s="64">
        <v>112</v>
      </c>
      <c r="B113" s="71">
        <f t="shared" si="3"/>
        <v>716</v>
      </c>
      <c r="C113" s="73">
        <f t="shared" si="2"/>
        <v>2.7932960893854752E-4</v>
      </c>
    </row>
    <row r="114" spans="1:3">
      <c r="A114" s="64">
        <v>113</v>
      </c>
      <c r="B114" s="71">
        <f t="shared" si="3"/>
        <v>722</v>
      </c>
      <c r="C114" s="73">
        <f t="shared" si="2"/>
        <v>2.770083102493075E-4</v>
      </c>
    </row>
    <row r="115" spans="1:3">
      <c r="A115" s="64">
        <v>114</v>
      </c>
      <c r="B115" s="71">
        <f t="shared" si="3"/>
        <v>728</v>
      </c>
      <c r="C115" s="73">
        <f t="shared" si="2"/>
        <v>2.7472527472527473E-4</v>
      </c>
    </row>
    <row r="116" spans="1:3">
      <c r="A116" s="64">
        <v>115</v>
      </c>
      <c r="B116" s="71">
        <f t="shared" si="3"/>
        <v>734</v>
      </c>
      <c r="C116" s="73">
        <f t="shared" si="2"/>
        <v>2.7247956403269756E-4</v>
      </c>
    </row>
    <row r="117" spans="1:3">
      <c r="A117" s="64">
        <v>116</v>
      </c>
      <c r="B117" s="71">
        <f t="shared" si="3"/>
        <v>740</v>
      </c>
      <c r="C117" s="73">
        <f t="shared" si="2"/>
        <v>2.7027027027027027E-4</v>
      </c>
    </row>
    <row r="118" spans="1:3">
      <c r="A118" s="64">
        <v>117</v>
      </c>
      <c r="B118" s="71">
        <f t="shared" si="3"/>
        <v>746</v>
      </c>
      <c r="C118" s="73">
        <f t="shared" si="2"/>
        <v>2.6809651474530834E-4</v>
      </c>
    </row>
    <row r="119" spans="1:3">
      <c r="A119" s="64">
        <v>118</v>
      </c>
      <c r="B119" s="71">
        <f t="shared" si="3"/>
        <v>752</v>
      </c>
      <c r="C119" s="73">
        <f t="shared" si="2"/>
        <v>2.6595744680851064E-4</v>
      </c>
    </row>
    <row r="120" spans="1:3">
      <c r="A120" s="64">
        <v>119</v>
      </c>
      <c r="B120" s="71">
        <f t="shared" si="3"/>
        <v>758</v>
      </c>
      <c r="C120" s="73">
        <f t="shared" si="2"/>
        <v>2.6385224274406332E-4</v>
      </c>
    </row>
    <row r="121" spans="1:3">
      <c r="A121" s="64">
        <v>120</v>
      </c>
      <c r="B121" s="71">
        <f t="shared" si="3"/>
        <v>764</v>
      </c>
      <c r="C121" s="73">
        <f t="shared" si="2"/>
        <v>2.6178010471204191E-4</v>
      </c>
    </row>
    <row r="122" spans="1:3">
      <c r="A122" s="64">
        <v>121</v>
      </c>
      <c r="B122" s="71">
        <f t="shared" si="3"/>
        <v>770</v>
      </c>
      <c r="C122" s="73">
        <f t="shared" si="2"/>
        <v>2.5974025974025974E-4</v>
      </c>
    </row>
    <row r="123" spans="1:3">
      <c r="A123" s="64">
        <v>122</v>
      </c>
      <c r="B123" s="71">
        <f t="shared" si="3"/>
        <v>776</v>
      </c>
      <c r="C123" s="73">
        <f t="shared" si="2"/>
        <v>2.577319587628866E-4</v>
      </c>
    </row>
    <row r="124" spans="1:3">
      <c r="A124" s="64">
        <v>123</v>
      </c>
      <c r="B124" s="71">
        <f t="shared" si="3"/>
        <v>782</v>
      </c>
      <c r="C124" s="73">
        <f t="shared" si="2"/>
        <v>2.5575447570332484E-4</v>
      </c>
    </row>
    <row r="125" spans="1:3">
      <c r="A125" s="64">
        <v>124</v>
      </c>
      <c r="B125" s="71">
        <f t="shared" si="3"/>
        <v>788</v>
      </c>
      <c r="C125" s="73">
        <f t="shared" si="2"/>
        <v>2.5380710659898478E-4</v>
      </c>
    </row>
    <row r="126" spans="1:3">
      <c r="A126" s="64">
        <v>125</v>
      </c>
      <c r="B126" s="71">
        <f t="shared" si="3"/>
        <v>794</v>
      </c>
      <c r="C126" s="73">
        <f t="shared" si="2"/>
        <v>2.5188916876574307E-4</v>
      </c>
    </row>
    <row r="127" spans="1:3">
      <c r="A127" s="64">
        <v>126</v>
      </c>
      <c r="B127" s="71">
        <f t="shared" si="3"/>
        <v>800</v>
      </c>
      <c r="C127" s="73">
        <f t="shared" si="2"/>
        <v>2.5000000000000001E-4</v>
      </c>
    </row>
    <row r="128" spans="1:3">
      <c r="A128" s="64">
        <v>127</v>
      </c>
      <c r="B128" s="71">
        <f t="shared" si="3"/>
        <v>806</v>
      </c>
      <c r="C128" s="73">
        <f t="shared" si="2"/>
        <v>2.4813895781637717E-4</v>
      </c>
    </row>
    <row r="129" spans="1:3">
      <c r="A129" s="64">
        <v>128</v>
      </c>
      <c r="B129" s="71">
        <f t="shared" si="3"/>
        <v>812</v>
      </c>
      <c r="C129" s="73">
        <f t="shared" si="2"/>
        <v>2.4630541871921186E-4</v>
      </c>
    </row>
    <row r="130" spans="1:3">
      <c r="A130" s="64">
        <v>129</v>
      </c>
      <c r="B130" s="71">
        <f t="shared" si="3"/>
        <v>818</v>
      </c>
      <c r="C130" s="73">
        <f t="shared" si="2"/>
        <v>2.444987775061125E-4</v>
      </c>
    </row>
    <row r="131" spans="1:3">
      <c r="A131" s="64">
        <v>130</v>
      </c>
      <c r="B131" s="71">
        <f t="shared" si="3"/>
        <v>824</v>
      </c>
      <c r="C131" s="73">
        <f t="shared" ref="C131:C151" si="4">20%*1/B131</f>
        <v>2.4271844660194176E-4</v>
      </c>
    </row>
    <row r="132" spans="1:3">
      <c r="A132" s="64">
        <v>131</v>
      </c>
      <c r="B132" s="71">
        <f t="shared" ref="B132:B151" si="5">A132*6+44</f>
        <v>830</v>
      </c>
      <c r="C132" s="73">
        <f t="shared" si="4"/>
        <v>2.4096385542168676E-4</v>
      </c>
    </row>
    <row r="133" spans="1:3">
      <c r="A133" s="64">
        <v>132</v>
      </c>
      <c r="B133" s="71">
        <f t="shared" si="5"/>
        <v>836</v>
      </c>
      <c r="C133" s="73">
        <f t="shared" si="4"/>
        <v>2.3923444976076556E-4</v>
      </c>
    </row>
    <row r="134" spans="1:3">
      <c r="A134" s="64">
        <v>133</v>
      </c>
      <c r="B134" s="71">
        <f t="shared" si="5"/>
        <v>842</v>
      </c>
      <c r="C134" s="73">
        <f t="shared" si="4"/>
        <v>2.3752969121140142E-4</v>
      </c>
    </row>
    <row r="135" spans="1:3">
      <c r="A135" s="64">
        <v>134</v>
      </c>
      <c r="B135" s="71">
        <f t="shared" si="5"/>
        <v>848</v>
      </c>
      <c r="C135" s="73">
        <f t="shared" si="4"/>
        <v>2.3584905660377359E-4</v>
      </c>
    </row>
    <row r="136" spans="1:3">
      <c r="A136" s="64">
        <v>135</v>
      </c>
      <c r="B136" s="71">
        <f t="shared" si="5"/>
        <v>854</v>
      </c>
      <c r="C136" s="73">
        <f t="shared" si="4"/>
        <v>2.34192037470726E-4</v>
      </c>
    </row>
    <row r="137" spans="1:3">
      <c r="A137" s="64">
        <v>136</v>
      </c>
      <c r="B137" s="71">
        <f t="shared" si="5"/>
        <v>860</v>
      </c>
      <c r="C137" s="73">
        <f t="shared" si="4"/>
        <v>2.3255813953488373E-4</v>
      </c>
    </row>
    <row r="138" spans="1:3">
      <c r="A138" s="64">
        <v>137</v>
      </c>
      <c r="B138" s="71">
        <f t="shared" si="5"/>
        <v>866</v>
      </c>
      <c r="C138" s="73">
        <f t="shared" si="4"/>
        <v>2.3094688221709009E-4</v>
      </c>
    </row>
    <row r="139" spans="1:3">
      <c r="A139" s="64">
        <v>138</v>
      </c>
      <c r="B139" s="71">
        <f t="shared" si="5"/>
        <v>872</v>
      </c>
      <c r="C139" s="73">
        <f t="shared" si="4"/>
        <v>2.2935779816513763E-4</v>
      </c>
    </row>
    <row r="140" spans="1:3">
      <c r="A140" s="64">
        <v>139</v>
      </c>
      <c r="B140" s="71">
        <f t="shared" si="5"/>
        <v>878</v>
      </c>
      <c r="C140" s="73">
        <f t="shared" si="4"/>
        <v>2.2779043280182233E-4</v>
      </c>
    </row>
    <row r="141" spans="1:3">
      <c r="A141" s="64">
        <v>140</v>
      </c>
      <c r="B141" s="71">
        <f t="shared" si="5"/>
        <v>884</v>
      </c>
      <c r="C141" s="73">
        <f t="shared" si="4"/>
        <v>2.2624434389140272E-4</v>
      </c>
    </row>
    <row r="142" spans="1:3">
      <c r="A142" s="64">
        <v>141</v>
      </c>
      <c r="B142" s="71">
        <f t="shared" si="5"/>
        <v>890</v>
      </c>
      <c r="C142" s="73">
        <f t="shared" si="4"/>
        <v>2.2471910112359551E-4</v>
      </c>
    </row>
    <row r="143" spans="1:3">
      <c r="A143" s="64">
        <v>142</v>
      </c>
      <c r="B143" s="71">
        <f t="shared" si="5"/>
        <v>896</v>
      </c>
      <c r="C143" s="73">
        <f t="shared" si="4"/>
        <v>2.2321428571428573E-4</v>
      </c>
    </row>
    <row r="144" spans="1:3">
      <c r="A144" s="64">
        <v>143</v>
      </c>
      <c r="B144" s="71">
        <f t="shared" si="5"/>
        <v>902</v>
      </c>
      <c r="C144" s="73">
        <f t="shared" si="4"/>
        <v>2.2172949002217295E-4</v>
      </c>
    </row>
    <row r="145" spans="1:3">
      <c r="A145" s="64">
        <v>144</v>
      </c>
      <c r="B145" s="71">
        <f t="shared" si="5"/>
        <v>908</v>
      </c>
      <c r="C145" s="73">
        <f t="shared" si="4"/>
        <v>2.2026431718061675E-4</v>
      </c>
    </row>
    <row r="146" spans="1:3">
      <c r="A146" s="64">
        <v>145</v>
      </c>
      <c r="B146" s="71">
        <f t="shared" si="5"/>
        <v>914</v>
      </c>
      <c r="C146" s="73">
        <f t="shared" si="4"/>
        <v>2.188183807439825E-4</v>
      </c>
    </row>
    <row r="147" spans="1:3">
      <c r="A147" s="64">
        <v>146</v>
      </c>
      <c r="B147" s="71">
        <f t="shared" si="5"/>
        <v>920</v>
      </c>
      <c r="C147" s="73">
        <f t="shared" si="4"/>
        <v>2.173913043478261E-4</v>
      </c>
    </row>
    <row r="148" spans="1:3">
      <c r="A148" s="64">
        <v>147</v>
      </c>
      <c r="B148" s="71">
        <f t="shared" si="5"/>
        <v>926</v>
      </c>
      <c r="C148" s="73">
        <f t="shared" si="4"/>
        <v>2.1598272138228944E-4</v>
      </c>
    </row>
    <row r="149" spans="1:3">
      <c r="A149" s="64">
        <v>148</v>
      </c>
      <c r="B149" s="71">
        <f t="shared" si="5"/>
        <v>932</v>
      </c>
      <c r="C149" s="73">
        <f t="shared" si="4"/>
        <v>2.145922746781116E-4</v>
      </c>
    </row>
    <row r="150" spans="1:3">
      <c r="A150" s="64">
        <v>149</v>
      </c>
      <c r="B150" s="71">
        <f t="shared" si="5"/>
        <v>938</v>
      </c>
      <c r="C150" s="73">
        <f t="shared" si="4"/>
        <v>2.1321961620469085E-4</v>
      </c>
    </row>
    <row r="151" spans="1:3">
      <c r="A151" s="64">
        <v>150</v>
      </c>
      <c r="B151" s="71">
        <f t="shared" si="5"/>
        <v>944</v>
      </c>
      <c r="C151" s="73">
        <f t="shared" si="4"/>
        <v>2.1186440677966104E-4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Z151"/>
  <sheetViews>
    <sheetView topLeftCell="A107" workbookViewId="0">
      <selection activeCell="F37" sqref="F37"/>
    </sheetView>
  </sheetViews>
  <sheetFormatPr defaultRowHeight="15"/>
  <cols>
    <col min="3" max="3" width="12.140625" style="81" customWidth="1"/>
    <col min="4" max="4" width="20.85546875" bestFit="1" customWidth="1"/>
    <col min="5" max="5" width="12.140625" style="81" customWidth="1"/>
    <col min="6" max="6" width="20.85546875" bestFit="1" customWidth="1"/>
    <col min="7" max="7" width="12.140625" style="81" customWidth="1"/>
    <col min="8" max="8" width="21" style="81" bestFit="1" customWidth="1"/>
    <col min="9" max="9" width="24.7109375" style="49" bestFit="1" customWidth="1"/>
    <col min="10" max="10" width="24.7109375" style="49" customWidth="1"/>
    <col min="11" max="13" width="24.7109375" style="87" customWidth="1"/>
    <col min="14" max="14" width="12.140625" bestFit="1" customWidth="1"/>
  </cols>
  <sheetData>
    <row r="1" spans="1:26">
      <c r="A1" s="83" t="s">
        <v>53</v>
      </c>
      <c r="B1" s="83" t="s">
        <v>791</v>
      </c>
      <c r="C1" s="83" t="s">
        <v>806</v>
      </c>
      <c r="D1" s="83" t="s">
        <v>798</v>
      </c>
      <c r="E1" s="83" t="s">
        <v>797</v>
      </c>
      <c r="F1" s="74" t="s">
        <v>796</v>
      </c>
      <c r="G1" s="83" t="s">
        <v>807</v>
      </c>
      <c r="H1" s="83" t="s">
        <v>795</v>
      </c>
      <c r="I1" s="32" t="s">
        <v>799</v>
      </c>
      <c r="J1" s="32" t="s">
        <v>801</v>
      </c>
      <c r="K1" s="85" t="s">
        <v>803</v>
      </c>
      <c r="L1" s="85" t="s">
        <v>804</v>
      </c>
      <c r="M1" s="85" t="s">
        <v>805</v>
      </c>
      <c r="N1" s="1"/>
      <c r="O1" s="1"/>
      <c r="W1" t="s">
        <v>333</v>
      </c>
    </row>
    <row r="2" spans="1:26">
      <c r="A2" s="83">
        <v>1</v>
      </c>
      <c r="B2" s="71">
        <f t="array" ref="B2">AVERAGE(INDEX(Ranges!$M$7:$N$156,A2,1),INDEX(Ranges!$M$7:$N$156,A2,2))</f>
        <v>78.344444444444434</v>
      </c>
      <c r="C2" s="82">
        <f>B2/$O$13*$O$14-$O$12</f>
        <v>7.4098765432098759</v>
      </c>
      <c r="D2" s="71">
        <f t="array" ref="D2">AVERAGE(INDEX(Ranges!$R$7:$R$156,A2),INDEX(Ranges!$S$7:$S$156,A2),INDEX(Ranges!$T$7:$T$156,A2))</f>
        <v>7.2222222222222223</v>
      </c>
      <c r="E2" s="82">
        <f t="shared" ref="E2:E33" si="0">D2/$O$13*$O$14</f>
        <v>1.6049382716049383</v>
      </c>
      <c r="F2" s="71">
        <f t="array" ref="F2">AVERAGE(INDEX(Ranges!$U$7:$V$156,A2,1),INDEX(Ranges!$U$7:$V$156,A2,2))</f>
        <v>61.333333333333336</v>
      </c>
      <c r="G2" s="82">
        <f>F2/$O$13*$O$14-$O$12</f>
        <v>3.6296296296296298</v>
      </c>
      <c r="H2" s="82">
        <f t="array" ref="H2">INDEX(Damage!$F$2:$F$151,A2)*$O$14</f>
        <v>22.050980392156859</v>
      </c>
      <c r="I2" s="6">
        <v>0.08</v>
      </c>
      <c r="J2" s="6">
        <v>0.12</v>
      </c>
      <c r="K2" s="86">
        <f>G2*40%</f>
        <v>1.4518518518518519</v>
      </c>
      <c r="L2" s="86">
        <f>G2*50%</f>
        <v>1.8148148148148149</v>
      </c>
      <c r="M2" s="86">
        <f>G2</f>
        <v>3.6296296296296298</v>
      </c>
      <c r="O2" s="28"/>
      <c r="W2" t="s">
        <v>334</v>
      </c>
    </row>
    <row r="3" spans="1:26">
      <c r="A3" s="83">
        <v>2</v>
      </c>
      <c r="B3" s="71">
        <f t="array" ref="B3">AVERAGE(INDEX(Ranges!$M$7:$N$156,A3,1),INDEX(Ranges!$M$7:$N$156,A3,2))</f>
        <v>102.22222222222223</v>
      </c>
      <c r="C3" s="82">
        <f t="shared" ref="C3:C66" si="1">B3/$O$13*$O$14-$O$12</f>
        <v>12.716049382716051</v>
      </c>
      <c r="D3" s="71">
        <f t="array" ref="D3">AVERAGE(INDEX(Ranges!$R$7:$R$156,A3),INDEX(Ranges!$S$7:$S$156,A3),INDEX(Ranges!$T$7:$T$156,A3))</f>
        <v>9.7777777777777768</v>
      </c>
      <c r="E3" s="82">
        <f t="shared" si="0"/>
        <v>2.1728395061728394</v>
      </c>
      <c r="F3" s="71">
        <f t="array" ref="F3">AVERAGE(INDEX(Ranges!$U$7:$V$156,A3,1),INDEX(Ranges!$U$7:$V$156,A3,2))</f>
        <v>86.666666666666671</v>
      </c>
      <c r="G3" s="82">
        <f t="shared" ref="G3:G66" si="2">F3/$O$13*$O$14-$O$12</f>
        <v>9.2592592592592595</v>
      </c>
      <c r="H3" s="82">
        <f t="array" ref="H3">INDEX(Damage!$F$2:$F$151,A3)*$O$14</f>
        <v>29.248538011695903</v>
      </c>
      <c r="I3" s="6">
        <v>0.08</v>
      </c>
      <c r="J3" s="6">
        <v>0.12</v>
      </c>
      <c r="K3" s="86">
        <f t="shared" ref="K3:K66" si="3">G3*40%</f>
        <v>3.7037037037037042</v>
      </c>
      <c r="L3" s="86">
        <f t="shared" ref="L3:L66" si="4">G3*50%</f>
        <v>4.6296296296296298</v>
      </c>
      <c r="M3" s="86">
        <f t="shared" ref="M3:M66" si="5">G3</f>
        <v>9.2592592592592595</v>
      </c>
      <c r="O3" s="28"/>
      <c r="W3" t="s">
        <v>335</v>
      </c>
    </row>
    <row r="4" spans="1:26">
      <c r="A4" s="83">
        <v>3</v>
      </c>
      <c r="B4" s="71">
        <f t="array" ref="B4">AVERAGE(INDEX(Ranges!$M$7:$N$156,A4,1),INDEX(Ranges!$M$7:$N$156,A4,2))</f>
        <v>129.83333333333331</v>
      </c>
      <c r="C4" s="82">
        <f t="shared" si="1"/>
        <v>18.851851851851848</v>
      </c>
      <c r="D4" s="71">
        <f t="array" ref="D4">AVERAGE(INDEX(Ranges!$R$7:$R$156,A4),INDEX(Ranges!$S$7:$S$156,A4),INDEX(Ranges!$T$7:$T$156,A4))</f>
        <v>12.333333333333334</v>
      </c>
      <c r="E4" s="82">
        <f t="shared" si="0"/>
        <v>2.7407407407407409</v>
      </c>
      <c r="F4" s="71">
        <f t="array" ref="F4">AVERAGE(INDEX(Ranges!$U$7:$V$156,A4,1),INDEX(Ranges!$U$7:$V$156,A4,2))</f>
        <v>125</v>
      </c>
      <c r="G4" s="82">
        <f t="shared" si="2"/>
        <v>17.777777777777779</v>
      </c>
      <c r="H4" s="82">
        <f t="array" ref="H4">INDEX(Damage!$F$2:$F$151,A4)*$O$14</f>
        <v>37.396825396825392</v>
      </c>
      <c r="I4" s="6">
        <v>0.08</v>
      </c>
      <c r="J4" s="6">
        <v>0.12</v>
      </c>
      <c r="K4" s="86">
        <f t="shared" si="3"/>
        <v>7.1111111111111116</v>
      </c>
      <c r="L4" s="86">
        <f t="shared" si="4"/>
        <v>8.8888888888888893</v>
      </c>
      <c r="M4" s="86">
        <f t="shared" si="5"/>
        <v>17.777777777777779</v>
      </c>
      <c r="O4" s="28"/>
    </row>
    <row r="5" spans="1:26">
      <c r="A5" s="83">
        <v>4</v>
      </c>
      <c r="B5" s="71">
        <f t="array" ref="B5">AVERAGE(INDEX(Ranges!$M$7:$N$156,A5,1),INDEX(Ranges!$M$7:$N$156,A5,2))</f>
        <v>157.44444444444446</v>
      </c>
      <c r="C5" s="82">
        <f t="shared" si="1"/>
        <v>24.987654320987659</v>
      </c>
      <c r="D5" s="71">
        <f t="array" ref="D5">AVERAGE(INDEX(Ranges!$R$7:$R$156,A5),INDEX(Ranges!$S$7:$S$156,A5),INDEX(Ranges!$T$7:$T$156,A5))</f>
        <v>14.888888888888886</v>
      </c>
      <c r="E5" s="82">
        <f t="shared" si="0"/>
        <v>3.3086419753086411</v>
      </c>
      <c r="F5" s="71">
        <f t="array" ref="F5">AVERAGE(INDEX(Ranges!$U$7:$V$156,A5,1),INDEX(Ranges!$U$7:$V$156,A5,2))</f>
        <v>150.33333333333334</v>
      </c>
      <c r="G5" s="82">
        <f t="shared" si="2"/>
        <v>23.407407407407412</v>
      </c>
      <c r="H5" s="82">
        <f t="array" ref="H5">INDEX(Damage!$F$2:$F$151,A5)*$O$14</f>
        <v>45.760869565217398</v>
      </c>
      <c r="I5" s="6">
        <v>0.08</v>
      </c>
      <c r="J5" s="6">
        <v>0.12</v>
      </c>
      <c r="K5" s="86">
        <f t="shared" si="3"/>
        <v>9.3629629629629658</v>
      </c>
      <c r="L5" s="86">
        <f t="shared" si="4"/>
        <v>11.703703703703706</v>
      </c>
      <c r="M5" s="86">
        <f t="shared" si="5"/>
        <v>23.407407407407412</v>
      </c>
      <c r="O5" s="28"/>
      <c r="W5" t="s">
        <v>336</v>
      </c>
    </row>
    <row r="6" spans="1:26">
      <c r="A6" s="83">
        <v>5</v>
      </c>
      <c r="B6" s="71">
        <f t="array" ref="B6">AVERAGE(INDEX(Ranges!$M$7:$N$156,A6,1),INDEX(Ranges!$M$7:$N$156,A6,2))</f>
        <v>185.05555555555554</v>
      </c>
      <c r="C6" s="82">
        <f t="shared" si="1"/>
        <v>31.123456790123456</v>
      </c>
      <c r="D6" s="71">
        <f t="array" ref="D6">AVERAGE(INDEX(Ranges!$R$7:$R$156,A6),INDEX(Ranges!$S$7:$S$156,A6),INDEX(Ranges!$T$7:$T$156,A6))</f>
        <v>17.444444444444443</v>
      </c>
      <c r="E6" s="82">
        <f t="shared" si="0"/>
        <v>3.8765432098765427</v>
      </c>
      <c r="F6" s="71">
        <f t="array" ref="F6">AVERAGE(INDEX(Ranges!$U$7:$V$156,A6,1),INDEX(Ranges!$U$7:$V$156,A6,2))</f>
        <v>188.66666666666666</v>
      </c>
      <c r="G6" s="82">
        <f t="shared" si="2"/>
        <v>31.925925925925924</v>
      </c>
      <c r="H6" s="82">
        <f t="array" ref="H6">INDEX(Damage!$F$2:$F$151,A6)*$O$14</f>
        <v>54.288888888888877</v>
      </c>
      <c r="I6" s="6">
        <v>0.08</v>
      </c>
      <c r="J6" s="6">
        <v>0.12</v>
      </c>
      <c r="K6" s="86">
        <f t="shared" si="3"/>
        <v>12.770370370370371</v>
      </c>
      <c r="L6" s="86">
        <f t="shared" si="4"/>
        <v>15.962962962962962</v>
      </c>
      <c r="M6" s="86">
        <f t="shared" si="5"/>
        <v>31.925925925925924</v>
      </c>
      <c r="O6" s="28"/>
      <c r="W6" t="s">
        <v>340</v>
      </c>
    </row>
    <row r="7" spans="1:26">
      <c r="A7" s="83">
        <v>6</v>
      </c>
      <c r="B7" s="71">
        <f t="array" ref="B7">AVERAGE(INDEX(Ranges!$M$7:$N$156,A7,1),INDEX(Ranges!$M$7:$N$156,A7,2))</f>
        <v>225.66666666666666</v>
      </c>
      <c r="C7" s="82">
        <f t="shared" si="1"/>
        <v>40.148148148148145</v>
      </c>
      <c r="D7" s="71">
        <f t="array" ref="D7">AVERAGE(INDEX(Ranges!$R$7:$R$156,A7),INDEX(Ranges!$S$7:$S$156,A7),INDEX(Ranges!$T$7:$T$156,A7))</f>
        <v>19.999999999999996</v>
      </c>
      <c r="E7" s="82">
        <f t="shared" si="0"/>
        <v>4.4444444444444438</v>
      </c>
      <c r="F7" s="71">
        <f t="array" ref="F7">AVERAGE(INDEX(Ranges!$U$7:$V$156,A7,1),INDEX(Ranges!$U$7:$V$156,A7,2))</f>
        <v>214</v>
      </c>
      <c r="G7" s="82">
        <f t="shared" si="2"/>
        <v>37.555555555555557</v>
      </c>
      <c r="H7" s="82">
        <f t="array" ref="H7">INDEX(Damage!$F$2:$F$151,A7)*$O$14</f>
        <v>65.592592592592595</v>
      </c>
      <c r="I7" s="6">
        <v>0.08</v>
      </c>
      <c r="J7" s="6">
        <v>0.12</v>
      </c>
      <c r="K7" s="86">
        <f t="shared" si="3"/>
        <v>15.022222222222224</v>
      </c>
      <c r="L7" s="86">
        <f t="shared" si="4"/>
        <v>18.777777777777779</v>
      </c>
      <c r="M7" s="86">
        <f t="shared" si="5"/>
        <v>37.555555555555557</v>
      </c>
      <c r="O7" s="28"/>
      <c r="W7" t="s">
        <v>341</v>
      </c>
    </row>
    <row r="8" spans="1:26">
      <c r="A8" s="83">
        <v>7</v>
      </c>
      <c r="B8" s="71">
        <f t="array" ref="B8">AVERAGE(INDEX(Ranges!$M$7:$N$156,A8,1),INDEX(Ranges!$M$7:$N$156,A8,2))</f>
        <v>253.27777777777777</v>
      </c>
      <c r="C8" s="82">
        <f t="shared" si="1"/>
        <v>46.283950617283949</v>
      </c>
      <c r="D8" s="71">
        <f t="array" ref="D8">AVERAGE(INDEX(Ranges!$R$7:$R$156,A8),INDEX(Ranges!$S$7:$S$156,A8),INDEX(Ranges!$T$7:$T$156,A8))</f>
        <v>22.555555555555554</v>
      </c>
      <c r="E8" s="82">
        <f t="shared" si="0"/>
        <v>5.0123456790123448</v>
      </c>
      <c r="F8" s="71">
        <f t="array" ref="F8">AVERAGE(INDEX(Ranges!$U$7:$V$156,A8,1),INDEX(Ranges!$U$7:$V$156,A8,2))</f>
        <v>239.33333333333334</v>
      </c>
      <c r="G8" s="82">
        <f t="shared" si="2"/>
        <v>43.18518518518519</v>
      </c>
      <c r="H8" s="82">
        <f t="array" ref="H8">INDEX(Damage!$F$2:$F$151,A8)*$O$14</f>
        <v>74.390804597701148</v>
      </c>
      <c r="I8" s="6">
        <v>0.08</v>
      </c>
      <c r="J8" s="6">
        <v>0.12</v>
      </c>
      <c r="K8" s="86">
        <f t="shared" si="3"/>
        <v>17.274074074074075</v>
      </c>
      <c r="L8" s="86">
        <f t="shared" si="4"/>
        <v>21.592592592592595</v>
      </c>
      <c r="M8" s="86">
        <f t="shared" si="5"/>
        <v>43.18518518518519</v>
      </c>
      <c r="O8" s="28"/>
      <c r="W8" t="s">
        <v>337</v>
      </c>
    </row>
    <row r="9" spans="1:26">
      <c r="A9" s="83">
        <v>8</v>
      </c>
      <c r="B9" s="71">
        <f t="array" ref="B9">AVERAGE(INDEX(Ranges!$M$7:$N$156,A9,1),INDEX(Ranges!$M$7:$N$156,A9,2))</f>
        <v>280.88888888888891</v>
      </c>
      <c r="C9" s="82">
        <f t="shared" si="1"/>
        <v>52.41975308641976</v>
      </c>
      <c r="D9" s="71">
        <f t="array" ref="D9">AVERAGE(INDEX(Ranges!$R$7:$R$156,A9),INDEX(Ranges!$S$7:$S$156,A9),INDEX(Ranges!$T$7:$T$156,A9))</f>
        <v>25.111111111111111</v>
      </c>
      <c r="E9" s="82">
        <f t="shared" si="0"/>
        <v>5.5802469135802468</v>
      </c>
      <c r="F9" s="71">
        <f t="array" ref="F9">AVERAGE(INDEX(Ranges!$U$7:$V$156,A9,1),INDEX(Ranges!$U$7:$V$156,A9,2))</f>
        <v>264.66666666666669</v>
      </c>
      <c r="G9" s="82">
        <f t="shared" si="2"/>
        <v>48.814814814814817</v>
      </c>
      <c r="H9" s="82">
        <f t="array" ref="H9">INDEX(Damage!$F$2:$F$151,A9)*$O$14</f>
        <v>83.265232974910404</v>
      </c>
      <c r="I9" s="6">
        <v>0.08</v>
      </c>
      <c r="J9" s="6">
        <v>0.12</v>
      </c>
      <c r="K9" s="86">
        <f t="shared" si="3"/>
        <v>19.525925925925929</v>
      </c>
      <c r="L9" s="86">
        <f t="shared" si="4"/>
        <v>24.407407407407408</v>
      </c>
      <c r="M9" s="86">
        <f t="shared" si="5"/>
        <v>48.814814814814817</v>
      </c>
    </row>
    <row r="10" spans="1:26">
      <c r="A10" s="83">
        <v>9</v>
      </c>
      <c r="B10" s="71">
        <f t="array" ref="B10">AVERAGE(INDEX(Ranges!$M$7:$N$156,A10,1),INDEX(Ranges!$M$7:$N$156,A10,2))</f>
        <v>308.5</v>
      </c>
      <c r="C10" s="82">
        <f t="shared" si="1"/>
        <v>58.555555555555557</v>
      </c>
      <c r="D10" s="71">
        <f t="array" ref="D10">AVERAGE(INDEX(Ranges!$R$7:$R$156,A10),INDEX(Ranges!$S$7:$S$156,A10),INDEX(Ranges!$T$7:$T$156,A10))</f>
        <v>27.666666666666668</v>
      </c>
      <c r="E10" s="82">
        <f t="shared" si="0"/>
        <v>6.1481481481481488</v>
      </c>
      <c r="F10" s="71">
        <f t="array" ref="F10">AVERAGE(INDEX(Ranges!$U$7:$V$156,A10,1),INDEX(Ranges!$U$7:$V$156,A10,2))</f>
        <v>303</v>
      </c>
      <c r="G10" s="82">
        <f t="shared" si="2"/>
        <v>57.333333333333329</v>
      </c>
      <c r="H10" s="82">
        <f t="array" ref="H10">INDEX(Damage!$F$2:$F$151,A10)*$O$14</f>
        <v>92.202020202020194</v>
      </c>
      <c r="I10" s="6">
        <v>0.08</v>
      </c>
      <c r="J10" s="6">
        <v>0.12</v>
      </c>
      <c r="K10" s="86">
        <f t="shared" si="3"/>
        <v>22.933333333333334</v>
      </c>
      <c r="L10" s="86">
        <f t="shared" si="4"/>
        <v>28.666666666666664</v>
      </c>
      <c r="M10" s="86">
        <f t="shared" si="5"/>
        <v>57.333333333333329</v>
      </c>
      <c r="W10" t="s">
        <v>342</v>
      </c>
    </row>
    <row r="11" spans="1:26">
      <c r="A11" s="83">
        <v>10</v>
      </c>
      <c r="B11" s="71">
        <f t="array" ref="B11">AVERAGE(INDEX(Ranges!$M$7:$N$156,A11,1),INDEX(Ranges!$M$7:$N$156,A11,2))</f>
        <v>349.11111111111109</v>
      </c>
      <c r="C11" s="82">
        <f t="shared" si="1"/>
        <v>67.58024691358024</v>
      </c>
      <c r="D11" s="71">
        <f t="array" ref="D11">AVERAGE(INDEX(Ranges!$R$7:$R$156,A11),INDEX(Ranges!$S$7:$S$156,A11),INDEX(Ranges!$T$7:$T$156,A11))</f>
        <v>30.222222222222218</v>
      </c>
      <c r="E11" s="82">
        <f t="shared" si="0"/>
        <v>6.7160493827160481</v>
      </c>
      <c r="F11" s="71">
        <f t="array" ref="F11">AVERAGE(INDEX(Ranges!$U$7:$V$156,A11,1),INDEX(Ranges!$U$7:$V$156,A11,2))</f>
        <v>328.33333333333331</v>
      </c>
      <c r="G11" s="82">
        <f t="shared" si="2"/>
        <v>62.962962962962962</v>
      </c>
      <c r="H11" s="82">
        <f t="array" ref="H11">INDEX(Damage!$F$2:$F$151,A11)*$O$14</f>
        <v>103.97619047619048</v>
      </c>
      <c r="I11" s="6">
        <v>0.08</v>
      </c>
      <c r="J11" s="6">
        <v>0.12</v>
      </c>
      <c r="K11" s="86">
        <f t="shared" si="3"/>
        <v>25.185185185185187</v>
      </c>
      <c r="L11" s="86">
        <f t="shared" si="4"/>
        <v>31.481481481481481</v>
      </c>
      <c r="M11" s="86">
        <f t="shared" si="5"/>
        <v>62.962962962962962</v>
      </c>
      <c r="W11" t="s">
        <v>343</v>
      </c>
    </row>
    <row r="12" spans="1:26">
      <c r="A12" s="83">
        <v>11</v>
      </c>
      <c r="B12" s="71">
        <f t="array" ref="B12">AVERAGE(INDEX(Ranges!$M$7:$N$156,A12,1),INDEX(Ranges!$M$7:$N$156,A12,2))</f>
        <v>376.72222222222223</v>
      </c>
      <c r="C12" s="82">
        <f t="shared" si="1"/>
        <v>73.716049382716051</v>
      </c>
      <c r="D12" s="71">
        <f t="array" ref="D12">AVERAGE(INDEX(Ranges!$R$7:$R$156,A12),INDEX(Ranges!$S$7:$S$156,A12),INDEX(Ranges!$T$7:$T$156,A12))</f>
        <v>32.777777777777779</v>
      </c>
      <c r="E12" s="82">
        <f t="shared" si="0"/>
        <v>7.283950617283951</v>
      </c>
      <c r="F12" s="71">
        <f t="array" ref="F12">AVERAGE(INDEX(Ranges!$U$7:$V$156,A12,1),INDEX(Ranges!$U$7:$V$156,A12,2))</f>
        <v>353.66666666666669</v>
      </c>
      <c r="G12" s="82">
        <f t="shared" si="2"/>
        <v>68.592592592592595</v>
      </c>
      <c r="H12" s="82">
        <f t="array" ref="H12">INDEX(Damage!$F$2:$F$151,A12)*$O$14</f>
        <v>113.03303303303302</v>
      </c>
      <c r="I12" s="6">
        <v>0.08</v>
      </c>
      <c r="J12" s="6">
        <v>0.12</v>
      </c>
      <c r="K12" s="86">
        <f t="shared" si="3"/>
        <v>27.43703703703704</v>
      </c>
      <c r="L12" s="86">
        <f t="shared" si="4"/>
        <v>34.296296296296298</v>
      </c>
      <c r="M12" s="86">
        <f t="shared" si="5"/>
        <v>68.592592592592595</v>
      </c>
      <c r="N12" s="1" t="s">
        <v>792</v>
      </c>
      <c r="O12">
        <v>10</v>
      </c>
      <c r="W12" t="s">
        <v>344</v>
      </c>
    </row>
    <row r="13" spans="1:26">
      <c r="A13" s="83">
        <v>12</v>
      </c>
      <c r="B13" s="71">
        <f t="array" ref="B13">AVERAGE(INDEX(Ranges!$M$7:$N$156,A13,1),INDEX(Ranges!$M$7:$N$156,A13,2))</f>
        <v>404.33333333333331</v>
      </c>
      <c r="C13" s="82">
        <f t="shared" si="1"/>
        <v>79.851851851851848</v>
      </c>
      <c r="D13" s="71">
        <f t="array" ref="D13">AVERAGE(INDEX(Ranges!$R$7:$R$156,A13),INDEX(Ranges!$S$7:$S$156,A13),INDEX(Ranges!$T$7:$T$156,A13))</f>
        <v>35.333333333333336</v>
      </c>
      <c r="E13" s="82">
        <f t="shared" si="0"/>
        <v>7.8518518518518521</v>
      </c>
      <c r="F13" s="71">
        <f t="array" ref="F13">AVERAGE(INDEX(Ranges!$U$7:$V$156,A13,1),INDEX(Ranges!$U$7:$V$156,A13,2))</f>
        <v>379</v>
      </c>
      <c r="G13" s="82">
        <f t="shared" si="2"/>
        <v>74.222222222222229</v>
      </c>
      <c r="H13" s="82">
        <f t="array" ref="H13">INDEX(Damage!$F$2:$F$151,A13)*$O$14</f>
        <v>122.12393162393161</v>
      </c>
      <c r="I13" s="6">
        <v>0.08</v>
      </c>
      <c r="J13" s="6">
        <v>0.12</v>
      </c>
      <c r="K13" s="86">
        <f t="shared" si="3"/>
        <v>29.688888888888894</v>
      </c>
      <c r="L13" s="86">
        <f t="shared" si="4"/>
        <v>37.111111111111114</v>
      </c>
      <c r="M13" s="86">
        <f t="shared" si="5"/>
        <v>74.222222222222229</v>
      </c>
      <c r="N13" s="1" t="s">
        <v>793</v>
      </c>
      <c r="O13">
        <v>9</v>
      </c>
    </row>
    <row r="14" spans="1:26">
      <c r="A14" s="83">
        <v>13</v>
      </c>
      <c r="B14" s="71">
        <f t="array" ref="B14">AVERAGE(INDEX(Ranges!$M$7:$N$156,A14,1),INDEX(Ranges!$M$7:$N$156,A14,2))</f>
        <v>431.94444444444446</v>
      </c>
      <c r="C14" s="82">
        <f t="shared" si="1"/>
        <v>85.987654320987659</v>
      </c>
      <c r="D14" s="71">
        <f t="array" ref="D14">AVERAGE(INDEX(Ranges!$R$7:$R$156,A14),INDEX(Ranges!$S$7:$S$156,A14),INDEX(Ranges!$T$7:$T$156,A14))</f>
        <v>37.888888888888886</v>
      </c>
      <c r="E14" s="82">
        <f t="shared" si="0"/>
        <v>8.4197530864197532</v>
      </c>
      <c r="F14" s="71">
        <f t="array" ref="F14">AVERAGE(INDEX(Ranges!$U$7:$V$156,A14,1),INDEX(Ranges!$U$7:$V$156,A14,2))</f>
        <v>417.33333333333331</v>
      </c>
      <c r="G14" s="82">
        <f t="shared" si="2"/>
        <v>82.740740740740733</v>
      </c>
      <c r="H14" s="82">
        <f t="array" ref="H14">INDEX(Damage!$F$2:$F$151,A14)*$O$14</f>
        <v>131.2439024390244</v>
      </c>
      <c r="I14" s="6">
        <v>0.08</v>
      </c>
      <c r="J14" s="6">
        <v>0.12</v>
      </c>
      <c r="K14" s="86">
        <f t="shared" si="3"/>
        <v>33.096296296296295</v>
      </c>
      <c r="L14" s="86">
        <f t="shared" si="4"/>
        <v>41.370370370370367</v>
      </c>
      <c r="M14" s="86">
        <f t="shared" si="5"/>
        <v>82.740740740740733</v>
      </c>
      <c r="N14" s="1" t="s">
        <v>794</v>
      </c>
      <c r="O14">
        <v>2</v>
      </c>
      <c r="W14" t="s">
        <v>338</v>
      </c>
    </row>
    <row r="15" spans="1:26">
      <c r="A15" s="83">
        <v>14</v>
      </c>
      <c r="B15" s="71">
        <f t="array" ref="B15">AVERAGE(INDEX(Ranges!$M$7:$N$156,A15,1),INDEX(Ranges!$M$7:$N$156,A15,2))</f>
        <v>459.55555555555554</v>
      </c>
      <c r="C15" s="82">
        <f t="shared" si="1"/>
        <v>92.123456790123456</v>
      </c>
      <c r="D15" s="71">
        <f t="array" ref="D15">AVERAGE(INDEX(Ranges!$R$7:$R$156,A15),INDEX(Ranges!$S$7:$S$156,A15),INDEX(Ranges!$T$7:$T$156,A15))</f>
        <v>40.444444444444443</v>
      </c>
      <c r="E15" s="82">
        <f t="shared" si="0"/>
        <v>8.9876543209876534</v>
      </c>
      <c r="F15" s="71">
        <f t="array" ref="F15">AVERAGE(INDEX(Ranges!$U$7:$V$156,A15,1),INDEX(Ranges!$U$7:$V$156,A15,2))</f>
        <v>442.66666666666669</v>
      </c>
      <c r="G15" s="82">
        <f t="shared" si="2"/>
        <v>88.370370370370381</v>
      </c>
      <c r="H15" s="82">
        <f t="array" ref="H15">INDEX(Damage!$F$2:$F$151,A15)*$O$14</f>
        <v>140.38888888888886</v>
      </c>
      <c r="I15" s="6">
        <v>0.08</v>
      </c>
      <c r="J15" s="6">
        <v>0.12</v>
      </c>
      <c r="K15" s="86">
        <f t="shared" si="3"/>
        <v>35.348148148148155</v>
      </c>
      <c r="L15" s="86">
        <f t="shared" si="4"/>
        <v>44.18518518518519</v>
      </c>
      <c r="M15" s="86">
        <f t="shared" si="5"/>
        <v>88.370370370370381</v>
      </c>
      <c r="N15" s="1" t="s">
        <v>800</v>
      </c>
      <c r="O15" s="28">
        <v>1</v>
      </c>
      <c r="W15" t="s">
        <v>339</v>
      </c>
    </row>
    <row r="16" spans="1:26">
      <c r="A16" s="83">
        <v>15</v>
      </c>
      <c r="B16" s="71">
        <f t="array" ref="B16">AVERAGE(INDEX(Ranges!$M$7:$N$156,A16,1),INDEX(Ranges!$M$7:$N$156,A16,2))</f>
        <v>500.16666666666663</v>
      </c>
      <c r="C16" s="82">
        <f t="shared" si="1"/>
        <v>101.14814814814814</v>
      </c>
      <c r="D16" s="71">
        <f t="array" ref="D16">AVERAGE(INDEX(Ranges!$R$7:$R$156,A16),INDEX(Ranges!$S$7:$S$156,A16),INDEX(Ranges!$T$7:$T$156,A16))</f>
        <v>43</v>
      </c>
      <c r="E16" s="82">
        <f t="shared" si="0"/>
        <v>9.5555555555555554</v>
      </c>
      <c r="F16" s="71">
        <f t="array" ref="F16">AVERAGE(INDEX(Ranges!$U$7:$V$156,A16,1),INDEX(Ranges!$U$7:$V$156,A16,2))</f>
        <v>468</v>
      </c>
      <c r="G16" s="82">
        <f t="shared" si="2"/>
        <v>94</v>
      </c>
      <c r="H16" s="82">
        <f t="array" ref="H16">INDEX(Damage!$F$2:$F$151,A16)*$O$14</f>
        <v>152.44444444444446</v>
      </c>
      <c r="I16" s="6">
        <v>0.08</v>
      </c>
      <c r="J16" s="6">
        <v>0.12</v>
      </c>
      <c r="K16" s="86">
        <f t="shared" si="3"/>
        <v>37.6</v>
      </c>
      <c r="L16" s="86">
        <f t="shared" si="4"/>
        <v>47</v>
      </c>
      <c r="M16" s="86">
        <f t="shared" si="5"/>
        <v>94</v>
      </c>
      <c r="N16" s="1" t="s">
        <v>802</v>
      </c>
      <c r="O16">
        <v>5</v>
      </c>
      <c r="W16" t="s">
        <v>29</v>
      </c>
      <c r="X16" t="s">
        <v>345</v>
      </c>
      <c r="Y16" t="s">
        <v>346</v>
      </c>
      <c r="Z16" t="s">
        <v>347</v>
      </c>
    </row>
    <row r="17" spans="1:26">
      <c r="A17" s="83">
        <v>16</v>
      </c>
      <c r="B17" s="71">
        <f t="array" ref="B17">AVERAGE(INDEX(Ranges!$M$7:$N$156,A17,1),INDEX(Ranges!$M$7:$N$156,A17,2))</f>
        <v>527.77777777777783</v>
      </c>
      <c r="C17" s="82">
        <f t="shared" si="1"/>
        <v>107.28395061728396</v>
      </c>
      <c r="D17" s="71">
        <f t="array" ref="D17">AVERAGE(INDEX(Ranges!$R$7:$R$156,A17),INDEX(Ranges!$S$7:$S$156,A17),INDEX(Ranges!$T$7:$T$156,A17))</f>
        <v>45.55555555555555</v>
      </c>
      <c r="E17" s="82">
        <f t="shared" si="0"/>
        <v>10.123456790123456</v>
      </c>
      <c r="F17" s="71">
        <f t="array" ref="F17">AVERAGE(INDEX(Ranges!$U$7:$V$156,A17,1),INDEX(Ranges!$U$7:$V$156,A17,2))</f>
        <v>493.33333333333337</v>
      </c>
      <c r="G17" s="82">
        <f t="shared" si="2"/>
        <v>99.629629629629633</v>
      </c>
      <c r="H17" s="82">
        <f t="array" ref="H17">INDEX(Damage!$F$2:$F$151,A17)*$O$14</f>
        <v>161.64539007092199</v>
      </c>
      <c r="I17" s="6">
        <v>0.08</v>
      </c>
      <c r="J17" s="6">
        <v>0.12</v>
      </c>
      <c r="K17" s="86">
        <f t="shared" si="3"/>
        <v>39.851851851851855</v>
      </c>
      <c r="L17" s="86">
        <f t="shared" si="4"/>
        <v>49.814814814814817</v>
      </c>
      <c r="M17" s="86">
        <f t="shared" si="5"/>
        <v>99.629629629629633</v>
      </c>
      <c r="W17">
        <f>HP(4,5,15,30,21)</f>
        <v>343</v>
      </c>
      <c r="X17">
        <f>HP(4,5,15,10,21)</f>
        <v>288</v>
      </c>
      <c r="Y17">
        <f>(X17-(W17-X17))/10</f>
        <v>23.3</v>
      </c>
      <c r="Z17">
        <f>W17/Y17</f>
        <v>14.721030042918455</v>
      </c>
    </row>
    <row r="18" spans="1:26">
      <c r="A18" s="83">
        <v>17</v>
      </c>
      <c r="B18" s="71">
        <f t="array" ref="B18">AVERAGE(INDEX(Ranges!$M$7:$N$156,A18,1),INDEX(Ranges!$M$7:$N$156,A18,2))</f>
        <v>555.38888888888891</v>
      </c>
      <c r="C18" s="82">
        <f t="shared" si="1"/>
        <v>113.41975308641976</v>
      </c>
      <c r="D18" s="71">
        <f t="array" ref="D18">AVERAGE(INDEX(Ranges!$R$7:$R$156,A18),INDEX(Ranges!$S$7:$S$156,A18),INDEX(Ranges!$T$7:$T$156,A18))</f>
        <v>48.111111111111107</v>
      </c>
      <c r="E18" s="82">
        <f t="shared" si="0"/>
        <v>10.691358024691358</v>
      </c>
      <c r="F18" s="71">
        <f t="array" ref="F18">AVERAGE(INDEX(Ranges!$U$7:$V$156,A18,1),INDEX(Ranges!$U$7:$V$156,A18,2))</f>
        <v>518.66666666666663</v>
      </c>
      <c r="G18" s="82">
        <f t="shared" si="2"/>
        <v>105.25925925925925</v>
      </c>
      <c r="H18" s="82">
        <f t="array" ref="H18">INDEX(Damage!$F$2:$F$151,A18)*$O$14</f>
        <v>170.86167800453515</v>
      </c>
      <c r="I18" s="6">
        <v>0.08</v>
      </c>
      <c r="J18" s="6">
        <v>0.12</v>
      </c>
      <c r="K18" s="86">
        <f t="shared" si="3"/>
        <v>42.103703703703701</v>
      </c>
      <c r="L18" s="86">
        <f t="shared" si="4"/>
        <v>52.629629629629626</v>
      </c>
      <c r="M18" s="86">
        <f t="shared" si="5"/>
        <v>105.25925925925925</v>
      </c>
      <c r="W18" t="s">
        <v>348</v>
      </c>
    </row>
    <row r="19" spans="1:26">
      <c r="A19" s="83">
        <v>18</v>
      </c>
      <c r="B19" s="71">
        <f t="array" ref="B19">AVERAGE(INDEX(Ranges!$M$7:$N$156,A19,1),INDEX(Ranges!$M$7:$N$156,A19,2))</f>
        <v>583</v>
      </c>
      <c r="C19" s="82">
        <f t="shared" si="1"/>
        <v>119.55555555555554</v>
      </c>
      <c r="D19" s="71">
        <f t="array" ref="D19">AVERAGE(INDEX(Ranges!$R$7:$R$156,A19),INDEX(Ranges!$S$7:$S$156,A19),INDEX(Ranges!$T$7:$T$156,A19))</f>
        <v>50.666666666666657</v>
      </c>
      <c r="E19" s="82">
        <f t="shared" si="0"/>
        <v>11.259259259259258</v>
      </c>
      <c r="F19" s="71">
        <f t="array" ref="F19">AVERAGE(INDEX(Ranges!$U$7:$V$156,A19,1),INDEX(Ranges!$U$7:$V$156,A19,2))</f>
        <v>557</v>
      </c>
      <c r="G19" s="82">
        <f t="shared" si="2"/>
        <v>113.77777777777777</v>
      </c>
      <c r="H19" s="82">
        <f t="array" ref="H19">INDEX(Damage!$F$2:$F$151,A19)*$O$14</f>
        <v>180.09150326797388</v>
      </c>
      <c r="I19" s="6">
        <v>0.08</v>
      </c>
      <c r="J19" s="6">
        <v>0.12</v>
      </c>
      <c r="K19" s="86">
        <f t="shared" si="3"/>
        <v>45.511111111111113</v>
      </c>
      <c r="L19" s="86">
        <f t="shared" si="4"/>
        <v>56.888888888888886</v>
      </c>
      <c r="M19" s="86">
        <f t="shared" si="5"/>
        <v>113.77777777777777</v>
      </c>
      <c r="W19" t="s">
        <v>29</v>
      </c>
      <c r="X19" t="s">
        <v>345</v>
      </c>
      <c r="Y19" t="s">
        <v>346</v>
      </c>
      <c r="Z19" t="s">
        <v>347</v>
      </c>
    </row>
    <row r="20" spans="1:26">
      <c r="A20" s="83">
        <v>19</v>
      </c>
      <c r="B20" s="71">
        <f t="array" ref="B20">AVERAGE(INDEX(Ranges!$M$7:$N$156,A20,1),INDEX(Ranges!$M$7:$N$156,A20,2))</f>
        <v>610.61111111111109</v>
      </c>
      <c r="C20" s="82">
        <f t="shared" si="1"/>
        <v>125.69135802469134</v>
      </c>
      <c r="D20" s="71">
        <f t="array" ref="D20">AVERAGE(INDEX(Ranges!$R$7:$R$156,A20),INDEX(Ranges!$S$7:$S$156,A20),INDEX(Ranges!$T$7:$T$156,A20))</f>
        <v>53.222222222222207</v>
      </c>
      <c r="E20" s="82">
        <f t="shared" si="0"/>
        <v>11.827160493827158</v>
      </c>
      <c r="F20" s="71">
        <f t="array" ref="F20">AVERAGE(INDEX(Ranges!$U$7:$V$156,A20,1),INDEX(Ranges!$U$7:$V$156,A20,2))</f>
        <v>582.33333333333337</v>
      </c>
      <c r="G20" s="82">
        <f t="shared" si="2"/>
        <v>119.40740740740742</v>
      </c>
      <c r="H20" s="82">
        <f t="array" ref="H20">INDEX(Damage!$F$2:$F$151,A20)*$O$14</f>
        <v>189.33333333333334</v>
      </c>
      <c r="I20" s="6">
        <v>0.08</v>
      </c>
      <c r="J20" s="6">
        <v>0.12</v>
      </c>
      <c r="K20" s="86">
        <f t="shared" si="3"/>
        <v>47.762962962962973</v>
      </c>
      <c r="L20" s="86">
        <f t="shared" si="4"/>
        <v>59.703703703703709</v>
      </c>
      <c r="M20" s="86">
        <f t="shared" si="5"/>
        <v>119.40740740740742</v>
      </c>
      <c r="W20">
        <f>HP(4,5,15,24,27)</f>
        <v>394</v>
      </c>
      <c r="X20">
        <f>HP(4,5,15,10,27)</f>
        <v>379</v>
      </c>
      <c r="Y20">
        <f>(X20-(W20-X20))/10</f>
        <v>36.4</v>
      </c>
      <c r="Z20">
        <f>W20/Y20</f>
        <v>10.824175824175825</v>
      </c>
    </row>
    <row r="21" spans="1:26">
      <c r="A21" s="83">
        <v>20</v>
      </c>
      <c r="B21" s="71">
        <f t="array" ref="B21">AVERAGE(INDEX(Ranges!$M$7:$N$156,A21,1),INDEX(Ranges!$M$7:$N$156,A21,2))</f>
        <v>664.22222222222217</v>
      </c>
      <c r="C21" s="82">
        <f t="shared" si="1"/>
        <v>137.60493827160494</v>
      </c>
      <c r="D21" s="71">
        <f t="array" ref="D21">AVERAGE(INDEX(Ranges!$R$7:$R$156,A21),INDEX(Ranges!$S$7:$S$156,A21),INDEX(Ranges!$T$7:$T$156,A21))</f>
        <v>55.777777777777771</v>
      </c>
      <c r="E21" s="82">
        <f t="shared" si="0"/>
        <v>12.39506172839506</v>
      </c>
      <c r="F21" s="71">
        <f t="array" ref="F21">AVERAGE(INDEX(Ranges!$U$7:$V$156,A21,1),INDEX(Ranges!$U$7:$V$156,A21,2))</f>
        <v>607.66666666666663</v>
      </c>
      <c r="G21" s="82">
        <f t="shared" si="2"/>
        <v>125.03703703703704</v>
      </c>
      <c r="H21" s="82">
        <f t="array" ref="H21">INDEX(Damage!$F$2:$F$151,A21)*$O$14</f>
        <v>204.49494949494948</v>
      </c>
      <c r="I21" s="6">
        <v>0.08</v>
      </c>
      <c r="J21" s="6">
        <v>0.12</v>
      </c>
      <c r="K21" s="86">
        <f t="shared" si="3"/>
        <v>50.014814814814819</v>
      </c>
      <c r="L21" s="86">
        <f t="shared" si="4"/>
        <v>62.518518518518519</v>
      </c>
      <c r="M21" s="86">
        <f t="shared" si="5"/>
        <v>125.03703703703704</v>
      </c>
    </row>
    <row r="22" spans="1:26">
      <c r="A22" s="83">
        <v>21</v>
      </c>
      <c r="B22" s="71">
        <f t="array" ref="B22">AVERAGE(INDEX(Ranges!$M$7:$N$156,A22,1),INDEX(Ranges!$M$7:$N$156,A22,2))</f>
        <v>691.83333333333326</v>
      </c>
      <c r="C22" s="82">
        <f t="shared" si="1"/>
        <v>143.74074074074073</v>
      </c>
      <c r="D22" s="71">
        <f t="array" ref="D22">AVERAGE(INDEX(Ranges!$R$7:$R$156,A22),INDEX(Ranges!$S$7:$S$156,A22),INDEX(Ranges!$T$7:$T$156,A22))</f>
        <v>58.333333333333321</v>
      </c>
      <c r="E22" s="82">
        <f t="shared" si="0"/>
        <v>12.96296296296296</v>
      </c>
      <c r="F22" s="71">
        <f t="array" ref="F22">AVERAGE(INDEX(Ranges!$U$7:$V$156,A22,1),INDEX(Ranges!$U$7:$V$156,A22,2))</f>
        <v>633</v>
      </c>
      <c r="G22" s="82">
        <f t="shared" si="2"/>
        <v>130.66666666666666</v>
      </c>
      <c r="H22" s="82">
        <f t="array" ref="H22">INDEX(Damage!$F$2:$F$151,A22)*$O$14</f>
        <v>213.77777777777774</v>
      </c>
      <c r="I22" s="6">
        <v>0.08</v>
      </c>
      <c r="J22" s="6">
        <v>0.12</v>
      </c>
      <c r="K22" s="86">
        <f t="shared" si="3"/>
        <v>52.266666666666666</v>
      </c>
      <c r="L22" s="86">
        <f t="shared" si="4"/>
        <v>65.333333333333329</v>
      </c>
      <c r="M22" s="86">
        <f t="shared" si="5"/>
        <v>130.66666666666666</v>
      </c>
      <c r="W22" t="s">
        <v>349</v>
      </c>
    </row>
    <row r="23" spans="1:26">
      <c r="A23" s="83">
        <v>22</v>
      </c>
      <c r="B23" s="71">
        <f t="array" ref="B23">AVERAGE(INDEX(Ranges!$M$7:$N$156,A23,1),INDEX(Ranges!$M$7:$N$156,A23,2))</f>
        <v>719.44444444444446</v>
      </c>
      <c r="C23" s="82">
        <f t="shared" si="1"/>
        <v>149.87654320987656</v>
      </c>
      <c r="D23" s="71">
        <f t="array" ref="D23">AVERAGE(INDEX(Ranges!$R$7:$R$156,A23),INDEX(Ranges!$S$7:$S$156,A23),INDEX(Ranges!$T$7:$T$156,A23))</f>
        <v>60.888888888888879</v>
      </c>
      <c r="E23" s="82">
        <f t="shared" si="0"/>
        <v>13.530864197530862</v>
      </c>
      <c r="F23" s="71">
        <f t="array" ref="F23">AVERAGE(INDEX(Ranges!$U$7:$V$156,A23,1),INDEX(Ranges!$U$7:$V$156,A23,2))</f>
        <v>658.33333333333337</v>
      </c>
      <c r="G23" s="82">
        <f t="shared" si="2"/>
        <v>136.2962962962963</v>
      </c>
      <c r="H23" s="82">
        <f t="array" ref="H23">INDEX(Damage!$F$2:$F$151,A23)*$O$14</f>
        <v>223.06779661016949</v>
      </c>
      <c r="I23" s="6">
        <v>0.08</v>
      </c>
      <c r="J23" s="6">
        <v>0.12</v>
      </c>
      <c r="K23" s="86">
        <f t="shared" si="3"/>
        <v>54.518518518518526</v>
      </c>
      <c r="L23" s="86">
        <f t="shared" si="4"/>
        <v>68.148148148148152</v>
      </c>
      <c r="M23" s="86">
        <f t="shared" si="5"/>
        <v>136.2962962962963</v>
      </c>
      <c r="W23" t="s">
        <v>30</v>
      </c>
      <c r="X23" t="s">
        <v>351</v>
      </c>
      <c r="Y23" t="s">
        <v>346</v>
      </c>
      <c r="Z23" t="s">
        <v>347</v>
      </c>
    </row>
    <row r="24" spans="1:26">
      <c r="A24" s="83">
        <v>23</v>
      </c>
      <c r="B24" s="71">
        <f t="array" ref="B24">AVERAGE(INDEX(Ranges!$M$7:$N$156,A24,1),INDEX(Ranges!$M$7:$N$156,A24,2))</f>
        <v>747.05555555555554</v>
      </c>
      <c r="C24" s="82">
        <f t="shared" si="1"/>
        <v>156.01234567901236</v>
      </c>
      <c r="D24" s="71">
        <f t="array" ref="D24">AVERAGE(INDEX(Ranges!$R$7:$R$156,A24),INDEX(Ranges!$S$7:$S$156,A24),INDEX(Ranges!$T$7:$T$156,A24))</f>
        <v>63.444444444444436</v>
      </c>
      <c r="E24" s="82">
        <f t="shared" si="0"/>
        <v>14.098765432098764</v>
      </c>
      <c r="F24" s="71">
        <f t="array" ref="F24">AVERAGE(INDEX(Ranges!$U$7:$V$156,A24,1),INDEX(Ranges!$U$7:$V$156,A24,2))</f>
        <v>709.66666666666663</v>
      </c>
      <c r="G24" s="82">
        <f t="shared" si="2"/>
        <v>147.7037037037037</v>
      </c>
      <c r="H24" s="82">
        <f t="array" ref="H24">INDEX(Damage!$F$2:$F$151,A24)*$O$14</f>
        <v>232.36429872495449</v>
      </c>
      <c r="I24" s="6">
        <v>0.08</v>
      </c>
      <c r="J24" s="6">
        <v>0.12</v>
      </c>
      <c r="K24" s="86">
        <f t="shared" si="3"/>
        <v>59.081481481481482</v>
      </c>
      <c r="L24" s="86">
        <f t="shared" si="4"/>
        <v>73.851851851851848</v>
      </c>
      <c r="M24" s="86">
        <f t="shared" si="5"/>
        <v>147.7037037037037</v>
      </c>
      <c r="W24">
        <f>mp(1,0,35,50,24)</f>
        <v>913.66666666666674</v>
      </c>
      <c r="X24">
        <f>mp(1,0,35,10,24)</f>
        <v>667.66666666666674</v>
      </c>
      <c r="Y24">
        <f>(X24-(W24-X24))/10</f>
        <v>42.166666666666671</v>
      </c>
      <c r="Z24">
        <f>W24/Y24</f>
        <v>21.66798418972332</v>
      </c>
    </row>
    <row r="25" spans="1:26">
      <c r="A25" s="83">
        <v>24</v>
      </c>
      <c r="B25" s="71">
        <f t="array" ref="B25">AVERAGE(INDEX(Ranges!$M$7:$N$156,A25,1),INDEX(Ranges!$M$7:$N$156,A25,2))</f>
        <v>774.66666666666663</v>
      </c>
      <c r="C25" s="82">
        <f t="shared" si="1"/>
        <v>162.14814814814815</v>
      </c>
      <c r="D25" s="71">
        <f t="array" ref="D25">AVERAGE(INDEX(Ranges!$R$7:$R$156,A25),INDEX(Ranges!$S$7:$S$156,A25),INDEX(Ranges!$T$7:$T$156,A25))</f>
        <v>65.999999999999986</v>
      </c>
      <c r="E25" s="82">
        <f t="shared" si="0"/>
        <v>14.666666666666664</v>
      </c>
      <c r="F25" s="71">
        <f t="array" ref="F25">AVERAGE(INDEX(Ranges!$U$7:$V$156,A25,1),INDEX(Ranges!$U$7:$V$156,A25,2))</f>
        <v>735</v>
      </c>
      <c r="G25" s="82">
        <f t="shared" si="2"/>
        <v>153.33333333333334</v>
      </c>
      <c r="H25" s="82">
        <f t="array" ref="H25">INDEX(Damage!$F$2:$F$151,A25)*$O$14</f>
        <v>241.66666666666666</v>
      </c>
      <c r="I25" s="6">
        <v>0.08</v>
      </c>
      <c r="J25" s="6">
        <v>0.12</v>
      </c>
      <c r="K25" s="86">
        <f t="shared" si="3"/>
        <v>61.333333333333343</v>
      </c>
      <c r="L25" s="86">
        <f t="shared" si="4"/>
        <v>76.666666666666671</v>
      </c>
      <c r="M25" s="86">
        <f t="shared" si="5"/>
        <v>153.33333333333334</v>
      </c>
      <c r="W25" t="s">
        <v>350</v>
      </c>
    </row>
    <row r="26" spans="1:26">
      <c r="A26" s="83">
        <v>25</v>
      </c>
      <c r="B26" s="71">
        <f t="array" ref="B26">AVERAGE(INDEX(Ranges!$M$7:$N$156,A26,1),INDEX(Ranges!$M$7:$N$156,A26,2))</f>
        <v>802.27777777777783</v>
      </c>
      <c r="C26" s="82">
        <f t="shared" si="1"/>
        <v>168.28395061728395</v>
      </c>
      <c r="D26" s="71">
        <f t="array" ref="D26">AVERAGE(INDEX(Ranges!$R$7:$R$156,A26),INDEX(Ranges!$S$7:$S$156,A26),INDEX(Ranges!$T$7:$T$156,A26))</f>
        <v>68.555555555555543</v>
      </c>
      <c r="E26" s="82">
        <f t="shared" si="0"/>
        <v>15.234567901234565</v>
      </c>
      <c r="F26" s="71">
        <f t="array" ref="F26">AVERAGE(INDEX(Ranges!$U$7:$V$156,A26,1),INDEX(Ranges!$U$7:$V$156,A26,2))</f>
        <v>760.33333333333337</v>
      </c>
      <c r="G26" s="82">
        <f t="shared" si="2"/>
        <v>158.96296296296296</v>
      </c>
      <c r="H26" s="82">
        <f t="array" ref="H26">INDEX(Damage!$F$2:$F$151,A26)*$O$14</f>
        <v>250.97435897435901</v>
      </c>
      <c r="I26" s="6">
        <v>0.08</v>
      </c>
      <c r="J26" s="6">
        <v>0.12</v>
      </c>
      <c r="K26" s="86">
        <f t="shared" si="3"/>
        <v>63.585185185185189</v>
      </c>
      <c r="L26" s="86">
        <f t="shared" si="4"/>
        <v>79.481481481481481</v>
      </c>
      <c r="M26" s="86">
        <f t="shared" si="5"/>
        <v>158.96296296296296</v>
      </c>
      <c r="W26">
        <f>mp(1,0,35,30,44)</f>
        <v>1088.6666666666667</v>
      </c>
      <c r="X26">
        <f>mp(1,0,35,10,44)</f>
        <v>992.66666666666674</v>
      </c>
      <c r="Y26">
        <f>(X26-(W26-X26))/10</f>
        <v>89.666666666666671</v>
      </c>
      <c r="Z26">
        <f>W26/Y26</f>
        <v>12.141263940520446</v>
      </c>
    </row>
    <row r="27" spans="1:26">
      <c r="A27" s="83">
        <v>26</v>
      </c>
      <c r="B27" s="71">
        <f t="array" ref="B27">AVERAGE(INDEX(Ranges!$M$7:$N$156,A27,1),INDEX(Ranges!$M$7:$N$156,A27,2))</f>
        <v>855.88888888888891</v>
      </c>
      <c r="C27" s="82">
        <f t="shared" si="1"/>
        <v>180.19753086419755</v>
      </c>
      <c r="D27" s="71">
        <f t="array" ref="D27">AVERAGE(INDEX(Ranges!$R$7:$R$156,A27),INDEX(Ranges!$S$7:$S$156,A27),INDEX(Ranges!$T$7:$T$156,A27))</f>
        <v>71.1111111111111</v>
      </c>
      <c r="E27" s="82">
        <f t="shared" si="0"/>
        <v>15.802469135802466</v>
      </c>
      <c r="F27" s="71">
        <f t="array" ref="F27">AVERAGE(INDEX(Ranges!$U$7:$V$156,A27,1),INDEX(Ranges!$U$7:$V$156,A27,2))</f>
        <v>785.66666666666663</v>
      </c>
      <c r="G27" s="82">
        <f t="shared" si="2"/>
        <v>164.59259259259258</v>
      </c>
      <c r="H27" s="82">
        <f t="array" ref="H27">INDEX(Damage!$F$2:$F$151,A27)*$O$14</f>
        <v>266.30182421227198</v>
      </c>
      <c r="I27" s="6">
        <v>0.08</v>
      </c>
      <c r="J27" s="6">
        <v>0.12</v>
      </c>
      <c r="K27" s="86">
        <f t="shared" si="3"/>
        <v>65.837037037037035</v>
      </c>
      <c r="L27" s="86">
        <f t="shared" si="4"/>
        <v>82.296296296296291</v>
      </c>
      <c r="M27" s="86">
        <f t="shared" si="5"/>
        <v>164.59259259259258</v>
      </c>
    </row>
    <row r="28" spans="1:26">
      <c r="A28" s="83">
        <v>27</v>
      </c>
      <c r="B28" s="71">
        <f t="array" ref="B28">AVERAGE(INDEX(Ranges!$M$7:$N$156,A28,1),INDEX(Ranges!$M$7:$N$156,A28,2))</f>
        <v>883.5</v>
      </c>
      <c r="C28" s="82">
        <f t="shared" si="1"/>
        <v>186.33333333333334</v>
      </c>
      <c r="D28" s="71">
        <f t="array" ref="D28">AVERAGE(INDEX(Ranges!$R$7:$R$156,A28),INDEX(Ranges!$S$7:$S$156,A28),INDEX(Ranges!$T$7:$T$156,A28))</f>
        <v>73.666666666666657</v>
      </c>
      <c r="E28" s="82">
        <f t="shared" si="0"/>
        <v>16.370370370370367</v>
      </c>
      <c r="F28" s="71">
        <f t="array" ref="F28">AVERAGE(INDEX(Ranges!$U$7:$V$156,A28,1),INDEX(Ranges!$U$7:$V$156,A28,2))</f>
        <v>811</v>
      </c>
      <c r="G28" s="82">
        <f t="shared" si="2"/>
        <v>170.22222222222223</v>
      </c>
      <c r="H28" s="82">
        <f t="array" ref="H28">INDEX(Damage!$F$2:$F$151,A28)*$O$14</f>
        <v>275.6328502415459</v>
      </c>
      <c r="I28" s="6">
        <v>0.08</v>
      </c>
      <c r="J28" s="6">
        <v>0.12</v>
      </c>
      <c r="K28" s="86">
        <f t="shared" si="3"/>
        <v>68.088888888888889</v>
      </c>
      <c r="L28" s="86">
        <f t="shared" si="4"/>
        <v>85.111111111111114</v>
      </c>
      <c r="M28" s="86">
        <f t="shared" si="5"/>
        <v>170.22222222222223</v>
      </c>
    </row>
    <row r="29" spans="1:26">
      <c r="A29" s="83">
        <v>28</v>
      </c>
      <c r="B29" s="71">
        <f t="array" ref="B29">AVERAGE(INDEX(Ranges!$M$7:$N$156,A29,1),INDEX(Ranges!$M$7:$N$156,A29,2))</f>
        <v>911.11111111111109</v>
      </c>
      <c r="C29" s="82">
        <f t="shared" si="1"/>
        <v>192.46913580246914</v>
      </c>
      <c r="D29" s="71">
        <f t="array" ref="D29">AVERAGE(INDEX(Ranges!$R$7:$R$156,A29),INDEX(Ranges!$S$7:$S$156,A29),INDEX(Ranges!$T$7:$T$156,A29))</f>
        <v>76.222222222222214</v>
      </c>
      <c r="E29" s="82">
        <f t="shared" si="0"/>
        <v>16.938271604938269</v>
      </c>
      <c r="F29" s="71">
        <f t="array" ref="F29">AVERAGE(INDEX(Ranges!$U$7:$V$156,A29,1),INDEX(Ranges!$U$7:$V$156,A29,2))</f>
        <v>836.33333333333337</v>
      </c>
      <c r="G29" s="82">
        <f t="shared" si="2"/>
        <v>175.85185185185185</v>
      </c>
      <c r="H29" s="82">
        <f t="array" ref="H29">INDEX(Damage!$F$2:$F$151,A29)*$O$14</f>
        <v>284.96713615023475</v>
      </c>
      <c r="I29" s="6">
        <v>0.08</v>
      </c>
      <c r="J29" s="6">
        <v>0.12</v>
      </c>
      <c r="K29" s="86">
        <f t="shared" si="3"/>
        <v>70.340740740740742</v>
      </c>
      <c r="L29" s="86">
        <f t="shared" si="4"/>
        <v>87.925925925925924</v>
      </c>
      <c r="M29" s="86">
        <f t="shared" si="5"/>
        <v>175.85185185185185</v>
      </c>
    </row>
    <row r="30" spans="1:26">
      <c r="A30" s="83">
        <v>29</v>
      </c>
      <c r="B30" s="71">
        <f t="array" ref="B30">AVERAGE(INDEX(Ranges!$M$7:$N$156,A30,1),INDEX(Ranges!$M$7:$N$156,A30,2))</f>
        <v>938.72222222222217</v>
      </c>
      <c r="C30" s="82">
        <f t="shared" si="1"/>
        <v>198.60493827160494</v>
      </c>
      <c r="D30" s="71">
        <f t="array" ref="D30">AVERAGE(INDEX(Ranges!$R$7:$R$156,A30),INDEX(Ranges!$S$7:$S$156,A30),INDEX(Ranges!$T$7:$T$156,A30))</f>
        <v>78.777777777777771</v>
      </c>
      <c r="E30" s="82">
        <f t="shared" si="0"/>
        <v>17.506172839506171</v>
      </c>
      <c r="F30" s="71">
        <f t="array" ref="F30">AVERAGE(INDEX(Ranges!$U$7:$V$156,A30,1),INDEX(Ranges!$U$7:$V$156,A30,2))</f>
        <v>887.66666666666663</v>
      </c>
      <c r="G30" s="82">
        <f t="shared" si="2"/>
        <v>187.25925925925924</v>
      </c>
      <c r="H30" s="82">
        <f t="array" ref="H30">INDEX(Damage!$F$2:$F$151,A30)*$O$14</f>
        <v>294.30441400304414</v>
      </c>
      <c r="I30" s="6">
        <v>0.08</v>
      </c>
      <c r="J30" s="6">
        <v>0.12</v>
      </c>
      <c r="K30" s="86">
        <f t="shared" si="3"/>
        <v>74.903703703703698</v>
      </c>
      <c r="L30" s="86">
        <f t="shared" si="4"/>
        <v>93.629629629629619</v>
      </c>
      <c r="M30" s="86">
        <f t="shared" si="5"/>
        <v>187.25925925925924</v>
      </c>
    </row>
    <row r="31" spans="1:26">
      <c r="A31" s="83">
        <v>30</v>
      </c>
      <c r="B31" s="71">
        <f t="array" ref="B31">AVERAGE(INDEX(Ranges!$M$7:$N$156,A31,1),INDEX(Ranges!$M$7:$N$156,A31,2))</f>
        <v>966.33333333333326</v>
      </c>
      <c r="C31" s="82">
        <f t="shared" si="1"/>
        <v>204.74074074074073</v>
      </c>
      <c r="D31" s="71">
        <f t="array" ref="D31">AVERAGE(INDEX(Ranges!$R$7:$R$156,A31),INDEX(Ranges!$S$7:$S$156,A31),INDEX(Ranges!$T$7:$T$156,A31))</f>
        <v>81.333333333333329</v>
      </c>
      <c r="E31" s="82">
        <f t="shared" si="0"/>
        <v>18.074074074074073</v>
      </c>
      <c r="F31" s="71">
        <f t="array" ref="F31">AVERAGE(INDEX(Ranges!$U$7:$V$156,A31,1),INDEX(Ranges!$U$7:$V$156,A31,2))</f>
        <v>913</v>
      </c>
      <c r="G31" s="82">
        <f t="shared" si="2"/>
        <v>192.88888888888889</v>
      </c>
      <c r="H31" s="82">
        <f t="array" ref="H31">INDEX(Damage!$F$2:$F$151,A31)*$O$14</f>
        <v>303.64444444444445</v>
      </c>
      <c r="I31" s="6">
        <v>0.08</v>
      </c>
      <c r="J31" s="6">
        <v>0.12</v>
      </c>
      <c r="K31" s="86">
        <f t="shared" si="3"/>
        <v>77.155555555555566</v>
      </c>
      <c r="L31" s="86">
        <f t="shared" si="4"/>
        <v>96.444444444444443</v>
      </c>
      <c r="M31" s="86">
        <f t="shared" si="5"/>
        <v>192.88888888888889</v>
      </c>
    </row>
    <row r="32" spans="1:26">
      <c r="A32" s="83">
        <v>31</v>
      </c>
      <c r="B32" s="71">
        <f t="array" ref="B32">AVERAGE(INDEX(Ranges!$M$7:$N$156,A32,1),INDEX(Ranges!$M$7:$N$156,A32,2))</f>
        <v>993.94444444444446</v>
      </c>
      <c r="C32" s="82">
        <f t="shared" si="1"/>
        <v>210.87654320987656</v>
      </c>
      <c r="D32" s="71">
        <f t="array" ref="D32">AVERAGE(INDEX(Ranges!$R$7:$R$156,A32),INDEX(Ranges!$S$7:$S$156,A32),INDEX(Ranges!$T$7:$T$156,A32))</f>
        <v>83.888888888888872</v>
      </c>
      <c r="E32" s="82">
        <f t="shared" si="0"/>
        <v>18.641975308641971</v>
      </c>
      <c r="F32" s="71">
        <f t="array" ref="F32">AVERAGE(INDEX(Ranges!$U$7:$V$156,A32,1),INDEX(Ranges!$U$7:$V$156,A32,2))</f>
        <v>938.33333333333337</v>
      </c>
      <c r="G32" s="82">
        <f t="shared" si="2"/>
        <v>198.51851851851853</v>
      </c>
      <c r="H32" s="82">
        <f t="array" ref="H32">INDEX(Damage!$F$2:$F$151,A32)*$O$14</f>
        <v>312.98701298701297</v>
      </c>
      <c r="I32" s="6">
        <v>0.08</v>
      </c>
      <c r="J32" s="6">
        <v>0.12</v>
      </c>
      <c r="K32" s="86">
        <f t="shared" si="3"/>
        <v>79.407407407407419</v>
      </c>
      <c r="L32" s="86">
        <f t="shared" si="4"/>
        <v>99.259259259259267</v>
      </c>
      <c r="M32" s="86">
        <f t="shared" si="5"/>
        <v>198.51851851851853</v>
      </c>
    </row>
    <row r="33" spans="1:13">
      <c r="A33" s="83">
        <v>32</v>
      </c>
      <c r="B33" s="71">
        <f t="array" ref="B33">AVERAGE(INDEX(Ranges!$M$7:$N$156,A33,1),INDEX(Ranges!$M$7:$N$156,A33,2))</f>
        <v>1047.5555555555557</v>
      </c>
      <c r="C33" s="82">
        <f t="shared" si="1"/>
        <v>222.79012345679016</v>
      </c>
      <c r="D33" s="71">
        <f t="array" ref="D33">AVERAGE(INDEX(Ranges!$R$7:$R$156,A33),INDEX(Ranges!$S$7:$S$156,A33),INDEX(Ranges!$T$7:$T$156,A33))</f>
        <v>86.444444444444443</v>
      </c>
      <c r="E33" s="82">
        <f t="shared" si="0"/>
        <v>19.209876543209877</v>
      </c>
      <c r="F33" s="71">
        <f t="array" ref="F33">AVERAGE(INDEX(Ranges!$U$7:$V$156,A33,1),INDEX(Ranges!$U$7:$V$156,A33,2))</f>
        <v>963.66666666666674</v>
      </c>
      <c r="G33" s="82">
        <f t="shared" si="2"/>
        <v>204.14814814814815</v>
      </c>
      <c r="H33" s="82">
        <f t="array" ref="H33">INDEX(Damage!$F$2:$F$151,A33)*$O$14</f>
        <v>328.42053445850911</v>
      </c>
      <c r="I33" s="6">
        <v>0.08</v>
      </c>
      <c r="J33" s="6">
        <v>0.12</v>
      </c>
      <c r="K33" s="86">
        <f t="shared" si="3"/>
        <v>81.659259259259272</v>
      </c>
      <c r="L33" s="86">
        <f t="shared" si="4"/>
        <v>102.07407407407408</v>
      </c>
      <c r="M33" s="86">
        <f t="shared" si="5"/>
        <v>204.14814814814815</v>
      </c>
    </row>
    <row r="34" spans="1:13">
      <c r="A34" s="83">
        <v>33</v>
      </c>
      <c r="B34" s="71">
        <f t="array" ref="B34">AVERAGE(INDEX(Ranges!$M$7:$N$156,A34,1),INDEX(Ranges!$M$7:$N$156,A34,2))</f>
        <v>1075.1666666666665</v>
      </c>
      <c r="C34" s="82">
        <f t="shared" si="1"/>
        <v>228.9259259259259</v>
      </c>
      <c r="D34" s="71">
        <f t="array" ref="D34">AVERAGE(INDEX(Ranges!$R$7:$R$156,A34),INDEX(Ranges!$S$7:$S$156,A34),INDEX(Ranges!$T$7:$T$156,A34))</f>
        <v>89</v>
      </c>
      <c r="E34" s="82">
        <f t="shared" ref="E34:E65" si="6">D34/$O$13*$O$14</f>
        <v>19.777777777777779</v>
      </c>
      <c r="F34" s="71">
        <f t="array" ref="F34">AVERAGE(INDEX(Ranges!$U$7:$V$156,A34,1),INDEX(Ranges!$U$7:$V$156,A34,2))</f>
        <v>989</v>
      </c>
      <c r="G34" s="82">
        <f t="shared" si="2"/>
        <v>209.77777777777777</v>
      </c>
      <c r="H34" s="82">
        <f t="array" ref="H34">INDEX(Damage!$F$2:$F$151,A34)*$O$14</f>
        <v>337.77777777777777</v>
      </c>
      <c r="I34" s="6">
        <v>0.08</v>
      </c>
      <c r="J34" s="6">
        <v>0.12</v>
      </c>
      <c r="K34" s="86">
        <f t="shared" si="3"/>
        <v>83.911111111111111</v>
      </c>
      <c r="L34" s="86">
        <f t="shared" si="4"/>
        <v>104.88888888888889</v>
      </c>
      <c r="M34" s="86">
        <f t="shared" si="5"/>
        <v>209.77777777777777</v>
      </c>
    </row>
    <row r="35" spans="1:13">
      <c r="A35" s="83">
        <v>34</v>
      </c>
      <c r="B35" s="71">
        <f t="array" ref="B35">AVERAGE(INDEX(Ranges!$M$7:$N$156,A35,1),INDEX(Ranges!$M$7:$N$156,A35,2))</f>
        <v>1102.7777777777778</v>
      </c>
      <c r="C35" s="82">
        <f t="shared" si="1"/>
        <v>235.06172839506175</v>
      </c>
      <c r="D35" s="71">
        <f t="array" ref="D35">AVERAGE(INDEX(Ranges!$R$7:$R$156,A35),INDEX(Ranges!$S$7:$S$156,A35),INDEX(Ranges!$T$7:$T$156,A35))</f>
        <v>91.555555555555543</v>
      </c>
      <c r="E35" s="82">
        <f t="shared" si="6"/>
        <v>20.345679012345677</v>
      </c>
      <c r="F35" s="71">
        <f t="array" ref="F35">AVERAGE(INDEX(Ranges!$U$7:$V$156,A35,1),INDEX(Ranges!$U$7:$V$156,A35,2))</f>
        <v>1014.3333333333333</v>
      </c>
      <c r="G35" s="82">
        <f t="shared" si="2"/>
        <v>215.40740740740739</v>
      </c>
      <c r="H35" s="82">
        <f t="array" ref="H35">INDEX(Damage!$F$2:$F$151,A35)*$O$14</f>
        <v>347.13654618473896</v>
      </c>
      <c r="I35" s="6">
        <v>0.08</v>
      </c>
      <c r="J35" s="6">
        <v>0.12</v>
      </c>
      <c r="K35" s="86">
        <f t="shared" si="3"/>
        <v>86.162962962962965</v>
      </c>
      <c r="L35" s="86">
        <f t="shared" si="4"/>
        <v>107.7037037037037</v>
      </c>
      <c r="M35" s="86">
        <f t="shared" si="5"/>
        <v>215.40740740740739</v>
      </c>
    </row>
    <row r="36" spans="1:13">
      <c r="A36" s="83">
        <v>35</v>
      </c>
      <c r="B36" s="71">
        <f t="array" ref="B36">AVERAGE(INDEX(Ranges!$M$7:$N$156,A36,1),INDEX(Ranges!$M$7:$N$156,A36,2))</f>
        <v>1130.3888888888889</v>
      </c>
      <c r="C36" s="82">
        <f t="shared" si="1"/>
        <v>241.19753086419755</v>
      </c>
      <c r="D36" s="71">
        <f t="array" ref="D36">AVERAGE(INDEX(Ranges!$R$7:$R$156,A36),INDEX(Ranges!$S$7:$S$156,A36),INDEX(Ranges!$T$7:$T$156,A36))</f>
        <v>94.1111111111111</v>
      </c>
      <c r="E36" s="82">
        <f t="shared" si="6"/>
        <v>20.913580246913579</v>
      </c>
      <c r="F36" s="71">
        <f t="array" ref="F36">AVERAGE(INDEX(Ranges!$U$7:$V$156,A36,1),INDEX(Ranges!$U$7:$V$156,A36,2))</f>
        <v>1065.6666666666667</v>
      </c>
      <c r="G36" s="82">
        <f t="shared" si="2"/>
        <v>226.81481481481484</v>
      </c>
      <c r="H36" s="82">
        <f t="array" ref="H36">INDEX(Damage!$F$2:$F$151,A36)*$O$14</f>
        <v>356.49673202614377</v>
      </c>
      <c r="I36" s="6">
        <v>0.08</v>
      </c>
      <c r="J36" s="6">
        <v>0.12</v>
      </c>
      <c r="K36" s="86">
        <f t="shared" si="3"/>
        <v>90.725925925925935</v>
      </c>
      <c r="L36" s="86">
        <f t="shared" si="4"/>
        <v>113.40740740740742</v>
      </c>
      <c r="M36" s="86">
        <f t="shared" si="5"/>
        <v>226.81481481481484</v>
      </c>
    </row>
    <row r="37" spans="1:13">
      <c r="A37" s="83">
        <v>36</v>
      </c>
      <c r="B37" s="71">
        <f t="array" ref="B37">AVERAGE(INDEX(Ranges!$M$7:$N$156,A37,1),INDEX(Ranges!$M$7:$N$156,A37,2))</f>
        <v>1158</v>
      </c>
      <c r="C37" s="82">
        <f t="shared" si="1"/>
        <v>247.33333333333331</v>
      </c>
      <c r="D37" s="71">
        <f t="array" ref="D37">AVERAGE(INDEX(Ranges!$R$7:$R$156,A37),INDEX(Ranges!$S$7:$S$156,A37),INDEX(Ranges!$T$7:$T$156,A37))</f>
        <v>96.666666666666671</v>
      </c>
      <c r="E37" s="82">
        <f t="shared" si="6"/>
        <v>21.481481481481481</v>
      </c>
      <c r="F37" s="71">
        <f t="array" ref="F37">AVERAGE(INDEX(Ranges!$U$7:$V$156,A37,1),INDEX(Ranges!$U$7:$V$156,A37,2))</f>
        <v>1091</v>
      </c>
      <c r="G37" s="82">
        <f t="shared" si="2"/>
        <v>232.44444444444446</v>
      </c>
      <c r="H37" s="82">
        <f t="array" ref="H37">INDEX(Damage!$F$2:$F$151,A37)*$O$14</f>
        <v>365.85823754789266</v>
      </c>
      <c r="I37" s="6">
        <v>0.08</v>
      </c>
      <c r="J37" s="6">
        <v>0.12</v>
      </c>
      <c r="K37" s="86">
        <f t="shared" si="3"/>
        <v>92.977777777777789</v>
      </c>
      <c r="L37" s="86">
        <f t="shared" si="4"/>
        <v>116.22222222222223</v>
      </c>
      <c r="M37" s="86">
        <f t="shared" si="5"/>
        <v>232.44444444444446</v>
      </c>
    </row>
    <row r="38" spans="1:13">
      <c r="A38" s="83">
        <v>37</v>
      </c>
      <c r="B38" s="71">
        <f t="array" ref="B38">AVERAGE(INDEX(Ranges!$M$7:$N$156,A38,1),INDEX(Ranges!$M$7:$N$156,A38,2))</f>
        <v>1185.6111111111111</v>
      </c>
      <c r="C38" s="82">
        <f t="shared" si="1"/>
        <v>253.46913580246911</v>
      </c>
      <c r="D38" s="71">
        <f t="array" ref="D38">AVERAGE(INDEX(Ranges!$R$7:$R$156,A38),INDEX(Ranges!$S$7:$S$156,A38),INDEX(Ranges!$T$7:$T$156,A38))</f>
        <v>99.222222222222214</v>
      </c>
      <c r="E38" s="82">
        <f t="shared" si="6"/>
        <v>22.049382716049379</v>
      </c>
      <c r="F38" s="71">
        <f t="array" ref="F38">AVERAGE(INDEX(Ranges!$U$7:$V$156,A38,1),INDEX(Ranges!$U$7:$V$156,A38,2))</f>
        <v>1116.3333333333333</v>
      </c>
      <c r="G38" s="82">
        <f t="shared" si="2"/>
        <v>238.07407407407405</v>
      </c>
      <c r="H38" s="82">
        <f t="array" ref="H38">INDEX(Damage!$F$2:$F$151,A38)*$O$14</f>
        <v>375.22097378277152</v>
      </c>
      <c r="I38" s="6">
        <v>0.08</v>
      </c>
      <c r="J38" s="6">
        <v>0.12</v>
      </c>
      <c r="K38" s="86">
        <f t="shared" si="3"/>
        <v>95.229629629629628</v>
      </c>
      <c r="L38" s="86">
        <f t="shared" si="4"/>
        <v>119.03703703703702</v>
      </c>
      <c r="M38" s="86">
        <f t="shared" si="5"/>
        <v>238.07407407407405</v>
      </c>
    </row>
    <row r="39" spans="1:13">
      <c r="A39" s="83">
        <v>38</v>
      </c>
      <c r="B39" s="71">
        <f t="array" ref="B39">AVERAGE(INDEX(Ranges!$M$7:$N$156,A39,1),INDEX(Ranges!$M$7:$N$156,A39,2))</f>
        <v>1239.2222222222222</v>
      </c>
      <c r="C39" s="82">
        <f t="shared" si="1"/>
        <v>265.38271604938268</v>
      </c>
      <c r="D39" s="71">
        <f t="array" ref="D39">AVERAGE(INDEX(Ranges!$R$7:$R$156,A39),INDEX(Ranges!$S$7:$S$156,A39),INDEX(Ranges!$T$7:$T$156,A39))</f>
        <v>101.77777777777777</v>
      </c>
      <c r="E39" s="82">
        <f t="shared" si="6"/>
        <v>22.617283950617281</v>
      </c>
      <c r="F39" s="71">
        <f t="array" ref="F39">AVERAGE(INDEX(Ranges!$U$7:$V$156,A39,1),INDEX(Ranges!$U$7:$V$156,A39,2))</f>
        <v>1141.6666666666667</v>
      </c>
      <c r="G39" s="82">
        <f t="shared" si="2"/>
        <v>243.70370370370372</v>
      </c>
      <c r="H39" s="82">
        <f t="array" ref="H39">INDEX(Damage!$F$2:$F$151,A39)*$O$14</f>
        <v>390.72771672771671</v>
      </c>
      <c r="I39" s="6">
        <v>0.08</v>
      </c>
      <c r="J39" s="6">
        <v>0.12</v>
      </c>
      <c r="K39" s="86">
        <f t="shared" si="3"/>
        <v>97.481481481481495</v>
      </c>
      <c r="L39" s="86">
        <f t="shared" si="4"/>
        <v>121.85185185185186</v>
      </c>
      <c r="M39" s="86">
        <f t="shared" si="5"/>
        <v>243.70370370370372</v>
      </c>
    </row>
    <row r="40" spans="1:13">
      <c r="A40" s="83">
        <v>39</v>
      </c>
      <c r="B40" s="71">
        <f t="array" ref="B40">AVERAGE(INDEX(Ranges!$M$7:$N$156,A40,1),INDEX(Ranges!$M$7:$N$156,A40,2))</f>
        <v>1266.8333333333335</v>
      </c>
      <c r="C40" s="82">
        <f t="shared" si="1"/>
        <v>271.51851851851853</v>
      </c>
      <c r="D40" s="71">
        <f t="array" ref="D40">AVERAGE(INDEX(Ranges!$R$7:$R$156,A40),INDEX(Ranges!$S$7:$S$156,A40),INDEX(Ranges!$T$7:$T$156,A40))</f>
        <v>104.33333333333333</v>
      </c>
      <c r="E40" s="82">
        <f t="shared" si="6"/>
        <v>23.185185185185183</v>
      </c>
      <c r="F40" s="71">
        <f t="array" ref="F40">AVERAGE(INDEX(Ranges!$U$7:$V$156,A40,1),INDEX(Ranges!$U$7:$V$156,A40,2))</f>
        <v>1167</v>
      </c>
      <c r="G40" s="82">
        <f t="shared" si="2"/>
        <v>249.33333333333331</v>
      </c>
      <c r="H40" s="82">
        <f t="array" ref="H40">INDEX(Damage!$F$2:$F$151,A40)*$O$14</f>
        <v>400.10035842293905</v>
      </c>
      <c r="I40" s="6">
        <v>0.08</v>
      </c>
      <c r="J40" s="6">
        <v>0.12</v>
      </c>
      <c r="K40" s="86">
        <f t="shared" si="3"/>
        <v>99.733333333333334</v>
      </c>
      <c r="L40" s="86">
        <f t="shared" si="4"/>
        <v>124.66666666666666</v>
      </c>
      <c r="M40" s="86">
        <f t="shared" si="5"/>
        <v>249.33333333333331</v>
      </c>
    </row>
    <row r="41" spans="1:13">
      <c r="A41" s="83">
        <v>40</v>
      </c>
      <c r="B41" s="71">
        <f t="array" ref="B41">AVERAGE(INDEX(Ranges!$M$7:$N$156,A41,1),INDEX(Ranges!$M$7:$N$156,A41,2))</f>
        <v>1294.4444444444443</v>
      </c>
      <c r="C41" s="82">
        <f t="shared" si="1"/>
        <v>277.65432098765427</v>
      </c>
      <c r="D41" s="71">
        <f t="array" ref="D41">AVERAGE(INDEX(Ranges!$R$7:$R$156,A41),INDEX(Ranges!$S$7:$S$156,A41),INDEX(Ranges!$T$7:$T$156,A41))</f>
        <v>106.88888888888887</v>
      </c>
      <c r="E41" s="82">
        <f t="shared" si="6"/>
        <v>23.753086419753082</v>
      </c>
      <c r="F41" s="71">
        <f t="array" ref="F41">AVERAGE(INDEX(Ranges!$U$7:$V$156,A41,1),INDEX(Ranges!$U$7:$V$156,A41,2))</f>
        <v>1192.3333333333333</v>
      </c>
      <c r="G41" s="82">
        <f t="shared" si="2"/>
        <v>254.96296296296293</v>
      </c>
      <c r="H41" s="82">
        <f t="array" ref="H41">INDEX(Damage!$F$2:$F$151,A41)*$O$14</f>
        <v>409.4736842105263</v>
      </c>
      <c r="I41" s="6">
        <v>0.08</v>
      </c>
      <c r="J41" s="6">
        <v>0.12</v>
      </c>
      <c r="K41" s="86">
        <f t="shared" si="3"/>
        <v>101.98518518518517</v>
      </c>
      <c r="L41" s="86">
        <f t="shared" si="4"/>
        <v>127.48148148148147</v>
      </c>
      <c r="M41" s="86">
        <f t="shared" si="5"/>
        <v>254.96296296296293</v>
      </c>
    </row>
    <row r="42" spans="1:13">
      <c r="A42" s="83">
        <v>41</v>
      </c>
      <c r="B42" s="71">
        <f t="array" ref="B42">AVERAGE(INDEX(Ranges!$M$7:$N$156,A42,1),INDEX(Ranges!$M$7:$N$156,A42,2))</f>
        <v>1348.0555555555557</v>
      </c>
      <c r="C42" s="82">
        <f t="shared" si="1"/>
        <v>289.5679012345679</v>
      </c>
      <c r="D42" s="71">
        <f t="array" ref="D42">AVERAGE(INDEX(Ranges!$R$7:$R$156,A42),INDEX(Ranges!$S$7:$S$156,A42),INDEX(Ranges!$T$7:$T$156,A42))</f>
        <v>109.44444444444444</v>
      </c>
      <c r="E42" s="82">
        <f t="shared" si="6"/>
        <v>24.320987654320987</v>
      </c>
      <c r="F42" s="71">
        <f t="array" ref="F42">AVERAGE(INDEX(Ranges!$U$7:$V$156,A42,1),INDEX(Ranges!$U$7:$V$156,A42,2))</f>
        <v>1243.6666666666667</v>
      </c>
      <c r="G42" s="82">
        <f t="shared" si="2"/>
        <v>266.37037037037038</v>
      </c>
      <c r="H42" s="82">
        <f t="array" ref="H42">INDEX(Damage!$F$2:$F$151,A42)*$O$14</f>
        <v>425.01260022909509</v>
      </c>
      <c r="I42" s="6">
        <v>0.08</v>
      </c>
      <c r="J42" s="6">
        <v>0.12</v>
      </c>
      <c r="K42" s="86">
        <f t="shared" si="3"/>
        <v>106.54814814814816</v>
      </c>
      <c r="L42" s="86">
        <f t="shared" si="4"/>
        <v>133.18518518518519</v>
      </c>
      <c r="M42" s="86">
        <f t="shared" si="5"/>
        <v>266.37037037037038</v>
      </c>
    </row>
    <row r="43" spans="1:13">
      <c r="A43" s="83">
        <v>42</v>
      </c>
      <c r="B43" s="71">
        <f t="array" ref="B43">AVERAGE(INDEX(Ranges!$M$7:$N$156,A43,1),INDEX(Ranges!$M$7:$N$156,A43,2))</f>
        <v>1375.6666666666665</v>
      </c>
      <c r="C43" s="82">
        <f t="shared" si="1"/>
        <v>295.7037037037037</v>
      </c>
      <c r="D43" s="71">
        <f t="array" ref="D43">AVERAGE(INDEX(Ranges!$R$7:$R$156,A43),INDEX(Ranges!$S$7:$S$156,A43),INDEX(Ranges!$T$7:$T$156,A43))</f>
        <v>112</v>
      </c>
      <c r="E43" s="82">
        <f t="shared" si="6"/>
        <v>24.888888888888889</v>
      </c>
      <c r="F43" s="71">
        <f t="array" ref="F43">AVERAGE(INDEX(Ranges!$U$7:$V$156,A43,1),INDEX(Ranges!$U$7:$V$156,A43,2))</f>
        <v>1269</v>
      </c>
      <c r="G43" s="82">
        <f t="shared" si="2"/>
        <v>272</v>
      </c>
      <c r="H43" s="82">
        <f t="array" ref="H43">INDEX(Damage!$F$2:$F$151,A43)*$O$14</f>
        <v>434.39393939393943</v>
      </c>
      <c r="I43" s="6">
        <v>0.08</v>
      </c>
      <c r="J43" s="6">
        <v>0.12</v>
      </c>
      <c r="K43" s="86">
        <f t="shared" si="3"/>
        <v>108.80000000000001</v>
      </c>
      <c r="L43" s="86">
        <f t="shared" si="4"/>
        <v>136</v>
      </c>
      <c r="M43" s="86">
        <f t="shared" si="5"/>
        <v>272</v>
      </c>
    </row>
    <row r="44" spans="1:13">
      <c r="A44" s="83">
        <v>43</v>
      </c>
      <c r="B44" s="71">
        <f t="array" ref="B44">AVERAGE(INDEX(Ranges!$M$7:$N$156,A44,1),INDEX(Ranges!$M$7:$N$156,A44,2))</f>
        <v>1403.2777777777778</v>
      </c>
      <c r="C44" s="82">
        <f t="shared" si="1"/>
        <v>301.83950617283949</v>
      </c>
      <c r="D44" s="71">
        <f t="array" ref="D44">AVERAGE(INDEX(Ranges!$R$7:$R$156,A44),INDEX(Ranges!$S$7:$S$156,A44),INDEX(Ranges!$T$7:$T$156,A44))</f>
        <v>114.55555555555554</v>
      </c>
      <c r="E44" s="82">
        <f t="shared" si="6"/>
        <v>25.456790123456788</v>
      </c>
      <c r="F44" s="71">
        <f t="array" ref="F44">AVERAGE(INDEX(Ranges!$U$7:$V$156,A44,1),INDEX(Ranges!$U$7:$V$156,A44,2))</f>
        <v>1294.3333333333333</v>
      </c>
      <c r="G44" s="82">
        <f t="shared" si="2"/>
        <v>277.62962962962962</v>
      </c>
      <c r="H44" s="82">
        <f t="array" ref="H44">INDEX(Damage!$F$2:$F$151,A44)*$O$14</f>
        <v>443.7755775577557</v>
      </c>
      <c r="I44" s="6">
        <v>0.08</v>
      </c>
      <c r="J44" s="6">
        <v>0.12</v>
      </c>
      <c r="K44" s="86">
        <f t="shared" si="3"/>
        <v>111.05185185185185</v>
      </c>
      <c r="L44" s="86">
        <f t="shared" si="4"/>
        <v>138.81481481481481</v>
      </c>
      <c r="M44" s="86">
        <f t="shared" si="5"/>
        <v>277.62962962962962</v>
      </c>
    </row>
    <row r="45" spans="1:13">
      <c r="A45" s="83">
        <v>44</v>
      </c>
      <c r="B45" s="71">
        <f t="array" ref="B45">AVERAGE(INDEX(Ranges!$M$7:$N$156,A45,1),INDEX(Ranges!$M$7:$N$156,A45,2))</f>
        <v>1430.8888888888889</v>
      </c>
      <c r="C45" s="82">
        <f t="shared" si="1"/>
        <v>307.97530864197529</v>
      </c>
      <c r="D45" s="71">
        <f t="array" ref="D45">AVERAGE(INDEX(Ranges!$R$7:$R$156,A45),INDEX(Ranges!$S$7:$S$156,A45),INDEX(Ranges!$T$7:$T$156,A45))</f>
        <v>117.1111111111111</v>
      </c>
      <c r="E45" s="82">
        <f t="shared" si="6"/>
        <v>26.02469135802469</v>
      </c>
      <c r="F45" s="71">
        <f t="array" ref="F45">AVERAGE(INDEX(Ranges!$U$7:$V$156,A45,1),INDEX(Ranges!$U$7:$V$156,A45,2))</f>
        <v>1345.6666666666667</v>
      </c>
      <c r="G45" s="82">
        <f t="shared" si="2"/>
        <v>289.03703703703707</v>
      </c>
      <c r="H45" s="82">
        <f t="array" ref="H45">INDEX(Damage!$F$2:$F$151,A45)*$O$14</f>
        <v>453.15749730312837</v>
      </c>
      <c r="I45" s="6">
        <v>0.08</v>
      </c>
      <c r="J45" s="6">
        <v>0.12</v>
      </c>
      <c r="K45" s="86">
        <f t="shared" si="3"/>
        <v>115.61481481481484</v>
      </c>
      <c r="L45" s="86">
        <f t="shared" si="4"/>
        <v>144.51851851851853</v>
      </c>
      <c r="M45" s="86">
        <f t="shared" si="5"/>
        <v>289.03703703703707</v>
      </c>
    </row>
    <row r="46" spans="1:13">
      <c r="A46" s="83">
        <v>45</v>
      </c>
      <c r="B46" s="71">
        <f t="array" ref="B46">AVERAGE(INDEX(Ranges!$M$7:$N$156,A46,1),INDEX(Ranges!$M$7:$N$156,A46,2))</f>
        <v>1458.5</v>
      </c>
      <c r="C46" s="82">
        <f t="shared" si="1"/>
        <v>314.11111111111109</v>
      </c>
      <c r="D46" s="71">
        <f t="array" ref="D46">AVERAGE(INDEX(Ranges!$R$7:$R$156,A46),INDEX(Ranges!$S$7:$S$156,A46),INDEX(Ranges!$T$7:$T$156,A46))</f>
        <v>119.66666666666667</v>
      </c>
      <c r="E46" s="82">
        <f t="shared" si="6"/>
        <v>26.592592592592595</v>
      </c>
      <c r="F46" s="71">
        <f t="array" ref="F46">AVERAGE(INDEX(Ranges!$U$7:$V$156,A46,1),INDEX(Ranges!$U$7:$V$156,A46,2))</f>
        <v>1371</v>
      </c>
      <c r="G46" s="82">
        <f t="shared" si="2"/>
        <v>294.66666666666669</v>
      </c>
      <c r="H46" s="82">
        <f t="array" ref="H46">INDEX(Damage!$F$2:$F$151,A46)*$O$14</f>
        <v>462.53968253968247</v>
      </c>
      <c r="I46" s="6">
        <v>0.08</v>
      </c>
      <c r="J46" s="6">
        <v>0.12</v>
      </c>
      <c r="K46" s="86">
        <f t="shared" si="3"/>
        <v>117.86666666666667</v>
      </c>
      <c r="L46" s="86">
        <f t="shared" si="4"/>
        <v>147.33333333333334</v>
      </c>
      <c r="M46" s="86">
        <f t="shared" si="5"/>
        <v>294.66666666666669</v>
      </c>
    </row>
    <row r="47" spans="1:13">
      <c r="A47" s="83">
        <v>46</v>
      </c>
      <c r="B47" s="71">
        <f t="array" ref="B47">AVERAGE(INDEX(Ranges!$M$7:$N$156,A47,1),INDEX(Ranges!$M$7:$N$156,A47,2))</f>
        <v>1486.1111111111111</v>
      </c>
      <c r="C47" s="82">
        <f t="shared" si="1"/>
        <v>320.24691358024688</v>
      </c>
      <c r="D47" s="71">
        <f t="array" ref="D47">AVERAGE(INDEX(Ranges!$R$7:$R$156,A47),INDEX(Ranges!$S$7:$S$156,A47),INDEX(Ranges!$T$7:$T$156,A47))</f>
        <v>122.22222222222221</v>
      </c>
      <c r="E47" s="82">
        <f t="shared" si="6"/>
        <v>27.160493827160494</v>
      </c>
      <c r="F47" s="71">
        <f t="array" ref="F47">AVERAGE(INDEX(Ranges!$U$7:$V$156,A47,1),INDEX(Ranges!$U$7:$V$156,A47,2))</f>
        <v>1396.3333333333333</v>
      </c>
      <c r="G47" s="82">
        <f t="shared" si="2"/>
        <v>300.2962962962963</v>
      </c>
      <c r="H47" s="82">
        <f t="array" ref="H47">INDEX(Damage!$F$2:$F$151,A47)*$O$14</f>
        <v>471.92211838006227</v>
      </c>
      <c r="I47" s="6">
        <v>0.08</v>
      </c>
      <c r="J47" s="6">
        <v>0.12</v>
      </c>
      <c r="K47" s="86">
        <f t="shared" si="3"/>
        <v>120.11851851851853</v>
      </c>
      <c r="L47" s="86">
        <f t="shared" si="4"/>
        <v>150.14814814814815</v>
      </c>
      <c r="M47" s="86">
        <f t="shared" si="5"/>
        <v>300.2962962962963</v>
      </c>
    </row>
    <row r="48" spans="1:13">
      <c r="A48" s="83">
        <v>47</v>
      </c>
      <c r="B48" s="71">
        <f t="array" ref="B48">AVERAGE(INDEX(Ranges!$M$7:$N$156,A48,1),INDEX(Ranges!$M$7:$N$156,A48,2))</f>
        <v>1552.7222222222222</v>
      </c>
      <c r="C48" s="82">
        <f t="shared" si="1"/>
        <v>335.04938271604937</v>
      </c>
      <c r="D48" s="71">
        <f t="array" ref="D48">AVERAGE(INDEX(Ranges!$R$7:$R$156,A48),INDEX(Ranges!$S$7:$S$156,A48),INDEX(Ranges!$T$7:$T$156,A48))</f>
        <v>124.77777777777777</v>
      </c>
      <c r="E48" s="82">
        <f t="shared" si="6"/>
        <v>27.728395061728392</v>
      </c>
      <c r="F48" s="71">
        <f t="array" ref="F48">AVERAGE(INDEX(Ranges!$U$7:$V$156,A48,1),INDEX(Ranges!$U$7:$V$156,A48,2))</f>
        <v>1421.6666666666667</v>
      </c>
      <c r="G48" s="82">
        <f t="shared" si="2"/>
        <v>305.92592592592592</v>
      </c>
      <c r="H48" s="82">
        <f t="array" ref="H48">INDEX(Damage!$F$2:$F$151,A48)*$O$14</f>
        <v>490.60754332313962</v>
      </c>
      <c r="I48" s="6">
        <v>0.08</v>
      </c>
      <c r="J48" s="6">
        <v>0.12</v>
      </c>
      <c r="K48" s="86">
        <f t="shared" si="3"/>
        <v>122.37037037037038</v>
      </c>
      <c r="L48" s="86">
        <f t="shared" si="4"/>
        <v>152.96296296296296</v>
      </c>
      <c r="M48" s="86">
        <f t="shared" si="5"/>
        <v>305.92592592592592</v>
      </c>
    </row>
    <row r="49" spans="1:13">
      <c r="A49" s="83">
        <v>48</v>
      </c>
      <c r="B49" s="71">
        <f t="array" ref="B49">AVERAGE(INDEX(Ranges!$M$7:$N$156,A49,1),INDEX(Ranges!$M$7:$N$156,A49,2))</f>
        <v>1580.3333333333333</v>
      </c>
      <c r="C49" s="82">
        <f t="shared" si="1"/>
        <v>341.18518518518516</v>
      </c>
      <c r="D49" s="71">
        <f t="array" ref="D49">AVERAGE(INDEX(Ranges!$R$7:$R$156,A49),INDEX(Ranges!$S$7:$S$156,A49),INDEX(Ranges!$T$7:$T$156,A49))</f>
        <v>127.33333333333333</v>
      </c>
      <c r="E49" s="82">
        <f t="shared" si="6"/>
        <v>28.296296296296294</v>
      </c>
      <c r="F49" s="71">
        <f t="array" ref="F49">AVERAGE(INDEX(Ranges!$U$7:$V$156,A49,1),INDEX(Ranges!$U$7:$V$156,A49,2))</f>
        <v>1447</v>
      </c>
      <c r="G49" s="82">
        <f t="shared" si="2"/>
        <v>311.55555555555554</v>
      </c>
      <c r="H49" s="82">
        <f t="array" ref="H49">INDEX(Damage!$F$2:$F$151,A49)*$O$14</f>
        <v>499.99849849849846</v>
      </c>
      <c r="I49" s="6">
        <v>0.08</v>
      </c>
      <c r="J49" s="6">
        <v>0.12</v>
      </c>
      <c r="K49" s="86">
        <f t="shared" si="3"/>
        <v>124.62222222222222</v>
      </c>
      <c r="L49" s="86">
        <f t="shared" si="4"/>
        <v>155.77777777777777</v>
      </c>
      <c r="M49" s="86">
        <f t="shared" si="5"/>
        <v>311.55555555555554</v>
      </c>
    </row>
    <row r="50" spans="1:13">
      <c r="A50" s="83">
        <v>49</v>
      </c>
      <c r="B50" s="71">
        <f t="array" ref="B50">AVERAGE(INDEX(Ranges!$M$7:$N$156,A50,1),INDEX(Ranges!$M$7:$N$156,A50,2))</f>
        <v>1607.9444444444443</v>
      </c>
      <c r="C50" s="82">
        <f t="shared" si="1"/>
        <v>347.32098765432096</v>
      </c>
      <c r="D50" s="71">
        <f t="array" ref="D50">AVERAGE(INDEX(Ranges!$R$7:$R$156,A50),INDEX(Ranges!$S$7:$S$156,A50),INDEX(Ranges!$T$7:$T$156,A50))</f>
        <v>129.88888888888889</v>
      </c>
      <c r="E50" s="82">
        <f t="shared" si="6"/>
        <v>28.864197530864196</v>
      </c>
      <c r="F50" s="71">
        <f t="array" ref="F50">AVERAGE(INDEX(Ranges!$U$7:$V$156,A50,1),INDEX(Ranges!$U$7:$V$156,A50,2))</f>
        <v>1472.3333333333333</v>
      </c>
      <c r="G50" s="82">
        <f t="shared" si="2"/>
        <v>317.18518518518516</v>
      </c>
      <c r="H50" s="82">
        <f t="array" ref="H50">INDEX(Damage!$F$2:$F$151,A50)*$O$14</f>
        <v>509.38938053097343</v>
      </c>
      <c r="I50" s="6">
        <v>0.08</v>
      </c>
      <c r="J50" s="6">
        <v>0.12</v>
      </c>
      <c r="K50" s="86">
        <f t="shared" si="3"/>
        <v>126.87407407407407</v>
      </c>
      <c r="L50" s="86">
        <f t="shared" si="4"/>
        <v>158.59259259259258</v>
      </c>
      <c r="M50" s="86">
        <f t="shared" si="5"/>
        <v>317.18518518518516</v>
      </c>
    </row>
    <row r="51" spans="1:13">
      <c r="A51" s="83">
        <v>50</v>
      </c>
      <c r="B51" s="71">
        <f t="array" ref="B51">AVERAGE(INDEX(Ranges!$M$7:$N$156,A51,1),INDEX(Ranges!$M$7:$N$156,A51,2))</f>
        <v>1635.5555555555557</v>
      </c>
      <c r="C51" s="82">
        <f t="shared" si="1"/>
        <v>353.45679012345681</v>
      </c>
      <c r="D51" s="71">
        <f t="array" ref="D51">AVERAGE(INDEX(Ranges!$R$7:$R$156,A51),INDEX(Ranges!$S$7:$S$156,A51),INDEX(Ranges!$T$7:$T$156,A51))</f>
        <v>132.44444444444443</v>
      </c>
      <c r="E51" s="82">
        <f t="shared" si="6"/>
        <v>29.432098765432094</v>
      </c>
      <c r="F51" s="71">
        <f t="array" ref="F51">AVERAGE(INDEX(Ranges!$U$7:$V$156,A51,1),INDEX(Ranges!$U$7:$V$156,A51,2))</f>
        <v>1536.6666666666667</v>
      </c>
      <c r="G51" s="82">
        <f t="shared" si="2"/>
        <v>331.48148148148152</v>
      </c>
      <c r="H51" s="82">
        <f t="array" ref="H51">INDEX(Damage!$F$2:$F$151,A51)*$O$14</f>
        <v>518.78019323671492</v>
      </c>
      <c r="I51" s="6">
        <v>0.08</v>
      </c>
      <c r="J51" s="6">
        <v>0.12</v>
      </c>
      <c r="K51" s="86">
        <f t="shared" si="3"/>
        <v>132.59259259259261</v>
      </c>
      <c r="L51" s="86">
        <f t="shared" si="4"/>
        <v>165.74074074074076</v>
      </c>
      <c r="M51" s="86">
        <f t="shared" si="5"/>
        <v>331.48148148148152</v>
      </c>
    </row>
    <row r="52" spans="1:13">
      <c r="A52" s="83">
        <v>51</v>
      </c>
      <c r="B52" s="71">
        <f t="array" ref="B52">AVERAGE(INDEX(Ranges!$M$7:$N$156,A52,1),INDEX(Ranges!$M$7:$N$156,A52,2))</f>
        <v>1663.1666666666665</v>
      </c>
      <c r="C52" s="82">
        <f t="shared" si="1"/>
        <v>359.59259259259255</v>
      </c>
      <c r="D52" s="71">
        <f t="array" ref="D52">AVERAGE(INDEX(Ranges!$R$7:$R$156,A52),INDEX(Ranges!$S$7:$S$156,A52),INDEX(Ranges!$T$7:$T$156,A52))</f>
        <v>135</v>
      </c>
      <c r="E52" s="82">
        <f t="shared" si="6"/>
        <v>30</v>
      </c>
      <c r="F52" s="71">
        <f t="array" ref="F52">AVERAGE(INDEX(Ranges!$U$7:$V$156,A52,1),INDEX(Ranges!$U$7:$V$156,A52,2))</f>
        <v>1562</v>
      </c>
      <c r="G52" s="82">
        <f t="shared" si="2"/>
        <v>337.11111111111109</v>
      </c>
      <c r="H52" s="82">
        <f t="array" ref="H52">INDEX(Damage!$F$2:$F$151,A52)*$O$14</f>
        <v>528.17094017094018</v>
      </c>
      <c r="I52" s="6">
        <v>0.08</v>
      </c>
      <c r="J52" s="6">
        <v>0.12</v>
      </c>
      <c r="K52" s="86">
        <f t="shared" si="3"/>
        <v>134.84444444444443</v>
      </c>
      <c r="L52" s="86">
        <f t="shared" si="4"/>
        <v>168.55555555555554</v>
      </c>
      <c r="M52" s="86">
        <f t="shared" si="5"/>
        <v>337.11111111111109</v>
      </c>
    </row>
    <row r="53" spans="1:13">
      <c r="A53" s="83">
        <v>52</v>
      </c>
      <c r="B53" s="71">
        <f t="array" ref="B53">AVERAGE(INDEX(Ranges!$M$7:$N$156,A53,1),INDEX(Ranges!$M$7:$N$156,A53,2))</f>
        <v>1690.7777777777778</v>
      </c>
      <c r="C53" s="82">
        <f t="shared" si="1"/>
        <v>365.72839506172841</v>
      </c>
      <c r="D53" s="71">
        <f t="array" ref="D53">AVERAGE(INDEX(Ranges!$R$7:$R$156,A53),INDEX(Ranges!$S$7:$S$156,A53),INDEX(Ranges!$T$7:$T$156,A53))</f>
        <v>137.55555555555554</v>
      </c>
      <c r="E53" s="82">
        <f t="shared" si="6"/>
        <v>30.567901234567898</v>
      </c>
      <c r="F53" s="71">
        <f t="array" ref="F53">AVERAGE(INDEX(Ranges!$U$7:$V$156,A53,1),INDEX(Ranges!$U$7:$V$156,A53,2))</f>
        <v>1587.3333333333333</v>
      </c>
      <c r="G53" s="82">
        <f t="shared" si="2"/>
        <v>342.7407407407407</v>
      </c>
      <c r="H53" s="82">
        <f t="array" ref="H53">INDEX(Damage!$F$2:$F$151,A53)*$O$14</f>
        <v>537.56162464986005</v>
      </c>
      <c r="I53" s="6">
        <v>0.08</v>
      </c>
      <c r="J53" s="6">
        <v>0.12</v>
      </c>
      <c r="K53" s="86">
        <f t="shared" si="3"/>
        <v>137.09629629629629</v>
      </c>
      <c r="L53" s="86">
        <f t="shared" si="4"/>
        <v>171.37037037037035</v>
      </c>
      <c r="M53" s="86">
        <f t="shared" si="5"/>
        <v>342.7407407407407</v>
      </c>
    </row>
    <row r="54" spans="1:13">
      <c r="A54" s="83">
        <v>53</v>
      </c>
      <c r="B54" s="71">
        <f t="array" ref="B54">AVERAGE(INDEX(Ranges!$M$7:$N$156,A54,1),INDEX(Ranges!$M$7:$N$156,A54,2))</f>
        <v>1757.3888888888889</v>
      </c>
      <c r="C54" s="82">
        <f t="shared" si="1"/>
        <v>380.53086419753089</v>
      </c>
      <c r="D54" s="71">
        <f t="array" ref="D54">AVERAGE(INDEX(Ranges!$R$7:$R$156,A54),INDEX(Ranges!$S$7:$S$156,A54),INDEX(Ranges!$T$7:$T$156,A54))</f>
        <v>140.11111111111111</v>
      </c>
      <c r="E54" s="82">
        <f t="shared" si="6"/>
        <v>31.135802469135804</v>
      </c>
      <c r="F54" s="71">
        <f t="array" ref="F54">AVERAGE(INDEX(Ranges!$U$7:$V$156,A54,1),INDEX(Ranges!$U$7:$V$156,A54,2))</f>
        <v>1612.6666666666667</v>
      </c>
      <c r="G54" s="82">
        <f t="shared" si="2"/>
        <v>348.37037037037038</v>
      </c>
      <c r="H54" s="82">
        <f t="array" ref="H54">INDEX(Damage!$F$2:$F$151,A54)*$O$14</f>
        <v>556.2993572084481</v>
      </c>
      <c r="I54" s="6">
        <v>0.08</v>
      </c>
      <c r="J54" s="6">
        <v>0.12</v>
      </c>
      <c r="K54" s="86">
        <f t="shared" si="3"/>
        <v>139.34814814814817</v>
      </c>
      <c r="L54" s="86">
        <f t="shared" si="4"/>
        <v>174.18518518518519</v>
      </c>
      <c r="M54" s="86">
        <f t="shared" si="5"/>
        <v>348.37037037037038</v>
      </c>
    </row>
    <row r="55" spans="1:13">
      <c r="A55" s="83">
        <v>54</v>
      </c>
      <c r="B55" s="71">
        <f t="array" ref="B55">AVERAGE(INDEX(Ranges!$M$7:$N$156,A55,1),INDEX(Ranges!$M$7:$N$156,A55,2))</f>
        <v>1785</v>
      </c>
      <c r="C55" s="82">
        <f t="shared" si="1"/>
        <v>386.66666666666669</v>
      </c>
      <c r="D55" s="71">
        <f t="array" ref="D55">AVERAGE(INDEX(Ranges!$R$7:$R$156,A55),INDEX(Ranges!$S$7:$S$156,A55),INDEX(Ranges!$T$7:$T$156,A55))</f>
        <v>142.66666666666666</v>
      </c>
      <c r="E55" s="82">
        <f t="shared" si="6"/>
        <v>31.703703703703702</v>
      </c>
      <c r="F55" s="71">
        <f t="array" ref="F55">AVERAGE(INDEX(Ranges!$U$7:$V$156,A55,1),INDEX(Ranges!$U$7:$V$156,A55,2))</f>
        <v>1638</v>
      </c>
      <c r="G55" s="82">
        <f t="shared" si="2"/>
        <v>354</v>
      </c>
      <c r="H55" s="82">
        <f t="array" ref="H55">INDEX(Damage!$F$2:$F$151,A55)*$O$14</f>
        <v>565.69647696476954</v>
      </c>
      <c r="I55" s="6">
        <v>0.08</v>
      </c>
      <c r="J55" s="6">
        <v>0.12</v>
      </c>
      <c r="K55" s="86">
        <f t="shared" si="3"/>
        <v>141.6</v>
      </c>
      <c r="L55" s="86">
        <f t="shared" si="4"/>
        <v>177</v>
      </c>
      <c r="M55" s="86">
        <f t="shared" si="5"/>
        <v>354</v>
      </c>
    </row>
    <row r="56" spans="1:13">
      <c r="A56" s="83">
        <v>55</v>
      </c>
      <c r="B56" s="71">
        <f t="array" ref="B56">AVERAGE(INDEX(Ranges!$M$7:$N$156,A56,1),INDEX(Ranges!$M$7:$N$156,A56,2))</f>
        <v>1812.6111111111111</v>
      </c>
      <c r="C56" s="82">
        <f t="shared" si="1"/>
        <v>392.80246913580248</v>
      </c>
      <c r="D56" s="71">
        <f t="array" ref="D56">AVERAGE(INDEX(Ranges!$R$7:$R$156,A56),INDEX(Ranges!$S$7:$S$156,A56),INDEX(Ranges!$T$7:$T$156,A56))</f>
        <v>145.2222222222222</v>
      </c>
      <c r="E56" s="82">
        <f t="shared" si="6"/>
        <v>32.271604938271601</v>
      </c>
      <c r="F56" s="71">
        <f t="array" ref="F56">AVERAGE(INDEX(Ranges!$U$7:$V$156,A56,1),INDEX(Ranges!$U$7:$V$156,A56,2))</f>
        <v>1663.3333333333333</v>
      </c>
      <c r="G56" s="82">
        <f t="shared" si="2"/>
        <v>359.62962962962962</v>
      </c>
      <c r="H56" s="82">
        <f t="array" ref="H56">INDEX(Damage!$F$2:$F$151,A56)*$O$14</f>
        <v>575.09333333333325</v>
      </c>
      <c r="I56" s="6">
        <v>0.08</v>
      </c>
      <c r="J56" s="6">
        <v>0.12</v>
      </c>
      <c r="K56" s="86">
        <f t="shared" si="3"/>
        <v>143.85185185185185</v>
      </c>
      <c r="L56" s="86">
        <f t="shared" si="4"/>
        <v>179.81481481481481</v>
      </c>
      <c r="M56" s="86">
        <f t="shared" si="5"/>
        <v>359.62962962962962</v>
      </c>
    </row>
    <row r="57" spans="1:13">
      <c r="A57" s="83">
        <v>56</v>
      </c>
      <c r="B57" s="71">
        <f t="array" ref="B57">AVERAGE(INDEX(Ranges!$M$7:$N$156,A57,1),INDEX(Ranges!$M$7:$N$156,A57,2))</f>
        <v>1840.2222222222222</v>
      </c>
      <c r="C57" s="82">
        <f t="shared" si="1"/>
        <v>398.93827160493828</v>
      </c>
      <c r="D57" s="71">
        <f t="array" ref="D57">AVERAGE(INDEX(Ranges!$R$7:$R$156,A57),INDEX(Ranges!$S$7:$S$156,A57),INDEX(Ranges!$T$7:$T$156,A57))</f>
        <v>147.77777777777777</v>
      </c>
      <c r="E57" s="82">
        <f t="shared" si="6"/>
        <v>32.839506172839506</v>
      </c>
      <c r="F57" s="71">
        <f t="array" ref="F57">AVERAGE(INDEX(Ranges!$U$7:$V$156,A57,1),INDEX(Ranges!$U$7:$V$156,A57,2))</f>
        <v>1727.6666666666667</v>
      </c>
      <c r="G57" s="82">
        <f t="shared" si="2"/>
        <v>373.92592592592592</v>
      </c>
      <c r="H57" s="82">
        <f t="array" ref="H57">INDEX(Damage!$F$2:$F$151,A57)*$O$14</f>
        <v>584.4899387576553</v>
      </c>
      <c r="I57" s="6">
        <v>0.08</v>
      </c>
      <c r="J57" s="6">
        <v>0.12</v>
      </c>
      <c r="K57" s="86">
        <f t="shared" si="3"/>
        <v>149.57037037037037</v>
      </c>
      <c r="L57" s="86">
        <f t="shared" si="4"/>
        <v>186.96296296296296</v>
      </c>
      <c r="M57" s="86">
        <f t="shared" si="5"/>
        <v>373.92592592592592</v>
      </c>
    </row>
    <row r="58" spans="1:13">
      <c r="A58" s="83">
        <v>57</v>
      </c>
      <c r="B58" s="71">
        <f t="array" ref="B58">AVERAGE(INDEX(Ranges!$M$7:$N$156,A58,1),INDEX(Ranges!$M$7:$N$156,A58,2))</f>
        <v>1867.8333333333333</v>
      </c>
      <c r="C58" s="82">
        <f t="shared" si="1"/>
        <v>405.07407407407408</v>
      </c>
      <c r="D58" s="71">
        <f t="array" ref="D58">AVERAGE(INDEX(Ranges!$R$7:$R$156,A58),INDEX(Ranges!$S$7:$S$156,A58),INDEX(Ranges!$T$7:$T$156,A58))</f>
        <v>150.33333333333334</v>
      </c>
      <c r="E58" s="82">
        <f t="shared" si="6"/>
        <v>33.407407407407412</v>
      </c>
      <c r="F58" s="71">
        <f t="array" ref="F58">AVERAGE(INDEX(Ranges!$U$7:$V$156,A58,1),INDEX(Ranges!$U$7:$V$156,A58,2))</f>
        <v>1753</v>
      </c>
      <c r="G58" s="82">
        <f t="shared" si="2"/>
        <v>379.55555555555554</v>
      </c>
      <c r="H58" s="82">
        <f t="array" ref="H58">INDEX(Damage!$F$2:$F$151,A58)*$O$14</f>
        <v>593.88630490956064</v>
      </c>
      <c r="I58" s="6">
        <v>0.08</v>
      </c>
      <c r="J58" s="6">
        <v>0.12</v>
      </c>
      <c r="K58" s="86">
        <f t="shared" si="3"/>
        <v>151.82222222222222</v>
      </c>
      <c r="L58" s="86">
        <f t="shared" si="4"/>
        <v>189.77777777777777</v>
      </c>
      <c r="M58" s="86">
        <f t="shared" si="5"/>
        <v>379.55555555555554</v>
      </c>
    </row>
    <row r="59" spans="1:13">
      <c r="A59" s="83">
        <v>58</v>
      </c>
      <c r="B59" s="71">
        <f t="array" ref="B59">AVERAGE(INDEX(Ranges!$M$7:$N$156,A59,1),INDEX(Ranges!$M$7:$N$156,A59,2))</f>
        <v>1895.4444444444443</v>
      </c>
      <c r="C59" s="82">
        <f t="shared" si="1"/>
        <v>411.20987654320987</v>
      </c>
      <c r="D59" s="71">
        <f t="array" ref="D59">AVERAGE(INDEX(Ranges!$R$7:$R$156,A59),INDEX(Ranges!$S$7:$S$156,A59),INDEX(Ranges!$T$7:$T$156,A59))</f>
        <v>152.88888888888886</v>
      </c>
      <c r="E59" s="82">
        <f t="shared" si="6"/>
        <v>33.975308641975303</v>
      </c>
      <c r="F59" s="71">
        <f t="array" ref="F59">AVERAGE(INDEX(Ranges!$U$7:$V$156,A59,1),INDEX(Ranges!$U$7:$V$156,A59,2))</f>
        <v>1778.3333333333333</v>
      </c>
      <c r="G59" s="82">
        <f t="shared" si="2"/>
        <v>385.18518518518516</v>
      </c>
      <c r="H59" s="82">
        <f t="array" ref="H59">INDEX(Damage!$F$2:$F$151,A59)*$O$14</f>
        <v>603.28244274809151</v>
      </c>
      <c r="I59" s="6">
        <v>0.08</v>
      </c>
      <c r="J59" s="6">
        <v>0.12</v>
      </c>
      <c r="K59" s="86">
        <f t="shared" si="3"/>
        <v>154.07407407407408</v>
      </c>
      <c r="L59" s="86">
        <f t="shared" si="4"/>
        <v>192.59259259259258</v>
      </c>
      <c r="M59" s="86">
        <f t="shared" si="5"/>
        <v>385.18518518518516</v>
      </c>
    </row>
    <row r="60" spans="1:13">
      <c r="A60" s="83">
        <v>59</v>
      </c>
      <c r="B60" s="71">
        <f t="array" ref="B60">AVERAGE(INDEX(Ranges!$M$7:$N$156,A60,1),INDEX(Ranges!$M$7:$N$156,A60,2))</f>
        <v>1962.0555555555557</v>
      </c>
      <c r="C60" s="82">
        <f t="shared" si="1"/>
        <v>426.01234567901236</v>
      </c>
      <c r="D60" s="71">
        <f t="array" ref="D60">AVERAGE(INDEX(Ranges!$R$7:$R$156,A60),INDEX(Ranges!$S$7:$S$156,A60),INDEX(Ranges!$T$7:$T$156,A60))</f>
        <v>155.44444444444443</v>
      </c>
      <c r="E60" s="82">
        <f t="shared" si="6"/>
        <v>34.543209876543209</v>
      </c>
      <c r="F60" s="71">
        <f t="array" ref="F60">AVERAGE(INDEX(Ranges!$U$7:$V$156,A60,1),INDEX(Ranges!$U$7:$V$156,A60,2))</f>
        <v>1803.6666666666667</v>
      </c>
      <c r="G60" s="82">
        <f t="shared" si="2"/>
        <v>390.81481481481484</v>
      </c>
      <c r="H60" s="82">
        <f t="array" ref="H60">INDEX(Damage!$F$2:$F$151,A60)*$O$14</f>
        <v>622.06182121971608</v>
      </c>
      <c r="I60" s="6">
        <v>0.08</v>
      </c>
      <c r="J60" s="6">
        <v>0.12</v>
      </c>
      <c r="K60" s="86">
        <f t="shared" si="3"/>
        <v>156.32592592592596</v>
      </c>
      <c r="L60" s="86">
        <f t="shared" si="4"/>
        <v>195.40740740740742</v>
      </c>
      <c r="M60" s="86">
        <f t="shared" si="5"/>
        <v>390.81481481481484</v>
      </c>
    </row>
    <row r="61" spans="1:13">
      <c r="A61" s="83">
        <v>60</v>
      </c>
      <c r="B61" s="71">
        <f t="array" ref="B61">AVERAGE(INDEX(Ranges!$M$7:$N$156,A61,1),INDEX(Ranges!$M$7:$N$156,A61,2))</f>
        <v>1989.6666666666665</v>
      </c>
      <c r="C61" s="82">
        <f t="shared" si="1"/>
        <v>432.1481481481481</v>
      </c>
      <c r="D61" s="71">
        <f t="array" ref="D61">AVERAGE(INDEX(Ranges!$R$7:$R$156,A61),INDEX(Ranges!$S$7:$S$156,A61),INDEX(Ranges!$T$7:$T$156,A61))</f>
        <v>158</v>
      </c>
      <c r="E61" s="82">
        <f t="shared" si="6"/>
        <v>35.111111111111114</v>
      </c>
      <c r="F61" s="71">
        <f t="array" ref="F61">AVERAGE(INDEX(Ranges!$U$7:$V$156,A61,1),INDEX(Ranges!$U$7:$V$156,A61,2))</f>
        <v>1829</v>
      </c>
      <c r="G61" s="82">
        <f t="shared" si="2"/>
        <v>396.44444444444446</v>
      </c>
      <c r="H61" s="82">
        <f t="array" ref="H61">INDEX(Damage!$F$2:$F$151,A61)*$O$14</f>
        <v>631.46296296296282</v>
      </c>
      <c r="I61" s="6">
        <v>0.08</v>
      </c>
      <c r="J61" s="6">
        <v>0.12</v>
      </c>
      <c r="K61" s="86">
        <f t="shared" si="3"/>
        <v>158.57777777777778</v>
      </c>
      <c r="L61" s="86">
        <f t="shared" si="4"/>
        <v>198.22222222222223</v>
      </c>
      <c r="M61" s="86">
        <f t="shared" si="5"/>
        <v>396.44444444444446</v>
      </c>
    </row>
    <row r="62" spans="1:13">
      <c r="A62" s="83">
        <v>61</v>
      </c>
      <c r="B62" s="71">
        <f t="array" ref="B62">AVERAGE(INDEX(Ranges!$M$7:$N$156,A62,1),INDEX(Ranges!$M$7:$N$156,A62,2))</f>
        <v>2017.2777777777778</v>
      </c>
      <c r="C62" s="82">
        <f t="shared" si="1"/>
        <v>438.28395061728395</v>
      </c>
      <c r="D62" s="71">
        <f t="array" ref="D62">AVERAGE(INDEX(Ranges!$R$7:$R$156,A62),INDEX(Ranges!$S$7:$S$156,A62),INDEX(Ranges!$T$7:$T$156,A62))</f>
        <v>160.55555555555551</v>
      </c>
      <c r="E62" s="82">
        <f t="shared" si="6"/>
        <v>35.679012345679006</v>
      </c>
      <c r="F62" s="71">
        <f t="array" ref="F62">AVERAGE(INDEX(Ranges!$U$7:$V$156,A62,1),INDEX(Ranges!$U$7:$V$156,A62,2))</f>
        <v>1854.3333333333333</v>
      </c>
      <c r="G62" s="82">
        <f t="shared" si="2"/>
        <v>402.07407407407408</v>
      </c>
      <c r="H62" s="82">
        <f t="array" ref="H62">INDEX(Damage!$F$2:$F$151,A62)*$O$14</f>
        <v>640.86374695863753</v>
      </c>
      <c r="I62" s="6">
        <v>0.08</v>
      </c>
      <c r="J62" s="6">
        <v>0.12</v>
      </c>
      <c r="K62" s="86">
        <f t="shared" si="3"/>
        <v>160.82962962962964</v>
      </c>
      <c r="L62" s="86">
        <f t="shared" si="4"/>
        <v>201.03703703703704</v>
      </c>
      <c r="M62" s="86">
        <f t="shared" si="5"/>
        <v>402.07407407407408</v>
      </c>
    </row>
    <row r="63" spans="1:13">
      <c r="A63" s="83">
        <v>62</v>
      </c>
      <c r="B63" s="71">
        <f t="array" ref="B63">AVERAGE(INDEX(Ranges!$M$7:$N$156,A63,1),INDEX(Ranges!$M$7:$N$156,A63,2))</f>
        <v>2044.8888888888889</v>
      </c>
      <c r="C63" s="82">
        <f t="shared" si="1"/>
        <v>444.41975308641975</v>
      </c>
      <c r="D63" s="71">
        <f t="array" ref="D63">AVERAGE(INDEX(Ranges!$R$7:$R$156,A63),INDEX(Ranges!$S$7:$S$156,A63),INDEX(Ranges!$T$7:$T$156,A63))</f>
        <v>163.11111111111111</v>
      </c>
      <c r="E63" s="82">
        <f t="shared" si="6"/>
        <v>36.246913580246911</v>
      </c>
      <c r="F63" s="71">
        <f t="array" ref="F63">AVERAGE(INDEX(Ranges!$U$7:$V$156,A63,1),INDEX(Ranges!$U$7:$V$156,A63,2))</f>
        <v>1918.6666666666667</v>
      </c>
      <c r="G63" s="82">
        <f t="shared" si="2"/>
        <v>416.37037037037038</v>
      </c>
      <c r="H63" s="82">
        <f t="array" ref="H63">INDEX(Damage!$F$2:$F$151,A63)*$O$14</f>
        <v>650.26418864908078</v>
      </c>
      <c r="I63" s="6">
        <v>0.08</v>
      </c>
      <c r="J63" s="6">
        <v>0.12</v>
      </c>
      <c r="K63" s="86">
        <f t="shared" si="3"/>
        <v>166.54814814814816</v>
      </c>
      <c r="L63" s="86">
        <f t="shared" si="4"/>
        <v>208.18518518518519</v>
      </c>
      <c r="M63" s="86">
        <f t="shared" si="5"/>
        <v>416.37037037037038</v>
      </c>
    </row>
    <row r="64" spans="1:13">
      <c r="A64" s="83">
        <v>63</v>
      </c>
      <c r="B64" s="71">
        <f t="array" ref="B64">AVERAGE(INDEX(Ranges!$M$7:$N$156,A64,1),INDEX(Ranges!$M$7:$N$156,A64,2))</f>
        <v>2072.5</v>
      </c>
      <c r="C64" s="82">
        <f t="shared" si="1"/>
        <v>450.55555555555554</v>
      </c>
      <c r="D64" s="71">
        <f t="array" ref="D64">AVERAGE(INDEX(Ranges!$R$7:$R$156,A64),INDEX(Ranges!$S$7:$S$156,A64),INDEX(Ranges!$T$7:$T$156,A64))</f>
        <v>165.66666666666666</v>
      </c>
      <c r="E64" s="82">
        <f t="shared" si="6"/>
        <v>36.81481481481481</v>
      </c>
      <c r="F64" s="71">
        <f t="array" ref="F64">AVERAGE(INDEX(Ranges!$U$7:$V$156,A64,1),INDEX(Ranges!$U$7:$V$156,A64,2))</f>
        <v>1944</v>
      </c>
      <c r="G64" s="82">
        <f t="shared" si="2"/>
        <v>422</v>
      </c>
      <c r="H64" s="82">
        <f t="array" ref="H64">INDEX(Damage!$F$2:$F$151,A64)*$O$14</f>
        <v>659.66430260047275</v>
      </c>
      <c r="I64" s="6">
        <v>0.08</v>
      </c>
      <c r="J64" s="6">
        <v>0.12</v>
      </c>
      <c r="K64" s="86">
        <f t="shared" si="3"/>
        <v>168.8</v>
      </c>
      <c r="L64" s="86">
        <f t="shared" si="4"/>
        <v>211</v>
      </c>
      <c r="M64" s="86">
        <f t="shared" si="5"/>
        <v>422</v>
      </c>
    </row>
    <row r="65" spans="1:13">
      <c r="A65" s="83">
        <v>64</v>
      </c>
      <c r="B65" s="71">
        <f t="array" ref="B65">AVERAGE(INDEX(Ranges!$M$7:$N$156,A65,1),INDEX(Ranges!$M$7:$N$156,A65,2))</f>
        <v>2100.1111111111113</v>
      </c>
      <c r="C65" s="82">
        <f t="shared" si="1"/>
        <v>456.6913580246914</v>
      </c>
      <c r="D65" s="71">
        <f t="array" ref="D65">AVERAGE(INDEX(Ranges!$R$7:$R$156,A65),INDEX(Ranges!$S$7:$S$156,A65),INDEX(Ranges!$T$7:$T$156,A65))</f>
        <v>168.2222222222222</v>
      </c>
      <c r="E65" s="82">
        <f t="shared" si="6"/>
        <v>37.382716049382708</v>
      </c>
      <c r="F65" s="71">
        <f t="array" ref="F65">AVERAGE(INDEX(Ranges!$U$7:$V$156,A65,1),INDEX(Ranges!$U$7:$V$156,A65,2))</f>
        <v>1969.3333333333335</v>
      </c>
      <c r="G65" s="82">
        <f t="shared" si="2"/>
        <v>427.62962962962968</v>
      </c>
      <c r="H65" s="82">
        <f t="array" ref="H65">INDEX(Damage!$F$2:$F$151,A65)*$O$14</f>
        <v>669.06410256410254</v>
      </c>
      <c r="I65" s="6">
        <v>0.08</v>
      </c>
      <c r="J65" s="6">
        <v>0.12</v>
      </c>
      <c r="K65" s="86">
        <f t="shared" si="3"/>
        <v>171.05185185185189</v>
      </c>
      <c r="L65" s="86">
        <f t="shared" si="4"/>
        <v>213.81481481481484</v>
      </c>
      <c r="M65" s="86">
        <f t="shared" si="5"/>
        <v>427.62962962962968</v>
      </c>
    </row>
    <row r="66" spans="1:13">
      <c r="A66" s="83">
        <v>65</v>
      </c>
      <c r="B66" s="71">
        <f t="array" ref="B66">AVERAGE(INDEX(Ranges!$M$7:$N$156,A66,1),INDEX(Ranges!$M$7:$N$156,A66,2))</f>
        <v>2179.7222222222222</v>
      </c>
      <c r="C66" s="82">
        <f t="shared" si="1"/>
        <v>474.38271604938268</v>
      </c>
      <c r="D66" s="71">
        <f t="array" ref="D66">AVERAGE(INDEX(Ranges!$R$7:$R$156,A66),INDEX(Ranges!$S$7:$S$156,A66),INDEX(Ranges!$T$7:$T$156,A66))</f>
        <v>170.77777777777774</v>
      </c>
      <c r="E66" s="82">
        <f t="shared" ref="E66:E97" si="7">D66/$O$13*$O$14</f>
        <v>37.950617283950606</v>
      </c>
      <c r="F66" s="71">
        <f t="array" ref="F66">AVERAGE(INDEX(Ranges!$U$7:$V$156,A66,1),INDEX(Ranges!$U$7:$V$156,A66,2))</f>
        <v>1994.6666666666665</v>
      </c>
      <c r="G66" s="82">
        <f t="shared" si="2"/>
        <v>433.25925925925924</v>
      </c>
      <c r="H66" s="82">
        <f t="array" ref="H66">INDEX(Damage!$F$2:$F$151,A66)*$O$14</f>
        <v>691.01532567049799</v>
      </c>
      <c r="I66" s="6">
        <v>0.08</v>
      </c>
      <c r="J66" s="6">
        <v>0.12</v>
      </c>
      <c r="K66" s="86">
        <f t="shared" si="3"/>
        <v>173.30370370370372</v>
      </c>
      <c r="L66" s="86">
        <f t="shared" si="4"/>
        <v>216.62962962962962</v>
      </c>
      <c r="M66" s="86">
        <f t="shared" si="5"/>
        <v>433.25925925925924</v>
      </c>
    </row>
    <row r="67" spans="1:13">
      <c r="A67" s="83">
        <v>66</v>
      </c>
      <c r="B67" s="71">
        <f t="array" ref="B67">AVERAGE(INDEX(Ranges!$M$7:$N$156,A67,1),INDEX(Ranges!$M$7:$N$156,A67,2))</f>
        <v>2207.333333333333</v>
      </c>
      <c r="C67" s="82">
        <f t="shared" ref="C67:C130" si="8">B67/$O$13*$O$14-$O$12</f>
        <v>480.51851851851848</v>
      </c>
      <c r="D67" s="71">
        <f t="array" ref="D67">AVERAGE(INDEX(Ranges!$R$7:$R$156,A67),INDEX(Ranges!$S$7:$S$156,A67),INDEX(Ranges!$T$7:$T$156,A67))</f>
        <v>173.33333333333334</v>
      </c>
      <c r="E67" s="82">
        <f t="shared" si="7"/>
        <v>38.518518518518519</v>
      </c>
      <c r="F67" s="71">
        <f t="array" ref="F67">AVERAGE(INDEX(Ranges!$U$7:$V$156,A67,1),INDEX(Ranges!$U$7:$V$156,A67,2))</f>
        <v>2020</v>
      </c>
      <c r="G67" s="82">
        <f t="shared" ref="G67:G130" si="9">F67/$O$13*$O$14-$O$12</f>
        <v>438.88888888888891</v>
      </c>
      <c r="H67" s="82">
        <f t="array" ref="H67">INDEX(Damage!$F$2:$F$151,A67)*$O$14</f>
        <v>700.42063492063494</v>
      </c>
      <c r="I67" s="6">
        <v>0.08</v>
      </c>
      <c r="J67" s="6">
        <v>0.12</v>
      </c>
      <c r="K67" s="86">
        <f t="shared" ref="K67:K130" si="10">G67*40%</f>
        <v>175.55555555555557</v>
      </c>
      <c r="L67" s="86">
        <f t="shared" ref="L67:L130" si="11">G67*50%</f>
        <v>219.44444444444446</v>
      </c>
      <c r="M67" s="86">
        <f t="shared" ref="M67:M130" si="12">G67</f>
        <v>438.88888888888891</v>
      </c>
    </row>
    <row r="68" spans="1:13">
      <c r="A68" s="83">
        <v>67</v>
      </c>
      <c r="B68" s="71">
        <f t="array" ref="B68">AVERAGE(INDEX(Ranges!$M$7:$N$156,A68,1),INDEX(Ranges!$M$7:$N$156,A68,2))</f>
        <v>2234.9444444444443</v>
      </c>
      <c r="C68" s="82">
        <f t="shared" si="8"/>
        <v>486.65432098765427</v>
      </c>
      <c r="D68" s="71">
        <f t="array" ref="D68">AVERAGE(INDEX(Ranges!$R$7:$R$156,A68),INDEX(Ranges!$S$7:$S$156,A68),INDEX(Ranges!$T$7:$T$156,A68))</f>
        <v>175.88888888888889</v>
      </c>
      <c r="E68" s="82">
        <f t="shared" si="7"/>
        <v>39.086419753086417</v>
      </c>
      <c r="F68" s="71">
        <f t="array" ref="F68">AVERAGE(INDEX(Ranges!$U$7:$V$156,A68,1),INDEX(Ranges!$U$7:$V$156,A68,2))</f>
        <v>2045.3333333333335</v>
      </c>
      <c r="G68" s="82">
        <f t="shared" si="9"/>
        <v>444.51851851851853</v>
      </c>
      <c r="H68" s="82">
        <f t="array" ref="H68">INDEX(Damage!$F$2:$F$151,A68)*$O$14</f>
        <v>709.82550335570454</v>
      </c>
      <c r="I68" s="6">
        <v>0.08</v>
      </c>
      <c r="J68" s="6">
        <v>0.12</v>
      </c>
      <c r="K68" s="86">
        <f t="shared" si="10"/>
        <v>177.80740740740742</v>
      </c>
      <c r="L68" s="86">
        <f t="shared" si="11"/>
        <v>222.25925925925927</v>
      </c>
      <c r="M68" s="86">
        <f t="shared" si="12"/>
        <v>444.51851851851853</v>
      </c>
    </row>
    <row r="69" spans="1:13">
      <c r="A69" s="83">
        <v>68</v>
      </c>
      <c r="B69" s="71">
        <f t="array" ref="B69">AVERAGE(INDEX(Ranges!$M$7:$N$156,A69,1),INDEX(Ranges!$M$7:$N$156,A69,2))</f>
        <v>2262.5555555555557</v>
      </c>
      <c r="C69" s="82">
        <f t="shared" si="8"/>
        <v>492.79012345679013</v>
      </c>
      <c r="D69" s="71">
        <f t="array" ref="D69">AVERAGE(INDEX(Ranges!$R$7:$R$156,A69),INDEX(Ranges!$S$7:$S$156,A69),INDEX(Ranges!$T$7:$T$156,A69))</f>
        <v>178.44444444444443</v>
      </c>
      <c r="E69" s="82">
        <f t="shared" si="7"/>
        <v>39.654320987654316</v>
      </c>
      <c r="F69" s="71">
        <f t="array" ref="F69">AVERAGE(INDEX(Ranges!$U$7:$V$156,A69,1),INDEX(Ranges!$U$7:$V$156,A69,2))</f>
        <v>2122.6666666666665</v>
      </c>
      <c r="G69" s="82">
        <f t="shared" si="9"/>
        <v>461.7037037037037</v>
      </c>
      <c r="H69" s="82">
        <f t="array" ref="H69">INDEX(Damage!$F$2:$F$151,A69)*$O$14</f>
        <v>719.22994849153793</v>
      </c>
      <c r="I69" s="6">
        <v>0.08</v>
      </c>
      <c r="J69" s="6">
        <v>0.12</v>
      </c>
      <c r="K69" s="86">
        <f t="shared" si="10"/>
        <v>184.68148148148148</v>
      </c>
      <c r="L69" s="86">
        <f t="shared" si="11"/>
        <v>230.85185185185185</v>
      </c>
      <c r="M69" s="86">
        <f t="shared" si="12"/>
        <v>461.7037037037037</v>
      </c>
    </row>
    <row r="70" spans="1:13">
      <c r="A70" s="83">
        <v>69</v>
      </c>
      <c r="B70" s="71">
        <f t="array" ref="B70">AVERAGE(INDEX(Ranges!$M$7:$N$156,A70,1),INDEX(Ranges!$M$7:$N$156,A70,2))</f>
        <v>2290.166666666667</v>
      </c>
      <c r="C70" s="82">
        <f t="shared" si="8"/>
        <v>498.92592592592598</v>
      </c>
      <c r="D70" s="71">
        <f t="array" ref="D70">AVERAGE(INDEX(Ranges!$R$7:$R$156,A70),INDEX(Ranges!$S$7:$S$156,A70),INDEX(Ranges!$T$7:$T$156,A70))</f>
        <v>180.99999999999997</v>
      </c>
      <c r="E70" s="82">
        <f t="shared" si="7"/>
        <v>40.222222222222214</v>
      </c>
      <c r="F70" s="71">
        <f t="array" ref="F70">AVERAGE(INDEX(Ranges!$U$7:$V$156,A70,1),INDEX(Ranges!$U$7:$V$156,A70,2))</f>
        <v>2148</v>
      </c>
      <c r="G70" s="82">
        <f t="shared" si="9"/>
        <v>467.33333333333331</v>
      </c>
      <c r="H70" s="82">
        <f t="array" ref="H70">INDEX(Damage!$F$2:$F$151,A70)*$O$14</f>
        <v>728.63398692810472</v>
      </c>
      <c r="I70" s="6">
        <v>0.08</v>
      </c>
      <c r="J70" s="6">
        <v>0.12</v>
      </c>
      <c r="K70" s="86">
        <f t="shared" si="10"/>
        <v>186.93333333333334</v>
      </c>
      <c r="L70" s="86">
        <f t="shared" si="11"/>
        <v>233.66666666666666</v>
      </c>
      <c r="M70" s="86">
        <f t="shared" si="12"/>
        <v>467.33333333333331</v>
      </c>
    </row>
    <row r="71" spans="1:13">
      <c r="A71" s="83">
        <v>70</v>
      </c>
      <c r="B71" s="71">
        <f t="array" ref="B71">AVERAGE(INDEX(Ranges!$M$7:$N$156,A71,1),INDEX(Ranges!$M$7:$N$156,A71,2))</f>
        <v>2317.7777777777778</v>
      </c>
      <c r="C71" s="82">
        <f t="shared" si="8"/>
        <v>505.06172839506178</v>
      </c>
      <c r="D71" s="71">
        <f t="array" ref="D71">AVERAGE(INDEX(Ranges!$R$7:$R$156,A71),INDEX(Ranges!$S$7:$S$156,A71),INDEX(Ranges!$T$7:$T$156,A71))</f>
        <v>183.55555555555554</v>
      </c>
      <c r="E71" s="82">
        <f t="shared" si="7"/>
        <v>40.79012345679012</v>
      </c>
      <c r="F71" s="71">
        <f t="array" ref="F71">AVERAGE(INDEX(Ranges!$U$7:$V$156,A71,1),INDEX(Ranges!$U$7:$V$156,A71,2))</f>
        <v>2173.3333333333335</v>
      </c>
      <c r="G71" s="82">
        <f t="shared" si="9"/>
        <v>472.96296296296299</v>
      </c>
      <c r="H71" s="82">
        <f t="array" ref="H71">INDEX(Damage!$F$2:$F$151,A71)*$O$14</f>
        <v>738.037634408602</v>
      </c>
      <c r="I71" s="6">
        <v>0.08</v>
      </c>
      <c r="J71" s="6">
        <v>0.12</v>
      </c>
      <c r="K71" s="86">
        <f t="shared" si="10"/>
        <v>189.18518518518522</v>
      </c>
      <c r="L71" s="86">
        <f t="shared" si="11"/>
        <v>236.4814814814815</v>
      </c>
      <c r="M71" s="86">
        <f t="shared" si="12"/>
        <v>472.96296296296299</v>
      </c>
    </row>
    <row r="72" spans="1:13">
      <c r="A72" s="83">
        <v>71</v>
      </c>
      <c r="B72" s="71">
        <f t="array" ref="B72">AVERAGE(INDEX(Ranges!$M$7:$N$156,A72,1),INDEX(Ranges!$M$7:$N$156,A72,2))</f>
        <v>2397.3888888888887</v>
      </c>
      <c r="C72" s="82">
        <f t="shared" si="8"/>
        <v>522.753086419753</v>
      </c>
      <c r="D72" s="71">
        <f t="array" ref="D72">AVERAGE(INDEX(Ranges!$R$7:$R$156,A72),INDEX(Ranges!$S$7:$S$156,A72),INDEX(Ranges!$T$7:$T$156,A72))</f>
        <v>186.11111111111109</v>
      </c>
      <c r="E72" s="82">
        <f t="shared" si="7"/>
        <v>41.358024691358018</v>
      </c>
      <c r="F72" s="71">
        <f t="array" ref="F72">AVERAGE(INDEX(Ranges!$U$7:$V$156,A72,1),INDEX(Ranges!$U$7:$V$156,A72,2))</f>
        <v>2198.6666666666665</v>
      </c>
      <c r="G72" s="82">
        <f t="shared" si="9"/>
        <v>478.59259259259255</v>
      </c>
      <c r="H72" s="82">
        <f t="array" ref="H72">INDEX(Damage!$F$2:$F$151,A72)*$O$14</f>
        <v>760.02689313517328</v>
      </c>
      <c r="I72" s="6">
        <v>0.08</v>
      </c>
      <c r="J72" s="6">
        <v>0.12</v>
      </c>
      <c r="K72" s="86">
        <f t="shared" si="10"/>
        <v>191.43703703703704</v>
      </c>
      <c r="L72" s="86">
        <f t="shared" si="11"/>
        <v>239.29629629629628</v>
      </c>
      <c r="M72" s="86">
        <f t="shared" si="12"/>
        <v>478.59259259259255</v>
      </c>
    </row>
    <row r="73" spans="1:13">
      <c r="A73" s="83">
        <v>72</v>
      </c>
      <c r="B73" s="71">
        <f t="array" ref="B73">AVERAGE(INDEX(Ranges!$M$7:$N$156,A73,1),INDEX(Ranges!$M$7:$N$156,A73,2))</f>
        <v>2425</v>
      </c>
      <c r="C73" s="82">
        <f t="shared" si="8"/>
        <v>528.88888888888891</v>
      </c>
      <c r="D73" s="71">
        <f t="array" ref="D73">AVERAGE(INDEX(Ranges!$R$7:$R$156,A73),INDEX(Ranges!$S$7:$S$156,A73),INDEX(Ranges!$T$7:$T$156,A73))</f>
        <v>188.66666666666663</v>
      </c>
      <c r="E73" s="82">
        <f t="shared" si="7"/>
        <v>41.925925925925917</v>
      </c>
      <c r="F73" s="71">
        <f t="array" ref="F73">AVERAGE(INDEX(Ranges!$U$7:$V$156,A73,1),INDEX(Ranges!$U$7:$V$156,A73,2))</f>
        <v>2224</v>
      </c>
      <c r="G73" s="82">
        <f t="shared" si="9"/>
        <v>484.22222222222223</v>
      </c>
      <c r="H73" s="82">
        <f t="array" ref="H73">INDEX(Damage!$F$2:$F$151,A73)*$O$14</f>
        <v>769.43501048218036</v>
      </c>
      <c r="I73" s="6">
        <v>0.08</v>
      </c>
      <c r="J73" s="6">
        <v>0.12</v>
      </c>
      <c r="K73" s="86">
        <f t="shared" si="10"/>
        <v>193.6888888888889</v>
      </c>
      <c r="L73" s="86">
        <f t="shared" si="11"/>
        <v>242.11111111111111</v>
      </c>
      <c r="M73" s="86">
        <f t="shared" si="12"/>
        <v>484.22222222222223</v>
      </c>
    </row>
    <row r="74" spans="1:13">
      <c r="A74" s="83">
        <v>73</v>
      </c>
      <c r="B74" s="71">
        <f t="array" ref="B74">AVERAGE(INDEX(Ranges!$M$7:$N$156,A74,1),INDEX(Ranges!$M$7:$N$156,A74,2))</f>
        <v>2452.6111111111113</v>
      </c>
      <c r="C74" s="82">
        <f t="shared" si="8"/>
        <v>535.02469135802471</v>
      </c>
      <c r="D74" s="71">
        <f t="array" ref="D74">AVERAGE(INDEX(Ranges!$R$7:$R$156,A74),INDEX(Ranges!$S$7:$S$156,A74),INDEX(Ranges!$T$7:$T$156,A74))</f>
        <v>191.2222222222222</v>
      </c>
      <c r="E74" s="82">
        <f t="shared" si="7"/>
        <v>42.493827160493822</v>
      </c>
      <c r="F74" s="71">
        <f t="array" ref="F74">AVERAGE(INDEX(Ranges!$U$7:$V$156,A74,1),INDEX(Ranges!$U$7:$V$156,A74,2))</f>
        <v>2249.3333333333335</v>
      </c>
      <c r="G74" s="82">
        <f t="shared" si="9"/>
        <v>489.8518518518519</v>
      </c>
      <c r="H74" s="82">
        <f t="array" ref="H74">INDEX(Damage!$F$2:$F$151,A74)*$O$14</f>
        <v>778.84265010351953</v>
      </c>
      <c r="I74" s="6">
        <v>0.08</v>
      </c>
      <c r="J74" s="6">
        <v>0.12</v>
      </c>
      <c r="K74" s="86">
        <f t="shared" si="10"/>
        <v>195.94074074074078</v>
      </c>
      <c r="L74" s="86">
        <f t="shared" si="11"/>
        <v>244.92592592592595</v>
      </c>
      <c r="M74" s="86">
        <f t="shared" si="12"/>
        <v>489.8518518518519</v>
      </c>
    </row>
    <row r="75" spans="1:13">
      <c r="A75" s="83">
        <v>74</v>
      </c>
      <c r="B75" s="71">
        <f t="array" ref="B75">AVERAGE(INDEX(Ranges!$M$7:$N$156,A75,1),INDEX(Ranges!$M$7:$N$156,A75,2))</f>
        <v>2480.2222222222222</v>
      </c>
      <c r="C75" s="82">
        <f t="shared" si="8"/>
        <v>541.16049382716051</v>
      </c>
      <c r="D75" s="71">
        <f t="array" ref="D75">AVERAGE(INDEX(Ranges!$R$7:$R$156,A75),INDEX(Ranges!$S$7:$S$156,A75),INDEX(Ranges!$T$7:$T$156,A75))</f>
        <v>193.77777777777774</v>
      </c>
      <c r="E75" s="82">
        <f t="shared" si="7"/>
        <v>43.061728395061721</v>
      </c>
      <c r="F75" s="71">
        <f t="array" ref="F75">AVERAGE(INDEX(Ranges!$U$7:$V$156,A75,1),INDEX(Ranges!$U$7:$V$156,A75,2))</f>
        <v>2326.6666666666665</v>
      </c>
      <c r="G75" s="82">
        <f t="shared" si="9"/>
        <v>507.03703703703695</v>
      </c>
      <c r="H75" s="82">
        <f t="array" ref="H75">INDEX(Damage!$F$2:$F$151,A75)*$O$14</f>
        <v>788.24982958418548</v>
      </c>
      <c r="I75" s="6">
        <v>0.08</v>
      </c>
      <c r="J75" s="6">
        <v>0.12</v>
      </c>
      <c r="K75" s="86">
        <f t="shared" si="10"/>
        <v>202.81481481481478</v>
      </c>
      <c r="L75" s="86">
        <f t="shared" si="11"/>
        <v>253.51851851851848</v>
      </c>
      <c r="M75" s="86">
        <f t="shared" si="12"/>
        <v>507.03703703703695</v>
      </c>
    </row>
    <row r="76" spans="1:13">
      <c r="A76" s="83">
        <v>75</v>
      </c>
      <c r="B76" s="71">
        <f t="array" ref="B76">AVERAGE(INDEX(Ranges!$M$7:$N$156,A76,1),INDEX(Ranges!$M$7:$N$156,A76,2))</f>
        <v>2507.833333333333</v>
      </c>
      <c r="C76" s="82">
        <f t="shared" si="8"/>
        <v>547.29629629629619</v>
      </c>
      <c r="D76" s="71">
        <f t="array" ref="D76">AVERAGE(INDEX(Ranges!$R$7:$R$156,A76),INDEX(Ranges!$S$7:$S$156,A76),INDEX(Ranges!$T$7:$T$156,A76))</f>
        <v>196.33333333333329</v>
      </c>
      <c r="E76" s="82">
        <f t="shared" si="7"/>
        <v>43.629629629629619</v>
      </c>
      <c r="F76" s="71">
        <f t="array" ref="F76">AVERAGE(INDEX(Ranges!$U$7:$V$156,A76,1),INDEX(Ranges!$U$7:$V$156,A76,2))</f>
        <v>2352</v>
      </c>
      <c r="G76" s="82">
        <f t="shared" si="9"/>
        <v>512.66666666666663</v>
      </c>
      <c r="H76" s="82">
        <f t="array" ref="H76">INDEX(Damage!$F$2:$F$151,A76)*$O$14</f>
        <v>797.6565656565657</v>
      </c>
      <c r="I76" s="6">
        <v>0.08</v>
      </c>
      <c r="J76" s="6">
        <v>0.12</v>
      </c>
      <c r="K76" s="86">
        <f t="shared" si="10"/>
        <v>205.06666666666666</v>
      </c>
      <c r="L76" s="86">
        <f t="shared" si="11"/>
        <v>256.33333333333331</v>
      </c>
      <c r="M76" s="86">
        <f t="shared" si="12"/>
        <v>512.66666666666663</v>
      </c>
    </row>
    <row r="77" spans="1:13">
      <c r="A77" s="83">
        <v>76</v>
      </c>
      <c r="B77" s="71">
        <f t="array" ref="B77">AVERAGE(INDEX(Ranges!$M$7:$N$156,A77,1),INDEX(Ranges!$M$7:$N$156,A77,2))</f>
        <v>2535.4444444444443</v>
      </c>
      <c r="C77" s="82">
        <f t="shared" si="8"/>
        <v>553.4320987654321</v>
      </c>
      <c r="D77" s="71">
        <f t="array" ref="D77">AVERAGE(INDEX(Ranges!$R$7:$R$156,A77),INDEX(Ranges!$S$7:$S$156,A77),INDEX(Ranges!$T$7:$T$156,A77))</f>
        <v>198.88888888888883</v>
      </c>
      <c r="E77" s="82">
        <f t="shared" si="7"/>
        <v>44.197530864197518</v>
      </c>
      <c r="F77" s="71">
        <f t="array" ref="F77">AVERAGE(INDEX(Ranges!$U$7:$V$156,A77,1),INDEX(Ranges!$U$7:$V$156,A77,2))</f>
        <v>2377.3333333333335</v>
      </c>
      <c r="G77" s="82">
        <f t="shared" si="9"/>
        <v>518.2962962962963</v>
      </c>
      <c r="H77" s="82">
        <f t="array" ref="H77">INDEX(Damage!$F$2:$F$151,A77)*$O$14</f>
        <v>807.06287425149708</v>
      </c>
      <c r="I77" s="6">
        <v>0.08</v>
      </c>
      <c r="J77" s="6">
        <v>0.12</v>
      </c>
      <c r="K77" s="86">
        <f t="shared" si="10"/>
        <v>207.31851851851854</v>
      </c>
      <c r="L77" s="86">
        <f t="shared" si="11"/>
        <v>259.14814814814815</v>
      </c>
      <c r="M77" s="86">
        <f t="shared" si="12"/>
        <v>518.2962962962963</v>
      </c>
    </row>
    <row r="78" spans="1:13">
      <c r="A78" s="83">
        <v>77</v>
      </c>
      <c r="B78" s="71">
        <f t="array" ref="B78">AVERAGE(INDEX(Ranges!$M$7:$N$156,A78,1),INDEX(Ranges!$M$7:$N$156,A78,2))</f>
        <v>2628.0555555555557</v>
      </c>
      <c r="C78" s="82">
        <f t="shared" si="8"/>
        <v>574.01234567901236</v>
      </c>
      <c r="D78" s="71">
        <f t="array" ref="D78">AVERAGE(INDEX(Ranges!$R$7:$R$156,A78),INDEX(Ranges!$S$7:$S$156,A78),INDEX(Ranges!$T$7:$T$156,A78))</f>
        <v>201.44444444444443</v>
      </c>
      <c r="E78" s="82">
        <f t="shared" si="7"/>
        <v>44.76543209876543</v>
      </c>
      <c r="F78" s="71">
        <f t="array" ref="F78">AVERAGE(INDEX(Ranges!$U$7:$V$156,A78,1),INDEX(Ranges!$U$7:$V$156,A78,2))</f>
        <v>2402.6666666666665</v>
      </c>
      <c r="G78" s="82">
        <f t="shared" si="9"/>
        <v>523.92592592592587</v>
      </c>
      <c r="H78" s="82">
        <f t="array" ref="H78">INDEX(Damage!$F$2:$F$151,A78)*$O$14</f>
        <v>832.23800131492442</v>
      </c>
      <c r="I78" s="6">
        <v>0.08</v>
      </c>
      <c r="J78" s="6">
        <v>0.12</v>
      </c>
      <c r="K78" s="86">
        <f t="shared" si="10"/>
        <v>209.57037037037037</v>
      </c>
      <c r="L78" s="86">
        <f t="shared" si="11"/>
        <v>261.96296296296293</v>
      </c>
      <c r="M78" s="86">
        <f t="shared" si="12"/>
        <v>523.92592592592587</v>
      </c>
    </row>
    <row r="79" spans="1:13">
      <c r="A79" s="83">
        <v>78</v>
      </c>
      <c r="B79" s="71">
        <f t="array" ref="B79">AVERAGE(INDEX(Ranges!$M$7:$N$156,A79,1),INDEX(Ranges!$M$7:$N$156,A79,2))</f>
        <v>2655.666666666667</v>
      </c>
      <c r="C79" s="82">
        <f t="shared" si="8"/>
        <v>580.14814814814827</v>
      </c>
      <c r="D79" s="71">
        <f t="array" ref="D79">AVERAGE(INDEX(Ranges!$R$7:$R$156,A79),INDEX(Ranges!$S$7:$S$156,A79),INDEX(Ranges!$T$7:$T$156,A79))</f>
        <v>203.99999999999997</v>
      </c>
      <c r="E79" s="82">
        <f t="shared" si="7"/>
        <v>45.333333333333329</v>
      </c>
      <c r="F79" s="71">
        <f t="array" ref="F79">AVERAGE(INDEX(Ranges!$U$7:$V$156,A79,1),INDEX(Ranges!$U$7:$V$156,A79,2))</f>
        <v>2428</v>
      </c>
      <c r="G79" s="82">
        <f t="shared" si="9"/>
        <v>529.55555555555554</v>
      </c>
      <c r="H79" s="82">
        <f t="array" ref="H79">INDEX(Damage!$F$2:$F$151,A79)*$O$14</f>
        <v>841.64912280701776</v>
      </c>
      <c r="I79" s="6">
        <v>0.08</v>
      </c>
      <c r="J79" s="6">
        <v>0.12</v>
      </c>
      <c r="K79" s="86">
        <f t="shared" si="10"/>
        <v>211.82222222222222</v>
      </c>
      <c r="L79" s="86">
        <f t="shared" si="11"/>
        <v>264.77777777777777</v>
      </c>
      <c r="M79" s="86">
        <f t="shared" si="12"/>
        <v>529.55555555555554</v>
      </c>
    </row>
    <row r="80" spans="1:13">
      <c r="A80" s="83">
        <v>79</v>
      </c>
      <c r="B80" s="71">
        <f t="array" ref="B80">AVERAGE(INDEX(Ranges!$M$7:$N$156,A80,1),INDEX(Ranges!$M$7:$N$156,A80,2))</f>
        <v>2683.2777777777778</v>
      </c>
      <c r="C80" s="82">
        <f t="shared" si="8"/>
        <v>586.28395061728395</v>
      </c>
      <c r="D80" s="71">
        <f t="array" ref="D80">AVERAGE(INDEX(Ranges!$R$7:$R$156,A80),INDEX(Ranges!$S$7:$S$156,A80),INDEX(Ranges!$T$7:$T$156,A80))</f>
        <v>206.55555555555551</v>
      </c>
      <c r="E80" s="82">
        <f t="shared" si="7"/>
        <v>45.901234567901227</v>
      </c>
      <c r="F80" s="71">
        <f t="array" ref="F80">AVERAGE(INDEX(Ranges!$U$7:$V$156,A80,1),INDEX(Ranges!$U$7:$V$156,A80,2))</f>
        <v>2453.3333333333335</v>
      </c>
      <c r="G80" s="82">
        <f t="shared" si="9"/>
        <v>535.18518518518522</v>
      </c>
      <c r="H80" s="82">
        <f t="array" ref="H80">INDEX(Damage!$F$2:$F$151,A80)*$O$14</f>
        <v>851.05973025048183</v>
      </c>
      <c r="I80" s="6">
        <v>0.08</v>
      </c>
      <c r="J80" s="6">
        <v>0.12</v>
      </c>
      <c r="K80" s="86">
        <f t="shared" si="10"/>
        <v>214.0740740740741</v>
      </c>
      <c r="L80" s="86">
        <f t="shared" si="11"/>
        <v>267.59259259259261</v>
      </c>
      <c r="M80" s="86">
        <f t="shared" si="12"/>
        <v>535.18518518518522</v>
      </c>
    </row>
    <row r="81" spans="1:13">
      <c r="A81" s="83">
        <v>80</v>
      </c>
      <c r="B81" s="71">
        <f t="array" ref="B81">AVERAGE(INDEX(Ranges!$M$7:$N$156,A81,1),INDEX(Ranges!$M$7:$N$156,A81,2))</f>
        <v>2710.8888888888887</v>
      </c>
      <c r="C81" s="82">
        <f t="shared" si="8"/>
        <v>592.41975308641975</v>
      </c>
      <c r="D81" s="71">
        <f t="array" ref="D81">AVERAGE(INDEX(Ranges!$R$7:$R$156,A81),INDEX(Ranges!$S$7:$S$156,A81),INDEX(Ranges!$T$7:$T$156,A81))</f>
        <v>209.11111111111109</v>
      </c>
      <c r="E81" s="82">
        <f t="shared" si="7"/>
        <v>46.469135802469133</v>
      </c>
      <c r="F81" s="71">
        <f t="array" ref="F81">AVERAGE(INDEX(Ranges!$U$7:$V$156,A81,1),INDEX(Ranges!$U$7:$V$156,A81,2))</f>
        <v>2543.6666666666665</v>
      </c>
      <c r="G81" s="82">
        <f t="shared" si="9"/>
        <v>555.25925925925924</v>
      </c>
      <c r="H81" s="82">
        <f t="array" ref="H81">INDEX(Damage!$F$2:$F$151,A81)*$O$14</f>
        <v>860.46984126984125</v>
      </c>
      <c r="I81" s="6">
        <v>0.08</v>
      </c>
      <c r="J81" s="6">
        <v>0.12</v>
      </c>
      <c r="K81" s="86">
        <f t="shared" si="10"/>
        <v>222.1037037037037</v>
      </c>
      <c r="L81" s="86">
        <f t="shared" si="11"/>
        <v>277.62962962962962</v>
      </c>
      <c r="M81" s="86">
        <f t="shared" si="12"/>
        <v>555.25925925925924</v>
      </c>
    </row>
    <row r="82" spans="1:13">
      <c r="A82" s="83">
        <v>81</v>
      </c>
      <c r="B82" s="71">
        <f t="array" ref="B82">AVERAGE(INDEX(Ranges!$M$7:$N$156,A82,1),INDEX(Ranges!$M$7:$N$156,A82,2))</f>
        <v>2738.5</v>
      </c>
      <c r="C82" s="82">
        <f t="shared" si="8"/>
        <v>598.55555555555554</v>
      </c>
      <c r="D82" s="71">
        <f t="array" ref="D82">AVERAGE(INDEX(Ranges!$R$7:$R$156,A82),INDEX(Ranges!$S$7:$S$156,A82),INDEX(Ranges!$T$7:$T$156,A82))</f>
        <v>211.66666666666663</v>
      </c>
      <c r="E82" s="82">
        <f t="shared" si="7"/>
        <v>47.037037037037031</v>
      </c>
      <c r="F82" s="71">
        <f t="array" ref="F82">AVERAGE(INDEX(Ranges!$U$7:$V$156,A82,1),INDEX(Ranges!$U$7:$V$156,A82,2))</f>
        <v>2569</v>
      </c>
      <c r="G82" s="82">
        <f t="shared" si="9"/>
        <v>560.88888888888891</v>
      </c>
      <c r="H82" s="82">
        <f t="array" ref="H82">INDEX(Damage!$F$2:$F$151,A82)*$O$14</f>
        <v>869.87947269303197</v>
      </c>
      <c r="I82" s="6">
        <v>0.08</v>
      </c>
      <c r="J82" s="6">
        <v>0.12</v>
      </c>
      <c r="K82" s="86">
        <f t="shared" si="10"/>
        <v>224.35555555555558</v>
      </c>
      <c r="L82" s="86">
        <f t="shared" si="11"/>
        <v>280.44444444444446</v>
      </c>
      <c r="M82" s="86">
        <f t="shared" si="12"/>
        <v>560.88888888888891</v>
      </c>
    </row>
    <row r="83" spans="1:13">
      <c r="A83" s="83">
        <v>82</v>
      </c>
      <c r="B83" s="71">
        <f t="array" ref="B83">AVERAGE(INDEX(Ranges!$M$7:$N$156,A83,1),INDEX(Ranges!$M$7:$N$156,A83,2))</f>
        <v>2766.1111111111113</v>
      </c>
      <c r="C83" s="82">
        <f t="shared" si="8"/>
        <v>604.69135802469145</v>
      </c>
      <c r="D83" s="71">
        <f t="array" ref="D83">AVERAGE(INDEX(Ranges!$R$7:$R$156,A83),INDEX(Ranges!$S$7:$S$156,A83),INDEX(Ranges!$T$7:$T$156,A83))</f>
        <v>214.22222222222217</v>
      </c>
      <c r="E83" s="82">
        <f t="shared" si="7"/>
        <v>47.604938271604929</v>
      </c>
      <c r="F83" s="71">
        <f t="array" ref="F83">AVERAGE(INDEX(Ranges!$U$7:$V$156,A83,1),INDEX(Ranges!$U$7:$V$156,A83,2))</f>
        <v>2594.3333333333335</v>
      </c>
      <c r="G83" s="82">
        <f t="shared" si="9"/>
        <v>566.51851851851859</v>
      </c>
      <c r="H83" s="82">
        <f t="array" ref="H83">INDEX(Damage!$F$2:$F$151,A83)*$O$14</f>
        <v>879.28864059590319</v>
      </c>
      <c r="I83" s="6">
        <v>0.08</v>
      </c>
      <c r="J83" s="6">
        <v>0.12</v>
      </c>
      <c r="K83" s="86">
        <f t="shared" si="10"/>
        <v>226.60740740740744</v>
      </c>
      <c r="L83" s="86">
        <f t="shared" si="11"/>
        <v>283.2592592592593</v>
      </c>
      <c r="M83" s="86">
        <f t="shared" si="12"/>
        <v>566.51851851851859</v>
      </c>
    </row>
    <row r="84" spans="1:13">
      <c r="A84" s="83">
        <v>83</v>
      </c>
      <c r="B84" s="71">
        <f t="array" ref="B84">AVERAGE(INDEX(Ranges!$M$7:$N$156,A84,1),INDEX(Ranges!$M$7:$N$156,A84,2))</f>
        <v>2793.7222222222222</v>
      </c>
      <c r="C84" s="82">
        <f t="shared" si="8"/>
        <v>610.82716049382714</v>
      </c>
      <c r="D84" s="71">
        <f t="array" ref="D84">AVERAGE(INDEX(Ranges!$R$7:$R$156,A84),INDEX(Ranges!$S$7:$S$156,A84),INDEX(Ranges!$T$7:$T$156,A84))</f>
        <v>216.77777777777774</v>
      </c>
      <c r="E84" s="82">
        <f t="shared" si="7"/>
        <v>48.172839506172835</v>
      </c>
      <c r="F84" s="71">
        <f t="array" ref="F84">AVERAGE(INDEX(Ranges!$U$7:$V$156,A84,1),INDEX(Ranges!$U$7:$V$156,A84,2))</f>
        <v>2619.6666666666665</v>
      </c>
      <c r="G84" s="82">
        <f t="shared" si="9"/>
        <v>572.14814814814815</v>
      </c>
      <c r="H84" s="82">
        <f t="array" ref="H84">INDEX(Damage!$F$2:$F$151,A84)*$O$14</f>
        <v>888.69736034376911</v>
      </c>
      <c r="I84" s="6">
        <v>0.08</v>
      </c>
      <c r="J84" s="6">
        <v>0.12</v>
      </c>
      <c r="K84" s="86">
        <f t="shared" si="10"/>
        <v>228.85925925925926</v>
      </c>
      <c r="L84" s="86">
        <f t="shared" si="11"/>
        <v>286.07407407407408</v>
      </c>
      <c r="M84" s="86">
        <f t="shared" si="12"/>
        <v>572.14814814814815</v>
      </c>
    </row>
    <row r="85" spans="1:13">
      <c r="A85" s="83">
        <v>84</v>
      </c>
      <c r="B85" s="71">
        <f t="array" ref="B85">AVERAGE(INDEX(Ranges!$M$7:$N$156,A85,1),INDEX(Ranges!$M$7:$N$156,A85,2))</f>
        <v>2821.333333333333</v>
      </c>
      <c r="C85" s="82">
        <f t="shared" si="8"/>
        <v>616.96296296296293</v>
      </c>
      <c r="D85" s="71">
        <f t="array" ref="D85">AVERAGE(INDEX(Ranges!$R$7:$R$156,A85),INDEX(Ranges!$S$7:$S$156,A85),INDEX(Ranges!$T$7:$T$156,A85))</f>
        <v>219.33333333333329</v>
      </c>
      <c r="E85" s="82">
        <f t="shared" si="7"/>
        <v>48.740740740740733</v>
      </c>
      <c r="F85" s="71">
        <f t="array" ref="F85">AVERAGE(INDEX(Ranges!$U$7:$V$156,A85,1),INDEX(Ranges!$U$7:$V$156,A85,2))</f>
        <v>2645</v>
      </c>
      <c r="G85" s="82">
        <f t="shared" si="9"/>
        <v>577.77777777777783</v>
      </c>
      <c r="H85" s="82">
        <f t="array" ref="H85">INDEX(Damage!$F$2:$F$151,A85)*$O$14</f>
        <v>898.10564663023683</v>
      </c>
      <c r="I85" s="6">
        <v>0.08</v>
      </c>
      <c r="J85" s="6">
        <v>0.12</v>
      </c>
      <c r="K85" s="86">
        <f t="shared" si="10"/>
        <v>231.11111111111114</v>
      </c>
      <c r="L85" s="86">
        <f t="shared" si="11"/>
        <v>288.88888888888891</v>
      </c>
      <c r="M85" s="86">
        <f t="shared" si="12"/>
        <v>577.77777777777783</v>
      </c>
    </row>
    <row r="86" spans="1:13">
      <c r="A86" s="83">
        <v>85</v>
      </c>
      <c r="B86" s="71">
        <f t="array" ref="B86">AVERAGE(INDEX(Ranges!$M$7:$N$156,A86,1),INDEX(Ranges!$M$7:$N$156,A86,2))</f>
        <v>2848.9444444444443</v>
      </c>
      <c r="C86" s="82">
        <f t="shared" si="8"/>
        <v>623.09876543209873</v>
      </c>
      <c r="D86" s="71">
        <f t="array" ref="D86">AVERAGE(INDEX(Ranges!$R$7:$R$156,A86),INDEX(Ranges!$S$7:$S$156,A86),INDEX(Ranges!$T$7:$T$156,A86))</f>
        <v>221.88888888888883</v>
      </c>
      <c r="E86" s="82">
        <f t="shared" si="7"/>
        <v>49.308641975308632</v>
      </c>
      <c r="F86" s="71">
        <f t="array" ref="F86">AVERAGE(INDEX(Ranges!$U$7:$V$156,A86,1),INDEX(Ranges!$U$7:$V$156,A86,2))</f>
        <v>2670.3333333333335</v>
      </c>
      <c r="G86" s="82">
        <f t="shared" si="9"/>
        <v>583.40740740740739</v>
      </c>
      <c r="H86" s="82">
        <f t="array" ref="H86">INDEX(Damage!$F$2:$F$151,A86)*$O$14</f>
        <v>907.51351351351366</v>
      </c>
      <c r="I86" s="6">
        <v>0.08</v>
      </c>
      <c r="J86" s="6">
        <v>0.12</v>
      </c>
      <c r="K86" s="86">
        <f t="shared" si="10"/>
        <v>233.36296296296297</v>
      </c>
      <c r="L86" s="86">
        <f t="shared" si="11"/>
        <v>291.7037037037037</v>
      </c>
      <c r="M86" s="86">
        <f t="shared" si="12"/>
        <v>583.40740740740739</v>
      </c>
    </row>
    <row r="87" spans="1:13">
      <c r="A87" s="83">
        <v>86</v>
      </c>
      <c r="B87" s="71">
        <f t="array" ref="B87">AVERAGE(INDEX(Ranges!$M$7:$N$156,A87,1),INDEX(Ranges!$M$7:$N$156,A87,2))</f>
        <v>2876.5555555555557</v>
      </c>
      <c r="C87" s="82">
        <f t="shared" si="8"/>
        <v>629.23456790123464</v>
      </c>
      <c r="D87" s="71">
        <f t="array" ref="D87">AVERAGE(INDEX(Ranges!$R$7:$R$156,A87),INDEX(Ranges!$S$7:$S$156,A87),INDEX(Ranges!$T$7:$T$156,A87))</f>
        <v>224.44444444444443</v>
      </c>
      <c r="E87" s="82">
        <f t="shared" si="7"/>
        <v>49.876543209876537</v>
      </c>
      <c r="F87" s="71">
        <f t="array" ref="F87">AVERAGE(INDEX(Ranges!$U$7:$V$156,A87,1),INDEX(Ranges!$U$7:$V$156,A87,2))</f>
        <v>2695.6666666666665</v>
      </c>
      <c r="G87" s="82">
        <f t="shared" si="9"/>
        <v>589.03703703703695</v>
      </c>
      <c r="H87" s="82">
        <f t="array" ref="H87">INDEX(Damage!$F$2:$F$151,A87)*$O$14</f>
        <v>916.92097445038632</v>
      </c>
      <c r="I87" s="6">
        <v>0.08</v>
      </c>
      <c r="J87" s="6">
        <v>0.12</v>
      </c>
      <c r="K87" s="86">
        <f t="shared" si="10"/>
        <v>235.61481481481479</v>
      </c>
      <c r="L87" s="86">
        <f t="shared" si="11"/>
        <v>294.51851851851848</v>
      </c>
      <c r="M87" s="86">
        <f t="shared" si="12"/>
        <v>589.03703703703695</v>
      </c>
    </row>
    <row r="88" spans="1:13">
      <c r="A88" s="83">
        <v>87</v>
      </c>
      <c r="B88" s="71">
        <f t="array" ref="B88">AVERAGE(INDEX(Ranges!$M$7:$N$156,A88,1),INDEX(Ranges!$M$7:$N$156,A88,2))</f>
        <v>2904.166666666667</v>
      </c>
      <c r="C88" s="82">
        <f t="shared" si="8"/>
        <v>635.37037037037044</v>
      </c>
      <c r="D88" s="71">
        <f t="array" ref="D88">AVERAGE(INDEX(Ranges!$R$7:$R$156,A88),INDEX(Ranges!$S$7:$S$156,A88),INDEX(Ranges!$T$7:$T$156,A88))</f>
        <v>226.99999999999997</v>
      </c>
      <c r="E88" s="82">
        <f t="shared" si="7"/>
        <v>50.444444444444436</v>
      </c>
      <c r="F88" s="71">
        <f t="array" ref="F88">AVERAGE(INDEX(Ranges!$U$7:$V$156,A88,1),INDEX(Ranges!$U$7:$V$156,A88,2))</f>
        <v>2721</v>
      </c>
      <c r="G88" s="82">
        <f t="shared" si="9"/>
        <v>594.66666666666663</v>
      </c>
      <c r="H88" s="82">
        <f t="array" ref="H88">INDEX(Damage!$F$2:$F$151,A88)*$O$14</f>
        <v>926.32804232804233</v>
      </c>
      <c r="I88" s="6">
        <v>0.08</v>
      </c>
      <c r="J88" s="6">
        <v>0.12</v>
      </c>
      <c r="K88" s="86">
        <f t="shared" si="10"/>
        <v>237.86666666666667</v>
      </c>
      <c r="L88" s="86">
        <f t="shared" si="11"/>
        <v>297.33333333333331</v>
      </c>
      <c r="M88" s="86">
        <f t="shared" si="12"/>
        <v>594.66666666666663</v>
      </c>
    </row>
    <row r="89" spans="1:13">
      <c r="A89" s="83">
        <v>88</v>
      </c>
      <c r="B89" s="71">
        <f t="array" ref="B89">AVERAGE(INDEX(Ranges!$M$7:$N$156,A89,1),INDEX(Ranges!$M$7:$N$156,A89,2))</f>
        <v>2931.7777777777778</v>
      </c>
      <c r="C89" s="82">
        <f t="shared" si="8"/>
        <v>641.50617283950623</v>
      </c>
      <c r="D89" s="71">
        <f t="array" ref="D89">AVERAGE(INDEX(Ranges!$R$7:$R$156,A89),INDEX(Ranges!$S$7:$S$156,A89),INDEX(Ranges!$T$7:$T$156,A89))</f>
        <v>229.55555555555551</v>
      </c>
      <c r="E89" s="82">
        <f t="shared" si="7"/>
        <v>51.012345679012334</v>
      </c>
      <c r="F89" s="71">
        <f t="array" ref="F89">AVERAGE(INDEX(Ranges!$U$7:$V$156,A89,1),INDEX(Ranges!$U$7:$V$156,A89,2))</f>
        <v>2746.3333333333335</v>
      </c>
      <c r="G89" s="82">
        <f t="shared" si="9"/>
        <v>600.2962962962963</v>
      </c>
      <c r="H89" s="82">
        <f t="array" ref="H89">INDEX(Damage!$F$2:$F$151,A89)*$O$14</f>
        <v>935.7347294938919</v>
      </c>
      <c r="I89" s="6">
        <v>0.08</v>
      </c>
      <c r="J89" s="6">
        <v>0.12</v>
      </c>
      <c r="K89" s="86">
        <f t="shared" si="10"/>
        <v>240.11851851851853</v>
      </c>
      <c r="L89" s="86">
        <f t="shared" si="11"/>
        <v>300.14814814814815</v>
      </c>
      <c r="M89" s="86">
        <f t="shared" si="12"/>
        <v>600.2962962962963</v>
      </c>
    </row>
    <row r="90" spans="1:13">
      <c r="A90" s="83">
        <v>89</v>
      </c>
      <c r="B90" s="71">
        <f t="array" ref="B90">AVERAGE(INDEX(Ranges!$M$7:$N$156,A90,1),INDEX(Ranges!$M$7:$N$156,A90,2))</f>
        <v>2959.3888888888887</v>
      </c>
      <c r="C90" s="82">
        <f t="shared" si="8"/>
        <v>647.64197530864192</v>
      </c>
      <c r="D90" s="71">
        <f t="array" ref="D90">AVERAGE(INDEX(Ranges!$R$7:$R$156,A90),INDEX(Ranges!$S$7:$S$156,A90),INDEX(Ranges!$T$7:$T$156,A90))</f>
        <v>232.11111111111109</v>
      </c>
      <c r="E90" s="82">
        <f t="shared" si="7"/>
        <v>51.58024691358024</v>
      </c>
      <c r="F90" s="71">
        <f t="array" ref="F90">AVERAGE(INDEX(Ranges!$U$7:$V$156,A90,1),INDEX(Ranges!$U$7:$V$156,A90,2))</f>
        <v>2771.6666666666665</v>
      </c>
      <c r="G90" s="82">
        <f t="shared" si="9"/>
        <v>605.92592592592587</v>
      </c>
      <c r="H90" s="82">
        <f t="array" ref="H90">INDEX(Damage!$F$2:$F$151,A90)*$O$14</f>
        <v>945.14104778353487</v>
      </c>
      <c r="I90" s="6">
        <v>0.08</v>
      </c>
      <c r="J90" s="6">
        <v>0.12</v>
      </c>
      <c r="K90" s="86">
        <f t="shared" si="10"/>
        <v>242.37037037037035</v>
      </c>
      <c r="L90" s="86">
        <f t="shared" si="11"/>
        <v>302.96296296296293</v>
      </c>
      <c r="M90" s="86">
        <f t="shared" si="12"/>
        <v>605.92592592592587</v>
      </c>
    </row>
    <row r="91" spans="1:13">
      <c r="A91" s="83">
        <v>90</v>
      </c>
      <c r="B91" s="71">
        <f t="array" ref="B91">AVERAGE(INDEX(Ranges!$M$7:$N$156,A91,1),INDEX(Ranges!$M$7:$N$156,A91,2))</f>
        <v>2987</v>
      </c>
      <c r="C91" s="82">
        <f t="shared" si="8"/>
        <v>653.77777777777783</v>
      </c>
      <c r="D91" s="71">
        <f t="array" ref="D91">AVERAGE(INDEX(Ranges!$R$7:$R$156,A91),INDEX(Ranges!$S$7:$S$156,A91),INDEX(Ranges!$T$7:$T$156,A91))</f>
        <v>234.66666666666663</v>
      </c>
      <c r="E91" s="82">
        <f t="shared" si="7"/>
        <v>52.148148148148138</v>
      </c>
      <c r="F91" s="71">
        <f t="array" ref="F91">AVERAGE(INDEX(Ranges!$U$7:$V$156,A91,1),INDEX(Ranges!$U$7:$V$156,A91,2))</f>
        <v>2797</v>
      </c>
      <c r="G91" s="82">
        <f t="shared" si="9"/>
        <v>611.55555555555554</v>
      </c>
      <c r="H91" s="82">
        <f t="array" ref="H91">INDEX(Damage!$F$2:$F$151,A91)*$O$14</f>
        <v>954.54700854700843</v>
      </c>
      <c r="I91" s="6">
        <v>0.08</v>
      </c>
      <c r="J91" s="6">
        <v>0.12</v>
      </c>
      <c r="K91" s="86">
        <f t="shared" si="10"/>
        <v>244.62222222222223</v>
      </c>
      <c r="L91" s="86">
        <f t="shared" si="11"/>
        <v>305.77777777777777</v>
      </c>
      <c r="M91" s="86">
        <f t="shared" si="12"/>
        <v>611.55555555555554</v>
      </c>
    </row>
    <row r="92" spans="1:13">
      <c r="A92" s="83">
        <v>91</v>
      </c>
      <c r="B92" s="71">
        <f t="array" ref="B92">AVERAGE(INDEX(Ranges!$M$7:$N$156,A92,1),INDEX(Ranges!$M$7:$N$156,A92,2))</f>
        <v>3014.6111111111113</v>
      </c>
      <c r="C92" s="82">
        <f t="shared" si="8"/>
        <v>659.91358024691363</v>
      </c>
      <c r="D92" s="71">
        <f t="array" ref="D92">AVERAGE(INDEX(Ranges!$R$7:$R$156,A92),INDEX(Ranges!$S$7:$S$156,A92),INDEX(Ranges!$T$7:$T$156,A92))</f>
        <v>237.22222222222217</v>
      </c>
      <c r="E92" s="82">
        <f t="shared" si="7"/>
        <v>52.716049382716037</v>
      </c>
      <c r="F92" s="71">
        <f t="array" ref="F92">AVERAGE(INDEX(Ranges!$U$7:$V$156,A92,1),INDEX(Ranges!$U$7:$V$156,A92,2))</f>
        <v>2822.3333333333335</v>
      </c>
      <c r="G92" s="82">
        <f t="shared" si="9"/>
        <v>617.18518518518522</v>
      </c>
      <c r="H92" s="82">
        <f t="array" ref="H92">INDEX(Damage!$F$2:$F$151,A92)*$O$14</f>
        <v>963.9526226734348</v>
      </c>
      <c r="I92" s="6">
        <v>0.08</v>
      </c>
      <c r="J92" s="6">
        <v>0.12</v>
      </c>
      <c r="K92" s="86">
        <f t="shared" si="10"/>
        <v>246.87407407407409</v>
      </c>
      <c r="L92" s="86">
        <f t="shared" si="11"/>
        <v>308.59259259259261</v>
      </c>
      <c r="M92" s="86">
        <f t="shared" si="12"/>
        <v>617.18518518518522</v>
      </c>
    </row>
    <row r="93" spans="1:13">
      <c r="A93" s="83">
        <v>92</v>
      </c>
      <c r="B93" s="71">
        <f t="array" ref="B93">AVERAGE(INDEX(Ranges!$M$7:$N$156,A93,1),INDEX(Ranges!$M$7:$N$156,A93,2))</f>
        <v>3042.2222222222222</v>
      </c>
      <c r="C93" s="82">
        <f t="shared" si="8"/>
        <v>666.04938271604942</v>
      </c>
      <c r="D93" s="71">
        <f t="array" ref="D93">AVERAGE(INDEX(Ranges!$R$7:$R$156,A93),INDEX(Ranges!$S$7:$S$156,A93),INDEX(Ranges!$T$7:$T$156,A93))</f>
        <v>239.77777777777774</v>
      </c>
      <c r="E93" s="82">
        <f t="shared" si="7"/>
        <v>53.283950617283942</v>
      </c>
      <c r="F93" s="71">
        <f t="array" ref="F93">AVERAGE(INDEX(Ranges!$U$7:$V$156,A93,1),INDEX(Ranges!$U$7:$V$156,A93,2))</f>
        <v>2847.6666666666665</v>
      </c>
      <c r="G93" s="82">
        <f t="shared" si="9"/>
        <v>622.81481481481478</v>
      </c>
      <c r="H93" s="82">
        <f t="array" ref="H93">INDEX(Damage!$F$2:$F$151,A93)*$O$14</f>
        <v>973.35790061418209</v>
      </c>
      <c r="I93" s="6">
        <v>0.08</v>
      </c>
      <c r="J93" s="6">
        <v>0.12</v>
      </c>
      <c r="K93" s="86">
        <f t="shared" si="10"/>
        <v>249.12592592592591</v>
      </c>
      <c r="L93" s="86">
        <f t="shared" si="11"/>
        <v>311.40740740740739</v>
      </c>
      <c r="M93" s="86">
        <f t="shared" si="12"/>
        <v>622.81481481481478</v>
      </c>
    </row>
    <row r="94" spans="1:13">
      <c r="A94" s="83">
        <v>93</v>
      </c>
      <c r="B94" s="71">
        <f t="array" ref="B94">AVERAGE(INDEX(Ranges!$M$7:$N$156,A94,1),INDEX(Ranges!$M$7:$N$156,A94,2))</f>
        <v>3069.833333333333</v>
      </c>
      <c r="C94" s="82">
        <f t="shared" si="8"/>
        <v>672.18518518518511</v>
      </c>
      <c r="D94" s="71">
        <f t="array" ref="D94">AVERAGE(INDEX(Ranges!$R$7:$R$156,A94),INDEX(Ranges!$S$7:$S$156,A94),INDEX(Ranges!$T$7:$T$156,A94))</f>
        <v>242.33333333333329</v>
      </c>
      <c r="E94" s="82">
        <f t="shared" si="7"/>
        <v>53.851851851851841</v>
      </c>
      <c r="F94" s="71">
        <f t="array" ref="F94">AVERAGE(INDEX(Ranges!$U$7:$V$156,A94,1),INDEX(Ranges!$U$7:$V$156,A94,2))</f>
        <v>2873</v>
      </c>
      <c r="G94" s="82">
        <f t="shared" si="9"/>
        <v>628.44444444444446</v>
      </c>
      <c r="H94" s="82">
        <f t="array" ref="H94">INDEX(Damage!$F$2:$F$151,A94)*$O$14</f>
        <v>982.76285240464335</v>
      </c>
      <c r="I94" s="6">
        <v>0.08</v>
      </c>
      <c r="J94" s="6">
        <v>0.12</v>
      </c>
      <c r="K94" s="86">
        <f t="shared" si="10"/>
        <v>251.37777777777779</v>
      </c>
      <c r="L94" s="86">
        <f t="shared" si="11"/>
        <v>314.22222222222223</v>
      </c>
      <c r="M94" s="86">
        <f t="shared" si="12"/>
        <v>628.44444444444446</v>
      </c>
    </row>
    <row r="95" spans="1:13">
      <c r="A95" s="83">
        <v>94</v>
      </c>
      <c r="B95" s="71">
        <f t="array" ref="B95">AVERAGE(INDEX(Ranges!$M$7:$N$156,A95,1),INDEX(Ranges!$M$7:$N$156,A95,2))</f>
        <v>3097.4444444444443</v>
      </c>
      <c r="C95" s="82">
        <f t="shared" si="8"/>
        <v>678.32098765432102</v>
      </c>
      <c r="D95" s="71">
        <f t="array" ref="D95">AVERAGE(INDEX(Ranges!$R$7:$R$156,A95),INDEX(Ranges!$S$7:$S$156,A95),INDEX(Ranges!$T$7:$T$156,A95))</f>
        <v>244.88888888888883</v>
      </c>
      <c r="E95" s="82">
        <f t="shared" si="7"/>
        <v>54.419753086419739</v>
      </c>
      <c r="F95" s="71">
        <f t="array" ref="F95">AVERAGE(INDEX(Ranges!$U$7:$V$156,A95,1),INDEX(Ranges!$U$7:$V$156,A95,2))</f>
        <v>2898.3333333333335</v>
      </c>
      <c r="G95" s="82">
        <f t="shared" si="9"/>
        <v>634.07407407407413</v>
      </c>
      <c r="H95" s="82">
        <f t="array" ref="H95">INDEX(Damage!$F$2:$F$151,A95)*$O$14</f>
        <v>992.16748768472894</v>
      </c>
      <c r="I95" s="6">
        <v>0.08</v>
      </c>
      <c r="J95" s="6">
        <v>0.12</v>
      </c>
      <c r="K95" s="86">
        <f t="shared" si="10"/>
        <v>253.62962962962968</v>
      </c>
      <c r="L95" s="86">
        <f t="shared" si="11"/>
        <v>317.03703703703707</v>
      </c>
      <c r="M95" s="86">
        <f t="shared" si="12"/>
        <v>634.07407407407413</v>
      </c>
    </row>
    <row r="96" spans="1:13">
      <c r="A96" s="83">
        <v>95</v>
      </c>
      <c r="B96" s="71">
        <f t="array" ref="B96">AVERAGE(INDEX(Ranges!$M$7:$N$156,A96,1),INDEX(Ranges!$M$7:$N$156,A96,2))</f>
        <v>3125.0555555555557</v>
      </c>
      <c r="C96" s="82">
        <f t="shared" si="8"/>
        <v>684.45679012345681</v>
      </c>
      <c r="D96" s="71">
        <f t="array" ref="D96">AVERAGE(INDEX(Ranges!$R$7:$R$156,A96),INDEX(Ranges!$S$7:$S$156,A96),INDEX(Ranges!$T$7:$T$156,A96))</f>
        <v>247.44444444444443</v>
      </c>
      <c r="E96" s="82">
        <f t="shared" si="7"/>
        <v>54.987654320987652</v>
      </c>
      <c r="F96" s="71">
        <f t="array" ref="F96">AVERAGE(INDEX(Ranges!$U$7:$V$156,A96,1),INDEX(Ranges!$U$7:$V$156,A96,2))</f>
        <v>2923.6666666666665</v>
      </c>
      <c r="G96" s="82">
        <f t="shared" si="9"/>
        <v>639.7037037037037</v>
      </c>
      <c r="H96" s="82">
        <f t="array" ref="H96">INDEX(Damage!$F$2:$F$151,A96)*$O$14</f>
        <v>1001.5718157181573</v>
      </c>
      <c r="I96" s="6">
        <v>0.08</v>
      </c>
      <c r="J96" s="6">
        <v>0.12</v>
      </c>
      <c r="K96" s="86">
        <f t="shared" si="10"/>
        <v>255.8814814814815</v>
      </c>
      <c r="L96" s="86">
        <f t="shared" si="11"/>
        <v>319.85185185185185</v>
      </c>
      <c r="M96" s="86">
        <f t="shared" si="12"/>
        <v>639.7037037037037</v>
      </c>
    </row>
    <row r="97" spans="1:13">
      <c r="A97" s="83">
        <v>96</v>
      </c>
      <c r="B97" s="71">
        <f t="array" ref="B97">AVERAGE(INDEX(Ranges!$M$7:$N$156,A97,1),INDEX(Ranges!$M$7:$N$156,A97,2))</f>
        <v>3152.6666666666665</v>
      </c>
      <c r="C97" s="82">
        <f t="shared" si="8"/>
        <v>690.59259259259261</v>
      </c>
      <c r="D97" s="71">
        <f t="array" ref="D97">AVERAGE(INDEX(Ranges!$R$7:$R$156,A97),INDEX(Ranges!$S$7:$S$156,A97),INDEX(Ranges!$T$7:$T$156,A97))</f>
        <v>249.99999999999997</v>
      </c>
      <c r="E97" s="82">
        <f t="shared" si="7"/>
        <v>55.55555555555555</v>
      </c>
      <c r="F97" s="71">
        <f t="array" ref="F97">AVERAGE(INDEX(Ranges!$U$7:$V$156,A97,1),INDEX(Ranges!$U$7:$V$156,A97,2))</f>
        <v>2949</v>
      </c>
      <c r="G97" s="82">
        <f t="shared" si="9"/>
        <v>645.33333333333337</v>
      </c>
      <c r="H97" s="82">
        <f t="array" ref="H97">INDEX(Damage!$F$2:$F$151,A97)*$O$14</f>
        <v>1010.975845410628</v>
      </c>
      <c r="I97" s="6">
        <v>0.08</v>
      </c>
      <c r="J97" s="6">
        <v>0.12</v>
      </c>
      <c r="K97" s="86">
        <f t="shared" si="10"/>
        <v>258.13333333333338</v>
      </c>
      <c r="L97" s="86">
        <f t="shared" si="11"/>
        <v>322.66666666666669</v>
      </c>
      <c r="M97" s="86">
        <f t="shared" si="12"/>
        <v>645.33333333333337</v>
      </c>
    </row>
    <row r="98" spans="1:13">
      <c r="A98" s="83">
        <v>97</v>
      </c>
      <c r="B98" s="71">
        <f t="array" ref="B98">AVERAGE(INDEX(Ranges!$M$7:$N$156,A98,1),INDEX(Ranges!$M$7:$N$156,A98,2))</f>
        <v>3180.2777777777778</v>
      </c>
      <c r="C98" s="82">
        <f t="shared" si="8"/>
        <v>696.72839506172841</v>
      </c>
      <c r="D98" s="71">
        <f t="array" ref="D98">AVERAGE(INDEX(Ranges!$R$7:$R$156,A98),INDEX(Ranges!$S$7:$S$156,A98),INDEX(Ranges!$T$7:$T$156,A98))</f>
        <v>252.55555555555551</v>
      </c>
      <c r="E98" s="82">
        <f t="shared" ref="E98:E129" si="13">D98/$O$13*$O$14</f>
        <v>56.123456790123448</v>
      </c>
      <c r="F98" s="71">
        <f t="array" ref="F98">AVERAGE(INDEX(Ranges!$U$7:$V$156,A98,1),INDEX(Ranges!$U$7:$V$156,A98,2))</f>
        <v>2974.3333333333335</v>
      </c>
      <c r="G98" s="82">
        <f t="shared" si="9"/>
        <v>650.96296296296305</v>
      </c>
      <c r="H98" s="82">
        <f t="array" ref="H98">INDEX(Damage!$F$2:$F$151,A98)*$O$14</f>
        <v>1020.3795853269538</v>
      </c>
      <c r="I98" s="6">
        <v>0.08</v>
      </c>
      <c r="J98" s="6">
        <v>0.12</v>
      </c>
      <c r="K98" s="86">
        <f t="shared" si="10"/>
        <v>260.38518518518521</v>
      </c>
      <c r="L98" s="86">
        <f t="shared" si="11"/>
        <v>325.48148148148152</v>
      </c>
      <c r="M98" s="86">
        <f t="shared" si="12"/>
        <v>650.96296296296305</v>
      </c>
    </row>
    <row r="99" spans="1:13">
      <c r="A99" s="83">
        <v>98</v>
      </c>
      <c r="B99" s="71">
        <f t="array" ref="B99">AVERAGE(INDEX(Ranges!$M$7:$N$156,A99,1),INDEX(Ranges!$M$7:$N$156,A99,2))</f>
        <v>3207.8888888888887</v>
      </c>
      <c r="C99" s="82">
        <f t="shared" si="8"/>
        <v>702.8641975308642</v>
      </c>
      <c r="D99" s="71">
        <f t="array" ref="D99">AVERAGE(INDEX(Ranges!$R$7:$R$156,A99),INDEX(Ranges!$S$7:$S$156,A99),INDEX(Ranges!$T$7:$T$156,A99))</f>
        <v>255.11111111111109</v>
      </c>
      <c r="E99" s="82">
        <f t="shared" si="13"/>
        <v>56.691358024691354</v>
      </c>
      <c r="F99" s="71">
        <f t="array" ref="F99">AVERAGE(INDEX(Ranges!$U$7:$V$156,A99,1),INDEX(Ranges!$U$7:$V$156,A99,2))</f>
        <v>2999.6666666666665</v>
      </c>
      <c r="G99" s="82">
        <f t="shared" si="9"/>
        <v>656.59259259259261</v>
      </c>
      <c r="H99" s="82">
        <f t="array" ref="H99">INDEX(Damage!$F$2:$F$151,A99)*$O$14</f>
        <v>1029.7830437072143</v>
      </c>
      <c r="I99" s="6">
        <v>0.08</v>
      </c>
      <c r="J99" s="6">
        <v>0.12</v>
      </c>
      <c r="K99" s="86">
        <f t="shared" si="10"/>
        <v>262.63703703703703</v>
      </c>
      <c r="L99" s="86">
        <f t="shared" si="11"/>
        <v>328.2962962962963</v>
      </c>
      <c r="M99" s="86">
        <f t="shared" si="12"/>
        <v>656.59259259259261</v>
      </c>
    </row>
    <row r="100" spans="1:13">
      <c r="A100" s="83">
        <v>99</v>
      </c>
      <c r="B100" s="71">
        <f t="array" ref="B100">AVERAGE(INDEX(Ranges!$M$7:$N$156,A100,1),INDEX(Ranges!$M$7:$N$156,A100,2))</f>
        <v>3235.5</v>
      </c>
      <c r="C100" s="82">
        <f t="shared" si="8"/>
        <v>709</v>
      </c>
      <c r="D100" s="71">
        <f t="array" ref="D100">AVERAGE(INDEX(Ranges!$R$7:$R$156,A100),INDEX(Ranges!$S$7:$S$156,A100),INDEX(Ranges!$T$7:$T$156,A100))</f>
        <v>257.66666666666663</v>
      </c>
      <c r="E100" s="82">
        <f t="shared" si="13"/>
        <v>57.259259259259252</v>
      </c>
      <c r="F100" s="71">
        <f t="array" ref="F100">AVERAGE(INDEX(Ranges!$U$7:$V$156,A100,1),INDEX(Ranges!$U$7:$V$156,A100,2))</f>
        <v>3025</v>
      </c>
      <c r="G100" s="82">
        <f t="shared" si="9"/>
        <v>662.22222222222217</v>
      </c>
      <c r="H100" s="82">
        <f t="array" ref="H100">INDEX(Damage!$F$2:$F$151,A100)*$O$14</f>
        <v>1039.1862284820033</v>
      </c>
      <c r="I100" s="6">
        <v>0.08</v>
      </c>
      <c r="J100" s="6">
        <v>0.12</v>
      </c>
      <c r="K100" s="86">
        <f t="shared" si="10"/>
        <v>264.88888888888886</v>
      </c>
      <c r="L100" s="86">
        <f t="shared" si="11"/>
        <v>331.11111111111109</v>
      </c>
      <c r="M100" s="86">
        <f t="shared" si="12"/>
        <v>662.22222222222217</v>
      </c>
    </row>
    <row r="101" spans="1:13">
      <c r="A101" s="83">
        <v>100</v>
      </c>
      <c r="B101" s="71">
        <f t="array" ref="B101">AVERAGE(INDEX(Ranges!$M$7:$N$156,A101,1),INDEX(Ranges!$M$7:$N$156,A101,2))</f>
        <v>3263.1111111111113</v>
      </c>
      <c r="C101" s="82">
        <f t="shared" si="8"/>
        <v>715.1358024691358</v>
      </c>
      <c r="D101" s="71">
        <f t="array" ref="D101">AVERAGE(INDEX(Ranges!$R$7:$R$156,A101),INDEX(Ranges!$S$7:$S$156,A101),INDEX(Ranges!$T$7:$T$156,A101))</f>
        <v>260.22222222222217</v>
      </c>
      <c r="E101" s="82">
        <f t="shared" si="13"/>
        <v>57.827160493827151</v>
      </c>
      <c r="F101" s="71">
        <f t="array" ref="F101">AVERAGE(INDEX(Ranges!$U$7:$V$156,A101,1),INDEX(Ranges!$U$7:$V$156,A101,2))</f>
        <v>3050.3333333333335</v>
      </c>
      <c r="G101" s="82">
        <f t="shared" si="9"/>
        <v>667.85185185185185</v>
      </c>
      <c r="H101" s="82">
        <f t="array" ref="H101">INDEX(Damage!$F$2:$F$151,A101)*$O$14</f>
        <v>1048.5891472868218</v>
      </c>
      <c r="I101" s="6">
        <v>0.08</v>
      </c>
      <c r="J101" s="6">
        <v>0.12</v>
      </c>
      <c r="K101" s="86">
        <f t="shared" si="10"/>
        <v>267.14074074074074</v>
      </c>
      <c r="L101" s="86">
        <f t="shared" si="11"/>
        <v>333.92592592592592</v>
      </c>
      <c r="M101" s="86">
        <f t="shared" si="12"/>
        <v>667.85185185185185</v>
      </c>
    </row>
    <row r="102" spans="1:13">
      <c r="A102" s="83">
        <v>101</v>
      </c>
      <c r="B102" s="71">
        <f t="array" ref="B102">AVERAGE(INDEX(Ranges!$M$7:$N$156,A102,1),INDEX(Ranges!$M$7:$N$156,A102,2))</f>
        <v>3290.7222222222222</v>
      </c>
      <c r="C102" s="82">
        <f t="shared" si="8"/>
        <v>721.27160493827159</v>
      </c>
      <c r="D102" s="71">
        <f t="array" ref="D102">AVERAGE(INDEX(Ranges!$R$7:$R$156,A102),INDEX(Ranges!$S$7:$S$156,A102),INDEX(Ranges!$T$7:$T$156,A102))</f>
        <v>262.77777777777777</v>
      </c>
      <c r="E102" s="82">
        <f t="shared" si="13"/>
        <v>58.395061728395063</v>
      </c>
      <c r="F102" s="71">
        <f t="array" ref="F102">AVERAGE(INDEX(Ranges!$U$7:$V$156,A102,1),INDEX(Ranges!$U$7:$V$156,A102,2))</f>
        <v>3075.6666666666665</v>
      </c>
      <c r="G102" s="82">
        <f t="shared" si="9"/>
        <v>673.48148148148141</v>
      </c>
      <c r="H102" s="82">
        <f t="array" ref="H102">INDEX(Damage!$F$2:$F$151,A102)*$O$14</f>
        <v>1057.9918074756786</v>
      </c>
      <c r="I102" s="6">
        <v>0.08</v>
      </c>
      <c r="J102" s="6">
        <v>0.12</v>
      </c>
      <c r="K102" s="86">
        <f t="shared" si="10"/>
        <v>269.39259259259256</v>
      </c>
      <c r="L102" s="86">
        <f t="shared" si="11"/>
        <v>336.7407407407407</v>
      </c>
      <c r="M102" s="86">
        <f t="shared" si="12"/>
        <v>673.48148148148141</v>
      </c>
    </row>
    <row r="103" spans="1:13">
      <c r="A103" s="83">
        <v>102</v>
      </c>
      <c r="B103" s="71">
        <f t="array" ref="B103">AVERAGE(INDEX(Ranges!$M$7:$N$156,A103,1),INDEX(Ranges!$M$7:$N$156,A103,2))</f>
        <v>3318.333333333333</v>
      </c>
      <c r="C103" s="82">
        <f t="shared" si="8"/>
        <v>727.40740740740739</v>
      </c>
      <c r="D103" s="71">
        <f t="array" ref="D103">AVERAGE(INDEX(Ranges!$R$7:$R$156,A103),INDEX(Ranges!$S$7:$S$156,A103),INDEX(Ranges!$T$7:$T$156,A103))</f>
        <v>265.33333333333331</v>
      </c>
      <c r="E103" s="82">
        <f t="shared" si="13"/>
        <v>58.962962962962962</v>
      </c>
      <c r="F103" s="71">
        <f t="array" ref="F103">AVERAGE(INDEX(Ranges!$U$7:$V$156,A103,1),INDEX(Ranges!$U$7:$V$156,A103,2))</f>
        <v>3101</v>
      </c>
      <c r="G103" s="82">
        <f t="shared" si="9"/>
        <v>679.11111111111109</v>
      </c>
      <c r="H103" s="82">
        <f t="array" ref="H103">INDEX(Damage!$F$2:$F$151,A103)*$O$14</f>
        <v>1067.3942161339421</v>
      </c>
      <c r="I103" s="6">
        <v>0.08</v>
      </c>
      <c r="J103" s="6">
        <v>0.12</v>
      </c>
      <c r="K103" s="86">
        <f t="shared" si="10"/>
        <v>271.64444444444445</v>
      </c>
      <c r="L103" s="86">
        <f t="shared" si="11"/>
        <v>339.55555555555554</v>
      </c>
      <c r="M103" s="86">
        <f t="shared" si="12"/>
        <v>679.11111111111109</v>
      </c>
    </row>
    <row r="104" spans="1:13">
      <c r="A104" s="83">
        <v>103</v>
      </c>
      <c r="B104" s="71">
        <f t="array" ref="B104">AVERAGE(INDEX(Ranges!$M$7:$N$156,A104,1),INDEX(Ranges!$M$7:$N$156,A104,2))</f>
        <v>3345.9444444444443</v>
      </c>
      <c r="C104" s="82">
        <f t="shared" si="8"/>
        <v>733.54320987654319</v>
      </c>
      <c r="D104" s="71">
        <f t="array" ref="D104">AVERAGE(INDEX(Ranges!$R$7:$R$156,A104),INDEX(Ranges!$S$7:$S$156,A104),INDEX(Ranges!$T$7:$T$156,A104))</f>
        <v>267.88888888888886</v>
      </c>
      <c r="E104" s="82">
        <f t="shared" si="13"/>
        <v>59.53086419753086</v>
      </c>
      <c r="F104" s="71">
        <f t="array" ref="F104">AVERAGE(INDEX(Ranges!$U$7:$V$156,A104,1),INDEX(Ranges!$U$7:$V$156,A104,2))</f>
        <v>3126.3333333333335</v>
      </c>
      <c r="G104" s="82">
        <f t="shared" si="9"/>
        <v>684.74074074074076</v>
      </c>
      <c r="H104" s="82">
        <f t="array" ref="H104">INDEX(Damage!$F$2:$F$151,A104)*$O$14</f>
        <v>1076.7963800904977</v>
      </c>
      <c r="I104" s="6">
        <v>0.08</v>
      </c>
      <c r="J104" s="6">
        <v>0.12</v>
      </c>
      <c r="K104" s="86">
        <f t="shared" si="10"/>
        <v>273.89629629629633</v>
      </c>
      <c r="L104" s="86">
        <f t="shared" si="11"/>
        <v>342.37037037037038</v>
      </c>
      <c r="M104" s="86">
        <f t="shared" si="12"/>
        <v>684.74074074074076</v>
      </c>
    </row>
    <row r="105" spans="1:13">
      <c r="A105" s="83">
        <v>104</v>
      </c>
      <c r="B105" s="71">
        <f t="array" ref="B105">AVERAGE(INDEX(Ranges!$M$7:$N$156,A105,1),INDEX(Ranges!$M$7:$N$156,A105,2))</f>
        <v>3373.5555555555557</v>
      </c>
      <c r="C105" s="82">
        <f t="shared" si="8"/>
        <v>739.67901234567898</v>
      </c>
      <c r="D105" s="71">
        <f t="array" ref="D105">AVERAGE(INDEX(Ranges!$R$7:$R$156,A105),INDEX(Ranges!$S$7:$S$156,A105),INDEX(Ranges!$T$7:$T$156,A105))</f>
        <v>270.4444444444444</v>
      </c>
      <c r="E105" s="82">
        <f t="shared" si="13"/>
        <v>60.098765432098759</v>
      </c>
      <c r="F105" s="71">
        <f t="array" ref="F105">AVERAGE(INDEX(Ranges!$U$7:$V$156,A105,1),INDEX(Ranges!$U$7:$V$156,A105,2))</f>
        <v>3151.6666666666665</v>
      </c>
      <c r="G105" s="82">
        <f t="shared" si="9"/>
        <v>690.37037037037032</v>
      </c>
      <c r="H105" s="82">
        <f t="array" ref="H105">INDEX(Damage!$F$2:$F$151,A105)*$O$14</f>
        <v>1086.1983059292477</v>
      </c>
      <c r="I105" s="6">
        <v>0.08</v>
      </c>
      <c r="J105" s="6">
        <v>0.12</v>
      </c>
      <c r="K105" s="86">
        <f t="shared" si="10"/>
        <v>276.14814814814815</v>
      </c>
      <c r="L105" s="86">
        <f t="shared" si="11"/>
        <v>345.18518518518516</v>
      </c>
      <c r="M105" s="86">
        <f t="shared" si="12"/>
        <v>690.37037037037032</v>
      </c>
    </row>
    <row r="106" spans="1:13">
      <c r="A106" s="83">
        <v>105</v>
      </c>
      <c r="B106" s="71">
        <f t="array" ref="B106">AVERAGE(INDEX(Ranges!$M$7:$N$156,A106,1),INDEX(Ranges!$M$7:$N$156,A106,2))</f>
        <v>3401.1666666666665</v>
      </c>
      <c r="C106" s="82">
        <f t="shared" si="8"/>
        <v>745.81481481481478</v>
      </c>
      <c r="D106" s="71">
        <f t="array" ref="D106">AVERAGE(INDEX(Ranges!$R$7:$R$156,A106),INDEX(Ranges!$S$7:$S$156,A106),INDEX(Ranges!$T$7:$T$156,A106))</f>
        <v>272.99999999999994</v>
      </c>
      <c r="E106" s="82">
        <f t="shared" si="13"/>
        <v>60.666666666666657</v>
      </c>
      <c r="F106" s="71">
        <f t="array" ref="F106">AVERAGE(INDEX(Ranges!$U$7:$V$156,A106,1),INDEX(Ranges!$U$7:$V$156,A106,2))</f>
        <v>3177</v>
      </c>
      <c r="G106" s="82">
        <f t="shared" si="9"/>
        <v>696</v>
      </c>
      <c r="H106" s="82">
        <f t="array" ref="H106">INDEX(Damage!$F$2:$F$151,A106)*$O$14</f>
        <v>1095.5999999999999</v>
      </c>
      <c r="I106" s="6">
        <v>0.08</v>
      </c>
      <c r="J106" s="6">
        <v>0.12</v>
      </c>
      <c r="K106" s="86">
        <f t="shared" si="10"/>
        <v>278.40000000000003</v>
      </c>
      <c r="L106" s="86">
        <f t="shared" si="11"/>
        <v>348</v>
      </c>
      <c r="M106" s="86">
        <f t="shared" si="12"/>
        <v>696</v>
      </c>
    </row>
    <row r="107" spans="1:13">
      <c r="A107" s="83">
        <v>106</v>
      </c>
      <c r="B107" s="71">
        <f t="array" ref="B107">AVERAGE(INDEX(Ranges!$M$7:$N$156,A107,1),INDEX(Ranges!$M$7:$N$156,A107,2))</f>
        <v>3428.7777777777778</v>
      </c>
      <c r="C107" s="82">
        <f t="shared" si="8"/>
        <v>751.95061728395058</v>
      </c>
      <c r="D107" s="71">
        <f t="array" ref="D107">AVERAGE(INDEX(Ranges!$R$7:$R$156,A107),INDEX(Ranges!$S$7:$S$156,A107),INDEX(Ranges!$T$7:$T$156,A107))</f>
        <v>275.55555555555549</v>
      </c>
      <c r="E107" s="82">
        <f t="shared" si="13"/>
        <v>61.234567901234556</v>
      </c>
      <c r="F107" s="71">
        <f t="array" ref="F107">AVERAGE(INDEX(Ranges!$U$7:$V$156,A107,1),INDEX(Ranges!$U$7:$V$156,A107,2))</f>
        <v>3202.3333333333335</v>
      </c>
      <c r="G107" s="82">
        <f t="shared" si="9"/>
        <v>701.62962962962968</v>
      </c>
      <c r="H107" s="82">
        <f t="array" ref="H107">INDEX(Damage!$F$2:$F$151,A107)*$O$14</f>
        <v>1105.0014684287812</v>
      </c>
      <c r="I107" s="6">
        <v>0.08</v>
      </c>
      <c r="J107" s="6">
        <v>0.12</v>
      </c>
      <c r="K107" s="86">
        <f t="shared" si="10"/>
        <v>280.65185185185186</v>
      </c>
      <c r="L107" s="86">
        <f t="shared" si="11"/>
        <v>350.81481481481484</v>
      </c>
      <c r="M107" s="86">
        <f t="shared" si="12"/>
        <v>701.62962962962968</v>
      </c>
    </row>
    <row r="108" spans="1:13">
      <c r="A108" s="83">
        <v>107</v>
      </c>
      <c r="B108" s="71">
        <f t="array" ref="B108">AVERAGE(INDEX(Ranges!$M$7:$N$156,A108,1),INDEX(Ranges!$M$7:$N$156,A108,2))</f>
        <v>3456.3888888888887</v>
      </c>
      <c r="C108" s="82">
        <f t="shared" si="8"/>
        <v>758.08641975308637</v>
      </c>
      <c r="D108" s="71">
        <f t="array" ref="D108">AVERAGE(INDEX(Ranges!$R$7:$R$156,A108),INDEX(Ranges!$S$7:$S$156,A108),INDEX(Ranges!$T$7:$T$156,A108))</f>
        <v>278.11111111111109</v>
      </c>
      <c r="E108" s="82">
        <f t="shared" si="13"/>
        <v>61.802469135802461</v>
      </c>
      <c r="F108" s="71">
        <f t="array" ref="F108">AVERAGE(INDEX(Ranges!$U$7:$V$156,A108,1),INDEX(Ranges!$U$7:$V$156,A108,2))</f>
        <v>3227.6666666666665</v>
      </c>
      <c r="G108" s="82">
        <f t="shared" si="9"/>
        <v>707.25925925925924</v>
      </c>
      <c r="H108" s="82">
        <f t="array" ref="H108">INDEX(Damage!$F$2:$F$151,A108)*$O$14</f>
        <v>1114.4027171276077</v>
      </c>
      <c r="I108" s="6">
        <v>0.08</v>
      </c>
      <c r="J108" s="6">
        <v>0.12</v>
      </c>
      <c r="K108" s="86">
        <f t="shared" si="10"/>
        <v>282.90370370370368</v>
      </c>
      <c r="L108" s="86">
        <f t="shared" si="11"/>
        <v>353.62962962962962</v>
      </c>
      <c r="M108" s="86">
        <f t="shared" si="12"/>
        <v>707.25925925925924</v>
      </c>
    </row>
    <row r="109" spans="1:13">
      <c r="A109" s="83">
        <v>108</v>
      </c>
      <c r="B109" s="71">
        <f t="array" ref="B109">AVERAGE(INDEX(Ranges!$M$7:$N$156,A109,1),INDEX(Ranges!$M$7:$N$156,A109,2))</f>
        <v>3484</v>
      </c>
      <c r="C109" s="82">
        <f t="shared" si="8"/>
        <v>764.22222222222217</v>
      </c>
      <c r="D109" s="71">
        <f t="array" ref="D109">AVERAGE(INDEX(Ranges!$R$7:$R$156,A109),INDEX(Ranges!$S$7:$S$156,A109),INDEX(Ranges!$T$7:$T$156,A109))</f>
        <v>280.66666666666663</v>
      </c>
      <c r="E109" s="82">
        <f t="shared" si="13"/>
        <v>62.37037037037036</v>
      </c>
      <c r="F109" s="71">
        <f t="array" ref="F109">AVERAGE(INDEX(Ranges!$U$7:$V$156,A109,1),INDEX(Ranges!$U$7:$V$156,A109,2))</f>
        <v>3253</v>
      </c>
      <c r="G109" s="82">
        <f t="shared" si="9"/>
        <v>712.88888888888891</v>
      </c>
      <c r="H109" s="82">
        <f t="array" ref="H109">INDEX(Damage!$F$2:$F$151,A109)*$O$14</f>
        <v>1123.803751803752</v>
      </c>
      <c r="I109" s="6">
        <v>0.08</v>
      </c>
      <c r="J109" s="6">
        <v>0.12</v>
      </c>
      <c r="K109" s="86">
        <f t="shared" si="10"/>
        <v>285.15555555555557</v>
      </c>
      <c r="L109" s="86">
        <f t="shared" si="11"/>
        <v>356.44444444444446</v>
      </c>
      <c r="M109" s="86">
        <f t="shared" si="12"/>
        <v>712.88888888888891</v>
      </c>
    </row>
    <row r="110" spans="1:13">
      <c r="A110" s="83">
        <v>109</v>
      </c>
      <c r="B110" s="71">
        <f t="array" ref="B110">AVERAGE(INDEX(Ranges!$M$7:$N$156,A110,1),INDEX(Ranges!$M$7:$N$156,A110,2))</f>
        <v>3511.6111111111113</v>
      </c>
      <c r="C110" s="82">
        <f t="shared" si="8"/>
        <v>770.35802469135808</v>
      </c>
      <c r="D110" s="71">
        <f t="array" ref="D110">AVERAGE(INDEX(Ranges!$R$7:$R$156,A110),INDEX(Ranges!$S$7:$S$156,A110),INDEX(Ranges!$T$7:$T$156,A110))</f>
        <v>283.22222222222217</v>
      </c>
      <c r="E110" s="82">
        <f t="shared" si="13"/>
        <v>62.938271604938258</v>
      </c>
      <c r="F110" s="71">
        <f t="array" ref="F110">AVERAGE(INDEX(Ranges!$U$7:$V$156,A110,1),INDEX(Ranges!$U$7:$V$156,A110,2))</f>
        <v>3278.3333333333335</v>
      </c>
      <c r="G110" s="82">
        <f t="shared" si="9"/>
        <v>718.51851851851859</v>
      </c>
      <c r="H110" s="82">
        <f t="array" ref="H110">INDEX(Damage!$F$2:$F$151,A110)*$O$14</f>
        <v>1133.2045779685263</v>
      </c>
      <c r="I110" s="6">
        <v>0.08</v>
      </c>
      <c r="J110" s="6">
        <v>0.12</v>
      </c>
      <c r="K110" s="86">
        <f t="shared" si="10"/>
        <v>287.40740740740745</v>
      </c>
      <c r="L110" s="86">
        <f t="shared" si="11"/>
        <v>359.2592592592593</v>
      </c>
      <c r="M110" s="86">
        <f t="shared" si="12"/>
        <v>718.51851851851859</v>
      </c>
    </row>
    <row r="111" spans="1:13">
      <c r="A111" s="83">
        <v>110</v>
      </c>
      <c r="B111" s="71">
        <f t="array" ref="B111">AVERAGE(INDEX(Ranges!$M$7:$N$156,A111,1),INDEX(Ranges!$M$7:$N$156,A111,2))</f>
        <v>3539.2222222222222</v>
      </c>
      <c r="C111" s="82">
        <f t="shared" si="8"/>
        <v>776.49382716049377</v>
      </c>
      <c r="D111" s="71">
        <f t="array" ref="D111">AVERAGE(INDEX(Ranges!$R$7:$R$156,A111),INDEX(Ranges!$S$7:$S$156,A111),INDEX(Ranges!$T$7:$T$156,A111))</f>
        <v>285.77777777777777</v>
      </c>
      <c r="E111" s="82">
        <f t="shared" si="13"/>
        <v>63.506172839506171</v>
      </c>
      <c r="F111" s="71">
        <f t="array" ref="F111">AVERAGE(INDEX(Ranges!$U$7:$V$156,A111,1),INDEX(Ranges!$U$7:$V$156,A111,2))</f>
        <v>3303.6666666666665</v>
      </c>
      <c r="G111" s="82">
        <f t="shared" si="9"/>
        <v>724.14814814814815</v>
      </c>
      <c r="H111" s="82">
        <f t="array" ref="H111">INDEX(Damage!$F$2:$F$151,A111)*$O$14</f>
        <v>1142.6052009456264</v>
      </c>
      <c r="I111" s="6">
        <v>0.08</v>
      </c>
      <c r="J111" s="6">
        <v>0.12</v>
      </c>
      <c r="K111" s="86">
        <f t="shared" si="10"/>
        <v>289.65925925925927</v>
      </c>
      <c r="L111" s="86">
        <f t="shared" si="11"/>
        <v>362.07407407407408</v>
      </c>
      <c r="M111" s="86">
        <f t="shared" si="12"/>
        <v>724.14814814814815</v>
      </c>
    </row>
    <row r="112" spans="1:13">
      <c r="A112" s="83">
        <v>111</v>
      </c>
      <c r="B112" s="71">
        <f t="array" ref="B112">AVERAGE(INDEX(Ranges!$M$7:$N$156,A112,1),INDEX(Ranges!$M$7:$N$156,A112,2))</f>
        <v>3566.833333333333</v>
      </c>
      <c r="C112" s="82">
        <f t="shared" si="8"/>
        <v>782.62962962962956</v>
      </c>
      <c r="D112" s="71">
        <f t="array" ref="D112">AVERAGE(INDEX(Ranges!$R$7:$R$156,A112),INDEX(Ranges!$S$7:$S$156,A112),INDEX(Ranges!$T$7:$T$156,A112))</f>
        <v>288.33333333333331</v>
      </c>
      <c r="E112" s="82">
        <f t="shared" si="13"/>
        <v>64.074074074074076</v>
      </c>
      <c r="F112" s="71">
        <f t="array" ref="F112">AVERAGE(INDEX(Ranges!$U$7:$V$156,A112,1),INDEX(Ranges!$U$7:$V$156,A112,2))</f>
        <v>3329</v>
      </c>
      <c r="G112" s="82">
        <f t="shared" si="9"/>
        <v>729.77777777777783</v>
      </c>
      <c r="H112" s="82">
        <f t="array" ref="H112">INDEX(Damage!$F$2:$F$151,A112)*$O$14</f>
        <v>1152.0056258790435</v>
      </c>
      <c r="I112" s="6">
        <v>0.08</v>
      </c>
      <c r="J112" s="6">
        <v>0.12</v>
      </c>
      <c r="K112" s="86">
        <f t="shared" si="10"/>
        <v>291.91111111111115</v>
      </c>
      <c r="L112" s="86">
        <f t="shared" si="11"/>
        <v>364.88888888888891</v>
      </c>
      <c r="M112" s="86">
        <f t="shared" si="12"/>
        <v>729.77777777777783</v>
      </c>
    </row>
    <row r="113" spans="1:13">
      <c r="A113" s="83">
        <v>112</v>
      </c>
      <c r="B113" s="71">
        <f t="array" ref="B113">AVERAGE(INDEX(Ranges!$M$7:$N$156,A113,1),INDEX(Ranges!$M$7:$N$156,A113,2))</f>
        <v>3594.4444444444443</v>
      </c>
      <c r="C113" s="82">
        <f t="shared" si="8"/>
        <v>788.76543209876536</v>
      </c>
      <c r="D113" s="71">
        <f t="array" ref="D113">AVERAGE(INDEX(Ranges!$R$7:$R$156,A113),INDEX(Ranges!$S$7:$S$156,A113),INDEX(Ranges!$T$7:$T$156,A113))</f>
        <v>290.88888888888886</v>
      </c>
      <c r="E113" s="82">
        <f t="shared" si="13"/>
        <v>64.641975308641975</v>
      </c>
      <c r="F113" s="71">
        <f t="array" ref="F113">AVERAGE(INDEX(Ranges!$U$7:$V$156,A113,1),INDEX(Ranges!$U$7:$V$156,A113,2))</f>
        <v>3354.3333333333335</v>
      </c>
      <c r="G113" s="82">
        <f t="shared" si="9"/>
        <v>735.40740740740739</v>
      </c>
      <c r="H113" s="82">
        <f t="array" ref="H113">INDEX(Damage!$F$2:$F$151,A113)*$O$14</f>
        <v>1161.4058577405858</v>
      </c>
      <c r="I113" s="6">
        <v>0.08</v>
      </c>
      <c r="J113" s="6">
        <v>0.12</v>
      </c>
      <c r="K113" s="86">
        <f t="shared" si="10"/>
        <v>294.16296296296298</v>
      </c>
      <c r="L113" s="86">
        <f t="shared" si="11"/>
        <v>367.7037037037037</v>
      </c>
      <c r="M113" s="86">
        <f t="shared" si="12"/>
        <v>735.40740740740739</v>
      </c>
    </row>
    <row r="114" spans="1:13">
      <c r="A114" s="83">
        <v>113</v>
      </c>
      <c r="B114" s="71">
        <f t="array" ref="B114">AVERAGE(INDEX(Ranges!$M$7:$N$156,A114,1),INDEX(Ranges!$M$7:$N$156,A114,2))</f>
        <v>3622.0555555555557</v>
      </c>
      <c r="C114" s="82">
        <f t="shared" si="8"/>
        <v>794.90123456790127</v>
      </c>
      <c r="D114" s="71">
        <f t="array" ref="D114">AVERAGE(INDEX(Ranges!$R$7:$R$156,A114),INDEX(Ranges!$S$7:$S$156,A114),INDEX(Ranges!$T$7:$T$156,A114))</f>
        <v>293.4444444444444</v>
      </c>
      <c r="E114" s="82">
        <f t="shared" si="13"/>
        <v>65.209876543209873</v>
      </c>
      <c r="F114" s="71">
        <f t="array" ref="F114">AVERAGE(INDEX(Ranges!$U$7:$V$156,A114,1),INDEX(Ranges!$U$7:$V$156,A114,2))</f>
        <v>3379.6666666666665</v>
      </c>
      <c r="G114" s="82">
        <f t="shared" si="9"/>
        <v>741.03703703703695</v>
      </c>
      <c r="H114" s="82">
        <f t="array" ref="H114">INDEX(Damage!$F$2:$F$151,A114)*$O$14</f>
        <v>1170.8059013370216</v>
      </c>
      <c r="I114" s="6">
        <v>0.08</v>
      </c>
      <c r="J114" s="6">
        <v>0.12</v>
      </c>
      <c r="K114" s="86">
        <f t="shared" si="10"/>
        <v>296.4148148148148</v>
      </c>
      <c r="L114" s="86">
        <f t="shared" si="11"/>
        <v>370.51851851851848</v>
      </c>
      <c r="M114" s="86">
        <f t="shared" si="12"/>
        <v>741.03703703703695</v>
      </c>
    </row>
    <row r="115" spans="1:13">
      <c r="A115" s="83">
        <v>114</v>
      </c>
      <c r="B115" s="71">
        <f t="array" ref="B115">AVERAGE(INDEX(Ranges!$M$7:$N$156,A115,1),INDEX(Ranges!$M$7:$N$156,A115,2))</f>
        <v>3649.6666666666665</v>
      </c>
      <c r="C115" s="82">
        <f t="shared" si="8"/>
        <v>801.03703703703695</v>
      </c>
      <c r="D115" s="71">
        <f t="array" ref="D115">AVERAGE(INDEX(Ranges!$R$7:$R$156,A115),INDEX(Ranges!$S$7:$S$156,A115),INDEX(Ranges!$T$7:$T$156,A115))</f>
        <v>295.99999999999994</v>
      </c>
      <c r="E115" s="82">
        <f t="shared" si="13"/>
        <v>65.777777777777771</v>
      </c>
      <c r="F115" s="71">
        <f t="array" ref="F115">AVERAGE(INDEX(Ranges!$U$7:$V$156,A115,1),INDEX(Ranges!$U$7:$V$156,A115,2))</f>
        <v>3405</v>
      </c>
      <c r="G115" s="82">
        <f t="shared" si="9"/>
        <v>746.66666666666663</v>
      </c>
      <c r="H115" s="82">
        <f t="array" ref="H115">INDEX(Damage!$F$2:$F$151,A115)*$O$14</f>
        <v>1180.2057613168724</v>
      </c>
      <c r="I115" s="6">
        <v>0.08</v>
      </c>
      <c r="J115" s="6">
        <v>0.12</v>
      </c>
      <c r="K115" s="86">
        <f t="shared" si="10"/>
        <v>298.66666666666669</v>
      </c>
      <c r="L115" s="86">
        <f t="shared" si="11"/>
        <v>373.33333333333331</v>
      </c>
      <c r="M115" s="86">
        <f t="shared" si="12"/>
        <v>746.66666666666663</v>
      </c>
    </row>
    <row r="116" spans="1:13">
      <c r="A116" s="83">
        <v>115</v>
      </c>
      <c r="B116" s="71">
        <f t="array" ref="B116">AVERAGE(INDEX(Ranges!$M$7:$N$156,A116,1),INDEX(Ranges!$M$7:$N$156,A116,2))</f>
        <v>3677.2777777777778</v>
      </c>
      <c r="C116" s="82">
        <f t="shared" si="8"/>
        <v>807.17283950617286</v>
      </c>
      <c r="D116" s="71">
        <f t="array" ref="D116">AVERAGE(INDEX(Ranges!$R$7:$R$156,A116),INDEX(Ranges!$S$7:$S$156,A116),INDEX(Ranges!$T$7:$T$156,A116))</f>
        <v>298.55555555555549</v>
      </c>
      <c r="E116" s="82">
        <f t="shared" si="13"/>
        <v>66.34567901234567</v>
      </c>
      <c r="F116" s="71">
        <f t="array" ref="F116">AVERAGE(INDEX(Ranges!$U$7:$V$156,A116,1),INDEX(Ranges!$U$7:$V$156,A116,2))</f>
        <v>3430.3333333333335</v>
      </c>
      <c r="G116" s="82">
        <f t="shared" si="9"/>
        <v>752.2962962962963</v>
      </c>
      <c r="H116" s="82">
        <f t="array" ref="H116">INDEX(Damage!$F$2:$F$151,A116)*$O$14</f>
        <v>1189.6054421768708</v>
      </c>
      <c r="I116" s="6">
        <v>0.08</v>
      </c>
      <c r="J116" s="6">
        <v>0.12</v>
      </c>
      <c r="K116" s="86">
        <f t="shared" si="10"/>
        <v>300.91851851851851</v>
      </c>
      <c r="L116" s="86">
        <f t="shared" si="11"/>
        <v>376.14814814814815</v>
      </c>
      <c r="M116" s="86">
        <f t="shared" si="12"/>
        <v>752.2962962962963</v>
      </c>
    </row>
    <row r="117" spans="1:13">
      <c r="A117" s="83">
        <v>116</v>
      </c>
      <c r="B117" s="71">
        <f t="array" ref="B117">AVERAGE(INDEX(Ranges!$M$7:$N$156,A117,1),INDEX(Ranges!$M$7:$N$156,A117,2))</f>
        <v>3704.8888888888887</v>
      </c>
      <c r="C117" s="82">
        <f t="shared" si="8"/>
        <v>813.30864197530855</v>
      </c>
      <c r="D117" s="71">
        <f t="array" ref="D117">AVERAGE(INDEX(Ranges!$R$7:$R$156,A117),INDEX(Ranges!$S$7:$S$156,A117),INDEX(Ranges!$T$7:$T$156,A117))</f>
        <v>301.11111111111109</v>
      </c>
      <c r="E117" s="82">
        <f t="shared" si="13"/>
        <v>66.913580246913568</v>
      </c>
      <c r="F117" s="71">
        <f t="array" ref="F117">AVERAGE(INDEX(Ranges!$U$7:$V$156,A117,1),INDEX(Ranges!$U$7:$V$156,A117,2))</f>
        <v>3455.6666666666665</v>
      </c>
      <c r="G117" s="82">
        <f t="shared" si="9"/>
        <v>757.92592592592587</v>
      </c>
      <c r="H117" s="82">
        <f t="array" ref="H117">INDEX(Damage!$F$2:$F$151,A117)*$O$14</f>
        <v>1199.0049482681059</v>
      </c>
      <c r="I117" s="6">
        <v>0.08</v>
      </c>
      <c r="J117" s="6">
        <v>0.12</v>
      </c>
      <c r="K117" s="86">
        <f t="shared" si="10"/>
        <v>303.17037037037034</v>
      </c>
      <c r="L117" s="86">
        <f t="shared" si="11"/>
        <v>378.96296296296293</v>
      </c>
      <c r="M117" s="86">
        <f t="shared" si="12"/>
        <v>757.92592592592587</v>
      </c>
    </row>
    <row r="118" spans="1:13">
      <c r="A118" s="83">
        <v>117</v>
      </c>
      <c r="B118" s="71">
        <f t="array" ref="B118">AVERAGE(INDEX(Ranges!$M$7:$N$156,A118,1),INDEX(Ranges!$M$7:$N$156,A118,2))</f>
        <v>3732.5</v>
      </c>
      <c r="C118" s="82">
        <f t="shared" si="8"/>
        <v>819.44444444444446</v>
      </c>
      <c r="D118" s="71">
        <f t="array" ref="D118">AVERAGE(INDEX(Ranges!$R$7:$R$156,A118),INDEX(Ranges!$S$7:$S$156,A118),INDEX(Ranges!$T$7:$T$156,A118))</f>
        <v>303.66666666666663</v>
      </c>
      <c r="E118" s="82">
        <f t="shared" si="13"/>
        <v>67.481481481481467</v>
      </c>
      <c r="F118" s="71">
        <f t="array" ref="F118">AVERAGE(INDEX(Ranges!$U$7:$V$156,A118,1),INDEX(Ranges!$U$7:$V$156,A118,2))</f>
        <v>3481</v>
      </c>
      <c r="G118" s="82">
        <f t="shared" si="9"/>
        <v>763.55555555555554</v>
      </c>
      <c r="H118" s="82">
        <f t="array" ref="H118">INDEX(Damage!$F$2:$F$151,A118)*$O$14</f>
        <v>1208.4042838018743</v>
      </c>
      <c r="I118" s="6">
        <v>0.08</v>
      </c>
      <c r="J118" s="6">
        <v>0.12</v>
      </c>
      <c r="K118" s="86">
        <f t="shared" si="10"/>
        <v>305.42222222222222</v>
      </c>
      <c r="L118" s="86">
        <f t="shared" si="11"/>
        <v>381.77777777777777</v>
      </c>
      <c r="M118" s="86">
        <f t="shared" si="12"/>
        <v>763.55555555555554</v>
      </c>
    </row>
    <row r="119" spans="1:13">
      <c r="A119" s="83">
        <v>118</v>
      </c>
      <c r="B119" s="71">
        <f t="array" ref="B119">AVERAGE(INDEX(Ranges!$M$7:$N$156,A119,1),INDEX(Ranges!$M$7:$N$156,A119,2))</f>
        <v>3760.1111111111113</v>
      </c>
      <c r="C119" s="82">
        <f t="shared" si="8"/>
        <v>825.58024691358025</v>
      </c>
      <c r="D119" s="71">
        <f t="array" ref="D119">AVERAGE(INDEX(Ranges!$R$7:$R$156,A119),INDEX(Ranges!$S$7:$S$156,A119),INDEX(Ranges!$T$7:$T$156,A119))</f>
        <v>306.22222222222217</v>
      </c>
      <c r="E119" s="82">
        <f t="shared" si="13"/>
        <v>68.049382716049365</v>
      </c>
      <c r="F119" s="71">
        <f t="array" ref="F119">AVERAGE(INDEX(Ranges!$U$7:$V$156,A119,1),INDEX(Ranges!$U$7:$V$156,A119,2))</f>
        <v>3506.3333333333335</v>
      </c>
      <c r="G119" s="82">
        <f t="shared" si="9"/>
        <v>769.18518518518522</v>
      </c>
      <c r="H119" s="82">
        <f t="array" ref="H119">INDEX(Damage!$F$2:$F$151,A119)*$O$14</f>
        <v>1217.8034528552457</v>
      </c>
      <c r="I119" s="6">
        <v>0.08</v>
      </c>
      <c r="J119" s="6">
        <v>0.12</v>
      </c>
      <c r="K119" s="86">
        <f t="shared" si="10"/>
        <v>307.6740740740741</v>
      </c>
      <c r="L119" s="86">
        <f t="shared" si="11"/>
        <v>384.59259259259261</v>
      </c>
      <c r="M119" s="86">
        <f t="shared" si="12"/>
        <v>769.18518518518522</v>
      </c>
    </row>
    <row r="120" spans="1:13">
      <c r="A120" s="83">
        <v>119</v>
      </c>
      <c r="B120" s="71">
        <f t="array" ref="B120">AVERAGE(INDEX(Ranges!$M$7:$N$156,A120,1),INDEX(Ranges!$M$7:$N$156,A120,2))</f>
        <v>3787.7222222222222</v>
      </c>
      <c r="C120" s="82">
        <f t="shared" si="8"/>
        <v>831.71604938271605</v>
      </c>
      <c r="D120" s="71">
        <f t="array" ref="D120">AVERAGE(INDEX(Ranges!$R$7:$R$156,A120),INDEX(Ranges!$S$7:$S$156,A120),INDEX(Ranges!$T$7:$T$156,A120))</f>
        <v>308.77777777777777</v>
      </c>
      <c r="E120" s="82">
        <f t="shared" si="13"/>
        <v>68.617283950617278</v>
      </c>
      <c r="F120" s="71">
        <f t="array" ref="F120">AVERAGE(INDEX(Ranges!$U$7:$V$156,A120,1),INDEX(Ranges!$U$7:$V$156,A120,2))</f>
        <v>3531.6666666666665</v>
      </c>
      <c r="G120" s="82">
        <f t="shared" si="9"/>
        <v>774.81481481481478</v>
      </c>
      <c r="H120" s="82">
        <f t="array" ref="H120">INDEX(Damage!$F$2:$F$151,A120)*$O$14</f>
        <v>1227.2024593763724</v>
      </c>
      <c r="I120" s="6">
        <v>0.08</v>
      </c>
      <c r="J120" s="6">
        <v>0.12</v>
      </c>
      <c r="K120" s="86">
        <f t="shared" si="10"/>
        <v>309.92592592592592</v>
      </c>
      <c r="L120" s="86">
        <f t="shared" si="11"/>
        <v>387.40740740740739</v>
      </c>
      <c r="M120" s="86">
        <f t="shared" si="12"/>
        <v>774.81481481481478</v>
      </c>
    </row>
    <row r="121" spans="1:13">
      <c r="A121" s="83">
        <v>120</v>
      </c>
      <c r="B121" s="71">
        <f t="array" ref="B121">AVERAGE(INDEX(Ranges!$M$7:$N$156,A121,1),INDEX(Ranges!$M$7:$N$156,A121,2))</f>
        <v>3815.333333333333</v>
      </c>
      <c r="C121" s="82">
        <f t="shared" si="8"/>
        <v>837.85185185185173</v>
      </c>
      <c r="D121" s="71">
        <f t="array" ref="D121">AVERAGE(INDEX(Ranges!$R$7:$R$156,A121),INDEX(Ranges!$S$7:$S$156,A121),INDEX(Ranges!$T$7:$T$156,A121))</f>
        <v>311.33333333333331</v>
      </c>
      <c r="E121" s="82">
        <f t="shared" si="13"/>
        <v>69.185185185185176</v>
      </c>
      <c r="F121" s="71">
        <f t="array" ref="F121">AVERAGE(INDEX(Ranges!$U$7:$V$156,A121,1),INDEX(Ranges!$U$7:$V$156,A121,2))</f>
        <v>3557</v>
      </c>
      <c r="G121" s="82">
        <f t="shared" si="9"/>
        <v>780.44444444444446</v>
      </c>
      <c r="H121" s="82">
        <f t="array" ref="H121">INDEX(Damage!$F$2:$F$151,A121)*$O$14</f>
        <v>1236.6013071895425</v>
      </c>
      <c r="I121" s="6">
        <v>0.08</v>
      </c>
      <c r="J121" s="6">
        <v>0.12</v>
      </c>
      <c r="K121" s="86">
        <f t="shared" si="10"/>
        <v>312.17777777777781</v>
      </c>
      <c r="L121" s="86">
        <f t="shared" si="11"/>
        <v>390.22222222222223</v>
      </c>
      <c r="M121" s="86">
        <f t="shared" si="12"/>
        <v>780.44444444444446</v>
      </c>
    </row>
    <row r="122" spans="1:13">
      <c r="A122" s="83">
        <v>121</v>
      </c>
      <c r="B122" s="71">
        <f t="array" ref="B122">AVERAGE(INDEX(Ranges!$M$7:$N$156,A122,1),INDEX(Ranges!$M$7:$N$156,A122,2))</f>
        <v>3842.9444444444443</v>
      </c>
      <c r="C122" s="82">
        <f t="shared" si="8"/>
        <v>843.98765432098764</v>
      </c>
      <c r="D122" s="71">
        <f t="array" ref="D122">AVERAGE(INDEX(Ranges!$R$7:$R$156,A122),INDEX(Ranges!$S$7:$S$156,A122),INDEX(Ranges!$T$7:$T$156,A122))</f>
        <v>313.88888888888886</v>
      </c>
      <c r="E122" s="82">
        <f t="shared" si="13"/>
        <v>69.753086419753075</v>
      </c>
      <c r="F122" s="71">
        <f t="array" ref="F122">AVERAGE(INDEX(Ranges!$U$7:$V$156,A122,1),INDEX(Ranges!$U$7:$V$156,A122,2))</f>
        <v>3582.3333333333335</v>
      </c>
      <c r="G122" s="82">
        <f t="shared" si="9"/>
        <v>786.07407407407413</v>
      </c>
      <c r="H122" s="82">
        <f t="array" ref="H122">INDEX(Damage!$F$2:$F$151,A122)*$O$14</f>
        <v>1246</v>
      </c>
      <c r="I122" s="6">
        <v>0.08</v>
      </c>
      <c r="J122" s="6">
        <v>0.12</v>
      </c>
      <c r="K122" s="86">
        <f t="shared" si="10"/>
        <v>314.42962962962969</v>
      </c>
      <c r="L122" s="86">
        <f t="shared" si="11"/>
        <v>393.03703703703707</v>
      </c>
      <c r="M122" s="86">
        <f t="shared" si="12"/>
        <v>786.07407407407413</v>
      </c>
    </row>
    <row r="123" spans="1:13">
      <c r="A123" s="83">
        <v>122</v>
      </c>
      <c r="B123" s="71">
        <f t="array" ref="B123">AVERAGE(INDEX(Ranges!$M$7:$N$156,A123,1),INDEX(Ranges!$M$7:$N$156,A123,2))</f>
        <v>3870.5555555555557</v>
      </c>
      <c r="C123" s="82">
        <f t="shared" si="8"/>
        <v>850.12345679012344</v>
      </c>
      <c r="D123" s="71">
        <f t="array" ref="D123">AVERAGE(INDEX(Ranges!$R$7:$R$156,A123),INDEX(Ranges!$S$7:$S$156,A123),INDEX(Ranges!$T$7:$T$156,A123))</f>
        <v>316.4444444444444</v>
      </c>
      <c r="E123" s="82">
        <f t="shared" si="13"/>
        <v>70.320987654320973</v>
      </c>
      <c r="F123" s="71">
        <f t="array" ref="F123">AVERAGE(INDEX(Ranges!$U$7:$V$156,A123,1),INDEX(Ranges!$U$7:$V$156,A123,2))</f>
        <v>3607.6666666666665</v>
      </c>
      <c r="G123" s="82">
        <f t="shared" si="9"/>
        <v>791.7037037037037</v>
      </c>
      <c r="H123" s="82">
        <f t="array" ref="H123">INDEX(Damage!$F$2:$F$151,A123)*$O$14</f>
        <v>1255.3985413985415</v>
      </c>
      <c r="I123" s="6">
        <v>0.08</v>
      </c>
      <c r="J123" s="6">
        <v>0.12</v>
      </c>
      <c r="K123" s="86">
        <f t="shared" si="10"/>
        <v>316.68148148148151</v>
      </c>
      <c r="L123" s="86">
        <f t="shared" si="11"/>
        <v>395.85185185185185</v>
      </c>
      <c r="M123" s="86">
        <f t="shared" si="12"/>
        <v>791.7037037037037</v>
      </c>
    </row>
    <row r="124" spans="1:13">
      <c r="A124" s="83">
        <v>123</v>
      </c>
      <c r="B124" s="71">
        <f t="array" ref="B124">AVERAGE(INDEX(Ranges!$M$7:$N$156,A124,1),INDEX(Ranges!$M$7:$N$156,A124,2))</f>
        <v>3898.1666666666665</v>
      </c>
      <c r="C124" s="82">
        <f t="shared" si="8"/>
        <v>856.25925925925924</v>
      </c>
      <c r="D124" s="71">
        <f t="array" ref="D124">AVERAGE(INDEX(Ranges!$R$7:$R$156,A124),INDEX(Ranges!$S$7:$S$156,A124),INDEX(Ranges!$T$7:$T$156,A124))</f>
        <v>318.99999999999994</v>
      </c>
      <c r="E124" s="82">
        <f t="shared" si="13"/>
        <v>70.888888888888872</v>
      </c>
      <c r="F124" s="71">
        <f t="array" ref="F124">AVERAGE(INDEX(Ranges!$U$7:$V$156,A124,1),INDEX(Ranges!$U$7:$V$156,A124,2))</f>
        <v>3633</v>
      </c>
      <c r="G124" s="82">
        <f t="shared" si="9"/>
        <v>797.33333333333337</v>
      </c>
      <c r="H124" s="82">
        <f t="array" ref="H124">INDEX(Damage!$F$2:$F$151,A124)*$O$14</f>
        <v>1264.7969348659003</v>
      </c>
      <c r="I124" s="6">
        <v>0.08</v>
      </c>
      <c r="J124" s="6">
        <v>0.12</v>
      </c>
      <c r="K124" s="86">
        <f t="shared" si="10"/>
        <v>318.93333333333339</v>
      </c>
      <c r="L124" s="86">
        <f t="shared" si="11"/>
        <v>398.66666666666669</v>
      </c>
      <c r="M124" s="86">
        <f t="shared" si="12"/>
        <v>797.33333333333337</v>
      </c>
    </row>
    <row r="125" spans="1:13">
      <c r="A125" s="83">
        <v>124</v>
      </c>
      <c r="B125" s="71">
        <f t="array" ref="B125">AVERAGE(INDEX(Ranges!$M$7:$N$156,A125,1),INDEX(Ranges!$M$7:$N$156,A125,2))</f>
        <v>3925.7777777777778</v>
      </c>
      <c r="C125" s="82">
        <f t="shared" si="8"/>
        <v>862.39506172839504</v>
      </c>
      <c r="D125" s="71">
        <f t="array" ref="D125">AVERAGE(INDEX(Ranges!$R$7:$R$156,A125),INDEX(Ranges!$S$7:$S$156,A125),INDEX(Ranges!$T$7:$T$156,A125))</f>
        <v>321.55555555555549</v>
      </c>
      <c r="E125" s="82">
        <f t="shared" si="13"/>
        <v>71.45679012345677</v>
      </c>
      <c r="F125" s="71">
        <f t="array" ref="F125">AVERAGE(INDEX(Ranges!$U$7:$V$156,A125,1),INDEX(Ranges!$U$7:$V$156,A125,2))</f>
        <v>3658.3333333333335</v>
      </c>
      <c r="G125" s="82">
        <f t="shared" si="9"/>
        <v>802.96296296296305</v>
      </c>
      <c r="H125" s="82">
        <f t="array" ref="H125">INDEX(Damage!$F$2:$F$151,A125)*$O$14</f>
        <v>1274.1951837769327</v>
      </c>
      <c r="I125" s="6">
        <v>0.08</v>
      </c>
      <c r="J125" s="6">
        <v>0.12</v>
      </c>
      <c r="K125" s="86">
        <f t="shared" si="10"/>
        <v>321.18518518518522</v>
      </c>
      <c r="L125" s="86">
        <f t="shared" si="11"/>
        <v>401.48148148148152</v>
      </c>
      <c r="M125" s="86">
        <f t="shared" si="12"/>
        <v>802.96296296296305</v>
      </c>
    </row>
    <row r="126" spans="1:13">
      <c r="A126" s="83">
        <v>125</v>
      </c>
      <c r="B126" s="71">
        <f t="array" ref="B126">AVERAGE(INDEX(Ranges!$M$7:$N$156,A126,1),INDEX(Ranges!$M$7:$N$156,A126,2))</f>
        <v>3953.3888888888887</v>
      </c>
      <c r="C126" s="82">
        <f t="shared" si="8"/>
        <v>868.53086419753083</v>
      </c>
      <c r="D126" s="71">
        <f t="array" ref="D126">AVERAGE(INDEX(Ranges!$R$7:$R$156,A126),INDEX(Ranges!$S$7:$S$156,A126),INDEX(Ranges!$T$7:$T$156,A126))</f>
        <v>324.11111111111109</v>
      </c>
      <c r="E126" s="82">
        <f t="shared" si="13"/>
        <v>72.024691358024683</v>
      </c>
      <c r="F126" s="71">
        <f t="array" ref="F126">AVERAGE(INDEX(Ranges!$U$7:$V$156,A126,1),INDEX(Ranges!$U$7:$V$156,A126,2))</f>
        <v>3683.6666666666665</v>
      </c>
      <c r="G126" s="82">
        <f t="shared" si="9"/>
        <v>808.59259259259261</v>
      </c>
      <c r="H126" s="82">
        <f t="array" ref="H126">INDEX(Damage!$F$2:$F$151,A126)*$O$14</f>
        <v>1283.5932914046123</v>
      </c>
      <c r="I126" s="6">
        <v>0.08</v>
      </c>
      <c r="J126" s="6">
        <v>0.12</v>
      </c>
      <c r="K126" s="86">
        <f t="shared" si="10"/>
        <v>323.43703703703704</v>
      </c>
      <c r="L126" s="86">
        <f t="shared" si="11"/>
        <v>404.2962962962963</v>
      </c>
      <c r="M126" s="86">
        <f t="shared" si="12"/>
        <v>808.59259259259261</v>
      </c>
    </row>
    <row r="127" spans="1:13">
      <c r="A127" s="83">
        <v>126</v>
      </c>
      <c r="B127" s="71">
        <f t="array" ref="B127">AVERAGE(INDEX(Ranges!$M$7:$N$156,A127,1),INDEX(Ranges!$M$7:$N$156,A127,2))</f>
        <v>3981</v>
      </c>
      <c r="C127" s="82">
        <f t="shared" si="8"/>
        <v>874.66666666666663</v>
      </c>
      <c r="D127" s="71">
        <f t="array" ref="D127">AVERAGE(INDEX(Ranges!$R$7:$R$156,A127),INDEX(Ranges!$S$7:$S$156,A127),INDEX(Ranges!$T$7:$T$156,A127))</f>
        <v>326.66666666666663</v>
      </c>
      <c r="E127" s="82">
        <f t="shared" si="13"/>
        <v>72.592592592592581</v>
      </c>
      <c r="F127" s="71">
        <f t="array" ref="F127">AVERAGE(INDEX(Ranges!$U$7:$V$156,A127,1),INDEX(Ranges!$U$7:$V$156,A127,2))</f>
        <v>3709</v>
      </c>
      <c r="G127" s="82">
        <f t="shared" si="9"/>
        <v>814.22222222222217</v>
      </c>
      <c r="H127" s="82">
        <f t="array" ref="H127">INDEX(Damage!$F$2:$F$151,A127)*$O$14</f>
        <v>1292.9912609238452</v>
      </c>
      <c r="I127" s="6">
        <v>0.08</v>
      </c>
      <c r="J127" s="6">
        <v>0.12</v>
      </c>
      <c r="K127" s="86">
        <f t="shared" si="10"/>
        <v>325.68888888888887</v>
      </c>
      <c r="L127" s="86">
        <f t="shared" si="11"/>
        <v>407.11111111111109</v>
      </c>
      <c r="M127" s="86">
        <f t="shared" si="12"/>
        <v>814.22222222222217</v>
      </c>
    </row>
    <row r="128" spans="1:13">
      <c r="A128" s="83">
        <v>127</v>
      </c>
      <c r="B128" s="71">
        <f t="array" ref="B128">AVERAGE(INDEX(Ranges!$M$7:$N$156,A128,1),INDEX(Ranges!$M$7:$N$156,A128,2))</f>
        <v>4008.6111111111113</v>
      </c>
      <c r="C128" s="82">
        <f t="shared" si="8"/>
        <v>880.80246913580254</v>
      </c>
      <c r="D128" s="71">
        <f t="array" ref="D128">AVERAGE(INDEX(Ranges!$R$7:$R$156,A128),INDEX(Ranges!$S$7:$S$156,A128),INDEX(Ranges!$T$7:$T$156,A128))</f>
        <v>329.22222222222217</v>
      </c>
      <c r="E128" s="82">
        <f t="shared" si="13"/>
        <v>73.160493827160479</v>
      </c>
      <c r="F128" s="71">
        <f t="array" ref="F128">AVERAGE(INDEX(Ranges!$U$7:$V$156,A128,1),INDEX(Ranges!$U$7:$V$156,A128,2))</f>
        <v>3734.3333333333335</v>
      </c>
      <c r="G128" s="82">
        <f t="shared" si="9"/>
        <v>819.85185185185185</v>
      </c>
      <c r="H128" s="82">
        <f t="array" ref="H128">INDEX(Damage!$F$2:$F$151,A128)*$O$14</f>
        <v>1302.3890954151175</v>
      </c>
      <c r="I128" s="6">
        <v>0.08</v>
      </c>
      <c r="J128" s="6">
        <v>0.12</v>
      </c>
      <c r="K128" s="86">
        <f t="shared" si="10"/>
        <v>327.94074074074075</v>
      </c>
      <c r="L128" s="86">
        <f t="shared" si="11"/>
        <v>409.92592592592592</v>
      </c>
      <c r="M128" s="86">
        <f t="shared" si="12"/>
        <v>819.85185185185185</v>
      </c>
    </row>
    <row r="129" spans="1:13">
      <c r="A129" s="83">
        <v>128</v>
      </c>
      <c r="B129" s="71">
        <f t="array" ref="B129">AVERAGE(INDEX(Ranges!$M$7:$N$156,A129,1),INDEX(Ranges!$M$7:$N$156,A129,2))</f>
        <v>4036.2222222222222</v>
      </c>
      <c r="C129" s="82">
        <f t="shared" si="8"/>
        <v>886.93827160493822</v>
      </c>
      <c r="D129" s="71">
        <f t="array" ref="D129">AVERAGE(INDEX(Ranges!$R$7:$R$156,A129),INDEX(Ranges!$S$7:$S$156,A129),INDEX(Ranges!$T$7:$T$156,A129))</f>
        <v>331.77777777777777</v>
      </c>
      <c r="E129" s="82">
        <f t="shared" si="13"/>
        <v>73.728395061728392</v>
      </c>
      <c r="F129" s="71">
        <f t="array" ref="F129">AVERAGE(INDEX(Ranges!$U$7:$V$156,A129,1),INDEX(Ranges!$U$7:$V$156,A129,2))</f>
        <v>3759.666666666667</v>
      </c>
      <c r="G129" s="82">
        <f t="shared" si="9"/>
        <v>825.48148148148152</v>
      </c>
      <c r="H129" s="82">
        <f t="array" ref="H129">INDEX(Damage!$F$2:$F$151,A129)*$O$14</f>
        <v>1311.7867978679787</v>
      </c>
      <c r="I129" s="6">
        <v>0.08</v>
      </c>
      <c r="J129" s="6">
        <v>0.12</v>
      </c>
      <c r="K129" s="86">
        <f t="shared" si="10"/>
        <v>330.19259259259263</v>
      </c>
      <c r="L129" s="86">
        <f t="shared" si="11"/>
        <v>412.74074074074076</v>
      </c>
      <c r="M129" s="86">
        <f t="shared" si="12"/>
        <v>825.48148148148152</v>
      </c>
    </row>
    <row r="130" spans="1:13">
      <c r="A130" s="83">
        <v>129</v>
      </c>
      <c r="B130" s="71">
        <f t="array" ref="B130">AVERAGE(INDEX(Ranges!$M$7:$N$156,A130,1),INDEX(Ranges!$M$7:$N$156,A130,2))</f>
        <v>4063.833333333333</v>
      </c>
      <c r="C130" s="82">
        <f t="shared" si="8"/>
        <v>893.07407407407402</v>
      </c>
      <c r="D130" s="71">
        <f t="array" ref="D130">AVERAGE(INDEX(Ranges!$R$7:$R$156,A130),INDEX(Ranges!$S$7:$S$156,A130),INDEX(Ranges!$T$7:$T$156,A130))</f>
        <v>334.33333333333331</v>
      </c>
      <c r="E130" s="82">
        <f t="shared" ref="E130:E151" si="14">D130/$O$13*$O$14</f>
        <v>74.296296296296291</v>
      </c>
      <c r="F130" s="71">
        <f t="array" ref="F130">AVERAGE(INDEX(Ranges!$U$7:$V$156,A130,1),INDEX(Ranges!$U$7:$V$156,A130,2))</f>
        <v>3785</v>
      </c>
      <c r="G130" s="82">
        <f t="shared" si="9"/>
        <v>831.11111111111109</v>
      </c>
      <c r="H130" s="82">
        <f t="array" ref="H130">INDEX(Damage!$F$2:$F$151,A130)*$O$14</f>
        <v>1321.184371184371</v>
      </c>
      <c r="I130" s="6">
        <v>0.08</v>
      </c>
      <c r="J130" s="6">
        <v>0.12</v>
      </c>
      <c r="K130" s="86">
        <f t="shared" si="10"/>
        <v>332.44444444444446</v>
      </c>
      <c r="L130" s="86">
        <f t="shared" si="11"/>
        <v>415.55555555555554</v>
      </c>
      <c r="M130" s="86">
        <f t="shared" si="12"/>
        <v>831.11111111111109</v>
      </c>
    </row>
    <row r="131" spans="1:13">
      <c r="A131" s="83">
        <v>130</v>
      </c>
      <c r="B131" s="71">
        <f t="array" ref="B131">AVERAGE(INDEX(Ranges!$M$7:$N$156,A131,1),INDEX(Ranges!$M$7:$N$156,A131,2))</f>
        <v>4091.4444444444443</v>
      </c>
      <c r="C131" s="82">
        <f t="shared" ref="C131:C151" si="15">B131/$O$13*$O$14-$O$12</f>
        <v>899.20987654320982</v>
      </c>
      <c r="D131" s="71">
        <f t="array" ref="D131">AVERAGE(INDEX(Ranges!$R$7:$R$156,A131),INDEX(Ranges!$S$7:$S$156,A131),INDEX(Ranges!$T$7:$T$156,A131))</f>
        <v>336.88888888888886</v>
      </c>
      <c r="E131" s="82">
        <f t="shared" si="14"/>
        <v>74.864197530864189</v>
      </c>
      <c r="F131" s="71">
        <f t="array" ref="F131">AVERAGE(INDEX(Ranges!$U$7:$V$156,A131,1),INDEX(Ranges!$U$7:$V$156,A131,2))</f>
        <v>3810.3333333333335</v>
      </c>
      <c r="G131" s="82">
        <f t="shared" ref="G131:G151" si="16">F131/$O$13*$O$14-$O$12</f>
        <v>836.74074074074076</v>
      </c>
      <c r="H131" s="82">
        <f t="array" ref="H131">INDEX(Damage!$F$2:$F$151,A131)*$O$14</f>
        <v>1330.5818181818183</v>
      </c>
      <c r="I131" s="6">
        <v>0.08</v>
      </c>
      <c r="J131" s="6">
        <v>0.12</v>
      </c>
      <c r="K131" s="86">
        <f t="shared" ref="K131:K151" si="17">G131*40%</f>
        <v>334.69629629629634</v>
      </c>
      <c r="L131" s="86">
        <f t="shared" ref="L131:L151" si="18">G131*50%</f>
        <v>418.37037037037038</v>
      </c>
      <c r="M131" s="86">
        <f t="shared" ref="M131:M151" si="19">G131</f>
        <v>836.74074074074076</v>
      </c>
    </row>
    <row r="132" spans="1:13">
      <c r="A132" s="83">
        <v>131</v>
      </c>
      <c r="B132" s="71">
        <f t="array" ref="B132">AVERAGE(INDEX(Ranges!$M$7:$N$156,A132,1),INDEX(Ranges!$M$7:$N$156,A132,2))</f>
        <v>4119.0555555555557</v>
      </c>
      <c r="C132" s="82">
        <f t="shared" si="15"/>
        <v>905.34567901234573</v>
      </c>
      <c r="D132" s="71">
        <f t="array" ref="D132">AVERAGE(INDEX(Ranges!$R$7:$R$156,A132),INDEX(Ranges!$S$7:$S$156,A132),INDEX(Ranges!$T$7:$T$156,A132))</f>
        <v>339.4444444444444</v>
      </c>
      <c r="E132" s="82">
        <f t="shared" si="14"/>
        <v>75.432098765432087</v>
      </c>
      <c r="F132" s="71">
        <f t="array" ref="F132">AVERAGE(INDEX(Ranges!$U$7:$V$156,A132,1),INDEX(Ranges!$U$7:$V$156,A132,2))</f>
        <v>3835.666666666667</v>
      </c>
      <c r="G132" s="82">
        <f t="shared" si="16"/>
        <v>842.37037037037044</v>
      </c>
      <c r="H132" s="82">
        <f t="array" ref="H132">INDEX(Damage!$F$2:$F$151,A132)*$O$14</f>
        <v>1339.9791415964701</v>
      </c>
      <c r="I132" s="6">
        <v>0.08</v>
      </c>
      <c r="J132" s="6">
        <v>0.12</v>
      </c>
      <c r="K132" s="86">
        <f t="shared" si="17"/>
        <v>336.94814814814822</v>
      </c>
      <c r="L132" s="86">
        <f t="shared" si="18"/>
        <v>421.18518518518522</v>
      </c>
      <c r="M132" s="86">
        <f t="shared" si="19"/>
        <v>842.37037037037044</v>
      </c>
    </row>
    <row r="133" spans="1:13">
      <c r="A133" s="83">
        <v>132</v>
      </c>
      <c r="B133" s="71">
        <f t="array" ref="B133">AVERAGE(INDEX(Ranges!$M$7:$N$156,A133,1),INDEX(Ranges!$M$7:$N$156,A133,2))</f>
        <v>4146.6666666666661</v>
      </c>
      <c r="C133" s="82">
        <f t="shared" si="15"/>
        <v>911.4814814814813</v>
      </c>
      <c r="D133" s="71">
        <f t="array" ref="D133">AVERAGE(INDEX(Ranges!$R$7:$R$156,A133),INDEX(Ranges!$S$7:$S$156,A133),INDEX(Ranges!$T$7:$T$156,A133))</f>
        <v>342</v>
      </c>
      <c r="E133" s="82">
        <f t="shared" si="14"/>
        <v>76</v>
      </c>
      <c r="F133" s="71">
        <f t="array" ref="F133">AVERAGE(INDEX(Ranges!$U$7:$V$156,A133,1),INDEX(Ranges!$U$7:$V$156,A133,2))</f>
        <v>3861</v>
      </c>
      <c r="G133" s="82">
        <f t="shared" si="16"/>
        <v>848</v>
      </c>
      <c r="H133" s="82">
        <f t="array" ref="H133">INDEX(Damage!$F$2:$F$151,A133)*$O$14</f>
        <v>1349.3763440860216</v>
      </c>
      <c r="I133" s="6">
        <v>0.08</v>
      </c>
      <c r="J133" s="6">
        <v>0.12</v>
      </c>
      <c r="K133" s="86">
        <f t="shared" si="17"/>
        <v>339.20000000000005</v>
      </c>
      <c r="L133" s="86">
        <f t="shared" si="18"/>
        <v>424</v>
      </c>
      <c r="M133" s="86">
        <f t="shared" si="19"/>
        <v>848</v>
      </c>
    </row>
    <row r="134" spans="1:13">
      <c r="A134" s="83">
        <v>133</v>
      </c>
      <c r="B134" s="71">
        <f t="array" ref="B134">AVERAGE(INDEX(Ranges!$M$7:$N$156,A134,1),INDEX(Ranges!$M$7:$N$156,A134,2))</f>
        <v>4174.2777777777774</v>
      </c>
      <c r="C134" s="82">
        <f t="shared" si="15"/>
        <v>917.61728395061721</v>
      </c>
      <c r="D134" s="71">
        <f t="array" ref="D134">AVERAGE(INDEX(Ranges!$R$7:$R$156,A134),INDEX(Ranges!$S$7:$S$156,A134),INDEX(Ranges!$T$7:$T$156,A134))</f>
        <v>344.55555555555549</v>
      </c>
      <c r="E134" s="82">
        <f t="shared" si="14"/>
        <v>76.567901234567884</v>
      </c>
      <c r="F134" s="71">
        <f t="array" ref="F134">AVERAGE(INDEX(Ranges!$U$7:$V$156,A134,1),INDEX(Ranges!$U$7:$V$156,A134,2))</f>
        <v>3886.333333333333</v>
      </c>
      <c r="G134" s="82">
        <f t="shared" si="16"/>
        <v>853.62962962962956</v>
      </c>
      <c r="H134" s="82">
        <f t="array" ref="H134">INDEX(Damage!$F$2:$F$151,A134)*$O$14</f>
        <v>1358.7734282325027</v>
      </c>
      <c r="I134" s="6">
        <v>0.08</v>
      </c>
      <c r="J134" s="6">
        <v>0.12</v>
      </c>
      <c r="K134" s="86">
        <f t="shared" si="17"/>
        <v>341.45185185185187</v>
      </c>
      <c r="L134" s="86">
        <f t="shared" si="18"/>
        <v>426.81481481481478</v>
      </c>
      <c r="M134" s="86">
        <f t="shared" si="19"/>
        <v>853.62962962962956</v>
      </c>
    </row>
    <row r="135" spans="1:13">
      <c r="A135" s="83">
        <v>134</v>
      </c>
      <c r="B135" s="71">
        <f t="array" ref="B135">AVERAGE(INDEX(Ranges!$M$7:$N$156,A135,1),INDEX(Ranges!$M$7:$N$156,A135,2))</f>
        <v>4201.8888888888887</v>
      </c>
      <c r="C135" s="82">
        <f t="shared" si="15"/>
        <v>923.753086419753</v>
      </c>
      <c r="D135" s="71">
        <f t="array" ref="D135">AVERAGE(INDEX(Ranges!$R$7:$R$156,A135),INDEX(Ranges!$S$7:$S$156,A135),INDEX(Ranges!$T$7:$T$156,A135))</f>
        <v>347.11111111111109</v>
      </c>
      <c r="E135" s="82">
        <f t="shared" si="14"/>
        <v>77.135802469135797</v>
      </c>
      <c r="F135" s="71">
        <f t="array" ref="F135">AVERAGE(INDEX(Ranges!$U$7:$V$156,A135,1),INDEX(Ranges!$U$7:$V$156,A135,2))</f>
        <v>3911.666666666667</v>
      </c>
      <c r="G135" s="82">
        <f t="shared" si="16"/>
        <v>859.25925925925935</v>
      </c>
      <c r="H135" s="82">
        <f t="array" ref="H135">INDEX(Damage!$F$2:$F$151,A135)*$O$14</f>
        <v>1368.1703965449544</v>
      </c>
      <c r="I135" s="6">
        <v>0.08</v>
      </c>
      <c r="J135" s="6">
        <v>0.12</v>
      </c>
      <c r="K135" s="86">
        <f t="shared" si="17"/>
        <v>343.70370370370375</v>
      </c>
      <c r="L135" s="86">
        <f t="shared" si="18"/>
        <v>429.62962962962968</v>
      </c>
      <c r="M135" s="86">
        <f t="shared" si="19"/>
        <v>859.25925925925935</v>
      </c>
    </row>
    <row r="136" spans="1:13">
      <c r="A136" s="83">
        <v>135</v>
      </c>
      <c r="B136" s="71">
        <f t="array" ref="B136">AVERAGE(INDEX(Ranges!$M$7:$N$156,A136,1),INDEX(Ranges!$M$7:$N$156,A136,2))</f>
        <v>4229.5</v>
      </c>
      <c r="C136" s="82">
        <f t="shared" si="15"/>
        <v>929.88888888888891</v>
      </c>
      <c r="D136" s="71">
        <f t="array" ref="D136">AVERAGE(INDEX(Ranges!$R$7:$R$156,A136),INDEX(Ranges!$S$7:$S$156,A136),INDEX(Ranges!$T$7:$T$156,A136))</f>
        <v>349.66666666666669</v>
      </c>
      <c r="E136" s="82">
        <f t="shared" si="14"/>
        <v>77.703703703703709</v>
      </c>
      <c r="F136" s="71">
        <f t="array" ref="F136">AVERAGE(INDEX(Ranges!$U$7:$V$156,A136,1),INDEX(Ranges!$U$7:$V$156,A136,2))</f>
        <v>3937</v>
      </c>
      <c r="G136" s="82">
        <f t="shared" si="16"/>
        <v>864.88888888888891</v>
      </c>
      <c r="H136" s="82">
        <f t="array" ref="H136">INDEX(Damage!$F$2:$F$151,A136)*$O$14</f>
        <v>1377.5672514619885</v>
      </c>
      <c r="I136" s="6">
        <v>0.08</v>
      </c>
      <c r="J136" s="6">
        <v>0.12</v>
      </c>
      <c r="K136" s="86">
        <f t="shared" si="17"/>
        <v>345.95555555555558</v>
      </c>
      <c r="L136" s="86">
        <f t="shared" si="18"/>
        <v>432.44444444444446</v>
      </c>
      <c r="M136" s="86">
        <f t="shared" si="19"/>
        <v>864.88888888888891</v>
      </c>
    </row>
    <row r="137" spans="1:13">
      <c r="A137" s="83">
        <v>136</v>
      </c>
      <c r="B137" s="71">
        <f t="array" ref="B137">AVERAGE(INDEX(Ranges!$M$7:$N$156,A137,1),INDEX(Ranges!$M$7:$N$156,A137,2))</f>
        <v>4257.1111111111113</v>
      </c>
      <c r="C137" s="82">
        <f t="shared" si="15"/>
        <v>936.02469135802471</v>
      </c>
      <c r="D137" s="71">
        <f t="array" ref="D137">AVERAGE(INDEX(Ranges!$R$7:$R$156,A137),INDEX(Ranges!$S$7:$S$156,A137),INDEX(Ranges!$T$7:$T$156,A137))</f>
        <v>352.22222222222217</v>
      </c>
      <c r="E137" s="82">
        <f t="shared" si="14"/>
        <v>78.271604938271594</v>
      </c>
      <c r="F137" s="71">
        <f t="array" ref="F137">AVERAGE(INDEX(Ranges!$U$7:$V$156,A137,1),INDEX(Ranges!$U$7:$V$156,A137,2))</f>
        <v>3962.333333333333</v>
      </c>
      <c r="G137" s="82">
        <f t="shared" si="16"/>
        <v>870.51851851851848</v>
      </c>
      <c r="H137" s="82">
        <f t="array" ref="H137">INDEX(Damage!$F$2:$F$151,A137)*$O$14</f>
        <v>1386.9639953542392</v>
      </c>
      <c r="I137" s="6">
        <v>0.08</v>
      </c>
      <c r="J137" s="6">
        <v>0.12</v>
      </c>
      <c r="K137" s="86">
        <f t="shared" si="17"/>
        <v>348.2074074074074</v>
      </c>
      <c r="L137" s="86">
        <f t="shared" si="18"/>
        <v>435.25925925925924</v>
      </c>
      <c r="M137" s="86">
        <f t="shared" si="19"/>
        <v>870.51851851851848</v>
      </c>
    </row>
    <row r="138" spans="1:13">
      <c r="A138" s="83">
        <v>137</v>
      </c>
      <c r="B138" s="71">
        <f t="array" ref="B138">AVERAGE(INDEX(Ranges!$M$7:$N$156,A138,1),INDEX(Ranges!$M$7:$N$156,A138,2))</f>
        <v>4284.7222222222226</v>
      </c>
      <c r="C138" s="82">
        <f t="shared" si="15"/>
        <v>942.16049382716062</v>
      </c>
      <c r="D138" s="71">
        <f t="array" ref="D138">AVERAGE(INDEX(Ranges!$R$7:$R$156,A138),INDEX(Ranges!$S$7:$S$156,A138),INDEX(Ranges!$T$7:$T$156,A138))</f>
        <v>354.77777777777777</v>
      </c>
      <c r="E138" s="82">
        <f t="shared" si="14"/>
        <v>78.839506172839506</v>
      </c>
      <c r="F138" s="71">
        <f t="array" ref="F138">AVERAGE(INDEX(Ranges!$U$7:$V$156,A138,1),INDEX(Ranges!$U$7:$V$156,A138,2))</f>
        <v>3987.666666666667</v>
      </c>
      <c r="G138" s="82">
        <f t="shared" si="16"/>
        <v>876.14814814814827</v>
      </c>
      <c r="H138" s="82">
        <f t="array" ref="H138">INDEX(Damage!$F$2:$F$151,A138)*$O$14</f>
        <v>1396.3606305267203</v>
      </c>
      <c r="I138" s="6">
        <v>0.08</v>
      </c>
      <c r="J138" s="6">
        <v>0.12</v>
      </c>
      <c r="K138" s="86">
        <f t="shared" si="17"/>
        <v>350.45925925925934</v>
      </c>
      <c r="L138" s="86">
        <f t="shared" si="18"/>
        <v>438.07407407407413</v>
      </c>
      <c r="M138" s="86">
        <f t="shared" si="19"/>
        <v>876.14814814814827</v>
      </c>
    </row>
    <row r="139" spans="1:13">
      <c r="A139" s="83">
        <v>138</v>
      </c>
      <c r="B139" s="71">
        <f t="array" ref="B139">AVERAGE(INDEX(Ranges!$M$7:$N$156,A139,1),INDEX(Ranges!$M$7:$N$156,A139,2))</f>
        <v>4312.3333333333339</v>
      </c>
      <c r="C139" s="82">
        <f t="shared" si="15"/>
        <v>948.29629629629642</v>
      </c>
      <c r="D139" s="71">
        <f t="array" ref="D139">AVERAGE(INDEX(Ranges!$R$7:$R$156,A139),INDEX(Ranges!$S$7:$S$156,A139),INDEX(Ranges!$T$7:$T$156,A139))</f>
        <v>357.33333333333331</v>
      </c>
      <c r="E139" s="82">
        <f t="shared" si="14"/>
        <v>79.407407407407405</v>
      </c>
      <c r="F139" s="71">
        <f t="array" ref="F139">AVERAGE(INDEX(Ranges!$U$7:$V$156,A139,1),INDEX(Ranges!$U$7:$V$156,A139,2))</f>
        <v>4013</v>
      </c>
      <c r="G139" s="82">
        <f t="shared" si="16"/>
        <v>881.77777777777783</v>
      </c>
      <c r="H139" s="82">
        <f t="array" ref="H139">INDEX(Damage!$F$2:$F$151,A139)*$O$14</f>
        <v>1405.7571592210766</v>
      </c>
      <c r="I139" s="6">
        <v>0.08</v>
      </c>
      <c r="J139" s="6">
        <v>0.12</v>
      </c>
      <c r="K139" s="86">
        <f t="shared" si="17"/>
        <v>352.71111111111117</v>
      </c>
      <c r="L139" s="86">
        <f t="shared" si="18"/>
        <v>440.88888888888891</v>
      </c>
      <c r="M139" s="86">
        <f t="shared" si="19"/>
        <v>881.77777777777783</v>
      </c>
    </row>
    <row r="140" spans="1:13">
      <c r="A140" s="83">
        <v>139</v>
      </c>
      <c r="B140" s="71">
        <f t="array" ref="B140">AVERAGE(INDEX(Ranges!$M$7:$N$156,A140,1),INDEX(Ranges!$M$7:$N$156,A140,2))</f>
        <v>4339.9444444444443</v>
      </c>
      <c r="C140" s="82">
        <f t="shared" si="15"/>
        <v>954.4320987654321</v>
      </c>
      <c r="D140" s="71">
        <f t="array" ref="D140">AVERAGE(INDEX(Ranges!$R$7:$R$156,A140),INDEX(Ranges!$S$7:$S$156,A140),INDEX(Ranges!$T$7:$T$156,A140))</f>
        <v>359.88888888888886</v>
      </c>
      <c r="E140" s="82">
        <f t="shared" si="14"/>
        <v>79.975308641975303</v>
      </c>
      <c r="F140" s="71">
        <f t="array" ref="F140">AVERAGE(INDEX(Ranges!$U$7:$V$156,A140,1),INDEX(Ranges!$U$7:$V$156,A140,2))</f>
        <v>4038.333333333333</v>
      </c>
      <c r="G140" s="82">
        <f t="shared" si="16"/>
        <v>887.40740740740739</v>
      </c>
      <c r="H140" s="82">
        <f t="array" ref="H140">INDEX(Damage!$F$2:$F$151,A140)*$O$14</f>
        <v>1415.1535836177472</v>
      </c>
      <c r="I140" s="6">
        <v>0.08</v>
      </c>
      <c r="J140" s="6">
        <v>0.12</v>
      </c>
      <c r="K140" s="86">
        <f t="shared" si="17"/>
        <v>354.96296296296299</v>
      </c>
      <c r="L140" s="86">
        <f t="shared" si="18"/>
        <v>443.7037037037037</v>
      </c>
      <c r="M140" s="86">
        <f t="shared" si="19"/>
        <v>887.40740740740739</v>
      </c>
    </row>
    <row r="141" spans="1:13">
      <c r="A141" s="83">
        <v>140</v>
      </c>
      <c r="B141" s="71">
        <f t="array" ref="B141">AVERAGE(INDEX(Ranges!$M$7:$N$156,A141,1),INDEX(Ranges!$M$7:$N$156,A141,2))</f>
        <v>4367.5555555555557</v>
      </c>
      <c r="C141" s="82">
        <f t="shared" si="15"/>
        <v>960.5679012345679</v>
      </c>
      <c r="D141" s="71">
        <f t="array" ref="D141">AVERAGE(INDEX(Ranges!$R$7:$R$156,A141),INDEX(Ranges!$S$7:$S$156,A141),INDEX(Ranges!$T$7:$T$156,A141))</f>
        <v>362.4444444444444</v>
      </c>
      <c r="E141" s="82">
        <f t="shared" si="14"/>
        <v>80.543209876543202</v>
      </c>
      <c r="F141" s="71">
        <f t="array" ref="F141">AVERAGE(INDEX(Ranges!$U$7:$V$156,A141,1),INDEX(Ranges!$U$7:$V$156,A141,2))</f>
        <v>4063.666666666667</v>
      </c>
      <c r="G141" s="82">
        <f t="shared" si="16"/>
        <v>893.03703703703707</v>
      </c>
      <c r="H141" s="82">
        <f t="array" ref="H141">INDEX(Damage!$F$2:$F$151,A141)*$O$14</f>
        <v>1424.5499058380415</v>
      </c>
      <c r="I141" s="6">
        <v>0.08</v>
      </c>
      <c r="J141" s="6">
        <v>0.12</v>
      </c>
      <c r="K141" s="86">
        <f t="shared" si="17"/>
        <v>357.21481481481487</v>
      </c>
      <c r="L141" s="86">
        <f t="shared" si="18"/>
        <v>446.51851851851853</v>
      </c>
      <c r="M141" s="86">
        <f t="shared" si="19"/>
        <v>893.03703703703707</v>
      </c>
    </row>
    <row r="142" spans="1:13">
      <c r="A142" s="83">
        <v>141</v>
      </c>
      <c r="B142" s="71">
        <f t="array" ref="B142">AVERAGE(INDEX(Ranges!$M$7:$N$156,A142,1),INDEX(Ranges!$M$7:$N$156,A142,2))</f>
        <v>4395.1666666666661</v>
      </c>
      <c r="C142" s="82">
        <f t="shared" si="15"/>
        <v>966.70370370370358</v>
      </c>
      <c r="D142" s="71">
        <f t="array" ref="D142">AVERAGE(INDEX(Ranges!$R$7:$R$156,A142),INDEX(Ranges!$S$7:$S$156,A142),INDEX(Ranges!$T$7:$T$156,A142))</f>
        <v>365</v>
      </c>
      <c r="E142" s="82">
        <f t="shared" si="14"/>
        <v>81.111111111111114</v>
      </c>
      <c r="F142" s="71">
        <f t="array" ref="F142">AVERAGE(INDEX(Ranges!$U$7:$V$156,A142,1),INDEX(Ranges!$U$7:$V$156,A142,2))</f>
        <v>4089</v>
      </c>
      <c r="G142" s="82">
        <f t="shared" si="16"/>
        <v>898.66666666666663</v>
      </c>
      <c r="H142" s="82">
        <f t="array" ref="H142">INDEX(Damage!$F$2:$F$151,A142)*$O$14</f>
        <v>1433.9461279461279</v>
      </c>
      <c r="I142" s="6">
        <v>0.08</v>
      </c>
      <c r="J142" s="6">
        <v>0.12</v>
      </c>
      <c r="K142" s="86">
        <f t="shared" si="17"/>
        <v>359.4666666666667</v>
      </c>
      <c r="L142" s="86">
        <f t="shared" si="18"/>
        <v>449.33333333333331</v>
      </c>
      <c r="M142" s="86">
        <f t="shared" si="19"/>
        <v>898.66666666666663</v>
      </c>
    </row>
    <row r="143" spans="1:13">
      <c r="A143" s="83">
        <v>142</v>
      </c>
      <c r="B143" s="71">
        <f t="array" ref="B143">AVERAGE(INDEX(Ranges!$M$7:$N$156,A143,1),INDEX(Ranges!$M$7:$N$156,A143,2))</f>
        <v>4422.7777777777774</v>
      </c>
      <c r="C143" s="82">
        <f t="shared" si="15"/>
        <v>972.83950617283938</v>
      </c>
      <c r="D143" s="71">
        <f t="array" ref="D143">AVERAGE(INDEX(Ranges!$R$7:$R$156,A143),INDEX(Ranges!$S$7:$S$156,A143),INDEX(Ranges!$T$7:$T$156,A143))</f>
        <v>367.55555555555549</v>
      </c>
      <c r="E143" s="82">
        <f t="shared" si="14"/>
        <v>81.679012345678998</v>
      </c>
      <c r="F143" s="71">
        <f t="array" ref="F143">AVERAGE(INDEX(Ranges!$U$7:$V$156,A143,1),INDEX(Ranges!$U$7:$V$156,A143,2))</f>
        <v>4114.333333333333</v>
      </c>
      <c r="G143" s="82">
        <f t="shared" si="16"/>
        <v>904.29629629629619</v>
      </c>
      <c r="H143" s="82">
        <f t="array" ref="H143">INDEX(Damage!$F$2:$F$151,A143)*$O$14</f>
        <v>1443.3422519509475</v>
      </c>
      <c r="I143" s="6">
        <v>0.08</v>
      </c>
      <c r="J143" s="6">
        <v>0.12</v>
      </c>
      <c r="K143" s="86">
        <f t="shared" si="17"/>
        <v>361.71851851851852</v>
      </c>
      <c r="L143" s="86">
        <f t="shared" si="18"/>
        <v>452.1481481481481</v>
      </c>
      <c r="M143" s="86">
        <f t="shared" si="19"/>
        <v>904.29629629629619</v>
      </c>
    </row>
    <row r="144" spans="1:13">
      <c r="A144" s="83">
        <v>143</v>
      </c>
      <c r="B144" s="71">
        <f t="array" ref="B144">AVERAGE(INDEX(Ranges!$M$7:$N$156,A144,1),INDEX(Ranges!$M$7:$N$156,A144,2))</f>
        <v>4450.3888888888887</v>
      </c>
      <c r="C144" s="82">
        <f t="shared" si="15"/>
        <v>978.97530864197529</v>
      </c>
      <c r="D144" s="71">
        <f t="array" ref="D144">AVERAGE(INDEX(Ranges!$R$7:$R$156,A144),INDEX(Ranges!$S$7:$S$156,A144),INDEX(Ranges!$T$7:$T$156,A144))</f>
        <v>370.11111111111109</v>
      </c>
      <c r="E144" s="82">
        <f t="shared" si="14"/>
        <v>82.246913580246911</v>
      </c>
      <c r="F144" s="71">
        <f t="array" ref="F144">AVERAGE(INDEX(Ranges!$U$7:$V$156,A144,1),INDEX(Ranges!$U$7:$V$156,A144,2))</f>
        <v>4139.666666666667</v>
      </c>
      <c r="G144" s="82">
        <f t="shared" si="16"/>
        <v>909.92592592592598</v>
      </c>
      <c r="H144" s="82">
        <f t="array" ref="H144">INDEX(Damage!$F$2:$F$151,A144)*$O$14</f>
        <v>1452.7382798080473</v>
      </c>
      <c r="I144" s="6">
        <v>0.08</v>
      </c>
      <c r="J144" s="6">
        <v>0.12</v>
      </c>
      <c r="K144" s="86">
        <f t="shared" si="17"/>
        <v>363.9703703703704</v>
      </c>
      <c r="L144" s="86">
        <f t="shared" si="18"/>
        <v>454.96296296296299</v>
      </c>
      <c r="M144" s="86">
        <f t="shared" si="19"/>
        <v>909.92592592592598</v>
      </c>
    </row>
    <row r="145" spans="1:13">
      <c r="A145" s="83">
        <v>144</v>
      </c>
      <c r="B145" s="71">
        <f t="array" ref="B145">AVERAGE(INDEX(Ranges!$M$7:$N$156,A145,1),INDEX(Ranges!$M$7:$N$156,A145,2))</f>
        <v>4478</v>
      </c>
      <c r="C145" s="82">
        <f t="shared" si="15"/>
        <v>985.11111111111109</v>
      </c>
      <c r="D145" s="71">
        <f t="array" ref="D145">AVERAGE(INDEX(Ranges!$R$7:$R$156,A145),INDEX(Ranges!$S$7:$S$156,A145),INDEX(Ranges!$T$7:$T$156,A145))</f>
        <v>372.66666666666669</v>
      </c>
      <c r="E145" s="82">
        <f t="shared" si="14"/>
        <v>82.814814814814824</v>
      </c>
      <c r="F145" s="71">
        <f t="array" ref="F145">AVERAGE(INDEX(Ranges!$U$7:$V$156,A145,1),INDEX(Ranges!$U$7:$V$156,A145,2))</f>
        <v>4165</v>
      </c>
      <c r="G145" s="82">
        <f t="shared" si="16"/>
        <v>915.55555555555554</v>
      </c>
      <c r="H145" s="82">
        <f t="array" ref="H145">INDEX(Damage!$F$2:$F$151,A145)*$O$14</f>
        <v>1462.1342134213421</v>
      </c>
      <c r="I145" s="6">
        <v>0.08</v>
      </c>
      <c r="J145" s="6">
        <v>0.12</v>
      </c>
      <c r="K145" s="86">
        <f t="shared" si="17"/>
        <v>366.22222222222223</v>
      </c>
      <c r="L145" s="86">
        <f t="shared" si="18"/>
        <v>457.77777777777777</v>
      </c>
      <c r="M145" s="86">
        <f t="shared" si="19"/>
        <v>915.55555555555554</v>
      </c>
    </row>
    <row r="146" spans="1:13">
      <c r="A146" s="83">
        <v>145</v>
      </c>
      <c r="B146" s="71">
        <f t="array" ref="B146">AVERAGE(INDEX(Ranges!$M$7:$N$156,A146,1),INDEX(Ranges!$M$7:$N$156,A146,2))</f>
        <v>4505.6111111111113</v>
      </c>
      <c r="C146" s="82">
        <f t="shared" si="15"/>
        <v>991.246913580247</v>
      </c>
      <c r="D146" s="71">
        <f t="array" ref="D146">AVERAGE(INDEX(Ranges!$R$7:$R$156,A146),INDEX(Ranges!$S$7:$S$156,A146),INDEX(Ranges!$T$7:$T$156,A146))</f>
        <v>375.22222222222217</v>
      </c>
      <c r="E146" s="82">
        <f t="shared" si="14"/>
        <v>83.382716049382708</v>
      </c>
      <c r="F146" s="71">
        <f t="array" ref="F146">AVERAGE(INDEX(Ranges!$U$7:$V$156,A146,1),INDEX(Ranges!$U$7:$V$156,A146,2))</f>
        <v>4190.333333333333</v>
      </c>
      <c r="G146" s="82">
        <f t="shared" si="16"/>
        <v>921.18518518518511</v>
      </c>
      <c r="H146" s="82">
        <f t="array" ref="H146">INDEX(Damage!$F$2:$F$151,A146)*$O$14</f>
        <v>1471.5300546448088</v>
      </c>
      <c r="I146" s="6">
        <v>0.08</v>
      </c>
      <c r="J146" s="6">
        <v>0.12</v>
      </c>
      <c r="K146" s="86">
        <f t="shared" si="17"/>
        <v>368.47407407407405</v>
      </c>
      <c r="L146" s="86">
        <f t="shared" si="18"/>
        <v>460.59259259259255</v>
      </c>
      <c r="M146" s="86">
        <f t="shared" si="19"/>
        <v>921.18518518518511</v>
      </c>
    </row>
    <row r="147" spans="1:13">
      <c r="A147" s="83">
        <v>146</v>
      </c>
      <c r="B147" s="71">
        <f t="array" ref="B147">AVERAGE(INDEX(Ranges!$M$7:$N$156,A147,1),INDEX(Ranges!$M$7:$N$156,A147,2))</f>
        <v>4533.2222222222226</v>
      </c>
      <c r="C147" s="82">
        <f t="shared" si="15"/>
        <v>997.38271604938279</v>
      </c>
      <c r="D147" s="71">
        <f t="array" ref="D147">AVERAGE(INDEX(Ranges!$R$7:$R$156,A147),INDEX(Ranges!$S$7:$S$156,A147),INDEX(Ranges!$T$7:$T$156,A147))</f>
        <v>377.77777777777777</v>
      </c>
      <c r="E147" s="82">
        <f t="shared" si="14"/>
        <v>83.950617283950621</v>
      </c>
      <c r="F147" s="71">
        <f t="array" ref="F147">AVERAGE(INDEX(Ranges!$U$7:$V$156,A147,1),INDEX(Ranges!$U$7:$V$156,A147,2))</f>
        <v>4215.666666666667</v>
      </c>
      <c r="G147" s="82">
        <f t="shared" si="16"/>
        <v>926.81481481481489</v>
      </c>
      <c r="H147" s="82">
        <f t="array" ref="H147">INDEX(Damage!$F$2:$F$151,A147)*$O$14</f>
        <v>1480.9258052841114</v>
      </c>
      <c r="I147" s="6">
        <v>0.08</v>
      </c>
      <c r="J147" s="6">
        <v>0.12</v>
      </c>
      <c r="K147" s="86">
        <f t="shared" si="17"/>
        <v>370.72592592592599</v>
      </c>
      <c r="L147" s="86">
        <f t="shared" si="18"/>
        <v>463.40740740740745</v>
      </c>
      <c r="M147" s="86">
        <f t="shared" si="19"/>
        <v>926.81481481481489</v>
      </c>
    </row>
    <row r="148" spans="1:13">
      <c r="A148" s="83">
        <v>147</v>
      </c>
      <c r="B148" s="71">
        <f t="array" ref="B148">AVERAGE(INDEX(Ranges!$M$7:$N$156,A148,1),INDEX(Ranges!$M$7:$N$156,A148,2))</f>
        <v>4560.8333333333339</v>
      </c>
      <c r="C148" s="82">
        <f t="shared" si="15"/>
        <v>1003.5185185185187</v>
      </c>
      <c r="D148" s="71">
        <f t="array" ref="D148">AVERAGE(INDEX(Ranges!$R$7:$R$156,A148),INDEX(Ranges!$S$7:$S$156,A148),INDEX(Ranges!$T$7:$T$156,A148))</f>
        <v>380.33333333333331</v>
      </c>
      <c r="E148" s="82">
        <f t="shared" si="14"/>
        <v>84.518518518518519</v>
      </c>
      <c r="F148" s="71">
        <f t="array" ref="F148">AVERAGE(INDEX(Ranges!$U$7:$V$156,A148,1),INDEX(Ranges!$U$7:$V$156,A148,2))</f>
        <v>4241</v>
      </c>
      <c r="G148" s="82">
        <f t="shared" si="16"/>
        <v>932.44444444444446</v>
      </c>
      <c r="H148" s="82">
        <f t="array" ref="H148">INDEX(Damage!$F$2:$F$151,A148)*$O$14</f>
        <v>1490.3214670981663</v>
      </c>
      <c r="I148" s="6">
        <v>0.08</v>
      </c>
      <c r="J148" s="6">
        <v>0.12</v>
      </c>
      <c r="K148" s="86">
        <f t="shared" si="17"/>
        <v>372.97777777777782</v>
      </c>
      <c r="L148" s="86">
        <f t="shared" si="18"/>
        <v>466.22222222222223</v>
      </c>
      <c r="M148" s="86">
        <f t="shared" si="19"/>
        <v>932.44444444444446</v>
      </c>
    </row>
    <row r="149" spans="1:13">
      <c r="A149" s="83">
        <v>148</v>
      </c>
      <c r="B149" s="71">
        <f t="array" ref="B149">AVERAGE(INDEX(Ranges!$M$7:$N$156,A149,1),INDEX(Ranges!$M$7:$N$156,A149,2))</f>
        <v>4588.4444444444443</v>
      </c>
      <c r="C149" s="82">
        <f t="shared" si="15"/>
        <v>1009.6543209876543</v>
      </c>
      <c r="D149" s="71">
        <f t="array" ref="D149">AVERAGE(INDEX(Ranges!$R$7:$R$156,A149),INDEX(Ranges!$S$7:$S$156,A149),INDEX(Ranges!$T$7:$T$156,A149))</f>
        <v>382.88888888888886</v>
      </c>
      <c r="E149" s="82">
        <f t="shared" si="14"/>
        <v>85.086419753086417</v>
      </c>
      <c r="F149" s="71">
        <f t="array" ref="F149">AVERAGE(INDEX(Ranges!$U$7:$V$156,A149,1),INDEX(Ranges!$U$7:$V$156,A149,2))</f>
        <v>4266.333333333333</v>
      </c>
      <c r="G149" s="82">
        <f t="shared" si="16"/>
        <v>938.07407407407402</v>
      </c>
      <c r="H149" s="82">
        <f t="array" ref="H149">INDEX(Damage!$F$2:$F$151,A149)*$O$14</f>
        <v>1499.7170418006431</v>
      </c>
      <c r="I149" s="6">
        <v>0.08</v>
      </c>
      <c r="J149" s="6">
        <v>0.12</v>
      </c>
      <c r="K149" s="86">
        <f t="shared" si="17"/>
        <v>375.22962962962964</v>
      </c>
      <c r="L149" s="86">
        <f t="shared" si="18"/>
        <v>469.03703703703701</v>
      </c>
      <c r="M149" s="86">
        <f t="shared" si="19"/>
        <v>938.07407407407402</v>
      </c>
    </row>
    <row r="150" spans="1:13">
      <c r="A150" s="83">
        <v>149</v>
      </c>
      <c r="B150" s="71">
        <f t="array" ref="B150">AVERAGE(INDEX(Ranges!$M$7:$N$156,A150,1),INDEX(Ranges!$M$7:$N$156,A150,2))</f>
        <v>4616.0555555555557</v>
      </c>
      <c r="C150" s="82">
        <f t="shared" si="15"/>
        <v>1015.7901234567901</v>
      </c>
      <c r="D150" s="71">
        <f t="array" ref="D150">AVERAGE(INDEX(Ranges!$R$7:$R$156,A150),INDEX(Ranges!$S$7:$S$156,A150),INDEX(Ranges!$T$7:$T$156,A150))</f>
        <v>385.4444444444444</v>
      </c>
      <c r="E150" s="82">
        <f t="shared" si="14"/>
        <v>85.654320987654316</v>
      </c>
      <c r="F150" s="71">
        <f t="array" ref="F150">AVERAGE(INDEX(Ranges!$U$7:$V$156,A150,1),INDEX(Ranges!$U$7:$V$156,A150,2))</f>
        <v>4291.666666666667</v>
      </c>
      <c r="G150" s="82">
        <f t="shared" si="16"/>
        <v>943.70370370370381</v>
      </c>
      <c r="H150" s="82">
        <f t="array" ref="H150">INDEX(Damage!$F$2:$F$151,A150)*$O$14</f>
        <v>1509.1125310614129</v>
      </c>
      <c r="I150" s="6">
        <v>0.08</v>
      </c>
      <c r="J150" s="6">
        <v>0.12</v>
      </c>
      <c r="K150" s="86">
        <f t="shared" si="17"/>
        <v>377.48148148148152</v>
      </c>
      <c r="L150" s="86">
        <f t="shared" si="18"/>
        <v>471.8518518518519</v>
      </c>
      <c r="M150" s="86">
        <f t="shared" si="19"/>
        <v>943.70370370370381</v>
      </c>
    </row>
    <row r="151" spans="1:13">
      <c r="A151" s="83">
        <v>150</v>
      </c>
      <c r="B151" s="71">
        <f t="array" ref="B151">AVERAGE(INDEX(Ranges!$M$7:$N$156,A151,1),INDEX(Ranges!$M$7:$N$156,A151,2))</f>
        <v>4643.6666666666661</v>
      </c>
      <c r="C151" s="82">
        <f t="shared" si="15"/>
        <v>1021.9259259259259</v>
      </c>
      <c r="D151" s="71">
        <f t="array" ref="D151">AVERAGE(INDEX(Ranges!$R$7:$R$156,A151),INDEX(Ranges!$S$7:$S$156,A151),INDEX(Ranges!$T$7:$T$156,A151))</f>
        <v>388</v>
      </c>
      <c r="E151" s="82">
        <f t="shared" si="14"/>
        <v>86.222222222222229</v>
      </c>
      <c r="F151" s="71">
        <f t="array" ref="F151">AVERAGE(INDEX(Ranges!$U$7:$V$156,A151,1),INDEX(Ranges!$U$7:$V$156,A151,2))</f>
        <v>4317</v>
      </c>
      <c r="G151" s="82">
        <f t="shared" si="16"/>
        <v>949.33333333333337</v>
      </c>
      <c r="H151" s="82">
        <f t="array" ref="H151">INDEX(Damage!$F$2:$F$151,A151)*$O$14</f>
        <v>1518.5079365079366</v>
      </c>
      <c r="I151" s="6">
        <v>0.08</v>
      </c>
      <c r="J151" s="6">
        <v>0.12</v>
      </c>
      <c r="K151" s="86">
        <f t="shared" si="17"/>
        <v>379.73333333333335</v>
      </c>
      <c r="L151" s="86">
        <f t="shared" si="18"/>
        <v>474.66666666666669</v>
      </c>
      <c r="M151" s="86">
        <f t="shared" si="19"/>
        <v>949.33333333333337</v>
      </c>
    </row>
  </sheetData>
  <pageMargins left="0.7" right="0.7" top="0.75" bottom="0.75" header="0.3" footer="0.3"/>
  <ignoredErrors>
    <ignoredError sqref="F2:F151" formula="1"/>
  </ignoredErrors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/>
  <dimension ref="A1:B71"/>
  <sheetViews>
    <sheetView topLeftCell="A33" workbookViewId="0">
      <selection activeCell="B72" sqref="B72"/>
    </sheetView>
  </sheetViews>
  <sheetFormatPr defaultRowHeight="15"/>
  <cols>
    <col min="1" max="1" width="13.28515625" style="34" bestFit="1" customWidth="1"/>
    <col min="2" max="2" width="9.140625" customWidth="1"/>
  </cols>
  <sheetData>
    <row r="1" spans="1:2">
      <c r="A1" s="34" t="s">
        <v>140</v>
      </c>
      <c r="B1" t="s">
        <v>141</v>
      </c>
    </row>
    <row r="2" spans="1:2">
      <c r="A2" s="34" t="s">
        <v>127</v>
      </c>
      <c r="B2" t="s">
        <v>128</v>
      </c>
    </row>
    <row r="3" spans="1:2">
      <c r="A3" s="34" t="s">
        <v>250</v>
      </c>
      <c r="B3" t="s">
        <v>251</v>
      </c>
    </row>
    <row r="4" spans="1:2">
      <c r="A4" s="34" t="s">
        <v>211</v>
      </c>
      <c r="B4" t="s">
        <v>212</v>
      </c>
    </row>
    <row r="5" spans="1:2">
      <c r="A5" s="34" t="s">
        <v>281</v>
      </c>
      <c r="B5" t="s">
        <v>282</v>
      </c>
    </row>
    <row r="6" spans="1:2">
      <c r="A6" s="34" t="s">
        <v>115</v>
      </c>
      <c r="B6" t="s">
        <v>116</v>
      </c>
    </row>
    <row r="7" spans="1:2">
      <c r="A7" s="34" t="s">
        <v>144</v>
      </c>
      <c r="B7" t="s">
        <v>145</v>
      </c>
    </row>
    <row r="8" spans="1:2">
      <c r="A8" s="34" t="s">
        <v>148</v>
      </c>
      <c r="B8" t="s">
        <v>149</v>
      </c>
    </row>
    <row r="9" spans="1:2">
      <c r="A9" s="34" t="s">
        <v>289</v>
      </c>
      <c r="B9" t="s">
        <v>290</v>
      </c>
    </row>
    <row r="10" spans="1:2">
      <c r="A10" s="34" t="s">
        <v>150</v>
      </c>
      <c r="B10" t="s">
        <v>151</v>
      </c>
    </row>
    <row r="11" spans="1:2">
      <c r="A11" s="34" t="s">
        <v>277</v>
      </c>
      <c r="B11" t="s">
        <v>278</v>
      </c>
    </row>
    <row r="12" spans="1:2">
      <c r="A12" s="34" t="s">
        <v>85</v>
      </c>
      <c r="B12" t="s">
        <v>206</v>
      </c>
    </row>
    <row r="13" spans="1:2">
      <c r="A13" s="34" t="s">
        <v>85</v>
      </c>
      <c r="B13" t="s">
        <v>96</v>
      </c>
    </row>
    <row r="14" spans="1:2">
      <c r="A14" s="34" t="s">
        <v>1</v>
      </c>
      <c r="B14" t="s">
        <v>92</v>
      </c>
    </row>
    <row r="15" spans="1:2">
      <c r="A15" s="34" t="s">
        <v>133</v>
      </c>
      <c r="B15" t="s">
        <v>134</v>
      </c>
    </row>
    <row r="16" spans="1:2">
      <c r="A16" s="34" t="s">
        <v>83</v>
      </c>
      <c r="B16" t="s">
        <v>93</v>
      </c>
    </row>
    <row r="17" spans="1:2">
      <c r="A17" s="34" t="s">
        <v>252</v>
      </c>
      <c r="B17" t="s">
        <v>253</v>
      </c>
    </row>
    <row r="18" spans="1:2">
      <c r="A18" s="34" t="s">
        <v>254</v>
      </c>
      <c r="B18" t="s">
        <v>255</v>
      </c>
    </row>
    <row r="19" spans="1:2">
      <c r="A19" s="34" t="s">
        <v>117</v>
      </c>
      <c r="B19" t="s">
        <v>118</v>
      </c>
    </row>
    <row r="20" spans="1:2">
      <c r="A20" s="34" t="s">
        <v>125</v>
      </c>
      <c r="B20" t="s">
        <v>126</v>
      </c>
    </row>
    <row r="21" spans="1:2">
      <c r="A21" s="34" t="s">
        <v>88</v>
      </c>
      <c r="B21" t="s">
        <v>99</v>
      </c>
    </row>
    <row r="22" spans="1:2">
      <c r="A22" s="34" t="s">
        <v>109</v>
      </c>
      <c r="B22" t="s">
        <v>110</v>
      </c>
    </row>
    <row r="23" spans="1:2">
      <c r="A23" s="34" t="s">
        <v>86</v>
      </c>
      <c r="B23" t="s">
        <v>97</v>
      </c>
    </row>
    <row r="24" spans="1:2">
      <c r="A24" s="34" t="s">
        <v>121</v>
      </c>
      <c r="B24" t="s">
        <v>122</v>
      </c>
    </row>
    <row r="25" spans="1:2">
      <c r="A25" s="34" t="s">
        <v>87</v>
      </c>
      <c r="B25" t="s">
        <v>98</v>
      </c>
    </row>
    <row r="26" spans="1:2">
      <c r="A26" s="34" t="s">
        <v>0</v>
      </c>
      <c r="B26" t="s">
        <v>95</v>
      </c>
    </row>
    <row r="27" spans="1:2">
      <c r="A27" s="34" t="s">
        <v>84</v>
      </c>
      <c r="B27" t="s">
        <v>94</v>
      </c>
    </row>
    <row r="28" spans="1:2">
      <c r="A28" s="34" t="s">
        <v>189</v>
      </c>
      <c r="B28" t="s">
        <v>190</v>
      </c>
    </row>
    <row r="29" spans="1:2">
      <c r="A29" s="34" t="s">
        <v>223</v>
      </c>
      <c r="B29" t="s">
        <v>224</v>
      </c>
    </row>
    <row r="30" spans="1:2">
      <c r="A30" s="34" t="s">
        <v>142</v>
      </c>
      <c r="B30" t="s">
        <v>143</v>
      </c>
    </row>
    <row r="31" spans="1:2">
      <c r="A31" s="34" t="s">
        <v>82</v>
      </c>
      <c r="B31" t="s">
        <v>91</v>
      </c>
    </row>
    <row r="32" spans="1:2">
      <c r="A32" s="34" t="s">
        <v>238</v>
      </c>
      <c r="B32" t="s">
        <v>239</v>
      </c>
    </row>
    <row r="33" spans="1:2">
      <c r="A33" s="34" t="s">
        <v>225</v>
      </c>
      <c r="B33" t="s">
        <v>226</v>
      </c>
    </row>
    <row r="34" spans="1:2">
      <c r="A34" s="34" t="s">
        <v>135</v>
      </c>
      <c r="B34" t="s">
        <v>104</v>
      </c>
    </row>
    <row r="35" spans="1:2">
      <c r="A35" s="34" t="s">
        <v>285</v>
      </c>
      <c r="B35" t="s">
        <v>286</v>
      </c>
    </row>
    <row r="36" spans="1:2">
      <c r="A36" s="34" t="s">
        <v>219</v>
      </c>
      <c r="B36" t="s">
        <v>220</v>
      </c>
    </row>
    <row r="37" spans="1:2">
      <c r="A37" s="34" t="s">
        <v>283</v>
      </c>
      <c r="B37" t="s">
        <v>284</v>
      </c>
    </row>
    <row r="38" spans="1:2">
      <c r="A38" s="34" t="s">
        <v>260</v>
      </c>
      <c r="B38" t="s">
        <v>261</v>
      </c>
    </row>
    <row r="39" spans="1:2">
      <c r="A39" s="34" t="s">
        <v>131</v>
      </c>
      <c r="B39" t="s">
        <v>132</v>
      </c>
    </row>
    <row r="40" spans="1:2">
      <c r="A40" s="34" t="s">
        <v>136</v>
      </c>
      <c r="B40" t="s">
        <v>137</v>
      </c>
    </row>
    <row r="41" spans="1:2">
      <c r="A41" s="34" t="s">
        <v>214</v>
      </c>
      <c r="B41" t="s">
        <v>215</v>
      </c>
    </row>
    <row r="42" spans="1:2">
      <c r="A42" s="34" t="s">
        <v>89</v>
      </c>
      <c r="B42" t="s">
        <v>100</v>
      </c>
    </row>
    <row r="43" spans="1:2">
      <c r="A43" s="34" t="s">
        <v>107</v>
      </c>
      <c r="B43" t="s">
        <v>108</v>
      </c>
    </row>
    <row r="44" spans="1:2">
      <c r="A44" s="34" t="s">
        <v>119</v>
      </c>
      <c r="B44" t="s">
        <v>120</v>
      </c>
    </row>
    <row r="45" spans="1:2">
      <c r="A45" s="34" t="s">
        <v>119</v>
      </c>
      <c r="B45" t="s">
        <v>120</v>
      </c>
    </row>
    <row r="46" spans="1:2">
      <c r="A46" s="34" t="s">
        <v>221</v>
      </c>
      <c r="B46" t="s">
        <v>222</v>
      </c>
    </row>
    <row r="47" spans="1:2">
      <c r="A47" s="34" t="s">
        <v>3</v>
      </c>
      <c r="B47" t="s">
        <v>152</v>
      </c>
    </row>
    <row r="48" spans="1:2">
      <c r="A48" s="34" t="s">
        <v>265</v>
      </c>
      <c r="B48" t="s">
        <v>266</v>
      </c>
    </row>
    <row r="49" spans="1:2">
      <c r="A49" s="34" t="s">
        <v>207</v>
      </c>
      <c r="B49" t="s">
        <v>208</v>
      </c>
    </row>
    <row r="50" spans="1:2">
      <c r="A50" s="34" t="s">
        <v>105</v>
      </c>
      <c r="B50" t="s">
        <v>106</v>
      </c>
    </row>
    <row r="51" spans="1:2">
      <c r="A51" s="34" t="s">
        <v>293</v>
      </c>
      <c r="B51" t="s">
        <v>294</v>
      </c>
    </row>
    <row r="52" spans="1:2">
      <c r="A52" s="34" t="s">
        <v>291</v>
      </c>
      <c r="B52" t="s">
        <v>292</v>
      </c>
    </row>
    <row r="53" spans="1:2">
      <c r="A53" s="34" t="s">
        <v>229</v>
      </c>
      <c r="B53" t="s">
        <v>230</v>
      </c>
    </row>
    <row r="54" spans="1:2">
      <c r="A54" s="34" t="s">
        <v>81</v>
      </c>
      <c r="B54" t="s">
        <v>80</v>
      </c>
    </row>
    <row r="55" spans="1:2">
      <c r="A55" s="34" t="s">
        <v>129</v>
      </c>
      <c r="B55" t="s">
        <v>130</v>
      </c>
    </row>
    <row r="56" spans="1:2">
      <c r="A56" s="34" t="s">
        <v>209</v>
      </c>
      <c r="B56" t="s">
        <v>210</v>
      </c>
    </row>
    <row r="57" spans="1:2">
      <c r="A57" s="34" t="s">
        <v>102</v>
      </c>
      <c r="B57" t="s">
        <v>103</v>
      </c>
    </row>
    <row r="58" spans="1:2">
      <c r="A58" s="34" t="s">
        <v>138</v>
      </c>
      <c r="B58" t="s">
        <v>139</v>
      </c>
    </row>
    <row r="59" spans="1:2">
      <c r="A59" s="34" t="s">
        <v>111</v>
      </c>
      <c r="B59" t="s">
        <v>112</v>
      </c>
    </row>
    <row r="60" spans="1:2">
      <c r="A60" s="34" t="s">
        <v>146</v>
      </c>
      <c r="B60" t="s">
        <v>147</v>
      </c>
    </row>
    <row r="61" spans="1:2">
      <c r="A61" s="34" t="s">
        <v>262</v>
      </c>
      <c r="B61" t="s">
        <v>263</v>
      </c>
    </row>
    <row r="62" spans="1:2">
      <c r="A62" s="34" t="s">
        <v>279</v>
      </c>
      <c r="B62" t="s">
        <v>280</v>
      </c>
    </row>
    <row r="63" spans="1:2">
      <c r="A63" s="34" t="s">
        <v>123</v>
      </c>
      <c r="B63" t="s">
        <v>124</v>
      </c>
    </row>
    <row r="64" spans="1:2">
      <c r="A64" s="34" t="s">
        <v>191</v>
      </c>
      <c r="B64" t="s">
        <v>192</v>
      </c>
    </row>
    <row r="65" spans="1:2">
      <c r="A65" s="34" t="s">
        <v>153</v>
      </c>
      <c r="B65" t="s">
        <v>154</v>
      </c>
    </row>
    <row r="66" spans="1:2">
      <c r="A66" s="34" t="s">
        <v>287</v>
      </c>
      <c r="B66" t="s">
        <v>288</v>
      </c>
    </row>
    <row r="67" spans="1:2">
      <c r="A67" s="34" t="s">
        <v>113</v>
      </c>
      <c r="B67" t="s">
        <v>114</v>
      </c>
    </row>
    <row r="68" spans="1:2">
      <c r="A68" s="34" t="s">
        <v>90</v>
      </c>
      <c r="B68" t="s">
        <v>101</v>
      </c>
    </row>
    <row r="69" spans="1:2">
      <c r="A69" s="34" t="s">
        <v>297</v>
      </c>
      <c r="B69" t="s">
        <v>298</v>
      </c>
    </row>
    <row r="70" spans="1:2">
      <c r="A70" s="34" t="s">
        <v>299</v>
      </c>
      <c r="B70" t="s">
        <v>300</v>
      </c>
    </row>
    <row r="71" spans="1:2">
      <c r="A71" s="34" t="s">
        <v>2</v>
      </c>
      <c r="B71" t="s">
        <v>416</v>
      </c>
    </row>
  </sheetData>
  <sortState ref="A1:B70">
    <sortCondition ref="A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Classes"/>
  <dimension ref="A1:AF234"/>
  <sheetViews>
    <sheetView topLeftCell="E1" workbookViewId="0">
      <pane ySplit="1" topLeftCell="A121" activePane="bottomLeft" state="frozen"/>
      <selection pane="bottomLeft" activeCell="E1" sqref="A1:XFD1048576"/>
    </sheetView>
  </sheetViews>
  <sheetFormatPr defaultRowHeight="15"/>
  <cols>
    <col min="1" max="1" width="15.85546875" style="26" customWidth="1"/>
    <col min="2" max="2" width="15.28515625" style="26" customWidth="1"/>
    <col min="3" max="3" width="20.85546875" style="30" bestFit="1" customWidth="1"/>
    <col min="4" max="4" width="20.85546875" style="30" customWidth="1"/>
    <col min="5" max="5" width="15.28515625" customWidth="1"/>
    <col min="6" max="6" width="20.85546875" customWidth="1"/>
    <col min="7" max="7" width="19" hidden="1" customWidth="1"/>
    <col min="8" max="8" width="41.85546875" hidden="1" customWidth="1"/>
    <col min="9" max="9" width="22.42578125" hidden="1" customWidth="1"/>
    <col min="10" max="11" width="22.42578125" style="27" hidden="1" customWidth="1"/>
    <col min="12" max="12" width="12.28515625" style="26" hidden="1" customWidth="1"/>
    <col min="13" max="13" width="20.140625" style="26" hidden="1" customWidth="1"/>
    <col min="14" max="14" width="22.7109375" style="6" hidden="1" customWidth="1"/>
    <col min="15" max="15" width="20.140625" style="9" hidden="1" customWidth="1"/>
    <col min="16" max="18" width="20.140625" style="9" customWidth="1"/>
    <col min="19" max="19" width="15.42578125" style="9" customWidth="1"/>
    <col min="20" max="20" width="14.28515625" style="9" customWidth="1"/>
    <col min="21" max="21" width="16.85546875" style="9" customWidth="1"/>
    <col min="22" max="22" width="18.5703125" style="6" customWidth="1"/>
    <col min="23" max="23" width="24.7109375" style="9" customWidth="1"/>
    <col min="24" max="24" width="12.28515625" style="26" customWidth="1"/>
    <col min="25" max="25" width="9.140625" customWidth="1"/>
    <col min="26" max="29" width="15.28515625" style="16" customWidth="1"/>
    <col min="30" max="30" width="13" customWidth="1"/>
    <col min="31" max="31" width="56.7109375" customWidth="1"/>
    <col min="32" max="32" width="24.28515625" bestFit="1" customWidth="1"/>
  </cols>
  <sheetData>
    <row r="1" spans="1:32">
      <c r="A1" s="10" t="s">
        <v>74</v>
      </c>
      <c r="B1" s="10" t="s">
        <v>78</v>
      </c>
      <c r="C1" s="66" t="s">
        <v>69</v>
      </c>
      <c r="D1" s="66" t="s">
        <v>759</v>
      </c>
      <c r="E1" s="64" t="s">
        <v>389</v>
      </c>
      <c r="F1" s="1" t="s">
        <v>415</v>
      </c>
      <c r="G1" s="1" t="s">
        <v>193</v>
      </c>
      <c r="H1" s="1" t="s">
        <v>390</v>
      </c>
      <c r="I1" s="1" t="s">
        <v>386</v>
      </c>
      <c r="J1" s="38" t="s">
        <v>387</v>
      </c>
      <c r="K1" s="38" t="s">
        <v>388</v>
      </c>
      <c r="L1" s="38" t="s">
        <v>72</v>
      </c>
      <c r="M1" s="10" t="s">
        <v>73</v>
      </c>
      <c r="N1" s="32" t="s">
        <v>213</v>
      </c>
      <c r="O1" s="31" t="s">
        <v>75</v>
      </c>
      <c r="P1" s="31" t="s">
        <v>170</v>
      </c>
      <c r="Q1" s="31" t="s">
        <v>171</v>
      </c>
      <c r="R1" s="31" t="s">
        <v>76</v>
      </c>
      <c r="S1" s="31" t="s">
        <v>184</v>
      </c>
      <c r="T1" s="31" t="s">
        <v>183</v>
      </c>
      <c r="U1" s="31" t="s">
        <v>232</v>
      </c>
      <c r="V1" s="32" t="s">
        <v>185</v>
      </c>
      <c r="W1" s="31" t="s">
        <v>273</v>
      </c>
      <c r="X1" s="10" t="s">
        <v>77</v>
      </c>
      <c r="Z1" s="33" t="s">
        <v>234</v>
      </c>
      <c r="AA1" s="33" t="s">
        <v>235</v>
      </c>
      <c r="AB1" s="33" t="s">
        <v>236</v>
      </c>
      <c r="AC1" s="33" t="s">
        <v>237</v>
      </c>
      <c r="AD1" s="38" t="s">
        <v>71</v>
      </c>
      <c r="AE1">
        <f>'Class Spells Viewer'!A1</f>
        <v>5</v>
      </c>
      <c r="AF1" s="33" t="s">
        <v>761</v>
      </c>
    </row>
    <row r="2" spans="1:32">
      <c r="A2" s="26">
        <v>8</v>
      </c>
      <c r="B2" s="26">
        <v>12</v>
      </c>
      <c r="C2" s="30" t="s">
        <v>242</v>
      </c>
      <c r="D2" s="30" t="s">
        <v>758</v>
      </c>
      <c r="E2">
        <v>0</v>
      </c>
      <c r="F2" t="str">
        <f>IF(E2=0,C2,"("&amp;C2&amp;")")</f>
        <v>Lumos Nex</v>
      </c>
      <c r="G2" t="s">
        <v>194</v>
      </c>
      <c r="I2" t="b">
        <v>0</v>
      </c>
      <c r="J2" t="b">
        <v>0</v>
      </c>
      <c r="K2" t="b">
        <v>0</v>
      </c>
      <c r="L2" s="26">
        <v>1</v>
      </c>
      <c r="M2" s="26" t="str">
        <f ca="1">IF(ISBLANK($L2),"",INDIRECT("'Avatars'!"&amp;ADDRESS(ROW(Avatars!$A$2)+$L2,COLUMN(Avatars!$A$2))))</f>
        <v>Sorcerer</v>
      </c>
      <c r="N2" s="6">
        <v>0.15</v>
      </c>
      <c r="O2" s="63">
        <f>IF($N2="""",O1,IF(ISBLANK($N2),"",$N2*AVERAGE(INDEX(Ranges!$O$7:$T$156,A2,L2+1),INDEX(Ranges!$U$7:$Z$156,A2,L2+1))))</f>
        <v>25.2</v>
      </c>
      <c r="P2" s="58">
        <v>200</v>
      </c>
      <c r="Q2" s="9">
        <v>500</v>
      </c>
      <c r="R2" s="9">
        <v>3</v>
      </c>
      <c r="U2" s="41" t="str">
        <f t="shared" ref="U2:U76" si="0">IF(OR(ISBLANK(S2),ISBLANK(T2)),"",T2/S2)</f>
        <v/>
      </c>
      <c r="V2" s="6">
        <v>0.9</v>
      </c>
      <c r="W2" s="63">
        <f>IF(ISBLANK(V2),"",IF(V2="""",W1,INDEX(Damage!$F$2:$F$151,A2)*V2*SUM(P2:Q2)/1000))</f>
        <v>26.228548387096779</v>
      </c>
      <c r="X2" s="26" t="s">
        <v>5</v>
      </c>
      <c r="Z2" s="16">
        <f>IF($O2="","",INDEX(Ranges!$O$7:$T$156,A2,L2+1)/O2)</f>
        <v>3.465608465608466</v>
      </c>
      <c r="AA2" s="16">
        <f>IF(O2="","",INDEX(Ranges!$U$7:$Z$156,A2,L2+1)/O2)</f>
        <v>9.8677248677248688</v>
      </c>
      <c r="AB2" s="16">
        <f>IF($B2="","",IF($B2="""","""",INDEX(Ranges!$O$7:$T$156,B2,L2+1)/$O2))</f>
        <v>5.1058201058201069</v>
      </c>
      <c r="AC2" s="16">
        <f>IF($B2="","",IF($B2="""","""",INDEX(Ranges!$U$7:$Z$156,$B2,$L2+1)/$O2))</f>
        <v>14.087301587301587</v>
      </c>
      <c r="AD2" t="s">
        <v>751</v>
      </c>
      <c r="AE2" t="str">
        <f>IF(AD2&lt;&gt;"",AD2,"This spell's effect is not yet available")</f>
        <v>Celestial spell that damages nearby enemies</v>
      </c>
    </row>
    <row r="3" spans="1:32">
      <c r="A3" s="26">
        <v>15</v>
      </c>
      <c r="B3" s="26">
        <v>22</v>
      </c>
      <c r="C3" s="30" t="s">
        <v>242</v>
      </c>
      <c r="D3" s="30" t="s">
        <v>758</v>
      </c>
      <c r="E3">
        <v>1</v>
      </c>
      <c r="F3" t="str">
        <f t="shared" ref="F3:F66" si="1">IF(E3=0,C3,"("&amp;C3&amp;")")</f>
        <v>(Lumos Nex)</v>
      </c>
      <c r="G3" t="s">
        <v>194</v>
      </c>
      <c r="I3" t="b">
        <v>0</v>
      </c>
      <c r="J3" t="b">
        <v>0</v>
      </c>
      <c r="K3" t="b">
        <v>0</v>
      </c>
      <c r="L3" s="26">
        <v>1</v>
      </c>
      <c r="M3" s="26" t="str">
        <f ca="1">IF(ISBLANK($L3),"",INDIRECT("'Avatars'!"&amp;ADDRESS(ROW(Avatars!$A$2)+$L3,COLUMN(Avatars!$A$2))))</f>
        <v>Sorcerer</v>
      </c>
      <c r="N3" s="6" t="s">
        <v>241</v>
      </c>
      <c r="O3" s="63">
        <f>IF($N3="""",O2,IF(ISBLANK($N3),"",$N3*AVERAGE(INDEX(Ranges!$O$7:$T$156,A3,L3+1),INDEX(Ranges!$U$7:$Z$156,A3,L3+1))))</f>
        <v>25.2</v>
      </c>
      <c r="P3" s="58">
        <v>0</v>
      </c>
      <c r="Q3" s="9">
        <v>700</v>
      </c>
      <c r="R3" s="9">
        <v>4</v>
      </c>
      <c r="U3" s="41" t="str">
        <f t="shared" si="0"/>
        <v/>
      </c>
      <c r="V3" s="6">
        <v>1</v>
      </c>
      <c r="W3" s="63">
        <f>IF(ISBLANK(V3),"",IF(V3="""",W2,INDEX(Damage!$F$2:$F$151,A3)*V3*SUM(P3:Q3)/1000))</f>
        <v>53.355555555555561</v>
      </c>
      <c r="X3" s="26" t="s">
        <v>6</v>
      </c>
      <c r="Z3" s="16">
        <f>IF($O3="","",INDEX(Ranges!$O$7:$T$156,A3,L3+1)/O3)</f>
        <v>6.3359788359788372</v>
      </c>
      <c r="AA3" s="16">
        <f>IF(O3="","",INDEX(Ranges!$U$7:$Z$156,A3,L3+1)/O3)</f>
        <v>17.380952380952383</v>
      </c>
      <c r="AB3" s="16">
        <f>IF($B3="","",IF($B3="""","""",INDEX(Ranges!$O$7:$T$156,B3,L3+1)/$O3))</f>
        <v>9.2063492063492074</v>
      </c>
      <c r="AC3" s="16">
        <f>IF($B3="","",IF($B3="""","""",INDEX(Ranges!$U$7:$Z$156,$B3,$L3+1)/$O3))</f>
        <v>24.37830687830688</v>
      </c>
      <c r="AD3" t="s">
        <v>751</v>
      </c>
      <c r="AE3" t="str">
        <f t="shared" ref="AE3:AE66" si="2">IF(AD3&lt;&gt;"",AD3,"This spell's effect is not yet available")</f>
        <v>Celestial spell that damages nearby enemies</v>
      </c>
    </row>
    <row r="4" spans="1:32">
      <c r="A4" s="26">
        <v>26</v>
      </c>
      <c r="B4" s="26">
        <v>40</v>
      </c>
      <c r="C4" s="30" t="s">
        <v>357</v>
      </c>
      <c r="D4" s="30" t="s">
        <v>758</v>
      </c>
      <c r="E4">
        <v>0</v>
      </c>
      <c r="F4" t="str">
        <f t="shared" si="1"/>
        <v>Lux Luminari</v>
      </c>
      <c r="G4" t="s">
        <v>194</v>
      </c>
      <c r="I4" t="b">
        <v>0</v>
      </c>
      <c r="J4" t="b">
        <v>0</v>
      </c>
      <c r="K4" t="b">
        <v>0</v>
      </c>
      <c r="L4" s="26">
        <v>1</v>
      </c>
      <c r="M4" s="26" t="str">
        <f ca="1">IF(ISBLANK($L4),"",INDIRECT("'Avatars'!"&amp;ADDRESS(ROW(Avatars!$A$2)+$L4,COLUMN(Avatars!$A$2))))</f>
        <v>Sorcerer</v>
      </c>
      <c r="N4" s="6">
        <v>0.2</v>
      </c>
      <c r="O4" s="63">
        <f>IF($N4="""",O3,IF(ISBLANK($N4),"",$N4*AVERAGE(INDEX(Ranges!$O$7:$T$156,A4,L4+1),INDEX(Ranges!$U$7:$Z$156,A4,L4+1))))</f>
        <v>100.7</v>
      </c>
      <c r="P4" s="58">
        <v>0</v>
      </c>
      <c r="Q4" s="9">
        <v>700</v>
      </c>
      <c r="R4" s="9">
        <v>5</v>
      </c>
      <c r="U4" s="41" t="str">
        <f t="shared" si="0"/>
        <v/>
      </c>
      <c r="V4" s="6">
        <v>1.2</v>
      </c>
      <c r="W4" s="63">
        <f>IF(ISBLANK(V4),"",IF(V4="""",W3,INDEX(Damage!$F$2:$F$151,A4)*V4*SUM(P4:Q4)/1000))</f>
        <v>111.84676616915424</v>
      </c>
      <c r="X4" s="26" t="s">
        <v>6</v>
      </c>
      <c r="Z4" s="16">
        <f>IF($O4="","",INDEX(Ranges!$O$7:$T$156,A4,L4+1)/O4)</f>
        <v>2.7143330023171139</v>
      </c>
      <c r="AA4" s="16">
        <f>IF(O4="","",INDEX(Ranges!$U$7:$Z$156,A4,L4+1)/O4)</f>
        <v>7.2856669976828856</v>
      </c>
      <c r="AB4" s="16">
        <f>IF($B4="","",IF($B4="""","""",INDEX(Ranges!$O$7:$T$156,B4,L4+1)/$O4))</f>
        <v>4.1509433962264151</v>
      </c>
      <c r="AC4" s="16">
        <f>IF($B4="","",IF($B4="""","""",INDEX(Ranges!$U$7:$Z$156,$B4,$L4+1)/$O4))</f>
        <v>11.046011254551471</v>
      </c>
      <c r="AD4" t="s">
        <v>752</v>
      </c>
      <c r="AE4" t="str">
        <f t="shared" si="2"/>
        <v>Powerful celestial spell that damages nearby enemies</v>
      </c>
    </row>
    <row r="5" spans="1:32">
      <c r="A5" s="26">
        <v>32</v>
      </c>
      <c r="B5" s="26">
        <v>40</v>
      </c>
      <c r="C5" s="30" t="s">
        <v>357</v>
      </c>
      <c r="D5" s="30" t="s">
        <v>758</v>
      </c>
      <c r="E5">
        <v>1</v>
      </c>
      <c r="F5" t="str">
        <f t="shared" si="1"/>
        <v>(Lux Luminari)</v>
      </c>
      <c r="G5" t="s">
        <v>194</v>
      </c>
      <c r="I5" t="b">
        <v>0</v>
      </c>
      <c r="J5" t="b">
        <v>0</v>
      </c>
      <c r="K5" t="b">
        <v>0</v>
      </c>
      <c r="L5" s="26">
        <v>1</v>
      </c>
      <c r="M5" s="26" t="str">
        <f ca="1">IF(ISBLANK($L5),"",INDIRECT("'Avatars'!"&amp;ADDRESS(ROW(Avatars!$A$2)+$L5,COLUMN(Avatars!$A$2))))</f>
        <v>Sorcerer</v>
      </c>
      <c r="N5" s="6" t="s">
        <v>241</v>
      </c>
      <c r="O5" s="63">
        <f>IF($N5="""",O4,IF(ISBLANK($N5),"",$N5*AVERAGE(INDEX(Ranges!$O$7:$T$156,A5,L5+1),INDEX(Ranges!$U$7:$Z$156,A5,L5+1))))</f>
        <v>100.7</v>
      </c>
      <c r="P5" s="58">
        <v>0</v>
      </c>
      <c r="Q5" s="9">
        <v>700</v>
      </c>
      <c r="R5" s="9">
        <v>6</v>
      </c>
      <c r="U5" s="41" t="str">
        <f t="shared" si="0"/>
        <v/>
      </c>
      <c r="V5" s="6">
        <v>1.2</v>
      </c>
      <c r="W5" s="63">
        <f>IF(ISBLANK(V5),"",IF(V5="""",W4,INDEX(Damage!$F$2:$F$151,A5)*V5*SUM(P5:Q5)/1000))</f>
        <v>137.93662447257381</v>
      </c>
      <c r="X5" s="26" t="s">
        <v>6</v>
      </c>
      <c r="Z5" s="16">
        <f>IF($O5="","",INDEX(Ranges!$O$7:$T$156,A5,L5+1)/O5)</f>
        <v>3.330023171135386</v>
      </c>
      <c r="AA5" s="16">
        <f>IF(O5="","",INDEX(Ranges!$U$7:$Z$156,A5,L5+1)/O5)</f>
        <v>8.9341277722608421</v>
      </c>
      <c r="AB5" s="16">
        <f>IF($B5="","",IF($B5="""","""",INDEX(Ranges!$O$7:$T$156,B5,L5+1)/$O5))</f>
        <v>4.1509433962264151</v>
      </c>
      <c r="AC5" s="16">
        <f>IF($B5="","",IF($B5="""","""",INDEX(Ranges!$U$7:$Z$156,$B5,$L5+1)/$O5))</f>
        <v>11.046011254551471</v>
      </c>
      <c r="AD5" t="s">
        <v>752</v>
      </c>
      <c r="AE5" t="str">
        <f t="shared" si="2"/>
        <v>Powerful celestial spell that damages nearby enemies</v>
      </c>
    </row>
    <row r="6" spans="1:32">
      <c r="A6" s="26">
        <v>43</v>
      </c>
      <c r="B6" s="26">
        <v>60</v>
      </c>
      <c r="C6" s="30" t="s">
        <v>357</v>
      </c>
      <c r="D6" s="30" t="s">
        <v>758</v>
      </c>
      <c r="E6">
        <v>2</v>
      </c>
      <c r="F6" t="str">
        <f t="shared" si="1"/>
        <v>(Lux Luminari)</v>
      </c>
      <c r="G6" t="s">
        <v>194</v>
      </c>
      <c r="I6" t="b">
        <v>0</v>
      </c>
      <c r="J6" t="b">
        <v>0</v>
      </c>
      <c r="K6" t="b">
        <v>0</v>
      </c>
      <c r="L6" s="26">
        <v>1</v>
      </c>
      <c r="M6" s="26" t="str">
        <f ca="1">IF(ISBLANK($L6),"",INDIRECT("'Avatars'!"&amp;ADDRESS(ROW(Avatars!$A$2)+$L6,COLUMN(Avatars!$A$2))))</f>
        <v>Sorcerer</v>
      </c>
      <c r="N6" s="6" t="s">
        <v>241</v>
      </c>
      <c r="O6" s="63">
        <f>IF($N6="""",O5,IF(ISBLANK($N6),"",$N6*AVERAGE(INDEX(Ranges!$O$7:$T$156,A6,L6+1),INDEX(Ranges!$U$7:$Z$156,A6,L6+1))))</f>
        <v>100.7</v>
      </c>
      <c r="P6" s="58">
        <v>0</v>
      </c>
      <c r="Q6" s="9">
        <v>700</v>
      </c>
      <c r="R6" s="9">
        <v>7</v>
      </c>
      <c r="U6" s="41" t="str">
        <f t="shared" si="0"/>
        <v/>
      </c>
      <c r="V6" s="6">
        <v>1.2</v>
      </c>
      <c r="W6" s="63">
        <f>IF(ISBLANK(V6),"",IF(V6="""",W5,INDEX(Damage!$F$2:$F$151,A6)*V6*SUM(P6:Q6)/1000))</f>
        <v>186.38574257425739</v>
      </c>
      <c r="X6" s="26" t="s">
        <v>7</v>
      </c>
      <c r="Z6" s="16">
        <f>IF($O6="","",INDEX(Ranges!$O$7:$T$156,A6,L6+1)/O6)</f>
        <v>4.4587884806355511</v>
      </c>
      <c r="AA6" s="16">
        <f>IF(O6="","",INDEX(Ranges!$U$7:$Z$156,A6,L6+1)/O6)</f>
        <v>11.999337967560409</v>
      </c>
      <c r="AB6" s="16">
        <f>IF($B6="","",IF($B6="""","""",INDEX(Ranges!$O$7:$T$156,B6,L6+1)/$O6))</f>
        <v>6.2032439589539896</v>
      </c>
      <c r="AC6" s="16">
        <f>IF($B6="","",IF($B6="""","""",INDEX(Ranges!$U$7:$Z$156,$B6,$L6+1)/$O6))</f>
        <v>16.971201588877854</v>
      </c>
      <c r="AD6" t="s">
        <v>752</v>
      </c>
      <c r="AE6" t="str">
        <f t="shared" si="2"/>
        <v>Powerful celestial spell that damages nearby enemies</v>
      </c>
    </row>
    <row r="7" spans="1:32">
      <c r="A7" s="26">
        <v>50</v>
      </c>
      <c r="B7" s="26">
        <v>58</v>
      </c>
      <c r="C7" s="67" t="s">
        <v>186</v>
      </c>
      <c r="D7" s="30" t="s">
        <v>758</v>
      </c>
      <c r="E7">
        <v>0</v>
      </c>
      <c r="F7" t="str">
        <f t="shared" si="1"/>
        <v>Magnus Luminarium</v>
      </c>
      <c r="G7" t="s">
        <v>194</v>
      </c>
      <c r="I7" t="b">
        <v>0</v>
      </c>
      <c r="J7" t="b">
        <v>0</v>
      </c>
      <c r="K7" t="b">
        <v>0</v>
      </c>
      <c r="L7" s="26">
        <v>1</v>
      </c>
      <c r="M7" s="26" t="str">
        <f ca="1">IF(ISBLANK($L7),"",INDIRECT("'Avatars'!"&amp;ADDRESS(ROW(Avatars!$A$2)+$L7,COLUMN(Avatars!$A$2))))</f>
        <v>Sorcerer</v>
      </c>
      <c r="N7" s="6">
        <v>0.2</v>
      </c>
      <c r="O7" s="63">
        <f>IF($N7="""",O6,IF(ISBLANK($N7),"",$N7*AVERAGE(INDEX(Ranges!$O$7:$T$156,A7,L7+1),INDEX(Ranges!$U$7:$Z$156,A7,L7+1))))</f>
        <v>195.8</v>
      </c>
      <c r="P7" s="58">
        <v>0</v>
      </c>
      <c r="Q7" s="9">
        <v>700</v>
      </c>
      <c r="R7" s="9">
        <v>8</v>
      </c>
      <c r="U7" s="41" t="str">
        <f t="shared" si="0"/>
        <v/>
      </c>
      <c r="V7" s="6">
        <v>1.2</v>
      </c>
      <c r="W7" s="63">
        <f>IF(ISBLANK(V7),"",IF(V7="""",W6,INDEX(Damage!$F$2:$F$151,A7)*V7*SUM(P7:Q7)/1000))</f>
        <v>217.88768115942025</v>
      </c>
      <c r="X7" s="26" t="s">
        <v>6</v>
      </c>
      <c r="Z7" s="16">
        <f>IF($O7="","",INDEX(Ranges!$O$7:$T$156,A7,L7+1)/O7)</f>
        <v>2.662580864828056</v>
      </c>
      <c r="AA7" s="16">
        <f>IF(O7="","",INDEX(Ranges!$U$7:$Z$156,A7,L7+1)/O7)</f>
        <v>7.3374191351719444</v>
      </c>
      <c r="AB7" s="16">
        <f>IF($B7="","",IF($B7="""","""",INDEX(Ranges!$O$7:$T$156,B7,L7+1)/$O7))</f>
        <v>3.0847803881511746</v>
      </c>
      <c r="AC7" s="16">
        <f>IF($B7="","",IF($B7="""","""",INDEX(Ranges!$U$7:$Z$156,$B7,$L7+1)/$O7))</f>
        <v>8.4899557371467473</v>
      </c>
      <c r="AD7" t="s">
        <v>752</v>
      </c>
      <c r="AE7" t="str">
        <f t="shared" si="2"/>
        <v>Powerful celestial spell that damages nearby enemies</v>
      </c>
    </row>
    <row r="8" spans="1:32">
      <c r="A8" s="26">
        <v>60</v>
      </c>
      <c r="B8" s="26">
        <v>100</v>
      </c>
      <c r="C8" s="67" t="s">
        <v>186</v>
      </c>
      <c r="D8" s="30" t="s">
        <v>758</v>
      </c>
      <c r="E8">
        <v>1</v>
      </c>
      <c r="F8" t="str">
        <f t="shared" si="1"/>
        <v>(Magnus Luminarium)</v>
      </c>
      <c r="G8" t="s">
        <v>194</v>
      </c>
      <c r="I8" t="b">
        <v>0</v>
      </c>
      <c r="J8" t="b">
        <v>0</v>
      </c>
      <c r="K8" t="b">
        <v>0</v>
      </c>
      <c r="L8" s="26">
        <v>1</v>
      </c>
      <c r="M8" s="26" t="str">
        <f ca="1">IF(ISBLANK($L8),"",INDIRECT("'Avatars'!"&amp;ADDRESS(ROW(Avatars!$A$2)+$L8,COLUMN(Avatars!$A$2))))</f>
        <v>Sorcerer</v>
      </c>
      <c r="N8" s="6" t="s">
        <v>241</v>
      </c>
      <c r="O8" s="63">
        <f>IF($N8="""",O7,IF(ISBLANK($N8),"",$N8*AVERAGE(INDEX(Ranges!$O$7:$T$156,A8,L8+1),INDEX(Ranges!$U$7:$Z$156,A8,L8+1))))</f>
        <v>195.8</v>
      </c>
      <c r="P8" s="58">
        <v>0</v>
      </c>
      <c r="Q8" s="9">
        <v>700</v>
      </c>
      <c r="R8" s="9">
        <v>12</v>
      </c>
      <c r="U8" s="41" t="str">
        <f t="shared" si="0"/>
        <v/>
      </c>
      <c r="V8" s="6">
        <v>1.2</v>
      </c>
      <c r="W8" s="63">
        <f>IF(ISBLANK(V8),"",IF(V8="""",W7,INDEX(Damage!$F$2:$F$151,A8)*V8*SUM(P8:Q8)/1000))</f>
        <v>265.21444444444438</v>
      </c>
      <c r="X8" s="26" t="s">
        <v>6</v>
      </c>
      <c r="Z8" s="16">
        <f>IF($O8="","",INDEX(Ranges!$O$7:$T$156,A8,L8+1)/O8)</f>
        <v>3.1903302689819544</v>
      </c>
      <c r="AA8" s="16">
        <f>IF(O8="","",INDEX(Ranges!$U$7:$Z$156,A8,L8+1)/O8)</f>
        <v>8.7282941777323799</v>
      </c>
      <c r="AB8" s="16">
        <f>IF($B8="","",IF($B8="""","""",INDEX(Ranges!$O$7:$T$156,B8,L8+1)/$O8))</f>
        <v>5.3013278855975479</v>
      </c>
      <c r="AC8" s="16">
        <f>IF($B8="","",IF($B8="""","""",INDEX(Ranges!$U$7:$Z$156,$B8,$L8+1)/$O8))</f>
        <v>14.557371467483827</v>
      </c>
      <c r="AD8" t="s">
        <v>752</v>
      </c>
      <c r="AE8" t="str">
        <f t="shared" si="2"/>
        <v>Powerful celestial spell that damages nearby enemies</v>
      </c>
    </row>
    <row r="9" spans="1:32">
      <c r="A9" s="26">
        <v>71</v>
      </c>
      <c r="B9" s="26">
        <v>150</v>
      </c>
      <c r="C9" s="30" t="s">
        <v>197</v>
      </c>
      <c r="D9" s="30" t="s">
        <v>758</v>
      </c>
      <c r="E9">
        <v>0</v>
      </c>
      <c r="F9" t="str">
        <f t="shared" si="1"/>
        <v>Altus Luminarium</v>
      </c>
      <c r="G9" t="s">
        <v>194</v>
      </c>
      <c r="I9" t="b">
        <v>0</v>
      </c>
      <c r="J9" t="b">
        <v>0</v>
      </c>
      <c r="K9" t="b">
        <v>0</v>
      </c>
      <c r="L9" s="26">
        <v>1</v>
      </c>
      <c r="M9" s="26" t="str">
        <f ca="1">IF(ISBLANK($L9),"",INDIRECT("'Avatars'!"&amp;ADDRESS(ROW(Avatars!$A$2)+$L9,COLUMN(Avatars!$A$2))))</f>
        <v>Sorcerer</v>
      </c>
      <c r="N9" s="6">
        <v>0.2</v>
      </c>
      <c r="O9" s="63">
        <f>IF($N9="""",O8,IF(ISBLANK($N9),"",$N9*AVERAGE(INDEX(Ranges!$O$7:$T$156,A9,L9+1),INDEX(Ranges!$U$7:$Z$156,A9,L9+1))))</f>
        <v>279.5</v>
      </c>
      <c r="P9" s="58">
        <v>0</v>
      </c>
      <c r="Q9" s="9">
        <v>700</v>
      </c>
      <c r="R9" s="9">
        <v>12</v>
      </c>
      <c r="U9" s="41" t="str">
        <f t="shared" si="0"/>
        <v/>
      </c>
      <c r="V9" s="6">
        <v>1.2</v>
      </c>
      <c r="W9" s="63">
        <f>IF(ISBLANK(V9),"",IF(V9="""",W8,INDEX(Damage!$F$2:$F$151,A9)*V9*SUM(P9:Q9)/1000))</f>
        <v>319.21129511677276</v>
      </c>
      <c r="X9" s="26" t="s">
        <v>7</v>
      </c>
      <c r="Z9" s="16">
        <f>IF($O9="","",INDEX(Ranges!$O$7:$T$156,A9,L9+1)/O9)</f>
        <v>2.6416219439475257</v>
      </c>
      <c r="AA9" s="16">
        <f>IF(O9="","",INDEX(Ranges!$U$7:$Z$156,A9,L9+1)/O9)</f>
        <v>7.3583780560524739</v>
      </c>
      <c r="AB9" s="16">
        <f>IF($B9="","",IF($B9="""","""",INDEX(Ranges!$O$7:$T$156,B9,L9+1)/$O9))</f>
        <v>5.5623136553369115</v>
      </c>
      <c r="AC9" s="16">
        <f>IF($B9="","",IF($B9="""","""",INDEX(Ranges!$U$7:$Z$156,$B9,$L9+1)/$O9))</f>
        <v>14.372093023255815</v>
      </c>
      <c r="AD9" t="s">
        <v>749</v>
      </c>
      <c r="AE9" t="str">
        <f t="shared" si="2"/>
        <v>The ultimate celestial area-of-effect damage spell</v>
      </c>
    </row>
    <row r="10" spans="1:32">
      <c r="A10" s="26">
        <v>1</v>
      </c>
      <c r="B10" s="26">
        <v>4</v>
      </c>
      <c r="C10" s="30" t="s">
        <v>169</v>
      </c>
      <c r="D10" s="30" t="s">
        <v>758</v>
      </c>
      <c r="E10">
        <v>0</v>
      </c>
      <c r="F10" t="str">
        <f>IF(E10=0,C10,"("&amp;C10&amp;")")</f>
        <v>Astrum</v>
      </c>
      <c r="G10" t="s">
        <v>195</v>
      </c>
      <c r="I10" t="b">
        <v>1</v>
      </c>
      <c r="J10" t="b">
        <v>0</v>
      </c>
      <c r="K10" t="b">
        <v>0</v>
      </c>
      <c r="L10" s="26">
        <v>0</v>
      </c>
      <c r="M10" s="26" t="str">
        <f ca="1">IF(ISBLANK($L10),"",INDIRECT("'Avatars'!"&amp;ADDRESS(ROW(Avatars!$A$2)+$L10,COLUMN(Avatars!$A$2))))</f>
        <v>Adept</v>
      </c>
      <c r="N10" s="6">
        <v>0.25</v>
      </c>
      <c r="O10" s="63">
        <f>IF($N10="""",O9,IF(ISBLANK($N10),"",$N10*AVERAGE(INDEX(Ranges!$O$7:$T$156,A10,L10+1),INDEX(Ranges!$U$7:$Z$156,A10,L10+1))))</f>
        <v>10.291666666666668</v>
      </c>
      <c r="P10" s="9">
        <v>500</v>
      </c>
      <c r="Q10" s="9">
        <v>500</v>
      </c>
      <c r="U10" s="41" t="str">
        <f t="shared" si="0"/>
        <v/>
      </c>
      <c r="V10" s="6">
        <v>1.4</v>
      </c>
      <c r="W10" s="63">
        <f>IF(ISBLANK(V10),"",IF(V10="""",W9,INDEX(Damage!$F$2:$F$151,A10)*V10*SUM(P10:Q10)/1000))</f>
        <v>15.4356862745098</v>
      </c>
      <c r="Z10" s="16">
        <f>IF($O10="","",INDEX(Ranges!$O$7:$T$156,A10,L10+1)/O10)</f>
        <v>1.846153846153846</v>
      </c>
      <c r="AA10" s="16">
        <f>IF(O10="","",INDEX(Ranges!$U$7:$Z$156,A10,L10+1)/O10)</f>
        <v>6.1538461538461533</v>
      </c>
      <c r="AB10" s="16">
        <f>IF($B10="","",IF($B10="""","""",INDEX(Ranges!$O$7:$T$156,B10,L10+1)/$O10))</f>
        <v>6.0242914979757076</v>
      </c>
      <c r="AC10" s="16">
        <f>IF($B10="","",IF($B10="""","""",INDEX(Ranges!$U$7:$Z$156,$B10,$L10+1)/$O10))</f>
        <v>15.384615384615383</v>
      </c>
      <c r="AD10" t="s">
        <v>748</v>
      </c>
      <c r="AE10" t="str">
        <f t="shared" si="2"/>
        <v>Damages the target with a magical star of energy</v>
      </c>
      <c r="AF10" t="str">
        <f t="shared" ref="AF10:AF40" si="3">AD10</f>
        <v>Damages the target with a magical star of energy</v>
      </c>
    </row>
    <row r="11" spans="1:32">
      <c r="A11" s="26">
        <v>5</v>
      </c>
      <c r="B11" s="26">
        <v>11</v>
      </c>
      <c r="C11" s="30" t="s">
        <v>274</v>
      </c>
      <c r="D11" s="30" t="s">
        <v>758</v>
      </c>
      <c r="E11">
        <v>0</v>
      </c>
      <c r="F11" t="str">
        <f t="shared" si="1"/>
        <v>Astrum Magnus</v>
      </c>
      <c r="G11" t="s">
        <v>195</v>
      </c>
      <c r="I11" t="b">
        <v>1</v>
      </c>
      <c r="J11" t="b">
        <v>0</v>
      </c>
      <c r="K11" t="b">
        <v>0</v>
      </c>
      <c r="L11" s="26">
        <v>0</v>
      </c>
      <c r="M11" s="26" t="str">
        <f ca="1">IF(ISBLANK($L11),"",INDIRECT("'Avatars'!"&amp;ADDRESS(ROW(Avatars!$A$2)+$L11,COLUMN(Avatars!$A$2))))</f>
        <v>Adept</v>
      </c>
      <c r="N11" s="6">
        <v>0.2</v>
      </c>
      <c r="O11" s="63">
        <f>IF($N11="""",O10,IF(ISBLANK($N11),"",$N11*AVERAGE(INDEX(Ranges!$O$7:$T$156,A11,L11+1),INDEX(Ranges!$U$7:$Z$156,A11,L11+1))))</f>
        <v>27.5</v>
      </c>
      <c r="P11" s="9">
        <v>500</v>
      </c>
      <c r="Q11" s="9">
        <v>500</v>
      </c>
      <c r="U11" s="41" t="str">
        <f t="shared" si="0"/>
        <v/>
      </c>
      <c r="V11" s="6">
        <v>1.4</v>
      </c>
      <c r="W11" s="63">
        <f>IF(ISBLANK(V11),"",IF(V11="""",W10,INDEX(Damage!$F$2:$F$151,A11)*V11*SUM(P11:Q11)/1000))</f>
        <v>38.002222222222208</v>
      </c>
      <c r="Z11" s="16">
        <f>IF($O11="","",INDEX(Ranges!$O$7:$T$156,A11,L11+1)/O11)</f>
        <v>2.7757575757575763</v>
      </c>
      <c r="AA11" s="16">
        <f>IF(O11="","",INDEX(Ranges!$U$7:$Z$156,A11,L11+1)/O11)</f>
        <v>7.2242424242424237</v>
      </c>
      <c r="AB11" s="16">
        <f>IF($B11="","",IF($B11="""","""",INDEX(Ranges!$O$7:$T$156,B11,L11+1)/$O11))</f>
        <v>5.9030303030303033</v>
      </c>
      <c r="AC11" s="16">
        <f>IF($B11="","",IF($B11="""","""",INDEX(Ranges!$U$7:$Z$156,$B11,$L11+1)/$O11))</f>
        <v>13.660606060606062</v>
      </c>
      <c r="AD11" t="s">
        <v>748</v>
      </c>
      <c r="AE11" t="str">
        <f t="shared" si="2"/>
        <v>Damages the target with a magical star of energy</v>
      </c>
      <c r="AF11" t="str">
        <f t="shared" si="3"/>
        <v>Damages the target with a magical star of energy</v>
      </c>
    </row>
    <row r="12" spans="1:32">
      <c r="A12" s="26">
        <v>24</v>
      </c>
      <c r="B12" s="26">
        <v>40</v>
      </c>
      <c r="C12" s="30" t="s">
        <v>275</v>
      </c>
      <c r="D12" s="30" t="s">
        <v>758</v>
      </c>
      <c r="E12">
        <v>0</v>
      </c>
      <c r="F12" t="str">
        <f t="shared" si="1"/>
        <v>Sidus</v>
      </c>
      <c r="G12" t="s">
        <v>195</v>
      </c>
      <c r="I12" t="b">
        <v>1</v>
      </c>
      <c r="J12" t="b">
        <v>0</v>
      </c>
      <c r="K12" t="b">
        <v>0</v>
      </c>
      <c r="L12" s="26">
        <v>0</v>
      </c>
      <c r="M12" s="26" t="str">
        <f ca="1">IF(ISBLANK($L12),"",INDIRECT("'Avatars'!"&amp;ADDRESS(ROW(Avatars!$A$2)+$L12,COLUMN(Avatars!$A$2))))</f>
        <v>Adept</v>
      </c>
      <c r="N12" s="6">
        <v>0.2</v>
      </c>
      <c r="O12" s="63">
        <f>IF($N12="""",O11,IF(ISBLANK($N12),"",$N12*AVERAGE(INDEX(Ranges!$O$7:$T$156,A12,L12+1),INDEX(Ranges!$U$7:$Z$156,A12,L12+1))))</f>
        <v>113.16666666666669</v>
      </c>
      <c r="P12" s="9">
        <v>500</v>
      </c>
      <c r="Q12" s="9">
        <v>500</v>
      </c>
      <c r="U12" s="41"/>
      <c r="V12" s="6">
        <v>1.4</v>
      </c>
      <c r="W12" s="63">
        <f>IF(ISBLANK(V12),"",IF(V12="""",W11,INDEX(Damage!$F$2:$F$151,A12)*V12*SUM(P12:Q12)/1000))</f>
        <v>169.16666666666666</v>
      </c>
      <c r="Z12" s="16">
        <f>IF($O12="","",INDEX(Ranges!$O$7:$T$156,A12,L12+1)/O12)</f>
        <v>3.0810014727540498</v>
      </c>
      <c r="AA12" s="16">
        <f>IF(O12="","",INDEX(Ranges!$U$7:$Z$156,A12,L12+1)/O12)</f>
        <v>6.9189985272459484</v>
      </c>
      <c r="AB12" s="16">
        <f>IF($B12="","",IF($B12="""","""",INDEX(Ranges!$O$7:$T$156,B12,L12+1)/$O12))</f>
        <v>5.1075110456553743</v>
      </c>
      <c r="AC12" s="16">
        <f>IF($B12="","",IF($B12="""","""",INDEX(Ranges!$U$7:$Z$156,$B12,$L12+1)/$O12))</f>
        <v>11.243004418262148</v>
      </c>
      <c r="AD12" t="s">
        <v>748</v>
      </c>
      <c r="AE12" t="str">
        <f t="shared" si="2"/>
        <v>Damages the target with a magical star of energy</v>
      </c>
      <c r="AF12" t="str">
        <f t="shared" si="3"/>
        <v>Damages the target with a magical star of energy</v>
      </c>
    </row>
    <row r="13" spans="1:32">
      <c r="A13" s="26">
        <v>3</v>
      </c>
      <c r="B13" s="26">
        <v>8</v>
      </c>
      <c r="C13" s="30" t="s">
        <v>243</v>
      </c>
      <c r="D13" s="30" t="s">
        <v>758</v>
      </c>
      <c r="E13">
        <v>0</v>
      </c>
      <c r="F13" t="str">
        <f t="shared" si="1"/>
        <v>Orbis Flamma</v>
      </c>
      <c r="G13" t="s">
        <v>392</v>
      </c>
      <c r="H13" t="s">
        <v>391</v>
      </c>
      <c r="I13" t="b">
        <v>0</v>
      </c>
      <c r="J13" t="b">
        <v>0</v>
      </c>
      <c r="K13" t="b">
        <v>0</v>
      </c>
      <c r="L13" s="26">
        <v>1</v>
      </c>
      <c r="M13" s="26" t="str">
        <f ca="1">IF(ISBLANK($L13),"",INDIRECT("'Avatars'!"&amp;ADDRESS(ROW(Avatars!$A$2)+$L13,COLUMN(Avatars!$A$2))))</f>
        <v>Sorcerer</v>
      </c>
      <c r="N13" s="6">
        <v>0.85</v>
      </c>
      <c r="O13" s="63">
        <f>IF($N13="""",O12,IF(ISBLANK($N13),"",$N13*AVERAGE(INDEX(Ranges!$O$7:$T$156,A13,L13+1),INDEX(Ranges!$U$7:$Z$156,A13,L13+1))))</f>
        <v>65.733333333333334</v>
      </c>
      <c r="P13" s="9">
        <v>200</v>
      </c>
      <c r="Q13" s="9">
        <v>300</v>
      </c>
      <c r="R13" s="9">
        <v>16</v>
      </c>
      <c r="S13" s="9">
        <v>1000</v>
      </c>
      <c r="T13" s="9">
        <v>1250</v>
      </c>
      <c r="U13" s="41">
        <f t="shared" si="0"/>
        <v>1.25</v>
      </c>
      <c r="V13" s="6">
        <v>0.5</v>
      </c>
      <c r="W13" s="63">
        <f>IF(ISBLANK(V13),"",IF(V13="""",W12,INDEX(Damage!$F$2:$F$151,A13)*V13*SUM(P13:Q13)/1000))</f>
        <v>4.674603174603174</v>
      </c>
      <c r="X13" s="26" t="s">
        <v>244</v>
      </c>
      <c r="Z13" s="16">
        <f>IF($O13="","",INDEX(Ranges!$O$7:$T$156,A13,L13+1)/O13)</f>
        <v>0.54259634888438135</v>
      </c>
      <c r="AA13" s="16">
        <f>IF(O13="","",INDEX(Ranges!$U$7:$Z$156,A13,L13+1)/O13)</f>
        <v>1.8103448275862069</v>
      </c>
      <c r="AB13" s="16">
        <f>IF($B13="","",IF($B13="""","""",INDEX(Ranges!$O$7:$T$156,B13,L13+1)/$O13))</f>
        <v>1.3286004056795133</v>
      </c>
      <c r="AC13" s="16">
        <f>IF($B13="","",IF($B13="""","""",INDEX(Ranges!$U$7:$Z$156,$B13,$L13+1)/$O13))</f>
        <v>3.7829614604462476</v>
      </c>
      <c r="AD13" t="s">
        <v>753</v>
      </c>
      <c r="AE13" t="str">
        <f t="shared" si="2"/>
        <v>Creates a ring of fire around you that damages all enemies that get too close</v>
      </c>
      <c r="AF13" t="str">
        <f t="shared" si="3"/>
        <v>Creates a ring of fire around you that damages all enemies that get too close</v>
      </c>
    </row>
    <row r="14" spans="1:32">
      <c r="A14" s="26">
        <v>15</v>
      </c>
      <c r="B14" s="26">
        <v>22</v>
      </c>
      <c r="C14" s="30" t="s">
        <v>243</v>
      </c>
      <c r="D14" s="30" t="s">
        <v>758</v>
      </c>
      <c r="E14">
        <v>1</v>
      </c>
      <c r="F14" t="str">
        <f t="shared" si="1"/>
        <v>(Orbis Flamma)</v>
      </c>
      <c r="G14" t="s">
        <v>392</v>
      </c>
      <c r="H14" t="s">
        <v>391</v>
      </c>
      <c r="I14" t="b">
        <v>0</v>
      </c>
      <c r="J14" t="b">
        <v>0</v>
      </c>
      <c r="K14" t="b">
        <v>0</v>
      </c>
      <c r="L14" s="26">
        <v>1</v>
      </c>
      <c r="M14" s="26" t="str">
        <f ca="1">IF(ISBLANK($L14),"",INDIRECT("'Avatars'!"&amp;ADDRESS(ROW(Avatars!$A$2)+$L14,COLUMN(Avatars!$A$2))))</f>
        <v>Sorcerer</v>
      </c>
      <c r="N14" s="6" t="s">
        <v>241</v>
      </c>
      <c r="O14" s="63">
        <f>IF($N14="""",O13,IF(ISBLANK($N14),"",$N14*AVERAGE(INDEX(Ranges!$O$7:$T$156,A14,L14+1),INDEX(Ranges!$U$7:$Z$156,A14,L14+1))))</f>
        <v>65.733333333333334</v>
      </c>
      <c r="P14" s="58">
        <v>200</v>
      </c>
      <c r="Q14" s="9">
        <v>300</v>
      </c>
      <c r="R14" s="9">
        <v>16</v>
      </c>
      <c r="S14" s="9">
        <v>1000</v>
      </c>
      <c r="T14" s="9">
        <v>1250</v>
      </c>
      <c r="U14" s="41">
        <f t="shared" si="0"/>
        <v>1.25</v>
      </c>
      <c r="V14" s="6">
        <v>0.5</v>
      </c>
      <c r="W14" s="63">
        <f>IF(ISBLANK(V14),"",IF(V14="""",W13,INDEX(Damage!$F$2:$F$151,A14)*V14*SUM(P14:Q14)/1000))</f>
        <v>19.055555555555557</v>
      </c>
      <c r="X14" s="26" t="s">
        <v>244</v>
      </c>
      <c r="Z14" s="16">
        <f>IF($O14="","",INDEX(Ranges!$O$7:$T$156,A14,L14+1)/O14)</f>
        <v>2.429006085192698</v>
      </c>
      <c r="AA14" s="16">
        <f>IF(O14="","",INDEX(Ranges!$U$7:$Z$156,A14,L14+1)/O14)</f>
        <v>6.6632860040567952</v>
      </c>
      <c r="AB14" s="16">
        <f>IF($B14="","",IF($B14="""","""",INDEX(Ranges!$O$7:$T$156,B14,L14+1)/$O14))</f>
        <v>3.5294117647058822</v>
      </c>
      <c r="AC14" s="16">
        <f>IF($B14="","",IF($B14="""","""",INDEX(Ranges!$U$7:$Z$156,$B14,$L14+1)/$O14))</f>
        <v>9.3458417849898581</v>
      </c>
      <c r="AD14" t="s">
        <v>753</v>
      </c>
      <c r="AE14" t="str">
        <f t="shared" si="2"/>
        <v>Creates a ring of fire around you that damages all enemies that get too close</v>
      </c>
      <c r="AF14" t="str">
        <f t="shared" si="3"/>
        <v>Creates a ring of fire around you that damages all enemies that get too close</v>
      </c>
    </row>
    <row r="15" spans="1:32">
      <c r="A15" s="26">
        <v>8</v>
      </c>
      <c r="B15" s="26">
        <v>12</v>
      </c>
      <c r="C15" s="30" t="s">
        <v>188</v>
      </c>
      <c r="D15" s="30" t="s">
        <v>758</v>
      </c>
      <c r="E15">
        <v>0</v>
      </c>
      <c r="F15" t="str">
        <f t="shared" si="1"/>
        <v>Nex Noctum</v>
      </c>
      <c r="G15" t="s">
        <v>194</v>
      </c>
      <c r="I15" t="b">
        <v>0</v>
      </c>
      <c r="J15" t="b">
        <v>0</v>
      </c>
      <c r="K15" t="b">
        <v>0</v>
      </c>
      <c r="L15" s="26">
        <v>0</v>
      </c>
      <c r="M15" s="26" t="str">
        <f ca="1">IF(ISBLANK($L15),"",INDIRECT("'Avatars'!"&amp;ADDRESS(ROW(Avatars!$A$2)+$L15,COLUMN(Avatars!$A$2))))</f>
        <v>Adept</v>
      </c>
      <c r="N15" s="6">
        <v>0.15</v>
      </c>
      <c r="O15" s="63">
        <f>IF($N15="""",O14,IF(ISBLANK($N15),"",$N15*AVERAGE(INDEX(Ranges!$O$7:$T$156,A15,L15+1),INDEX(Ranges!$U$7:$Z$156,A15,L15+1))))</f>
        <v>30</v>
      </c>
      <c r="P15" s="9">
        <v>300</v>
      </c>
      <c r="Q15" s="9">
        <v>500</v>
      </c>
      <c r="R15" s="41">
        <v>3</v>
      </c>
      <c r="U15" s="41" t="str">
        <f t="shared" si="0"/>
        <v/>
      </c>
      <c r="V15" s="6">
        <v>0.9</v>
      </c>
      <c r="W15" s="63">
        <f>IF(ISBLANK(V15),"",IF(V15="""",W14,INDEX(Damage!$F$2:$F$151,A15)*V15*SUM(P15:Q15)/1000))</f>
        <v>29.975483870967746</v>
      </c>
      <c r="X15" s="26" t="s">
        <v>5</v>
      </c>
      <c r="Z15" s="16">
        <f>IF($O15="","",INDEX(Ranges!$O$7:$T$156,A15,L15+1)/O15)</f>
        <v>3.9777777777777783</v>
      </c>
      <c r="AA15" s="16">
        <f>IF(O15="","",INDEX(Ranges!$U$7:$Z$156,A15,L15+1)/O15)</f>
        <v>9.3555555555555561</v>
      </c>
      <c r="AB15" s="16">
        <f>IF($B15="","",IF($B15="""","""",INDEX(Ranges!$O$7:$T$156,B15,L15+1)/$O15))</f>
        <v>5.8888888888888893</v>
      </c>
      <c r="AC15" s="16">
        <f>IF($B15="","",IF($B15="""","""",INDEX(Ranges!$U$7:$Z$156,$B15,$L15+1)/$O15))</f>
        <v>13.433333333333334</v>
      </c>
      <c r="AD15" t="s">
        <v>750</v>
      </c>
      <c r="AE15" t="str">
        <f t="shared" si="2"/>
        <v>Shadow-damage spell that hits nearby enemies</v>
      </c>
      <c r="AF15" t="str">
        <f t="shared" si="3"/>
        <v>Shadow-damage spell that hits nearby enemies</v>
      </c>
    </row>
    <row r="16" spans="1:32">
      <c r="A16" s="26">
        <v>13</v>
      </c>
      <c r="B16" s="26">
        <v>22</v>
      </c>
      <c r="C16" s="30" t="s">
        <v>188</v>
      </c>
      <c r="D16" s="30" t="s">
        <v>758</v>
      </c>
      <c r="E16">
        <v>1</v>
      </c>
      <c r="F16" t="str">
        <f t="shared" si="1"/>
        <v>(Nex Noctum)</v>
      </c>
      <c r="G16" t="s">
        <v>194</v>
      </c>
      <c r="I16" t="b">
        <v>0</v>
      </c>
      <c r="J16" t="b">
        <v>0</v>
      </c>
      <c r="K16" t="b">
        <v>0</v>
      </c>
      <c r="L16" s="26">
        <v>0</v>
      </c>
      <c r="M16" s="26" t="str">
        <f ca="1">IF(ISBLANK($L16),"",INDIRECT("'Avatars'!"&amp;ADDRESS(ROW(Avatars!$A$2)+$L16,COLUMN(Avatars!$A$2))))</f>
        <v>Adept</v>
      </c>
      <c r="N16" s="6" t="s">
        <v>241</v>
      </c>
      <c r="O16" s="63">
        <f>IF($N16="""",O15,IF(ISBLANK($N16),"",$N16*AVERAGE(INDEX(Ranges!$O$7:$T$156,A16,L16+1),INDEX(Ranges!$U$7:$Z$156,A16,L16+1))))</f>
        <v>30</v>
      </c>
      <c r="P16" s="58">
        <v>0</v>
      </c>
      <c r="Q16" s="9">
        <v>700</v>
      </c>
      <c r="R16" s="9">
        <v>3</v>
      </c>
      <c r="U16" s="41" t="str">
        <f t="shared" si="0"/>
        <v/>
      </c>
      <c r="V16" s="6">
        <v>1</v>
      </c>
      <c r="W16" s="63">
        <f>IF(ISBLANK(V16),"",IF(V16="""",W15,INDEX(Damage!$F$2:$F$151,A16)*V16*SUM(P16:Q16)/1000))</f>
        <v>45.935365853658539</v>
      </c>
      <c r="X16" s="26" t="s">
        <v>6</v>
      </c>
      <c r="Z16" s="16">
        <f>IF($O16="","",INDEX(Ranges!$O$7:$T$156,A16,L16+1)/O16)</f>
        <v>6.3666666666666663</v>
      </c>
      <c r="AA16" s="16">
        <f>IF(O16="","",INDEX(Ranges!$U$7:$Z$156,A16,L16+1)/O16)</f>
        <v>14.777777777777777</v>
      </c>
      <c r="AB16" s="16">
        <f>IF($B16="","",IF($B16="""","""",INDEX(Ranges!$O$7:$T$156,B16,L16+1)/$O16))</f>
        <v>10.666666666666666</v>
      </c>
      <c r="AC16" s="16">
        <f>IF($B16="","",IF($B16="""","""",INDEX(Ranges!$U$7:$Z$156,$B16,$L16+1)/$O16))</f>
        <v>23.411111111111111</v>
      </c>
      <c r="AD16" t="s">
        <v>750</v>
      </c>
      <c r="AE16" t="str">
        <f t="shared" si="2"/>
        <v>Shadow-damage spell that hits nearby enemies</v>
      </c>
      <c r="AF16" t="str">
        <f t="shared" si="3"/>
        <v>Shadow-damage spell that hits nearby enemies</v>
      </c>
    </row>
    <row r="17" spans="1:32">
      <c r="A17" s="26">
        <v>23</v>
      </c>
      <c r="B17" s="26">
        <v>35</v>
      </c>
      <c r="C17" s="30" t="s">
        <v>187</v>
      </c>
      <c r="D17" s="30" t="s">
        <v>758</v>
      </c>
      <c r="E17">
        <v>0</v>
      </c>
      <c r="F17" t="str">
        <f t="shared" si="1"/>
        <v>Maleficus Noctum</v>
      </c>
      <c r="G17" t="s">
        <v>194</v>
      </c>
      <c r="I17" t="b">
        <v>0</v>
      </c>
      <c r="J17" t="b">
        <v>0</v>
      </c>
      <c r="K17" t="b">
        <v>0</v>
      </c>
      <c r="L17" s="26">
        <v>0</v>
      </c>
      <c r="M17" s="26" t="str">
        <f ca="1">IF(ISBLANK($L17),"",INDIRECT("'Avatars'!"&amp;ADDRESS(ROW(Avatars!$A$2)+$L17,COLUMN(Avatars!$A$2))))</f>
        <v>Adept</v>
      </c>
      <c r="N17" s="6">
        <v>0.2</v>
      </c>
      <c r="O17" s="63">
        <f>IF($N17="""",O16,IF(ISBLANK($N17),"",$N17*AVERAGE(INDEX(Ranges!$O$7:$T$156,A17,L17+1),INDEX(Ranges!$U$7:$Z$156,A17,L17+1))))</f>
        <v>109</v>
      </c>
      <c r="P17" s="58">
        <v>0</v>
      </c>
      <c r="Q17" s="9">
        <v>700</v>
      </c>
      <c r="R17" s="9">
        <v>4</v>
      </c>
      <c r="U17" s="41" t="str">
        <f t="shared" si="0"/>
        <v/>
      </c>
      <c r="V17" s="6">
        <v>1.2</v>
      </c>
      <c r="W17" s="63">
        <f>IF(ISBLANK(V17),"",IF(V17="""",W16,INDEX(Damage!$F$2:$F$151,A17)*V17*SUM(P17:Q17)/1000))</f>
        <v>97.593005464480882</v>
      </c>
      <c r="X17" s="26" t="s">
        <v>6</v>
      </c>
      <c r="Z17" s="16">
        <f>IF($O17="","",INDEX(Ranges!$O$7:$T$156,A17,L17+1)/O17)</f>
        <v>3.0672782874617739</v>
      </c>
      <c r="AA17" s="16">
        <f>IF(O17="","",INDEX(Ranges!$U$7:$Z$156,A17,L17+1)/O17)</f>
        <v>6.9327217125382257</v>
      </c>
      <c r="AB17" s="16">
        <f>IF($B17="","",IF($B17="""","""",INDEX(Ranges!$O$7:$T$156,B17,L17+1)/$O17))</f>
        <v>4.6452599388379205</v>
      </c>
      <c r="AC17" s="16">
        <f>IF($B17="","",IF($B17="""","""",INDEX(Ranges!$U$7:$Z$156,$B17,$L17+1)/$O17))</f>
        <v>10.41896024464832</v>
      </c>
      <c r="AD17" t="s">
        <v>755</v>
      </c>
      <c r="AE17" t="str">
        <f t="shared" si="2"/>
        <v>Powerful shadow-damage spell that hits nearby enemies</v>
      </c>
      <c r="AF17" t="str">
        <f t="shared" si="3"/>
        <v>Powerful shadow-damage spell that hits nearby enemies</v>
      </c>
    </row>
    <row r="18" spans="1:32">
      <c r="A18" s="26">
        <v>29</v>
      </c>
      <c r="B18" s="26">
        <v>38</v>
      </c>
      <c r="C18" s="30" t="s">
        <v>187</v>
      </c>
      <c r="D18" s="30" t="s">
        <v>758</v>
      </c>
      <c r="E18">
        <v>1</v>
      </c>
      <c r="F18" t="str">
        <f t="shared" si="1"/>
        <v>(Maleficus Noctum)</v>
      </c>
      <c r="G18" t="s">
        <v>194</v>
      </c>
      <c r="I18" t="b">
        <v>0</v>
      </c>
      <c r="J18" t="b">
        <v>0</v>
      </c>
      <c r="K18" t="b">
        <v>0</v>
      </c>
      <c r="L18" s="26">
        <v>0</v>
      </c>
      <c r="M18" s="26" t="str">
        <f ca="1">IF(ISBLANK($L18),"",INDIRECT("'Avatars'!"&amp;ADDRESS(ROW(Avatars!$A$2)+$L18,COLUMN(Avatars!$A$2))))</f>
        <v>Adept</v>
      </c>
      <c r="N18" s="6" t="s">
        <v>241</v>
      </c>
      <c r="O18" s="63">
        <f>IF($N18="""",O17,IF(ISBLANK($N18),"",$N18*AVERAGE(INDEX(Ranges!$O$7:$T$156,A18,L18+1),INDEX(Ranges!$U$7:$Z$156,A18,L18+1))))</f>
        <v>109</v>
      </c>
      <c r="P18" s="58">
        <v>0</v>
      </c>
      <c r="Q18" s="9">
        <v>700</v>
      </c>
      <c r="R18" s="9">
        <v>5</v>
      </c>
      <c r="U18" s="41" t="str">
        <f t="shared" si="0"/>
        <v/>
      </c>
      <c r="V18" s="6">
        <v>1.2</v>
      </c>
      <c r="W18" s="63">
        <f>IF(ISBLANK(V18),"",IF(V18="""",W17,INDEX(Damage!$F$2:$F$151,A18)*V18*SUM(P18:Q18)/1000))</f>
        <v>123.60785388127853</v>
      </c>
      <c r="X18" s="26" t="s">
        <v>6</v>
      </c>
      <c r="Z18" s="16">
        <f>IF($O18="","",INDEX(Ranges!$O$7:$T$156,A18,L18+1)/O18)</f>
        <v>3.8562691131498474</v>
      </c>
      <c r="AA18" s="16">
        <f>IF(O18="","",INDEX(Ranges!$U$7:$Z$156,A18,L18+1)/O18)</f>
        <v>8.6758409785932713</v>
      </c>
      <c r="AB18" s="16">
        <f>IF($B18="","",IF($B18="""","""",INDEX(Ranges!$O$7:$T$156,B18,L18+1)/$O18))</f>
        <v>5.0397553516819578</v>
      </c>
      <c r="AC18" s="16">
        <f>IF($B18="","",IF($B18="""","""",INDEX(Ranges!$U$7:$Z$156,$B18,$L18+1)/$O18))</f>
        <v>11.17125382262997</v>
      </c>
      <c r="AD18" t="s">
        <v>755</v>
      </c>
      <c r="AE18" t="str">
        <f t="shared" si="2"/>
        <v>Powerful shadow-damage spell that hits nearby enemies</v>
      </c>
      <c r="AF18" t="str">
        <f t="shared" si="3"/>
        <v>Powerful shadow-damage spell that hits nearby enemies</v>
      </c>
    </row>
    <row r="19" spans="1:32">
      <c r="A19" s="26">
        <v>40</v>
      </c>
      <c r="B19" s="26">
        <v>53</v>
      </c>
      <c r="C19" s="30" t="s">
        <v>187</v>
      </c>
      <c r="D19" s="30" t="s">
        <v>758</v>
      </c>
      <c r="E19">
        <v>2</v>
      </c>
      <c r="F19" t="str">
        <f t="shared" si="1"/>
        <v>(Maleficus Noctum)</v>
      </c>
      <c r="G19" t="s">
        <v>194</v>
      </c>
      <c r="I19" t="b">
        <v>0</v>
      </c>
      <c r="J19" t="b">
        <v>0</v>
      </c>
      <c r="K19" t="b">
        <v>0</v>
      </c>
      <c r="L19" s="26">
        <v>0</v>
      </c>
      <c r="M19" s="26" t="str">
        <f ca="1">IF(ISBLANK($L19),"",INDIRECT("'Avatars'!"&amp;ADDRESS(ROW(Avatars!$A$2)+$L19,COLUMN(Avatars!$A$2))))</f>
        <v>Adept</v>
      </c>
      <c r="N19" s="6" t="s">
        <v>241</v>
      </c>
      <c r="O19" s="63">
        <f>IF($N19="""",O18,IF(ISBLANK($N19),"",$N19*AVERAGE(INDEX(Ranges!$O$7:$T$156,A19,L19+1),INDEX(Ranges!$U$7:$Z$156,A19,L19+1))))</f>
        <v>109</v>
      </c>
      <c r="P19" s="58">
        <v>0</v>
      </c>
      <c r="Q19" s="9">
        <v>700</v>
      </c>
      <c r="R19" s="9">
        <v>6</v>
      </c>
      <c r="U19" s="41" t="str">
        <f t="shared" si="0"/>
        <v/>
      </c>
      <c r="V19" s="6">
        <v>1.2</v>
      </c>
      <c r="W19" s="63">
        <f>IF(ISBLANK(V19),"",IF(V19="""",W18,INDEX(Damage!$F$2:$F$151,A19)*V19*SUM(P19:Q19)/1000))</f>
        <v>171.97894736842105</v>
      </c>
      <c r="X19" s="26" t="s">
        <v>7</v>
      </c>
      <c r="Z19" s="16">
        <f>IF($O19="","",INDEX(Ranges!$O$7:$T$156,A19,L19+1)/O19)</f>
        <v>5.3027522935779814</v>
      </c>
      <c r="AA19" s="16">
        <f>IF(O19="","",INDEX(Ranges!$U$7:$Z$156,A19,L19+1)/O19)</f>
        <v>11.672782874617736</v>
      </c>
      <c r="AB19" s="16">
        <f>IF($B19="","",IF($B19="""","""",INDEX(Ranges!$O$7:$T$156,B19,L19+1)/$O19))</f>
        <v>7.0122324159021412</v>
      </c>
      <c r="AC19" s="16">
        <f>IF($B19="","",IF($B19="""","""",INDEX(Ranges!$U$7:$Z$156,$B19,$L19+1)/$O19))</f>
        <v>15.767584097859327</v>
      </c>
      <c r="AD19" t="s">
        <v>755</v>
      </c>
      <c r="AE19" t="str">
        <f t="shared" si="2"/>
        <v>Powerful shadow-damage spell that hits nearby enemies</v>
      </c>
      <c r="AF19" t="str">
        <f t="shared" si="3"/>
        <v>Powerful shadow-damage spell that hits nearby enemies</v>
      </c>
    </row>
    <row r="20" spans="1:32">
      <c r="A20" s="26">
        <v>56</v>
      </c>
      <c r="B20" s="26">
        <v>75</v>
      </c>
      <c r="C20" s="30" t="s">
        <v>187</v>
      </c>
      <c r="D20" s="30" t="s">
        <v>758</v>
      </c>
      <c r="E20">
        <v>3</v>
      </c>
      <c r="F20" t="str">
        <f t="shared" si="1"/>
        <v>(Maleficus Noctum)</v>
      </c>
      <c r="G20" t="s">
        <v>194</v>
      </c>
      <c r="I20" t="b">
        <v>0</v>
      </c>
      <c r="J20" t="b">
        <v>0</v>
      </c>
      <c r="K20" t="b">
        <v>0</v>
      </c>
      <c r="L20" s="26">
        <v>0</v>
      </c>
      <c r="M20" s="26" t="str">
        <f ca="1">IF(ISBLANK($L20),"",INDIRECT("'Avatars'!"&amp;ADDRESS(ROW(Avatars!$A$2)+$L20,COLUMN(Avatars!$A$2))))</f>
        <v>Adept</v>
      </c>
      <c r="N20" s="6" t="s">
        <v>241</v>
      </c>
      <c r="O20" s="63">
        <f>IF($N20="""",O19,IF(ISBLANK($N20),"",$N20*AVERAGE(INDEX(Ranges!$O$7:$T$156,A20,L20+1),INDEX(Ranges!$U$7:$Z$156,A20,L20+1))))</f>
        <v>109</v>
      </c>
      <c r="P20" s="58">
        <v>0</v>
      </c>
      <c r="Q20" s="9">
        <v>700</v>
      </c>
      <c r="R20" s="9">
        <v>7</v>
      </c>
      <c r="U20" s="41" t="str">
        <f t="shared" si="0"/>
        <v/>
      </c>
      <c r="V20" s="6">
        <v>1.2</v>
      </c>
      <c r="W20" s="63">
        <f>IF(ISBLANK(V20),"",IF(V20="""",W19,INDEX(Damage!$F$2:$F$151,A20)*V20*SUM(P20:Q20)/1000))</f>
        <v>245.48577427821519</v>
      </c>
      <c r="X20" s="26" t="s">
        <v>6</v>
      </c>
      <c r="Z20" s="16">
        <f>IF($O20="","",INDEX(Ranges!$O$7:$T$156,A20,L20+1)/O20)</f>
        <v>7.4067278287461775</v>
      </c>
      <c r="AA20" s="16">
        <f>IF(O20="","",INDEX(Ranges!$U$7:$Z$156,A20,L20+1)/O20)</f>
        <v>16.877675840978593</v>
      </c>
      <c r="AB20" s="16">
        <f>IF($B20="","",IF($B20="""","""",INDEX(Ranges!$O$7:$T$156,B20,L20+1)/$O20))</f>
        <v>9.9051987767584109</v>
      </c>
      <c r="AC20" s="16">
        <f>IF($B20="","",IF($B20="""","""",INDEX(Ranges!$U$7:$Z$156,$B20,$L20+1)/$O20))</f>
        <v>22.954128440366972</v>
      </c>
      <c r="AD20" t="s">
        <v>755</v>
      </c>
      <c r="AE20" t="str">
        <f t="shared" si="2"/>
        <v>Powerful shadow-damage spell that hits nearby enemies</v>
      </c>
      <c r="AF20" t="str">
        <f t="shared" si="3"/>
        <v>Powerful shadow-damage spell that hits nearby enemies</v>
      </c>
    </row>
    <row r="21" spans="1:32">
      <c r="A21" s="26">
        <v>68</v>
      </c>
      <c r="B21" s="26">
        <v>85</v>
      </c>
      <c r="C21" s="30" t="s">
        <v>196</v>
      </c>
      <c r="D21" s="30" t="s">
        <v>758</v>
      </c>
      <c r="E21">
        <v>0</v>
      </c>
      <c r="F21" t="str">
        <f t="shared" si="1"/>
        <v>Venom Noctus</v>
      </c>
      <c r="G21" t="s">
        <v>194</v>
      </c>
      <c r="I21" t="b">
        <v>0</v>
      </c>
      <c r="J21" t="b">
        <v>0</v>
      </c>
      <c r="K21" t="b">
        <v>0</v>
      </c>
      <c r="L21" s="26">
        <v>0</v>
      </c>
      <c r="M21" s="26" t="str">
        <f ca="1">IF(ISBLANK($L21),"",INDIRECT("'Avatars'!"&amp;ADDRESS(ROW(Avatars!$A$2)+$L21,COLUMN(Avatars!$A$2))))</f>
        <v>Adept</v>
      </c>
      <c r="N21" s="6">
        <v>0.2</v>
      </c>
      <c r="O21" s="63">
        <f>IF($N21="""",O20,IF(ISBLANK($N21),"",$N21*AVERAGE(INDEX(Ranges!$O$7:$T$156,A21,L21+1),INDEX(Ranges!$U$7:$Z$156,A21,L21+1))))</f>
        <v>323.8</v>
      </c>
      <c r="P21" s="58">
        <v>0</v>
      </c>
      <c r="Q21" s="9">
        <v>700</v>
      </c>
      <c r="R21" s="9">
        <v>8</v>
      </c>
      <c r="U21" s="41" t="str">
        <f t="shared" si="0"/>
        <v/>
      </c>
      <c r="V21" s="6">
        <v>1.2</v>
      </c>
      <c r="W21" s="63">
        <f>IF(ISBLANK(V21),"",IF(V21="""",W20,INDEX(Damage!$F$2:$F$151,A21)*V21*SUM(P21:Q21)/1000))</f>
        <v>302.07657836644591</v>
      </c>
      <c r="X21" s="26" t="s">
        <v>6</v>
      </c>
      <c r="Z21" s="16">
        <f>IF($O21="","",INDEX(Ranges!$O$7:$T$156,A21,L21+1)/O21)</f>
        <v>3.0245007206094296</v>
      </c>
      <c r="AA21" s="16">
        <f>IF(O21="","",INDEX(Ranges!$U$7:$Z$156,A21,L21+1)/O21)</f>
        <v>6.9754992793905695</v>
      </c>
      <c r="AB21" s="16">
        <f>IF($B21="","",IF($B21="""","""",INDEX(Ranges!$O$7:$T$156,B21,L21+1)/$O21))</f>
        <v>3.7770228536133414</v>
      </c>
      <c r="AC21" s="16">
        <f>IF($B21="","",IF($B21="""","""",INDEX(Ranges!$U$7:$Z$156,$B21,$L21+1)/$O21))</f>
        <v>8.7718756434012768</v>
      </c>
      <c r="AD21" t="s">
        <v>754</v>
      </c>
      <c r="AE21" t="str">
        <f t="shared" si="2"/>
        <v>The ultimate shadow-damage area-of-effect spell</v>
      </c>
      <c r="AF21" t="str">
        <f t="shared" si="3"/>
        <v>The ultimate shadow-damage area-of-effect spell</v>
      </c>
    </row>
    <row r="22" spans="1:32">
      <c r="A22" s="26">
        <v>88</v>
      </c>
      <c r="B22" s="26">
        <v>150</v>
      </c>
      <c r="C22" s="30" t="s">
        <v>196</v>
      </c>
      <c r="D22" s="30" t="s">
        <v>758</v>
      </c>
      <c r="E22">
        <v>1</v>
      </c>
      <c r="F22" t="str">
        <f t="shared" si="1"/>
        <v>(Venom Noctus)</v>
      </c>
      <c r="G22" t="s">
        <v>194</v>
      </c>
      <c r="I22" t="b">
        <v>0</v>
      </c>
      <c r="J22" t="b">
        <v>0</v>
      </c>
      <c r="K22" t="b">
        <v>0</v>
      </c>
      <c r="L22" s="26">
        <v>0</v>
      </c>
      <c r="M22" s="26" t="str">
        <f ca="1">IF(ISBLANK($L22),"",INDIRECT("'Avatars'!"&amp;ADDRESS(ROW(Avatars!$A$2)+$L22,COLUMN(Avatars!$A$2))))</f>
        <v>Adept</v>
      </c>
      <c r="N22" s="6" t="s">
        <v>241</v>
      </c>
      <c r="O22" s="63">
        <f>IF($N22="""",O21,IF(ISBLANK($N22),"",$N22*AVERAGE(INDEX(Ranges!$O$7:$T$156,A22,L22+1),INDEX(Ranges!$U$7:$Z$156,A22,L22+1))))</f>
        <v>323.8</v>
      </c>
      <c r="P22" s="58">
        <v>0</v>
      </c>
      <c r="Q22" s="9">
        <v>700</v>
      </c>
      <c r="R22" s="9">
        <v>12</v>
      </c>
      <c r="U22" s="41" t="str">
        <f t="shared" si="0"/>
        <v/>
      </c>
      <c r="V22" s="6">
        <v>1.2</v>
      </c>
      <c r="W22" s="63">
        <f>IF(ISBLANK(V22),"",IF(V22="""",W21,INDEX(Damage!$F$2:$F$151,A22)*V22*SUM(P22:Q22)/1000))</f>
        <v>393.0085863874346</v>
      </c>
      <c r="X22" s="26" t="s">
        <v>7</v>
      </c>
      <c r="Z22" s="16">
        <f>IF($O22="","",INDEX(Ranges!$O$7:$T$156,A22,L22+1)/O22)</f>
        <v>3.9098208770846199</v>
      </c>
      <c r="AA22" s="16">
        <f>IF(O22="","",INDEX(Ranges!$U$7:$Z$156,A22,L22+1)/O22)</f>
        <v>9.0251183858348778</v>
      </c>
      <c r="AB22" s="16">
        <f>IF($B22="","",IF($B22="""","""",INDEX(Ranges!$O$7:$T$156,B22,L22+1)/$O22))</f>
        <v>6.6543133621577111</v>
      </c>
      <c r="AC22" s="16">
        <f>IF($B22="","",IF($B22="""","""",INDEX(Ranges!$U$7:$Z$156,$B22,$L22+1)/$O22))</f>
        <v>14.258801729462631</v>
      </c>
      <c r="AD22" t="s">
        <v>754</v>
      </c>
      <c r="AE22" t="str">
        <f t="shared" si="2"/>
        <v>The ultimate shadow-damage area-of-effect spell</v>
      </c>
      <c r="AF22" t="str">
        <f t="shared" si="3"/>
        <v>The ultimate shadow-damage area-of-effect spell</v>
      </c>
    </row>
    <row r="23" spans="1:32">
      <c r="A23" s="26">
        <v>6</v>
      </c>
      <c r="C23" s="30" t="s">
        <v>383</v>
      </c>
      <c r="D23" s="30" t="s">
        <v>758</v>
      </c>
      <c r="E23">
        <v>0</v>
      </c>
      <c r="F23" t="str">
        <f t="shared" si="1"/>
        <v>Se Mederi</v>
      </c>
      <c r="G23" t="s">
        <v>216</v>
      </c>
      <c r="H23" t="s">
        <v>393</v>
      </c>
      <c r="I23" t="b">
        <v>0</v>
      </c>
      <c r="J23" t="b">
        <v>0</v>
      </c>
      <c r="K23" t="b">
        <v>0</v>
      </c>
      <c r="L23" s="26">
        <v>0</v>
      </c>
      <c r="M23" s="26" t="str">
        <f ca="1">IF(ISBLANK($L23),"",INDIRECT("'Avatars'!"&amp;ADDRESS(ROW(Avatars!$A$2)+$L23,COLUMN(Avatars!$A$2))))</f>
        <v>Adept</v>
      </c>
      <c r="N23" s="6">
        <v>0</v>
      </c>
      <c r="O23" s="63">
        <f>IF($N23="""",O22,IF(ISBLANK($N23),"",$N23*AVERAGE(INDEX(Ranges!$O$7:$T$156,A23,L23+1),INDEX(Ranges!$U$7:$Z$156,A23,L23+1))))</f>
        <v>0</v>
      </c>
      <c r="P23" s="58">
        <v>0</v>
      </c>
      <c r="Q23" s="75">
        <f>1000*Damage!E2*10%*2</f>
        <v>1133.3333333333335</v>
      </c>
      <c r="U23" s="41" t="str">
        <f t="shared" si="0"/>
        <v/>
      </c>
      <c r="V23" s="6">
        <v>1.2</v>
      </c>
      <c r="W23" s="63">
        <f>IF(ISBLANK(V23),"",IF(V23="""",W22,INDEX(Damage!$F$2:$F$151,A23)*V23*SUM(P23:Q23)/1000))</f>
        <v>44.60296296296297</v>
      </c>
      <c r="Z23" s="16" t="e">
        <f>IF($O23="","",INDEX(Ranges!$O$7:$T$156,A23,L23+1)/O23)</f>
        <v>#DIV/0!</v>
      </c>
      <c r="AA23" s="16" t="e">
        <f>IF(O23="","",INDEX(Ranges!$U$7:$Z$156,A23,L23+1)/O23)</f>
        <v>#DIV/0!</v>
      </c>
      <c r="AB23" s="16" t="str">
        <f>IF($B23="","",IF($B23="""","""",INDEX(Ranges!$O$7:$T$156,B23,L23+1)/$O23))</f>
        <v/>
      </c>
      <c r="AC23" s="16" t="str">
        <f>IF($B23="","",IF($B23="""","""",INDEX(Ranges!$U$7:$Z$156,$B23,$L23+1)/$O23))</f>
        <v/>
      </c>
      <c r="AD23" t="s">
        <v>742</v>
      </c>
      <c r="AE23" t="str">
        <f t="shared" si="2"/>
        <v>Lesser, self-only healing spell</v>
      </c>
      <c r="AF23" t="str">
        <f t="shared" si="3"/>
        <v>Lesser, self-only healing spell</v>
      </c>
    </row>
    <row r="24" spans="1:32">
      <c r="A24" s="26">
        <v>2</v>
      </c>
      <c r="C24" s="30" t="s">
        <v>383</v>
      </c>
      <c r="D24" s="30" t="s">
        <v>758</v>
      </c>
      <c r="E24">
        <v>0</v>
      </c>
      <c r="F24" t="str">
        <f t="shared" si="1"/>
        <v>Se Mederi</v>
      </c>
      <c r="G24" t="s">
        <v>216</v>
      </c>
      <c r="H24" t="s">
        <v>393</v>
      </c>
      <c r="I24" t="b">
        <v>0</v>
      </c>
      <c r="J24" t="b">
        <v>0</v>
      </c>
      <c r="K24" t="b">
        <v>0</v>
      </c>
      <c r="L24" s="26">
        <v>1</v>
      </c>
      <c r="M24" s="26" t="str">
        <f ca="1">IF(ISBLANK($L24),"",INDIRECT("'Avatars'!"&amp;ADDRESS(ROW(Avatars!$A$2)+$L24,COLUMN(Avatars!$A$2))))</f>
        <v>Sorcerer</v>
      </c>
      <c r="N24" s="6">
        <v>0</v>
      </c>
      <c r="O24" s="63">
        <f>IF($N24="""",O23,IF(ISBLANK($N24),"",$N24*AVERAGE(INDEX(Ranges!$O$7:$T$156,A24,L24+1),INDEX(Ranges!$U$7:$Z$156,A24,L24+1))))</f>
        <v>0</v>
      </c>
      <c r="P24" s="58">
        <v>0</v>
      </c>
      <c r="Q24" s="63">
        <f>1000*Damage!E3*10%*2</f>
        <v>1085.7142857142858</v>
      </c>
      <c r="U24" s="41" t="str">
        <f t="shared" si="0"/>
        <v/>
      </c>
      <c r="W24" s="63" t="str">
        <f>IF(ISBLANK(V24),"",IF(V24="""",W23,INDEX(Damage!$F$2:$F$151,A24)*V24*SUM(P24:Q24)/1000))</f>
        <v/>
      </c>
      <c r="Z24" s="16" t="e">
        <f>IF($O24="","",INDEX(Ranges!$O$7:$T$156,A24,L24+1)/O24)</f>
        <v>#DIV/0!</v>
      </c>
      <c r="AA24" s="16" t="e">
        <f>IF(O24="","",INDEX(Ranges!$U$7:$Z$156,A24,L24+1)/O24)</f>
        <v>#DIV/0!</v>
      </c>
      <c r="AB24" s="16" t="str">
        <f>IF($B24="","",IF($B24="""","""",INDEX(Ranges!$O$7:$T$156,B24,L24+1)/$O24))</f>
        <v/>
      </c>
      <c r="AC24" s="16" t="str">
        <f>IF($B24="","",IF($B24="""","""",INDEX(Ranges!$U$7:$Z$156,$B24,$L24+1)/$O24))</f>
        <v/>
      </c>
      <c r="AD24" t="s">
        <v>742</v>
      </c>
      <c r="AE24" t="str">
        <f t="shared" si="2"/>
        <v>Lesser, self-only healing spell</v>
      </c>
      <c r="AF24" t="str">
        <f t="shared" si="3"/>
        <v>Lesser, self-only healing spell</v>
      </c>
    </row>
    <row r="25" spans="1:32">
      <c r="A25" s="26">
        <v>6</v>
      </c>
      <c r="C25" s="30" t="s">
        <v>383</v>
      </c>
      <c r="D25" s="30" t="s">
        <v>758</v>
      </c>
      <c r="E25">
        <v>0</v>
      </c>
      <c r="F25" t="str">
        <f t="shared" si="1"/>
        <v>Se Mederi</v>
      </c>
      <c r="G25" t="s">
        <v>216</v>
      </c>
      <c r="H25" t="s">
        <v>393</v>
      </c>
      <c r="I25" t="b">
        <v>0</v>
      </c>
      <c r="J25" t="b">
        <v>0</v>
      </c>
      <c r="K25" t="b">
        <v>0</v>
      </c>
      <c r="L25" s="26">
        <v>2</v>
      </c>
      <c r="M25" s="26" t="str">
        <f ca="1">IF(ISBLANK($L25),"",INDIRECT("'Avatars'!"&amp;ADDRESS(ROW(Avatars!$A$2)+$L25,COLUMN(Avatars!$A$2))))</f>
        <v>Leyshaper</v>
      </c>
      <c r="N25" s="6">
        <v>0</v>
      </c>
      <c r="O25" s="63">
        <f>IF($N25="""",O24,IF(ISBLANK($N25),"",$N25*AVERAGE(INDEX(Ranges!$O$7:$T$156,A25,L25+1),INDEX(Ranges!$U$7:$Z$156,A25,L25+1))))</f>
        <v>0</v>
      </c>
      <c r="P25" s="58">
        <v>0</v>
      </c>
      <c r="Q25" s="63">
        <f>1000*Damage!E4*10%*2</f>
        <v>1050</v>
      </c>
      <c r="U25" s="41" t="str">
        <f t="shared" si="0"/>
        <v/>
      </c>
      <c r="W25" s="63" t="str">
        <f>IF(ISBLANK(V25),"",IF(V25="""",W24,INDEX(Damage!$F$2:$F$151,A25)*V25*SUM(P25:Q25)/1000))</f>
        <v/>
      </c>
      <c r="Z25" s="16" t="e">
        <f>IF($O25="","",INDEX(Ranges!$O$7:$T$156,A25,L25+1)/O25)</f>
        <v>#DIV/0!</v>
      </c>
      <c r="AA25" s="16" t="e">
        <f>IF(O25="","",INDEX(Ranges!$U$7:$Z$156,A25,L25+1)/O25)</f>
        <v>#DIV/0!</v>
      </c>
      <c r="AB25" s="16" t="str">
        <f>IF($B25="","",IF($B25="""","""",INDEX(Ranges!$O$7:$T$156,B25,L25+1)/$O25))</f>
        <v/>
      </c>
      <c r="AC25" s="16" t="str">
        <f>IF($B25="","",IF($B25="""","""",INDEX(Ranges!$U$7:$Z$156,$B25,$L25+1)/$O25))</f>
        <v/>
      </c>
      <c r="AD25" t="s">
        <v>742</v>
      </c>
      <c r="AE25" t="str">
        <f t="shared" si="2"/>
        <v>Lesser, self-only healing spell</v>
      </c>
      <c r="AF25" t="str">
        <f t="shared" si="3"/>
        <v>Lesser, self-only healing spell</v>
      </c>
    </row>
    <row r="26" spans="1:32">
      <c r="A26" s="26">
        <v>6</v>
      </c>
      <c r="C26" s="30" t="s">
        <v>383</v>
      </c>
      <c r="D26" s="30" t="s">
        <v>758</v>
      </c>
      <c r="E26">
        <v>0</v>
      </c>
      <c r="F26" t="str">
        <f t="shared" si="1"/>
        <v>Se Mederi</v>
      </c>
      <c r="G26" t="s">
        <v>216</v>
      </c>
      <c r="H26" t="s">
        <v>393</v>
      </c>
      <c r="I26" t="b">
        <v>0</v>
      </c>
      <c r="J26" t="b">
        <v>0</v>
      </c>
      <c r="K26" t="b">
        <v>0</v>
      </c>
      <c r="L26" s="26">
        <v>3</v>
      </c>
      <c r="M26" s="26" t="str">
        <f ca="1">IF(ISBLANK($L26),"",INDIRECT("'Avatars'!"&amp;ADDRESS(ROW(Avatars!$A$2)+$L26,COLUMN(Avatars!$A$2))))</f>
        <v>Hunter</v>
      </c>
      <c r="N26" s="6">
        <v>0</v>
      </c>
      <c r="O26" s="63">
        <f>IF($N26="""",O25,IF(ISBLANK($N26),"",$N26*AVERAGE(INDEX(Ranges!$O$7:$T$156,A26,L26+1),INDEX(Ranges!$U$7:$Z$156,A26,L26+1))))</f>
        <v>0</v>
      </c>
      <c r="P26" s="58">
        <v>0</v>
      </c>
      <c r="Q26" s="63">
        <f>1000*Damage!E5*10%*2</f>
        <v>1022.2222222222222</v>
      </c>
      <c r="U26" s="41" t="str">
        <f t="shared" si="0"/>
        <v/>
      </c>
      <c r="W26" s="63" t="str">
        <f>IF(ISBLANK(V26),"",IF(V26="""",W25,INDEX(Damage!$F$2:$F$151,A26)*V26*SUM(P26:Q26)/1000))</f>
        <v/>
      </c>
      <c r="Z26" s="16" t="e">
        <f>IF($O26="","",INDEX(Ranges!$O$7:$T$156,A26,L26+1)/O26)</f>
        <v>#DIV/0!</v>
      </c>
      <c r="AA26" s="16" t="e">
        <f>IF(O26="","",INDEX(Ranges!$U$7:$Z$156,A26,L26+1)/O26)</f>
        <v>#DIV/0!</v>
      </c>
      <c r="AB26" s="16" t="str">
        <f>IF($B26="","",IF($B26="""","""",INDEX(Ranges!$O$7:$T$156,B26,L26+1)/$O26))</f>
        <v/>
      </c>
      <c r="AC26" s="16" t="str">
        <f>IF($B26="","",IF($B26="""","""",INDEX(Ranges!$U$7:$Z$156,$B26,$L26+1)/$O26))</f>
        <v/>
      </c>
      <c r="AD26" t="s">
        <v>742</v>
      </c>
      <c r="AE26" t="str">
        <f t="shared" si="2"/>
        <v>Lesser, self-only healing spell</v>
      </c>
      <c r="AF26" t="str">
        <f t="shared" si="3"/>
        <v>Lesser, self-only healing spell</v>
      </c>
    </row>
    <row r="27" spans="1:32">
      <c r="A27" s="26">
        <v>6</v>
      </c>
      <c r="C27" s="30" t="s">
        <v>383</v>
      </c>
      <c r="D27" s="30" t="s">
        <v>758</v>
      </c>
      <c r="E27">
        <v>0</v>
      </c>
      <c r="F27" t="str">
        <f t="shared" si="1"/>
        <v>Se Mederi</v>
      </c>
      <c r="G27" t="s">
        <v>216</v>
      </c>
      <c r="H27" t="s">
        <v>393</v>
      </c>
      <c r="I27" t="b">
        <v>0</v>
      </c>
      <c r="J27" t="b">
        <v>0</v>
      </c>
      <c r="K27" t="b">
        <v>0</v>
      </c>
      <c r="L27" s="26">
        <v>4</v>
      </c>
      <c r="M27" s="26" t="str">
        <f ca="1">IF(ISBLANK($L27),"",INDIRECT("'Avatars'!"&amp;ADDRESS(ROW(Avatars!$A$2)+$L27,COLUMN(Avatars!$A$2))))</f>
        <v>Paladin</v>
      </c>
      <c r="N27" s="6">
        <v>0</v>
      </c>
      <c r="O27" s="63">
        <f>IF($N27="""",O26,IF(ISBLANK($N27),"",$N27*AVERAGE(INDEX(Ranges!$O$7:$T$156,A27,L27+1),INDEX(Ranges!$U$7:$Z$156,A27,L27+1))))</f>
        <v>0</v>
      </c>
      <c r="P27" s="58">
        <v>0</v>
      </c>
      <c r="Q27" s="63">
        <f>1000*Damage!E6*10%*2</f>
        <v>1000</v>
      </c>
      <c r="U27" s="41" t="str">
        <f t="shared" si="0"/>
        <v/>
      </c>
      <c r="W27" s="63" t="str">
        <f>IF(ISBLANK(V27),"",IF(V27="""",W26,INDEX(Damage!$F$2:$F$151,A27)*V27*SUM(P27:Q27)/1000))</f>
        <v/>
      </c>
      <c r="Z27" s="16" t="e">
        <f>IF($O27="","",INDEX(Ranges!$O$7:$T$156,A27,L27+1)/O27)</f>
        <v>#DIV/0!</v>
      </c>
      <c r="AA27" s="16" t="e">
        <f>IF(O27="","",INDEX(Ranges!$U$7:$Z$156,A27,L27+1)/O27)</f>
        <v>#DIV/0!</v>
      </c>
      <c r="AB27" s="16" t="str">
        <f>IF($B27="","",IF($B27="""","""",INDEX(Ranges!$O$7:$T$156,B27,L27+1)/$O27))</f>
        <v/>
      </c>
      <c r="AC27" s="16" t="str">
        <f>IF($B27="","",IF($B27="""","""",INDEX(Ranges!$U$7:$Z$156,$B27,$L27+1)/$O27))</f>
        <v/>
      </c>
      <c r="AD27" t="s">
        <v>742</v>
      </c>
      <c r="AE27" t="str">
        <f t="shared" si="2"/>
        <v>Lesser, self-only healing spell</v>
      </c>
      <c r="AF27" t="str">
        <f t="shared" si="3"/>
        <v>Lesser, self-only healing spell</v>
      </c>
    </row>
    <row r="28" spans="1:32">
      <c r="A28" s="26">
        <v>9</v>
      </c>
      <c r="C28" s="30" t="s">
        <v>383</v>
      </c>
      <c r="D28" s="30" t="s">
        <v>758</v>
      </c>
      <c r="E28">
        <v>0</v>
      </c>
      <c r="F28" t="str">
        <f t="shared" si="1"/>
        <v>Se Mederi</v>
      </c>
      <c r="G28" t="s">
        <v>216</v>
      </c>
      <c r="H28" t="s">
        <v>393</v>
      </c>
      <c r="I28" t="b">
        <v>0</v>
      </c>
      <c r="J28" t="b">
        <v>0</v>
      </c>
      <c r="K28" t="b">
        <v>0</v>
      </c>
      <c r="L28" s="26">
        <v>5</v>
      </c>
      <c r="M28" s="26" t="str">
        <f ca="1">IF(ISBLANK($L28),"",INDIRECT("'Avatars'!"&amp;ADDRESS(ROW(Avatars!$A$2)+$L28,COLUMN(Avatars!$A$2))))</f>
        <v>Warrior</v>
      </c>
      <c r="N28" s="6">
        <v>0</v>
      </c>
      <c r="O28" s="63">
        <f>IF($N28="""",O27,IF(ISBLANK($N28),"",$N28*AVERAGE(INDEX(Ranges!$O$7:$T$156,A28,L28+1),INDEX(Ranges!$U$7:$Z$156,A28,L28+1))))</f>
        <v>0</v>
      </c>
      <c r="P28" s="58">
        <v>0</v>
      </c>
      <c r="Q28" s="63">
        <f>1000*Damage!E7*10%*2</f>
        <v>981.81818181818187</v>
      </c>
      <c r="U28" s="41" t="str">
        <f t="shared" si="0"/>
        <v/>
      </c>
      <c r="W28" s="63" t="str">
        <f>IF(ISBLANK(V28),"",IF(V28="""",W27,INDEX(Damage!$F$2:$F$151,A28)*V28*SUM(P28:Q28)/1000))</f>
        <v/>
      </c>
      <c r="Z28" s="16" t="e">
        <f>IF($O28="","",INDEX(Ranges!$O$7:$T$156,A28,L28+1)/O28)</f>
        <v>#DIV/0!</v>
      </c>
      <c r="AA28" s="16" t="e">
        <f>IF(O28="","",INDEX(Ranges!$U$7:$Z$156,A28,L28+1)/O28)</f>
        <v>#DIV/0!</v>
      </c>
      <c r="AB28" s="16" t="str">
        <f>IF($B28="","",IF($B28="""","""",INDEX(Ranges!$O$7:$T$156,B28,L28+1)/$O28))</f>
        <v/>
      </c>
      <c r="AC28" s="16" t="str">
        <f>IF($B28="","",IF($B28="""","""",INDEX(Ranges!$U$7:$Z$156,$B28,$L28+1)/$O28))</f>
        <v/>
      </c>
      <c r="AD28" t="s">
        <v>742</v>
      </c>
      <c r="AE28" t="str">
        <f t="shared" si="2"/>
        <v>Lesser, self-only healing spell</v>
      </c>
      <c r="AF28" t="str">
        <f t="shared" si="3"/>
        <v>Lesser, self-only healing spell</v>
      </c>
    </row>
    <row r="29" spans="1:32">
      <c r="A29" s="26">
        <v>13</v>
      </c>
      <c r="C29" s="30" t="s">
        <v>217</v>
      </c>
      <c r="D29" s="30" t="s">
        <v>758</v>
      </c>
      <c r="E29">
        <v>0</v>
      </c>
      <c r="F29" t="str">
        <f t="shared" si="1"/>
        <v>Mederi</v>
      </c>
      <c r="G29" t="s">
        <v>216</v>
      </c>
      <c r="H29" t="s">
        <v>394</v>
      </c>
      <c r="I29" t="b">
        <v>1</v>
      </c>
      <c r="J29" t="b">
        <v>1</v>
      </c>
      <c r="K29" t="b">
        <v>0</v>
      </c>
      <c r="L29" s="26">
        <v>0</v>
      </c>
      <c r="M29" s="26" t="str">
        <f ca="1">IF(ISBLANK($L29),"",INDIRECT("'Avatars'!"&amp;ADDRESS(ROW(Avatars!$A$2)+$L29,COLUMN(Avatars!$A$2))))</f>
        <v>Adept</v>
      </c>
      <c r="N29" s="6">
        <v>0</v>
      </c>
      <c r="O29" s="63">
        <f>IF($N29="""",O28,IF(ISBLANK($N29),"",$N29*AVERAGE(INDEX(Ranges!$O$7:$T$156,A29,L29+1),INDEX(Ranges!$U$7:$Z$156,A29,L29+1))))</f>
        <v>0</v>
      </c>
      <c r="P29" s="58">
        <v>0</v>
      </c>
      <c r="Q29" s="63">
        <f>1000*Damage!E8*10%*2</f>
        <v>966.66666666666663</v>
      </c>
      <c r="U29" s="41" t="str">
        <f t="shared" si="0"/>
        <v/>
      </c>
      <c r="W29" s="63" t="str">
        <f>IF(ISBLANK(V29),"",IF(V29="""",W28,INDEX(Damage!$F$2:$F$151,A29)*V29*SUM(P29:Q29)/1000))</f>
        <v/>
      </c>
      <c r="Z29" s="16" t="e">
        <f>IF($O29="","",INDEX(Ranges!$O$7:$T$156,A29,L29+1)/O29)</f>
        <v>#DIV/0!</v>
      </c>
      <c r="AA29" s="16" t="e">
        <f>IF(O29="","",INDEX(Ranges!$U$7:$Z$156,A29,L29+1)/O29)</f>
        <v>#DIV/0!</v>
      </c>
      <c r="AB29" s="16" t="str">
        <f>IF($B29="","",IF($B29="""","""",INDEX(Ranges!$O$7:$T$156,B29,L29+1)/$O29))</f>
        <v/>
      </c>
      <c r="AC29" s="16" t="str">
        <f>IF($B29="","",IF($B29="""","""",INDEX(Ranges!$U$7:$Z$156,$B29,$L29+1)/$O29))</f>
        <v/>
      </c>
      <c r="AD29" t="s">
        <v>743</v>
      </c>
      <c r="AE29" t="str">
        <f t="shared" si="2"/>
        <v>Lesser healing spell</v>
      </c>
      <c r="AF29" t="str">
        <f t="shared" si="3"/>
        <v>Lesser healing spell</v>
      </c>
    </row>
    <row r="30" spans="1:32">
      <c r="A30" s="26">
        <v>10</v>
      </c>
      <c r="C30" s="30" t="s">
        <v>217</v>
      </c>
      <c r="D30" s="30" t="s">
        <v>758</v>
      </c>
      <c r="E30">
        <v>0</v>
      </c>
      <c r="F30" t="str">
        <f t="shared" si="1"/>
        <v>Mederi</v>
      </c>
      <c r="G30" t="s">
        <v>216</v>
      </c>
      <c r="H30" t="s">
        <v>394</v>
      </c>
      <c r="I30" t="b">
        <v>1</v>
      </c>
      <c r="J30" t="b">
        <v>1</v>
      </c>
      <c r="K30" t="b">
        <v>0</v>
      </c>
      <c r="L30" s="26">
        <v>1</v>
      </c>
      <c r="M30" s="26" t="str">
        <f ca="1">IF(ISBLANK($L30),"",INDIRECT("'Avatars'!"&amp;ADDRESS(ROW(Avatars!$A$2)+$L30,COLUMN(Avatars!$A$2))))</f>
        <v>Sorcerer</v>
      </c>
      <c r="N30" s="6">
        <v>0</v>
      </c>
      <c r="O30" s="63">
        <f>IF($N30="""",O29,IF(ISBLANK($N30),"",$N30*AVERAGE(INDEX(Ranges!$O$7:$T$156,A30,L30+1),INDEX(Ranges!$U$7:$Z$156,A30,L30+1))))</f>
        <v>0</v>
      </c>
      <c r="P30" s="58">
        <v>0</v>
      </c>
      <c r="Q30" s="63">
        <f>1000*Damage!E9*10%*2</f>
        <v>953.84615384615392</v>
      </c>
      <c r="U30" s="41" t="str">
        <f t="shared" si="0"/>
        <v/>
      </c>
      <c r="W30" s="63" t="str">
        <f>IF(ISBLANK(V30),"",IF(V30="""",W29,INDEX(Damage!$F$2:$F$151,A30)*V30*SUM(P30:Q30)/1000))</f>
        <v/>
      </c>
      <c r="Z30" s="16" t="e">
        <f>IF($O30="","",INDEX(Ranges!$O$7:$T$156,A30,L30+1)/O30)</f>
        <v>#DIV/0!</v>
      </c>
      <c r="AA30" s="16" t="e">
        <f>IF(O30="","",INDEX(Ranges!$U$7:$Z$156,A30,L30+1)/O30)</f>
        <v>#DIV/0!</v>
      </c>
      <c r="AB30" s="16" t="str">
        <f>IF($B30="","",IF($B30="""","""",INDEX(Ranges!$O$7:$T$156,B30,L30+1)/$O30))</f>
        <v/>
      </c>
      <c r="AC30" s="16" t="str">
        <f>IF($B30="","",IF($B30="""","""",INDEX(Ranges!$U$7:$Z$156,$B30,$L30+1)/$O30))</f>
        <v/>
      </c>
      <c r="AD30" t="s">
        <v>743</v>
      </c>
      <c r="AE30" t="str">
        <f t="shared" si="2"/>
        <v>Lesser healing spell</v>
      </c>
      <c r="AF30" t="str">
        <f t="shared" si="3"/>
        <v>Lesser healing spell</v>
      </c>
    </row>
    <row r="31" spans="1:32">
      <c r="A31" s="26">
        <v>13</v>
      </c>
      <c r="C31" s="30" t="s">
        <v>217</v>
      </c>
      <c r="D31" s="30" t="s">
        <v>758</v>
      </c>
      <c r="E31">
        <v>0</v>
      </c>
      <c r="F31" t="str">
        <f t="shared" si="1"/>
        <v>Mederi</v>
      </c>
      <c r="G31" t="s">
        <v>216</v>
      </c>
      <c r="H31" t="s">
        <v>394</v>
      </c>
      <c r="I31" t="b">
        <v>1</v>
      </c>
      <c r="J31" t="b">
        <v>1</v>
      </c>
      <c r="K31" t="b">
        <v>0</v>
      </c>
      <c r="L31" s="26">
        <v>2</v>
      </c>
      <c r="M31" s="26" t="str">
        <f ca="1">IF(ISBLANK($L31),"",INDIRECT("'Avatars'!"&amp;ADDRESS(ROW(Avatars!$A$2)+$L31,COLUMN(Avatars!$A$2))))</f>
        <v>Leyshaper</v>
      </c>
      <c r="N31" s="6">
        <v>0</v>
      </c>
      <c r="O31" s="63">
        <f>IF($N31="""",O30,IF(ISBLANK($N31),"",$N31*AVERAGE(INDEX(Ranges!$O$7:$T$156,A31,L31+1),INDEX(Ranges!$U$7:$Z$156,A31,L31+1))))</f>
        <v>0</v>
      </c>
      <c r="P31" s="58">
        <v>0</v>
      </c>
      <c r="Q31" s="63">
        <f>1000*Damage!E10*10%*2</f>
        <v>942.857142857143</v>
      </c>
      <c r="U31" s="41" t="str">
        <f t="shared" si="0"/>
        <v/>
      </c>
      <c r="W31" s="63" t="str">
        <f>IF(ISBLANK(V31),"",IF(V31="""",W30,INDEX(Damage!$F$2:$F$151,A31)*V31*SUM(P31:Q31)/1000))</f>
        <v/>
      </c>
      <c r="Z31" s="16" t="e">
        <f>IF($O31="","",INDEX(Ranges!$O$7:$T$156,A31,L31+1)/O31)</f>
        <v>#DIV/0!</v>
      </c>
      <c r="AA31" s="16" t="e">
        <f>IF(O31="","",INDEX(Ranges!$U$7:$Z$156,A31,L31+1)/O31)</f>
        <v>#DIV/0!</v>
      </c>
      <c r="AB31" s="16" t="str">
        <f>IF($B31="","",IF($B31="""","""",INDEX(Ranges!$O$7:$T$156,B31,L31+1)/$O31))</f>
        <v/>
      </c>
      <c r="AC31" s="16" t="str">
        <f>IF($B31="","",IF($B31="""","""",INDEX(Ranges!$U$7:$Z$156,$B31,$L31+1)/$O31))</f>
        <v/>
      </c>
      <c r="AD31" t="s">
        <v>743</v>
      </c>
      <c r="AE31" t="str">
        <f t="shared" si="2"/>
        <v>Lesser healing spell</v>
      </c>
      <c r="AF31" t="str">
        <f t="shared" si="3"/>
        <v>Lesser healing spell</v>
      </c>
    </row>
    <row r="32" spans="1:32">
      <c r="A32" s="26">
        <v>14</v>
      </c>
      <c r="C32" s="30" t="s">
        <v>217</v>
      </c>
      <c r="D32" s="30" t="s">
        <v>758</v>
      </c>
      <c r="E32">
        <v>0</v>
      </c>
      <c r="F32" t="str">
        <f t="shared" si="1"/>
        <v>Mederi</v>
      </c>
      <c r="G32" t="s">
        <v>216</v>
      </c>
      <c r="H32" t="s">
        <v>394</v>
      </c>
      <c r="I32" t="b">
        <v>1</v>
      </c>
      <c r="J32" t="b">
        <v>1</v>
      </c>
      <c r="K32" t="b">
        <v>0</v>
      </c>
      <c r="L32" s="26">
        <v>3</v>
      </c>
      <c r="M32" s="26" t="str">
        <f ca="1">IF(ISBLANK($L32),"",INDIRECT("'Avatars'!"&amp;ADDRESS(ROW(Avatars!$A$2)+$L32,COLUMN(Avatars!$A$2))))</f>
        <v>Hunter</v>
      </c>
      <c r="N32" s="6">
        <v>0</v>
      </c>
      <c r="O32" s="63">
        <f>IF($N32="""",O31,IF(ISBLANK($N32),"",$N32*AVERAGE(INDEX(Ranges!$O$7:$T$156,A32,L32+1),INDEX(Ranges!$U$7:$Z$156,A32,L32+1))))</f>
        <v>0</v>
      </c>
      <c r="P32" s="58">
        <v>0</v>
      </c>
      <c r="Q32" s="63">
        <f>1000*Damage!E11*10%*2</f>
        <v>933.33333333333348</v>
      </c>
      <c r="U32" s="41" t="str">
        <f t="shared" si="0"/>
        <v/>
      </c>
      <c r="W32" s="63" t="str">
        <f>IF(ISBLANK(V32),"",IF(V32="""",W31,INDEX(Damage!$F$2:$F$151,A32)*V32*SUM(P32:Q32)/1000))</f>
        <v/>
      </c>
      <c r="Z32" s="16" t="e">
        <f>IF($O32="","",INDEX(Ranges!$O$7:$T$156,A32,L32+1)/O32)</f>
        <v>#DIV/0!</v>
      </c>
      <c r="AA32" s="16" t="e">
        <f>IF(O32="","",INDEX(Ranges!$U$7:$Z$156,A32,L32+1)/O32)</f>
        <v>#DIV/0!</v>
      </c>
      <c r="AB32" s="16" t="str">
        <f>IF($B32="","",IF($B32="""","""",INDEX(Ranges!$O$7:$T$156,B32,L32+1)/$O32))</f>
        <v/>
      </c>
      <c r="AC32" s="16" t="str">
        <f>IF($B32="","",IF($B32="""","""",INDEX(Ranges!$U$7:$Z$156,$B32,$L32+1)/$O32))</f>
        <v/>
      </c>
      <c r="AD32" t="s">
        <v>743</v>
      </c>
      <c r="AE32" t="str">
        <f t="shared" si="2"/>
        <v>Lesser healing spell</v>
      </c>
      <c r="AF32" t="str">
        <f t="shared" si="3"/>
        <v>Lesser healing spell</v>
      </c>
    </row>
    <row r="33" spans="1:32">
      <c r="A33" s="26">
        <v>12</v>
      </c>
      <c r="C33" s="30" t="s">
        <v>217</v>
      </c>
      <c r="D33" s="30" t="s">
        <v>758</v>
      </c>
      <c r="E33">
        <v>0</v>
      </c>
      <c r="F33" t="str">
        <f t="shared" si="1"/>
        <v>Mederi</v>
      </c>
      <c r="G33" t="s">
        <v>216</v>
      </c>
      <c r="H33" t="s">
        <v>394</v>
      </c>
      <c r="I33" t="b">
        <v>1</v>
      </c>
      <c r="J33" t="b">
        <v>1</v>
      </c>
      <c r="K33" t="b">
        <v>0</v>
      </c>
      <c r="L33" s="26">
        <v>4</v>
      </c>
      <c r="M33" s="26" t="str">
        <f ca="1">IF(ISBLANK($L33),"",INDIRECT("'Avatars'!"&amp;ADDRESS(ROW(Avatars!$A$2)+$L33,COLUMN(Avatars!$A$2))))</f>
        <v>Paladin</v>
      </c>
      <c r="N33" s="6">
        <v>0</v>
      </c>
      <c r="O33" s="63">
        <f>IF($N33="""",O32,IF(ISBLANK($N33),"",$N33*AVERAGE(INDEX(Ranges!$O$7:$T$156,A33,L33+1),INDEX(Ranges!$U$7:$Z$156,A33,L33+1))))</f>
        <v>0</v>
      </c>
      <c r="P33" s="58">
        <v>0</v>
      </c>
      <c r="Q33" s="63">
        <f>1000*Damage!E12*10%*2</f>
        <v>925</v>
      </c>
      <c r="U33" s="41" t="str">
        <f t="shared" si="0"/>
        <v/>
      </c>
      <c r="W33" s="63" t="str">
        <f>IF(ISBLANK(V33),"",IF(V33="""",W32,INDEX(Damage!$F$2:$F$151,A33)*V33*SUM(P33:Q33)/1000))</f>
        <v/>
      </c>
      <c r="Z33" s="16" t="e">
        <f>IF($O33="","",INDEX(Ranges!$O$7:$T$156,A33,L33+1)/O33)</f>
        <v>#DIV/0!</v>
      </c>
      <c r="AA33" s="16" t="e">
        <f>IF(O33="","",INDEX(Ranges!$U$7:$Z$156,A33,L33+1)/O33)</f>
        <v>#DIV/0!</v>
      </c>
      <c r="AB33" s="16" t="str">
        <f>IF($B33="","",IF($B33="""","""",INDEX(Ranges!$O$7:$T$156,B33,L33+1)/$O33))</f>
        <v/>
      </c>
      <c r="AC33" s="16" t="str">
        <f>IF($B33="","",IF($B33="""","""",INDEX(Ranges!$U$7:$Z$156,$B33,$L33+1)/$O33))</f>
        <v/>
      </c>
      <c r="AD33" t="s">
        <v>743</v>
      </c>
      <c r="AE33" t="str">
        <f t="shared" si="2"/>
        <v>Lesser healing spell</v>
      </c>
      <c r="AF33" t="str">
        <f t="shared" si="3"/>
        <v>Lesser healing spell</v>
      </c>
    </row>
    <row r="34" spans="1:32">
      <c r="A34" s="26">
        <v>21</v>
      </c>
      <c r="C34" s="30" t="s">
        <v>217</v>
      </c>
      <c r="D34" s="30" t="s">
        <v>758</v>
      </c>
      <c r="E34">
        <v>0</v>
      </c>
      <c r="F34" t="str">
        <f t="shared" si="1"/>
        <v>Mederi</v>
      </c>
      <c r="G34" t="s">
        <v>216</v>
      </c>
      <c r="H34" t="s">
        <v>394</v>
      </c>
      <c r="I34" t="b">
        <v>1</v>
      </c>
      <c r="J34" t="b">
        <v>1</v>
      </c>
      <c r="K34" t="b">
        <v>0</v>
      </c>
      <c r="L34" s="26">
        <v>5</v>
      </c>
      <c r="M34" s="26" t="str">
        <f ca="1">IF(ISBLANK($L34),"",INDIRECT("'Avatars'!"&amp;ADDRESS(ROW(Avatars!$A$2)+$L34,COLUMN(Avatars!$A$2))))</f>
        <v>Warrior</v>
      </c>
      <c r="N34" s="6">
        <v>0</v>
      </c>
      <c r="O34" s="63">
        <f>IF($N34="""",O33,IF(ISBLANK($N34),"",$N34*AVERAGE(INDEX(Ranges!$O$7:$T$156,A34,L34+1),INDEX(Ranges!$U$7:$Z$156,A34,L34+1))))</f>
        <v>0</v>
      </c>
      <c r="P34" s="58">
        <v>0</v>
      </c>
      <c r="Q34" s="63">
        <f>1000*Damage!E13*10%*2</f>
        <v>917.64705882352939</v>
      </c>
      <c r="U34" s="41" t="str">
        <f t="shared" si="0"/>
        <v/>
      </c>
      <c r="W34" s="63" t="str">
        <f>IF(ISBLANK(V34),"",IF(V34="""",W33,INDEX(Damage!$F$2:$F$151,A34)*V34*SUM(P34:Q34)/1000))</f>
        <v/>
      </c>
      <c r="Z34" s="16" t="e">
        <f>IF($O34="","",INDEX(Ranges!$O$7:$T$156,A34,L34+1)/O34)</f>
        <v>#DIV/0!</v>
      </c>
      <c r="AA34" s="16" t="e">
        <f>IF(O34="","",INDEX(Ranges!$U$7:$Z$156,A34,L34+1)/O34)</f>
        <v>#DIV/0!</v>
      </c>
      <c r="AB34" s="16" t="str">
        <f>IF($B34="","",IF($B34="""","""",INDEX(Ranges!$O$7:$T$156,B34,L34+1)/$O34))</f>
        <v/>
      </c>
      <c r="AC34" s="16" t="str">
        <f>IF($B34="","",IF($B34="""","""",INDEX(Ranges!$U$7:$Z$156,$B34,$L34+1)/$O34))</f>
        <v/>
      </c>
      <c r="AD34" t="s">
        <v>743</v>
      </c>
      <c r="AE34" t="str">
        <f t="shared" si="2"/>
        <v>Lesser healing spell</v>
      </c>
      <c r="AF34" t="str">
        <f t="shared" si="3"/>
        <v>Lesser healing spell</v>
      </c>
    </row>
    <row r="35" spans="1:32">
      <c r="A35" s="26">
        <v>21</v>
      </c>
      <c r="C35" s="30" t="s">
        <v>384</v>
      </c>
      <c r="D35" s="30" t="s">
        <v>758</v>
      </c>
      <c r="E35">
        <v>0</v>
      </c>
      <c r="F35" t="str">
        <f t="shared" si="1"/>
        <v>Se Vis Mederi</v>
      </c>
      <c r="G35" t="s">
        <v>216</v>
      </c>
      <c r="H35" t="s">
        <v>395</v>
      </c>
      <c r="I35" t="b">
        <v>0</v>
      </c>
      <c r="J35" t="b">
        <v>0</v>
      </c>
      <c r="K35" t="b">
        <v>0</v>
      </c>
      <c r="L35" s="26">
        <v>0</v>
      </c>
      <c r="M35" s="26" t="str">
        <f ca="1">IF(ISBLANK($L35),"",INDIRECT("'Avatars'!"&amp;ADDRESS(ROW(Avatars!$A$2)+$L35,COLUMN(Avatars!$A$2))))</f>
        <v>Adept</v>
      </c>
      <c r="N35" s="6">
        <v>0</v>
      </c>
      <c r="O35" s="63">
        <f>IF($N35="""",O34,IF(ISBLANK($N35),"",$N35*AVERAGE(INDEX(Ranges!$O$7:$T$156,A35,L35+1),INDEX(Ranges!$U$7:$Z$156,A35,L35+1))))</f>
        <v>0</v>
      </c>
      <c r="P35" s="58">
        <v>0</v>
      </c>
      <c r="Q35" s="63">
        <f>1000*Damage!E14*10%*2</f>
        <v>911.1111111111112</v>
      </c>
      <c r="U35" s="41" t="str">
        <f t="shared" si="0"/>
        <v/>
      </c>
      <c r="W35" s="63" t="str">
        <f>IF(ISBLANK(V35),"",IF(V35="""",W34,INDEX(Damage!$F$2:$F$151,A35)*V35*SUM(P35:Q35)/1000))</f>
        <v/>
      </c>
      <c r="Z35" s="16" t="e">
        <f>IF($O35="","",INDEX(Ranges!$O$7:$T$156,A35,L35+1)/O35)</f>
        <v>#DIV/0!</v>
      </c>
      <c r="AA35" s="16" t="e">
        <f>IF(O35="","",INDEX(Ranges!$U$7:$Z$156,A35,L35+1)/O35)</f>
        <v>#DIV/0!</v>
      </c>
      <c r="AB35" s="16" t="str">
        <f>IF($B35="","",IF($B35="""","""",INDEX(Ranges!$O$7:$T$156,B35,L35+1)/$O35))</f>
        <v/>
      </c>
      <c r="AC35" s="16" t="str">
        <f>IF($B35="","",IF($B35="""","""",INDEX(Ranges!$U$7:$Z$156,$B35,$L35+1)/$O35))</f>
        <v/>
      </c>
      <c r="AD35" t="s">
        <v>744</v>
      </c>
      <c r="AE35" t="str">
        <f t="shared" si="2"/>
        <v>Self-only healing spell</v>
      </c>
      <c r="AF35" t="str">
        <f t="shared" si="3"/>
        <v>Self-only healing spell</v>
      </c>
    </row>
    <row r="36" spans="1:32">
      <c r="A36" s="26">
        <v>20</v>
      </c>
      <c r="C36" s="30" t="s">
        <v>384</v>
      </c>
      <c r="D36" s="30" t="s">
        <v>758</v>
      </c>
      <c r="E36">
        <v>0</v>
      </c>
      <c r="F36" t="str">
        <f t="shared" si="1"/>
        <v>Se Vis Mederi</v>
      </c>
      <c r="G36" t="s">
        <v>216</v>
      </c>
      <c r="H36" t="s">
        <v>395</v>
      </c>
      <c r="I36" t="b">
        <v>0</v>
      </c>
      <c r="J36" t="b">
        <v>0</v>
      </c>
      <c r="K36" t="b">
        <v>0</v>
      </c>
      <c r="L36" s="26">
        <v>1</v>
      </c>
      <c r="M36" s="26" t="str">
        <f ca="1">IF(ISBLANK($L36),"",INDIRECT("'Avatars'!"&amp;ADDRESS(ROW(Avatars!$A$2)+$L36,COLUMN(Avatars!$A$2))))</f>
        <v>Sorcerer</v>
      </c>
      <c r="N36" s="6">
        <v>0</v>
      </c>
      <c r="O36" s="63">
        <f>IF($N36="""",O35,IF(ISBLANK($N36),"",$N36*AVERAGE(INDEX(Ranges!$O$7:$T$156,A36,L36+1),INDEX(Ranges!$U$7:$Z$156,A36,L36+1))))</f>
        <v>0</v>
      </c>
      <c r="P36" s="58">
        <v>0</v>
      </c>
      <c r="Q36" s="63">
        <f>1000*Damage!E15*10%*2</f>
        <v>905.26315789473688</v>
      </c>
      <c r="U36" s="41" t="str">
        <f t="shared" si="0"/>
        <v/>
      </c>
      <c r="W36" s="63" t="str">
        <f>IF(ISBLANK(V36),"",IF(V36="""",W35,INDEX(Damage!$F$2:$F$151,A36)*V36*SUM(P36:Q36)/1000))</f>
        <v/>
      </c>
      <c r="Z36" s="16" t="e">
        <f>IF($O36="","",INDEX(Ranges!$O$7:$T$156,A36,L36+1)/O36)</f>
        <v>#DIV/0!</v>
      </c>
      <c r="AA36" s="16" t="e">
        <f>IF(O36="","",INDEX(Ranges!$U$7:$Z$156,A36,L36+1)/O36)</f>
        <v>#DIV/0!</v>
      </c>
      <c r="AB36" s="16" t="str">
        <f>IF($B36="","",IF($B36="""","""",INDEX(Ranges!$O$7:$T$156,B36,L36+1)/$O36))</f>
        <v/>
      </c>
      <c r="AC36" s="16" t="str">
        <f>IF($B36="","",IF($B36="""","""",INDEX(Ranges!$U$7:$Z$156,$B36,$L36+1)/$O36))</f>
        <v/>
      </c>
      <c r="AD36" t="s">
        <v>744</v>
      </c>
      <c r="AE36" t="str">
        <f t="shared" si="2"/>
        <v>Self-only healing spell</v>
      </c>
      <c r="AF36" t="str">
        <f t="shared" si="3"/>
        <v>Self-only healing spell</v>
      </c>
    </row>
    <row r="37" spans="1:32">
      <c r="A37" s="26">
        <v>11</v>
      </c>
      <c r="C37" s="30" t="s">
        <v>384</v>
      </c>
      <c r="D37" s="30" t="s">
        <v>758</v>
      </c>
      <c r="E37">
        <v>0</v>
      </c>
      <c r="F37" t="str">
        <f t="shared" si="1"/>
        <v>Se Vis Mederi</v>
      </c>
      <c r="G37" t="s">
        <v>216</v>
      </c>
      <c r="H37" t="s">
        <v>395</v>
      </c>
      <c r="I37" t="b">
        <v>0</v>
      </c>
      <c r="J37" t="b">
        <v>0</v>
      </c>
      <c r="K37" t="b">
        <v>0</v>
      </c>
      <c r="L37" s="26">
        <v>2</v>
      </c>
      <c r="M37" s="26" t="str">
        <f ca="1">IF(ISBLANK($L37),"",INDIRECT("'Avatars'!"&amp;ADDRESS(ROW(Avatars!$A$2)+$L37,COLUMN(Avatars!$A$2))))</f>
        <v>Leyshaper</v>
      </c>
      <c r="N37" s="6">
        <v>0</v>
      </c>
      <c r="O37" s="63">
        <f>IF($N37="""",O36,IF(ISBLANK($N37),"",$N37*AVERAGE(INDEX(Ranges!$O$7:$T$156,A37,L37+1),INDEX(Ranges!$U$7:$Z$156,A37,L37+1))))</f>
        <v>0</v>
      </c>
      <c r="P37" s="58">
        <v>0</v>
      </c>
      <c r="Q37" s="63">
        <f>1000*Damage!E16*10%*2</f>
        <v>900</v>
      </c>
      <c r="U37" s="41" t="str">
        <f t="shared" si="0"/>
        <v/>
      </c>
      <c r="W37" s="63" t="str">
        <f>IF(ISBLANK(V37),"",IF(V37="""",W36,INDEX(Damage!$F$2:$F$151,A37)*V37*SUM(P37:Q37)/1000))</f>
        <v/>
      </c>
      <c r="Z37" s="16" t="e">
        <f>IF($O37="","",INDEX(Ranges!$O$7:$T$156,A37,L37+1)/O37)</f>
        <v>#DIV/0!</v>
      </c>
      <c r="AA37" s="16" t="e">
        <f>IF(O37="","",INDEX(Ranges!$U$7:$Z$156,A37,L37+1)/O37)</f>
        <v>#DIV/0!</v>
      </c>
      <c r="AB37" s="16" t="str">
        <f>IF($B37="","",IF($B37="""","""",INDEX(Ranges!$O$7:$T$156,B37,L37+1)/$O37))</f>
        <v/>
      </c>
      <c r="AC37" s="16" t="str">
        <f>IF($B37="","",IF($B37="""","""",INDEX(Ranges!$U$7:$Z$156,$B37,$L37+1)/$O37))</f>
        <v/>
      </c>
      <c r="AD37" t="s">
        <v>744</v>
      </c>
      <c r="AE37" t="str">
        <f t="shared" si="2"/>
        <v>Self-only healing spell</v>
      </c>
      <c r="AF37" t="str">
        <f t="shared" si="3"/>
        <v>Self-only healing spell</v>
      </c>
    </row>
    <row r="38" spans="1:32">
      <c r="A38" s="26">
        <v>16</v>
      </c>
      <c r="C38" s="30" t="s">
        <v>384</v>
      </c>
      <c r="D38" s="30" t="s">
        <v>758</v>
      </c>
      <c r="E38">
        <v>0</v>
      </c>
      <c r="F38" t="str">
        <f t="shared" si="1"/>
        <v>Se Vis Mederi</v>
      </c>
      <c r="G38" t="s">
        <v>216</v>
      </c>
      <c r="H38" t="s">
        <v>395</v>
      </c>
      <c r="I38" t="b">
        <v>0</v>
      </c>
      <c r="J38" t="b">
        <v>0</v>
      </c>
      <c r="K38" t="b">
        <v>0</v>
      </c>
      <c r="L38" s="26">
        <v>3</v>
      </c>
      <c r="M38" s="26" t="str">
        <f ca="1">IF(ISBLANK($L38),"",INDIRECT("'Avatars'!"&amp;ADDRESS(ROW(Avatars!$A$2)+$L38,COLUMN(Avatars!$A$2))))</f>
        <v>Hunter</v>
      </c>
      <c r="N38" s="6">
        <v>0</v>
      </c>
      <c r="O38" s="63">
        <f>IF($N38="""",O37,IF(ISBLANK($N38),"",$N38*AVERAGE(INDEX(Ranges!$O$7:$T$156,A38,L38+1),INDEX(Ranges!$U$7:$Z$156,A38,L38+1))))</f>
        <v>0</v>
      </c>
      <c r="P38" s="58">
        <v>0</v>
      </c>
      <c r="Q38" s="63">
        <f>1000*Damage!E17*10%*2</f>
        <v>895.2380952380953</v>
      </c>
      <c r="U38" s="41" t="str">
        <f t="shared" si="0"/>
        <v/>
      </c>
      <c r="W38" s="63" t="str">
        <f>IF(ISBLANK(V38),"",IF(V38="""",W37,INDEX(Damage!$F$2:$F$151,A38)*V38*SUM(P38:Q38)/1000))</f>
        <v/>
      </c>
      <c r="Z38" s="16" t="e">
        <f>IF($O38="","",INDEX(Ranges!$O$7:$T$156,A38,L38+1)/O38)</f>
        <v>#DIV/0!</v>
      </c>
      <c r="AA38" s="16" t="e">
        <f>IF(O38="","",INDEX(Ranges!$U$7:$Z$156,A38,L38+1)/O38)</f>
        <v>#DIV/0!</v>
      </c>
      <c r="AB38" s="16" t="str">
        <f>IF($B38="","",IF($B38="""","""",INDEX(Ranges!$O$7:$T$156,B38,L38+1)/$O38))</f>
        <v/>
      </c>
      <c r="AC38" s="16" t="str">
        <f>IF($B38="","",IF($B38="""","""",INDEX(Ranges!$U$7:$Z$156,$B38,$L38+1)/$O38))</f>
        <v/>
      </c>
      <c r="AD38" t="s">
        <v>744</v>
      </c>
      <c r="AE38" t="str">
        <f t="shared" si="2"/>
        <v>Self-only healing spell</v>
      </c>
      <c r="AF38" t="str">
        <f t="shared" si="3"/>
        <v>Self-only healing spell</v>
      </c>
    </row>
    <row r="39" spans="1:32">
      <c r="A39" s="26">
        <v>12</v>
      </c>
      <c r="C39" s="30" t="s">
        <v>384</v>
      </c>
      <c r="D39" s="30" t="s">
        <v>758</v>
      </c>
      <c r="E39">
        <v>0</v>
      </c>
      <c r="F39" t="str">
        <f t="shared" si="1"/>
        <v>Se Vis Mederi</v>
      </c>
      <c r="G39" t="s">
        <v>216</v>
      </c>
      <c r="H39" t="s">
        <v>395</v>
      </c>
      <c r="I39" t="b">
        <v>0</v>
      </c>
      <c r="J39" t="b">
        <v>0</v>
      </c>
      <c r="K39" t="b">
        <v>0</v>
      </c>
      <c r="L39" s="26">
        <v>4</v>
      </c>
      <c r="M39" s="26" t="str">
        <f ca="1">IF(ISBLANK($L39),"",INDIRECT("'Avatars'!"&amp;ADDRESS(ROW(Avatars!$A$2)+$L39,COLUMN(Avatars!$A$2))))</f>
        <v>Paladin</v>
      </c>
      <c r="N39" s="6">
        <v>0</v>
      </c>
      <c r="O39" s="63">
        <f>IF($N39="""",O38,IF(ISBLANK($N39),"",$N39*AVERAGE(INDEX(Ranges!$O$7:$T$156,A39,L39+1),INDEX(Ranges!$U$7:$Z$156,A39,L39+1))))</f>
        <v>0</v>
      </c>
      <c r="P39" s="58">
        <v>0</v>
      </c>
      <c r="Q39" s="63">
        <f>1000*Damage!E18*10%*2</f>
        <v>890.90909090909088</v>
      </c>
      <c r="U39" s="41" t="str">
        <f t="shared" si="0"/>
        <v/>
      </c>
      <c r="W39" s="63" t="str">
        <f>IF(ISBLANK(V39),"",IF(V39="""",W38,INDEX(Damage!$F$2:$F$151,A39)*V39*SUM(P39:Q39)/1000))</f>
        <v/>
      </c>
      <c r="Z39" s="16" t="e">
        <f>IF($O39="","",INDEX(Ranges!$O$7:$T$156,A39,L39+1)/O39)</f>
        <v>#DIV/0!</v>
      </c>
      <c r="AA39" s="16" t="e">
        <f>IF(O39="","",INDEX(Ranges!$U$7:$Z$156,A39,L39+1)/O39)</f>
        <v>#DIV/0!</v>
      </c>
      <c r="AB39" s="16" t="str">
        <f>IF($B39="","",IF($B39="""","""",INDEX(Ranges!$O$7:$T$156,B39,L39+1)/$O39))</f>
        <v/>
      </c>
      <c r="AC39" s="16" t="str">
        <f>IF($B39="","",IF($B39="""","""",INDEX(Ranges!$U$7:$Z$156,$B39,$L39+1)/$O39))</f>
        <v/>
      </c>
      <c r="AD39" t="s">
        <v>744</v>
      </c>
      <c r="AE39" t="str">
        <f t="shared" si="2"/>
        <v>Self-only healing spell</v>
      </c>
      <c r="AF39" t="str">
        <f t="shared" si="3"/>
        <v>Self-only healing spell</v>
      </c>
    </row>
    <row r="40" spans="1:32">
      <c r="A40" s="26">
        <v>21</v>
      </c>
      <c r="C40" s="30" t="s">
        <v>384</v>
      </c>
      <c r="D40" s="30" t="s">
        <v>758</v>
      </c>
      <c r="E40">
        <v>0</v>
      </c>
      <c r="F40" t="str">
        <f t="shared" si="1"/>
        <v>Se Vis Mederi</v>
      </c>
      <c r="G40" t="s">
        <v>216</v>
      </c>
      <c r="H40" t="s">
        <v>395</v>
      </c>
      <c r="I40" t="b">
        <v>0</v>
      </c>
      <c r="J40" t="b">
        <v>0</v>
      </c>
      <c r="K40" t="b">
        <v>0</v>
      </c>
      <c r="L40" s="26">
        <v>5</v>
      </c>
      <c r="M40" s="26" t="str">
        <f ca="1">IF(ISBLANK($L40),"",INDIRECT("'Avatars'!"&amp;ADDRESS(ROW(Avatars!$A$2)+$L40,COLUMN(Avatars!$A$2))))</f>
        <v>Warrior</v>
      </c>
      <c r="N40" s="6">
        <v>0</v>
      </c>
      <c r="O40" s="63">
        <f>IF($N40="""",O39,IF(ISBLANK($N40),"",$N40*AVERAGE(INDEX(Ranges!$O$7:$T$156,A40,L40+1),INDEX(Ranges!$U$7:$Z$156,A40,L40+1))))</f>
        <v>0</v>
      </c>
      <c r="P40" s="58">
        <v>0</v>
      </c>
      <c r="Q40" s="9">
        <v>300</v>
      </c>
      <c r="U40" s="41" t="str">
        <f t="shared" si="0"/>
        <v/>
      </c>
      <c r="W40" s="63" t="str">
        <f>IF(ISBLANK(V40),"",IF(V40="""",W39,INDEX(Damage!$F$2:$F$151,A40)*V40*SUM(P40:Q40)/1000))</f>
        <v/>
      </c>
      <c r="Z40" s="16" t="e">
        <f>IF($O40="","",INDEX(Ranges!$O$7:$T$156,A40,L40+1)/O40)</f>
        <v>#DIV/0!</v>
      </c>
      <c r="AA40" s="16" t="e">
        <f>IF(O40="","",INDEX(Ranges!$U$7:$Z$156,A40,L40+1)/O40)</f>
        <v>#DIV/0!</v>
      </c>
      <c r="AB40" s="16" t="str">
        <f>IF($B40="","",IF($B40="""","""",INDEX(Ranges!$O$7:$T$156,B40,L40+1)/$O40))</f>
        <v/>
      </c>
      <c r="AC40" s="16" t="str">
        <f>IF($B40="","",IF($B40="""","""",INDEX(Ranges!$U$7:$Z$156,$B40,$L40+1)/$O40))</f>
        <v/>
      </c>
      <c r="AD40" t="s">
        <v>744</v>
      </c>
      <c r="AE40" t="str">
        <f t="shared" si="2"/>
        <v>Self-only healing spell</v>
      </c>
      <c r="AF40" t="str">
        <f t="shared" si="3"/>
        <v>Self-only healing spell</v>
      </c>
    </row>
    <row r="41" spans="1:32">
      <c r="A41" s="26">
        <v>38</v>
      </c>
      <c r="C41" s="30" t="s">
        <v>218</v>
      </c>
      <c r="D41" s="30" t="s">
        <v>758</v>
      </c>
      <c r="E41">
        <v>0</v>
      </c>
      <c r="F41" t="str">
        <f t="shared" si="1"/>
        <v>Vis Mederi</v>
      </c>
      <c r="G41" t="s">
        <v>216</v>
      </c>
      <c r="I41" t="b">
        <v>1</v>
      </c>
      <c r="J41" t="b">
        <v>1</v>
      </c>
      <c r="K41" t="b">
        <v>0</v>
      </c>
      <c r="L41" s="26">
        <v>0</v>
      </c>
      <c r="M41" s="26" t="str">
        <f ca="1">IF(ISBLANK($L41),"",INDIRECT("'Avatars'!"&amp;ADDRESS(ROW(Avatars!$A$2)+$L41,COLUMN(Avatars!$A$2))))</f>
        <v>Adept</v>
      </c>
      <c r="N41" s="6">
        <v>0</v>
      </c>
      <c r="O41" s="63">
        <f>IF($N41="""",O40,IF(ISBLANK($N41),"",$N41*AVERAGE(INDEX(Ranges!$O$7:$T$156,A41,L41+1),INDEX(Ranges!$U$7:$Z$156,A41,L41+1))))</f>
        <v>0</v>
      </c>
      <c r="P41" s="58">
        <v>0</v>
      </c>
      <c r="Q41" s="9">
        <v>400</v>
      </c>
      <c r="U41" s="41" t="str">
        <f t="shared" si="0"/>
        <v/>
      </c>
      <c r="W41" s="63" t="str">
        <f>IF(ISBLANK(V41),"",IF(V41="""",W40,INDEX(Damage!$F$2:$F$151,A41)*V41*SUM(P41:Q41)/1000))</f>
        <v/>
      </c>
      <c r="Z41" s="16" t="e">
        <f>IF($O41="","",INDEX(Ranges!$O$7:$T$156,A41,L41+1)/O41)</f>
        <v>#DIV/0!</v>
      </c>
      <c r="AA41" s="16" t="e">
        <f>IF(O41="","",INDEX(Ranges!$U$7:$Z$156,A41,L41+1)/O41)</f>
        <v>#DIV/0!</v>
      </c>
      <c r="AB41" s="16" t="str">
        <f>IF($B41="","",IF($B41="""","""",INDEX(Ranges!$O$7:$T$156,B41,L41+1)/$O41))</f>
        <v/>
      </c>
      <c r="AC41" s="16" t="str">
        <f>IF($B41="","",IF($B41="""","""",INDEX(Ranges!$U$7:$Z$156,$B41,$L41+1)/$O41))</f>
        <v/>
      </c>
      <c r="AD41" t="s">
        <v>716</v>
      </c>
      <c r="AE41" t="str">
        <f t="shared" si="2"/>
        <v>Healing spell</v>
      </c>
      <c r="AF41" t="str">
        <f>AD41</f>
        <v>Healing spell</v>
      </c>
    </row>
    <row r="42" spans="1:32">
      <c r="A42" s="26">
        <v>27</v>
      </c>
      <c r="C42" s="30" t="s">
        <v>218</v>
      </c>
      <c r="D42" s="30" t="s">
        <v>758</v>
      </c>
      <c r="E42">
        <v>0</v>
      </c>
      <c r="F42" t="str">
        <f t="shared" si="1"/>
        <v>Vis Mederi</v>
      </c>
      <c r="G42" t="s">
        <v>216</v>
      </c>
      <c r="I42" t="b">
        <v>1</v>
      </c>
      <c r="J42" t="b">
        <v>1</v>
      </c>
      <c r="K42" t="b">
        <v>0</v>
      </c>
      <c r="L42" s="26">
        <v>1</v>
      </c>
      <c r="M42" s="26" t="str">
        <f ca="1">IF(ISBLANK($L42),"",INDIRECT("'Avatars'!"&amp;ADDRESS(ROW(Avatars!$A$2)+$L42,COLUMN(Avatars!$A$2))))</f>
        <v>Sorcerer</v>
      </c>
      <c r="N42" s="6">
        <v>0</v>
      </c>
      <c r="O42" s="63">
        <f>IF($N42="""",O41,IF(ISBLANK($N42),"",$N42*AVERAGE(INDEX(Ranges!$O$7:$T$156,A42,L42+1),INDEX(Ranges!$U$7:$Z$156,A42,L42+1))))</f>
        <v>0</v>
      </c>
      <c r="P42" s="58">
        <v>0</v>
      </c>
      <c r="Q42" s="9">
        <v>400</v>
      </c>
      <c r="U42" s="41" t="str">
        <f t="shared" si="0"/>
        <v/>
      </c>
      <c r="W42" s="63" t="str">
        <f>IF(ISBLANK(V42),"",IF(V42="""",W41,INDEX(Damage!$F$2:$F$151,A42)*V42*SUM(P42:Q42)/1000))</f>
        <v/>
      </c>
      <c r="Z42" s="16" t="e">
        <f>IF($O42="","",INDEX(Ranges!$O$7:$T$156,A42,L42+1)/O42)</f>
        <v>#DIV/0!</v>
      </c>
      <c r="AA42" s="16" t="e">
        <f>IF(O42="","",INDEX(Ranges!$U$7:$Z$156,A42,L42+1)/O42)</f>
        <v>#DIV/0!</v>
      </c>
      <c r="AB42" s="16" t="str">
        <f>IF($B42="","",IF($B42="""","""",INDEX(Ranges!$O$7:$T$156,B42,L42+1)/$O42))</f>
        <v/>
      </c>
      <c r="AC42" s="16" t="str">
        <f>IF($B42="","",IF($B42="""","""",INDEX(Ranges!$U$7:$Z$156,$B42,$L42+1)/$O42))</f>
        <v/>
      </c>
      <c r="AD42" t="s">
        <v>716</v>
      </c>
      <c r="AE42" t="str">
        <f t="shared" si="2"/>
        <v>Healing spell</v>
      </c>
      <c r="AF42" t="str">
        <f t="shared" ref="AF42:AF105" si="4">AD42</f>
        <v>Healing spell</v>
      </c>
    </row>
    <row r="43" spans="1:32">
      <c r="A43" s="26">
        <v>28</v>
      </c>
      <c r="C43" s="30" t="s">
        <v>218</v>
      </c>
      <c r="D43" s="30" t="s">
        <v>758</v>
      </c>
      <c r="E43">
        <v>0</v>
      </c>
      <c r="F43" t="str">
        <f t="shared" si="1"/>
        <v>Vis Mederi</v>
      </c>
      <c r="G43" t="s">
        <v>216</v>
      </c>
      <c r="I43" t="b">
        <v>1</v>
      </c>
      <c r="J43" t="b">
        <v>1</v>
      </c>
      <c r="K43" t="b">
        <v>0</v>
      </c>
      <c r="L43" s="26">
        <v>4</v>
      </c>
      <c r="M43" s="26" t="str">
        <f ca="1">IF(ISBLANK($L43),"",INDIRECT("'Avatars'!"&amp;ADDRESS(ROW(Avatars!$A$2)+$L43,COLUMN(Avatars!$A$2))))</f>
        <v>Paladin</v>
      </c>
      <c r="N43" s="6">
        <v>0</v>
      </c>
      <c r="O43" s="63">
        <f>IF($N43="""",O42,IF(ISBLANK($N43),"",$N43*AVERAGE(INDEX(Ranges!$O$7:$T$156,A43,L43+1),INDEX(Ranges!$U$7:$Z$156,A43,L43+1))))</f>
        <v>0</v>
      </c>
      <c r="P43" s="58">
        <v>0</v>
      </c>
      <c r="Q43" s="9">
        <v>400</v>
      </c>
      <c r="U43" s="41" t="str">
        <f t="shared" si="0"/>
        <v/>
      </c>
      <c r="W43" s="63" t="str">
        <f>IF(ISBLANK(V43),"",IF(V43="""",W42,INDEX(Damage!$F$2:$F$151,A43)*V43*SUM(P43:Q43)/1000))</f>
        <v/>
      </c>
      <c r="Z43" s="16" t="e">
        <f>IF($O43="","",INDEX(Ranges!$O$7:$T$156,A43,L43+1)/O43)</f>
        <v>#DIV/0!</v>
      </c>
      <c r="AA43" s="16" t="e">
        <f>IF(O43="","",INDEX(Ranges!$U$7:$Z$156,A43,L43+1)/O43)</f>
        <v>#DIV/0!</v>
      </c>
      <c r="AB43" s="16" t="str">
        <f>IF($B43="","",IF($B43="""","""",INDEX(Ranges!$O$7:$T$156,B43,L43+1)/$O43))</f>
        <v/>
      </c>
      <c r="AC43" s="16" t="str">
        <f>IF($B43="","",IF($B43="""","""",INDEX(Ranges!$U$7:$Z$156,$B43,$L43+1)/$O43))</f>
        <v/>
      </c>
      <c r="AD43" t="s">
        <v>716</v>
      </c>
      <c r="AE43" t="str">
        <f t="shared" si="2"/>
        <v>Healing spell</v>
      </c>
      <c r="AF43" t="str">
        <f t="shared" si="4"/>
        <v>Healing spell</v>
      </c>
    </row>
    <row r="44" spans="1:32">
      <c r="A44" s="26">
        <v>36</v>
      </c>
      <c r="C44" s="30" t="s">
        <v>385</v>
      </c>
      <c r="D44" s="30" t="s">
        <v>758</v>
      </c>
      <c r="E44">
        <v>0</v>
      </c>
      <c r="F44" t="str">
        <f t="shared" si="1"/>
        <v>Se Valtus Mederi</v>
      </c>
      <c r="G44" t="s">
        <v>216</v>
      </c>
      <c r="H44" t="s">
        <v>396</v>
      </c>
      <c r="I44" t="b">
        <v>0</v>
      </c>
      <c r="J44" t="b">
        <v>0</v>
      </c>
      <c r="K44" t="b">
        <v>0</v>
      </c>
      <c r="L44" s="26">
        <v>0</v>
      </c>
      <c r="M44" s="26" t="str">
        <f ca="1">IF(ISBLANK($L44),"",INDIRECT("'Avatars'!"&amp;ADDRESS(ROW(Avatars!$A$2)+$L44,COLUMN(Avatars!$A$2))))</f>
        <v>Adept</v>
      </c>
      <c r="N44" s="6">
        <v>0</v>
      </c>
      <c r="O44" s="63">
        <f>IF($N44="""",O43,IF(ISBLANK($N44),"",$N44*AVERAGE(INDEX(Ranges!$O$7:$T$156,A44,L44+1),INDEX(Ranges!$U$7:$Z$156,A44,L44+1))))</f>
        <v>0</v>
      </c>
      <c r="P44" s="58">
        <v>0</v>
      </c>
      <c r="Q44" s="9">
        <v>400</v>
      </c>
      <c r="U44" s="41" t="str">
        <f t="shared" si="0"/>
        <v/>
      </c>
      <c r="W44" s="63" t="str">
        <f>IF(ISBLANK(V44),"",IF(V44="""",W43,INDEX(Damage!$F$2:$F$151,A44)*V44*SUM(P44:Q44)/1000))</f>
        <v/>
      </c>
      <c r="Z44" s="16" t="e">
        <f>IF($O44="","",INDEX(Ranges!$O$7:$T$156,A44,L44+1)/O44)</f>
        <v>#DIV/0!</v>
      </c>
      <c r="AA44" s="16" t="e">
        <f>IF(O44="","",INDEX(Ranges!$U$7:$Z$156,A44,L44+1)/O44)</f>
        <v>#DIV/0!</v>
      </c>
      <c r="AB44" s="16" t="str">
        <f>IF($B44="","",IF($B44="""","""",INDEX(Ranges!$O$7:$T$156,B44,L44+1)/$O44))</f>
        <v/>
      </c>
      <c r="AC44" s="16" t="str">
        <f>IF($B44="","",IF($B44="""","""",INDEX(Ranges!$U$7:$Z$156,$B44,$L44+1)/$O44))</f>
        <v/>
      </c>
      <c r="AD44" t="s">
        <v>745</v>
      </c>
      <c r="AE44" t="str">
        <f t="shared" si="2"/>
        <v>Greater, self-only healing spell</v>
      </c>
      <c r="AF44" t="str">
        <f t="shared" si="4"/>
        <v>Greater, self-only healing spell</v>
      </c>
    </row>
    <row r="45" spans="1:32">
      <c r="A45" s="26">
        <v>24</v>
      </c>
      <c r="C45" s="30" t="s">
        <v>385</v>
      </c>
      <c r="D45" s="30" t="s">
        <v>758</v>
      </c>
      <c r="E45">
        <v>0</v>
      </c>
      <c r="F45" t="str">
        <f t="shared" si="1"/>
        <v>Se Valtus Mederi</v>
      </c>
      <c r="G45" t="s">
        <v>216</v>
      </c>
      <c r="H45" t="s">
        <v>396</v>
      </c>
      <c r="I45" t="b">
        <v>0</v>
      </c>
      <c r="J45" t="b">
        <v>0</v>
      </c>
      <c r="K45" t="b">
        <v>0</v>
      </c>
      <c r="L45" s="26">
        <v>1</v>
      </c>
      <c r="M45" s="26" t="str">
        <f ca="1">IF(ISBLANK($L45),"",INDIRECT("'Avatars'!"&amp;ADDRESS(ROW(Avatars!$A$2)+$L45,COLUMN(Avatars!$A$2))))</f>
        <v>Sorcerer</v>
      </c>
      <c r="N45" s="6">
        <v>0</v>
      </c>
      <c r="O45" s="63">
        <f>IF($N45="""",O44,IF(ISBLANK($N45),"",$N45*AVERAGE(INDEX(Ranges!$O$7:$T$156,A45,L45+1),INDEX(Ranges!$U$7:$Z$156,A45,L45+1))))</f>
        <v>0</v>
      </c>
      <c r="P45" s="58">
        <v>0</v>
      </c>
      <c r="Q45" s="9">
        <v>400</v>
      </c>
      <c r="U45" s="41" t="str">
        <f t="shared" si="0"/>
        <v/>
      </c>
      <c r="W45" s="63" t="str">
        <f>IF(ISBLANK(V45),"",IF(V45="""",W44,INDEX(Damage!$F$2:$F$151,A45)*V45*SUM(P45:Q45)/1000))</f>
        <v/>
      </c>
      <c r="Z45" s="16" t="e">
        <f>IF($O45="","",INDEX(Ranges!$O$7:$T$156,A45,L45+1)/O45)</f>
        <v>#DIV/0!</v>
      </c>
      <c r="AA45" s="16" t="e">
        <f>IF(O45="","",INDEX(Ranges!$U$7:$Z$156,A45,L45+1)/O45)</f>
        <v>#DIV/0!</v>
      </c>
      <c r="AB45" s="16" t="str">
        <f>IF($B45="","",IF($B45="""","""",INDEX(Ranges!$O$7:$T$156,B45,L45+1)/$O45))</f>
        <v/>
      </c>
      <c r="AC45" s="16" t="str">
        <f>IF($B45="","",IF($B45="""","""",INDEX(Ranges!$U$7:$Z$156,$B45,$L45+1)/$O45))</f>
        <v/>
      </c>
      <c r="AD45" t="s">
        <v>745</v>
      </c>
      <c r="AE45" t="str">
        <f t="shared" si="2"/>
        <v>Greater, self-only healing spell</v>
      </c>
      <c r="AF45" t="str">
        <f t="shared" si="4"/>
        <v>Greater, self-only healing spell</v>
      </c>
    </row>
    <row r="46" spans="1:32">
      <c r="A46" s="26">
        <v>30</v>
      </c>
      <c r="C46" s="30" t="s">
        <v>385</v>
      </c>
      <c r="D46" s="30" t="s">
        <v>758</v>
      </c>
      <c r="E46">
        <v>0</v>
      </c>
      <c r="F46" t="str">
        <f t="shared" si="1"/>
        <v>Se Valtus Mederi</v>
      </c>
      <c r="G46" t="s">
        <v>216</v>
      </c>
      <c r="H46" t="s">
        <v>396</v>
      </c>
      <c r="I46" t="b">
        <v>0</v>
      </c>
      <c r="J46" t="b">
        <v>0</v>
      </c>
      <c r="K46" t="b">
        <v>0</v>
      </c>
      <c r="L46" s="26">
        <v>2</v>
      </c>
      <c r="M46" s="26" t="str">
        <f ca="1">IF(ISBLANK($L46),"",INDIRECT("'Avatars'!"&amp;ADDRESS(ROW(Avatars!$A$2)+$L46,COLUMN(Avatars!$A$2))))</f>
        <v>Leyshaper</v>
      </c>
      <c r="N46" s="6">
        <v>0</v>
      </c>
      <c r="O46" s="63">
        <f>IF($N46="""",O45,IF(ISBLANK($N46),"",$N46*AVERAGE(INDEX(Ranges!$O$7:$T$156,A46,L46+1),INDEX(Ranges!$U$7:$Z$156,A46,L46+1))))</f>
        <v>0</v>
      </c>
      <c r="P46" s="58">
        <v>0</v>
      </c>
      <c r="Q46" s="9">
        <v>400</v>
      </c>
      <c r="U46" s="41" t="str">
        <f t="shared" si="0"/>
        <v/>
      </c>
      <c r="W46" s="63" t="str">
        <f>IF(ISBLANK(V46),"",IF(V46="""",W45,INDEX(Damage!$F$2:$F$151,A46)*V46*SUM(P46:Q46)/1000))</f>
        <v/>
      </c>
      <c r="Z46" s="16" t="e">
        <f>IF($O46="","",INDEX(Ranges!$O$7:$T$156,A46,L46+1)/O46)</f>
        <v>#DIV/0!</v>
      </c>
      <c r="AA46" s="16" t="e">
        <f>IF(O46="","",INDEX(Ranges!$U$7:$Z$156,A46,L46+1)/O46)</f>
        <v>#DIV/0!</v>
      </c>
      <c r="AB46" s="16" t="str">
        <f>IF($B46="","",IF($B46="""","""",INDEX(Ranges!$O$7:$T$156,B46,L46+1)/$O46))</f>
        <v/>
      </c>
      <c r="AC46" s="16" t="str">
        <f>IF($B46="","",IF($B46="""","""",INDEX(Ranges!$U$7:$Z$156,$B46,$L46+1)/$O46))</f>
        <v/>
      </c>
      <c r="AD46" t="s">
        <v>745</v>
      </c>
      <c r="AE46" t="str">
        <f t="shared" si="2"/>
        <v>Greater, self-only healing spell</v>
      </c>
      <c r="AF46" t="str">
        <f t="shared" si="4"/>
        <v>Greater, self-only healing spell</v>
      </c>
    </row>
    <row r="47" spans="1:32">
      <c r="A47" s="26">
        <v>16</v>
      </c>
      <c r="C47" s="30" t="s">
        <v>301</v>
      </c>
      <c r="D47" s="30" t="s">
        <v>758</v>
      </c>
      <c r="E47">
        <v>0</v>
      </c>
      <c r="F47" t="str">
        <f t="shared" si="1"/>
        <v>Eradico Nex</v>
      </c>
      <c r="G47" t="s">
        <v>216</v>
      </c>
      <c r="H47" t="s">
        <v>740</v>
      </c>
      <c r="I47" t="b">
        <v>1</v>
      </c>
      <c r="J47" t="b">
        <v>0</v>
      </c>
      <c r="K47" t="b">
        <v>1</v>
      </c>
      <c r="L47" s="26">
        <v>1</v>
      </c>
      <c r="M47" s="26" t="str">
        <f ca="1">IF(ISBLANK($L47),"",INDIRECT("'Avatars'!"&amp;ADDRESS(ROW(Avatars!$A$2)+$L47,COLUMN(Avatars!$A$2))))</f>
        <v>Sorcerer</v>
      </c>
      <c r="N47" s="6">
        <v>0.5</v>
      </c>
      <c r="O47" s="63">
        <f>IF($N47="""",O46,IF(ISBLANK($N47),"",$N47*AVERAGE(INDEX(Ranges!$O$7:$T$156,A47,L47+1),INDEX(Ranges!$U$7:$Z$156,A47,L47+1))))</f>
        <v>157.83333333333334</v>
      </c>
      <c r="P47" s="58">
        <v>0</v>
      </c>
      <c r="Q47" s="9">
        <v>600</v>
      </c>
      <c r="U47" s="41"/>
      <c r="W47" s="63" t="str">
        <f>IF(ISBLANK(V47),"",IF(V47="""",W46,INDEX(Damage!$F$2:$F$151,A47)*V47*SUM(P47:Q47)/1000))</f>
        <v/>
      </c>
      <c r="Z47" s="16">
        <f>IF($O47="","",INDEX(Ranges!$O$7:$T$156,A47,L47+1)/O47)</f>
        <v>1.0770855332629354</v>
      </c>
      <c r="AA47" s="16">
        <f>IF(O47="","",INDEX(Ranges!$U$7:$Z$156,A47,L47+1)/O47)</f>
        <v>2.9229144667370646</v>
      </c>
      <c r="AB47" s="16" t="str">
        <f>IF($B47="","",IF($B47="""","""",INDEX(Ranges!$O$7:$T$156,B47,L47+1)/$O47))</f>
        <v/>
      </c>
      <c r="AC47" s="16" t="str">
        <f>IF($B47="","",IF($B47="""","""",INDEX(Ranges!$U$7:$Z$156,$B47,$L47+1)/$O47))</f>
        <v/>
      </c>
      <c r="AD47" t="s">
        <v>746</v>
      </c>
      <c r="AE47" t="str">
        <f t="shared" si="2"/>
        <v>Lesser, resurrecting healing spell</v>
      </c>
      <c r="AF47" t="str">
        <f t="shared" si="4"/>
        <v>Lesser, resurrecting healing spell</v>
      </c>
    </row>
    <row r="48" spans="1:32">
      <c r="A48" s="26">
        <v>40</v>
      </c>
      <c r="C48" s="30" t="s">
        <v>227</v>
      </c>
      <c r="D48" s="30" t="s">
        <v>758</v>
      </c>
      <c r="E48">
        <v>0</v>
      </c>
      <c r="F48" t="str">
        <f t="shared" si="1"/>
        <v>Valtus Mederi</v>
      </c>
      <c r="G48" t="s">
        <v>216</v>
      </c>
      <c r="H48" t="s">
        <v>741</v>
      </c>
      <c r="I48" t="b">
        <v>1</v>
      </c>
      <c r="J48" t="b">
        <v>1</v>
      </c>
      <c r="K48" t="b">
        <v>1</v>
      </c>
      <c r="L48" s="26">
        <v>1</v>
      </c>
      <c r="M48" s="26" t="str">
        <f ca="1">IF(ISBLANK($L48),"",INDIRECT("'Avatars'!"&amp;ADDRESS(ROW(Avatars!$A$2)+$L48,COLUMN(Avatars!$A$2))))</f>
        <v>Sorcerer</v>
      </c>
      <c r="O48" s="63" t="str">
        <f>IF($N48="""",O47,IF(ISBLANK($N48),"",$N48*AVERAGE(INDEX(Ranges!$O$7:$T$156,A48,L48+1),INDEX(Ranges!$U$7:$Z$156,A48,L48+1))))</f>
        <v/>
      </c>
      <c r="P48" s="58">
        <v>0</v>
      </c>
      <c r="Q48" s="9">
        <v>300</v>
      </c>
      <c r="U48" s="41" t="str">
        <f t="shared" si="0"/>
        <v/>
      </c>
      <c r="W48" s="63" t="str">
        <f>IF(ISBLANK(V48),"",IF(V48="""",W47,INDEX(Damage!$F$2:$F$151,A48)*V48*SUM(P48:Q48)/1000))</f>
        <v/>
      </c>
      <c r="Z48" s="16" t="str">
        <f>IF($O48="","",INDEX(Ranges!$O$7:$T$156,A48,L48+1)/O48)</f>
        <v/>
      </c>
      <c r="AA48" s="16" t="str">
        <f>IF(O48="","",INDEX(Ranges!$U$7:$Z$156,A48,L48+1)/O48)</f>
        <v/>
      </c>
      <c r="AB48" s="16" t="str">
        <f>IF($B48="","",IF($B48="""","""",INDEX(Ranges!$O$7:$T$156,B48,L48+1)/$O48))</f>
        <v/>
      </c>
      <c r="AC48" s="16" t="str">
        <f>IF($B48="","",IF($B48="""","""",INDEX(Ranges!$U$7:$Z$156,$B48,$L48+1)/$O48))</f>
        <v/>
      </c>
      <c r="AD48" t="s">
        <v>747</v>
      </c>
      <c r="AE48" t="str">
        <f t="shared" si="2"/>
        <v>Greater, resurrecting healing spell</v>
      </c>
      <c r="AF48" t="str">
        <f t="shared" si="4"/>
        <v>Greater, resurrecting healing spell</v>
      </c>
    </row>
    <row r="49" spans="1:32">
      <c r="A49" s="26">
        <v>1</v>
      </c>
      <c r="B49" s="26">
        <v>4</v>
      </c>
      <c r="C49" s="30" t="s">
        <v>231</v>
      </c>
      <c r="D49" s="30" t="s">
        <v>758</v>
      </c>
      <c r="E49">
        <v>0</v>
      </c>
      <c r="F49" t="str">
        <f t="shared" si="1"/>
        <v>Toxicum</v>
      </c>
      <c r="G49" t="s">
        <v>228</v>
      </c>
      <c r="I49" t="b">
        <v>1</v>
      </c>
      <c r="J49" t="b">
        <v>0</v>
      </c>
      <c r="K49" t="b">
        <v>0</v>
      </c>
      <c r="L49" s="26">
        <v>1</v>
      </c>
      <c r="M49" s="26" t="str">
        <f ca="1">IF(ISBLANK($L49),"",INDIRECT("'Avatars'!"&amp;ADDRESS(ROW(Avatars!$A$2)+$L49,COLUMN(Avatars!$A$2))))</f>
        <v>Sorcerer</v>
      </c>
      <c r="N49" s="6">
        <v>0.2</v>
      </c>
      <c r="O49" s="63">
        <f>IF($N49="""",O48,IF(ISBLANK($N49),"",$N49*AVERAGE(INDEX(Ranges!$O$7:$T$156,A49,L49+1),INDEX(Ranges!$U$7:$Z$156,A49,L49+1))))</f>
        <v>7.4333333333333345</v>
      </c>
      <c r="P49" s="58">
        <v>0</v>
      </c>
      <c r="Q49" s="9">
        <v>600</v>
      </c>
      <c r="S49" s="9">
        <v>1000</v>
      </c>
      <c r="T49" s="9">
        <v>5000</v>
      </c>
      <c r="U49" s="41">
        <f t="shared" si="0"/>
        <v>5</v>
      </c>
      <c r="V49" s="6">
        <v>0.3</v>
      </c>
      <c r="W49" s="63">
        <f>IF(ISBLANK(V49),"",IF(V49="""",W48,INDEX(Damage!$F$2:$F$151,A49)*V49*SUM(P49:Q49)/1000))</f>
        <v>1.9845882352941173</v>
      </c>
      <c r="Z49" s="16">
        <f>IF($O49="","",INDEX(Ranges!$O$7:$T$156,A49,L49+1)/O49)</f>
        <v>2.0179372197309413</v>
      </c>
      <c r="AA49" s="16">
        <f>IF(O49="","",INDEX(Ranges!$U$7:$Z$156,A49,L49+1)/O49)</f>
        <v>7.9820627802690574</v>
      </c>
      <c r="AB49" s="16">
        <f>IF($B49="","",IF($B49="""","""",INDEX(Ranges!$O$7:$T$156,B49,L49+1)/$O49))</f>
        <v>6.1883408071748871</v>
      </c>
      <c r="AC49" s="16">
        <f>IF($B49="","",IF($B49="""","""",INDEX(Ranges!$U$7:$Z$156,$B49,$L49+1)/$O49))</f>
        <v>19.147982062780269</v>
      </c>
      <c r="AD49" t="s">
        <v>738</v>
      </c>
      <c r="AE49" t="str">
        <f t="shared" si="2"/>
        <v>Deals a small amout of poison damage over time</v>
      </c>
      <c r="AF49" t="str">
        <f t="shared" si="4"/>
        <v>Deals a small amout of poison damage over time</v>
      </c>
    </row>
    <row r="50" spans="1:32">
      <c r="A50" s="26">
        <v>9</v>
      </c>
      <c r="B50" s="26">
        <v>14</v>
      </c>
      <c r="C50" s="30" t="s">
        <v>233</v>
      </c>
      <c r="D50" s="30" t="s">
        <v>758</v>
      </c>
      <c r="E50">
        <v>0</v>
      </c>
      <c r="F50" t="str">
        <f t="shared" si="1"/>
        <v>Venenum</v>
      </c>
      <c r="G50" t="s">
        <v>228</v>
      </c>
      <c r="I50" t="b">
        <v>1</v>
      </c>
      <c r="J50" t="b">
        <v>0</v>
      </c>
      <c r="K50" t="b">
        <v>0</v>
      </c>
      <c r="L50" s="26">
        <v>1</v>
      </c>
      <c r="M50" s="26" t="str">
        <f ca="1">IF(ISBLANK($L50),"",INDIRECT("'Avatars'!"&amp;ADDRESS(ROW(Avatars!$A$2)+$L50,COLUMN(Avatars!$A$2))))</f>
        <v>Sorcerer</v>
      </c>
      <c r="N50" s="6">
        <v>0.35</v>
      </c>
      <c r="O50" s="63">
        <f>IF($N50="""",O49,IF(ISBLANK($N50),"",$N50*AVERAGE(INDEX(Ranges!$O$7:$T$156,A50,L50+1),INDEX(Ranges!$U$7:$Z$156,A50,L50+1))))</f>
        <v>66.966666666666669</v>
      </c>
      <c r="P50" s="58">
        <v>0</v>
      </c>
      <c r="Q50" s="9">
        <v>400</v>
      </c>
      <c r="S50" s="9">
        <v>500</v>
      </c>
      <c r="T50" s="9">
        <v>5000</v>
      </c>
      <c r="U50" s="41">
        <f t="shared" si="0"/>
        <v>10</v>
      </c>
      <c r="V50" s="6">
        <v>0.3</v>
      </c>
      <c r="W50" s="63">
        <f>IF(ISBLANK(V50),"",IF(V50="""",W49,INDEX(Damage!$F$2:$F$151,A50)*V50*SUM(P50:Q50)/1000))</f>
        <v>5.5321212121212113</v>
      </c>
      <c r="Z50" s="16">
        <f>IF($O50="","",INDEX(Ranges!$O$7:$T$156,A50,L50+1)/O50)</f>
        <v>1.4584370333499255</v>
      </c>
      <c r="AA50" s="16">
        <f>IF(O50="","",INDEX(Ranges!$U$7:$Z$156,A50,L50+1)/O50)</f>
        <v>4.2558486809357889</v>
      </c>
      <c r="AB50" s="16">
        <f>IF($B50="","",IF($B50="""","""",INDEX(Ranges!$O$7:$T$156,B50,L50+1)/$O50))</f>
        <v>2.229965156794425</v>
      </c>
      <c r="AC50" s="16">
        <f>IF($B50="","",IF($B50="""","""",INDEX(Ranges!$U$7:$Z$156,$B50,$L50+1)/$O50))</f>
        <v>6.1921353907416625</v>
      </c>
      <c r="AD50" t="s">
        <v>717</v>
      </c>
      <c r="AE50" t="str">
        <f t="shared" si="2"/>
        <v>Deals damage over time</v>
      </c>
      <c r="AF50" t="str">
        <f t="shared" si="4"/>
        <v>Deals damage over time</v>
      </c>
    </row>
    <row r="51" spans="1:32">
      <c r="A51" s="26">
        <v>17</v>
      </c>
      <c r="B51" s="26">
        <v>27</v>
      </c>
      <c r="C51" s="30" t="s">
        <v>233</v>
      </c>
      <c r="D51" s="30" t="s">
        <v>758</v>
      </c>
      <c r="E51">
        <v>1</v>
      </c>
      <c r="F51" t="str">
        <f t="shared" si="1"/>
        <v>(Venenum)</v>
      </c>
      <c r="G51" t="s">
        <v>228</v>
      </c>
      <c r="I51" t="b">
        <v>1</v>
      </c>
      <c r="J51" t="b">
        <v>0</v>
      </c>
      <c r="K51" t="b">
        <v>0</v>
      </c>
      <c r="L51" s="26">
        <v>1</v>
      </c>
      <c r="M51" s="26" t="str">
        <f ca="1">IF(ISBLANK($L51),"",INDIRECT("'Avatars'!"&amp;ADDRESS(ROW(Avatars!$A$2)+$L51,COLUMN(Avatars!$A$2))))</f>
        <v>Sorcerer</v>
      </c>
      <c r="N51" s="6" t="s">
        <v>241</v>
      </c>
      <c r="O51" s="63">
        <f>IF($N51="""",O50,IF(ISBLANK($N51),"",$N51*AVERAGE(INDEX(Ranges!$O$7:$T$156,A51,L51+1),INDEX(Ranges!$U$7:$Z$156,A51,L51+1))))</f>
        <v>66.966666666666669</v>
      </c>
      <c r="P51" s="58">
        <v>0</v>
      </c>
      <c r="Q51" s="9">
        <v>200</v>
      </c>
      <c r="S51" s="9">
        <v>1000</v>
      </c>
      <c r="T51" s="9">
        <v>10000</v>
      </c>
      <c r="U51" s="41">
        <f t="shared" si="0"/>
        <v>10</v>
      </c>
      <c r="V51" s="6">
        <v>0.3</v>
      </c>
      <c r="W51" s="63">
        <f>IF(ISBLANK(V51),"",IF(V51="""",W50,INDEX(Damage!$F$2:$F$151,A51)*V51*SUM(P51:Q51)/1000))</f>
        <v>5.1258503401360542</v>
      </c>
      <c r="Z51" s="16">
        <f>IF($O51="","",INDEX(Ranges!$O$7:$T$156,A51,L51+1)/O51)</f>
        <v>2.6928820308611252</v>
      </c>
      <c r="AA51" s="16">
        <f>IF(O51="","",INDEX(Ranges!$U$7:$Z$156,A51,L51+1)/O51)</f>
        <v>7.2374315579890496</v>
      </c>
      <c r="AB51" s="16">
        <f>IF($B51="","",IF($B51="""","""",INDEX(Ranges!$O$7:$T$156,B51,L51+1)/$O51))</f>
        <v>4.2359382777501242</v>
      </c>
      <c r="AC51" s="16">
        <f>IF($B51="","",IF($B51="""","""",INDEX(Ranges!$U$7:$Z$156,$B51,$L51+1)/$O51))</f>
        <v>11.304131408661025</v>
      </c>
      <c r="AD51" t="s">
        <v>717</v>
      </c>
      <c r="AE51" t="str">
        <f t="shared" si="2"/>
        <v>Deals damage over time</v>
      </c>
      <c r="AF51" t="str">
        <f t="shared" si="4"/>
        <v>Deals damage over time</v>
      </c>
    </row>
    <row r="52" spans="1:32">
      <c r="A52" s="26">
        <v>29</v>
      </c>
      <c r="B52" s="26">
        <v>50</v>
      </c>
      <c r="C52" s="30" t="s">
        <v>271</v>
      </c>
      <c r="D52" s="30" t="s">
        <v>758</v>
      </c>
      <c r="E52">
        <v>0</v>
      </c>
      <c r="F52" t="str">
        <f t="shared" si="1"/>
        <v>Magnus Venenum</v>
      </c>
      <c r="G52" t="s">
        <v>228</v>
      </c>
      <c r="I52" t="b">
        <v>1</v>
      </c>
      <c r="J52" t="b">
        <v>0</v>
      </c>
      <c r="K52" t="b">
        <v>0</v>
      </c>
      <c r="L52" s="26">
        <v>1</v>
      </c>
      <c r="M52" s="26" t="str">
        <f ca="1">IF(ISBLANK($L52),"",INDIRECT("'Avatars'!"&amp;ADDRESS(ROW(Avatars!$A$2)+$L52,COLUMN(Avatars!$A$2))))</f>
        <v>Sorcerer</v>
      </c>
      <c r="N52" s="6">
        <v>0.4</v>
      </c>
      <c r="O52" s="63">
        <f>IF($N52="""",O51,IF(ISBLANK($N52),"",$N52*AVERAGE(INDEX(Ranges!$O$7:$T$156,A52,L52+1),INDEX(Ranges!$U$7:$Z$156,A52,L52+1))))</f>
        <v>226.8</v>
      </c>
      <c r="P52" s="58">
        <v>0</v>
      </c>
      <c r="Q52" s="9">
        <v>600</v>
      </c>
      <c r="S52" s="9">
        <v>500</v>
      </c>
      <c r="T52" s="9">
        <v>10000</v>
      </c>
      <c r="U52" s="41">
        <f t="shared" si="0"/>
        <v>20</v>
      </c>
      <c r="V52" s="6">
        <v>0.3</v>
      </c>
      <c r="W52" s="63">
        <f>IF(ISBLANK(V52),"",IF(V52="""",W51,INDEX(Damage!$F$2:$F$151,A52)*V52*SUM(P52:Q52)/1000))</f>
        <v>26.487397260273969</v>
      </c>
      <c r="Z52" s="16">
        <f>IF($O52="","",INDEX(Ranges!$O$7:$T$156,A52,L52+1)/O52)</f>
        <v>1.3418577307466197</v>
      </c>
      <c r="AA52" s="16">
        <f>IF(O52="","",INDEX(Ranges!$U$7:$Z$156,A52,L52+1)/O52)</f>
        <v>3.6581422692533798</v>
      </c>
      <c r="AB52" s="16">
        <f>IF($B52="","",IF($B52="""","""",INDEX(Ranges!$O$7:$T$156,B52,L52+1)/$O52))</f>
        <v>2.2986478542034097</v>
      </c>
      <c r="AC52" s="16">
        <f>IF($B52="","",IF($B52="""","""",INDEX(Ranges!$U$7:$Z$156,$B52,$L52+1)/$O52))</f>
        <v>6.3345091122868897</v>
      </c>
      <c r="AD52" t="s">
        <v>739</v>
      </c>
      <c r="AE52" t="str">
        <f t="shared" si="2"/>
        <v>Deals a significant amount of damage over time</v>
      </c>
      <c r="AF52" t="str">
        <f t="shared" si="4"/>
        <v>Deals a significant amount of damage over time</v>
      </c>
    </row>
    <row r="53" spans="1:32">
      <c r="A53" s="26">
        <v>51</v>
      </c>
      <c r="B53" s="26">
        <v>80</v>
      </c>
      <c r="C53" s="30" t="s">
        <v>271</v>
      </c>
      <c r="D53" s="30" t="s">
        <v>758</v>
      </c>
      <c r="E53">
        <v>1</v>
      </c>
      <c r="F53" t="str">
        <f t="shared" si="1"/>
        <v>(Magnus Venenum)</v>
      </c>
      <c r="G53" t="s">
        <v>228</v>
      </c>
      <c r="I53" t="b">
        <v>1</v>
      </c>
      <c r="J53" t="b">
        <v>0</v>
      </c>
      <c r="K53" t="b">
        <v>0</v>
      </c>
      <c r="L53" s="26">
        <v>1</v>
      </c>
      <c r="M53" s="26" t="str">
        <f ca="1">IF(ISBLANK($L53),"",INDIRECT("'Avatars'!"&amp;ADDRESS(ROW(Avatars!$A$2)+$L53,COLUMN(Avatars!$A$2))))</f>
        <v>Sorcerer</v>
      </c>
      <c r="N53" s="6" t="s">
        <v>241</v>
      </c>
      <c r="O53" s="63">
        <f>IF($N53="""",O52,IF(ISBLANK($N53),"",$N53*AVERAGE(INDEX(Ranges!$O$7:$T$156,A53,L53+1),INDEX(Ranges!$U$7:$Z$156,A53,L53+1))))</f>
        <v>226.8</v>
      </c>
      <c r="P53" s="58">
        <v>0</v>
      </c>
      <c r="Q53" s="9">
        <v>400</v>
      </c>
      <c r="S53" s="9">
        <v>250</v>
      </c>
      <c r="T53" s="9">
        <v>10000</v>
      </c>
      <c r="U53" s="41">
        <f t="shared" si="0"/>
        <v>40</v>
      </c>
      <c r="V53" s="6">
        <v>0.5</v>
      </c>
      <c r="W53" s="63">
        <f>IF(ISBLANK(V53),"",IF(V53="""",W52,INDEX(Damage!$F$2:$F$151,A53)*V53*SUM(P53:Q53)/1000))</f>
        <v>52.817094017094014</v>
      </c>
      <c r="Z53" s="16">
        <f>IF($O53="","",INDEX(Ranges!$O$7:$T$156,A53,L53+1)/O53)</f>
        <v>2.3442092886537331</v>
      </c>
      <c r="AA53" s="16">
        <f>IF(O53="","",INDEX(Ranges!$U$7:$Z$156,A53,L53+1)/O53)</f>
        <v>6.4373897707231036</v>
      </c>
      <c r="AB53" s="16">
        <f>IF($B53="","",IF($B53="""","""",INDEX(Ranges!$O$7:$T$156,B53,L53+1)/$O53))</f>
        <v>3.6654908877131098</v>
      </c>
      <c r="AC53" s="16">
        <f>IF($B53="","",IF($B53="""","""",INDEX(Ranges!$U$7:$Z$156,$B53,$L53+1)/$O53))</f>
        <v>10.509994121105231</v>
      </c>
      <c r="AD53" t="s">
        <v>739</v>
      </c>
      <c r="AE53" t="str">
        <f t="shared" si="2"/>
        <v>Deals a significant amount of damage over time</v>
      </c>
      <c r="AF53" t="str">
        <f t="shared" si="4"/>
        <v>Deals a significant amount of damage over time</v>
      </c>
    </row>
    <row r="54" spans="1:32">
      <c r="A54" s="26">
        <v>18</v>
      </c>
      <c r="B54" s="26">
        <v>32</v>
      </c>
      <c r="C54" s="30" t="s">
        <v>272</v>
      </c>
      <c r="D54" s="30" t="s">
        <v>758</v>
      </c>
      <c r="E54">
        <v>0</v>
      </c>
      <c r="F54" t="str">
        <f t="shared" si="1"/>
        <v>Virum Nimbus</v>
      </c>
      <c r="G54" t="s">
        <v>392</v>
      </c>
      <c r="H54" t="s">
        <v>397</v>
      </c>
      <c r="I54" t="b">
        <v>1</v>
      </c>
      <c r="J54" t="b">
        <v>0</v>
      </c>
      <c r="K54" t="b">
        <v>0</v>
      </c>
      <c r="L54" s="26">
        <v>1</v>
      </c>
      <c r="M54" s="26" t="str">
        <f ca="1">IF(ISBLANK($L54),"",INDIRECT("'Avatars'!"&amp;ADDRESS(ROW(Avatars!$A$2)+$L54,COLUMN(Avatars!$A$2))))</f>
        <v>Sorcerer</v>
      </c>
      <c r="N54" s="6">
        <v>0.4</v>
      </c>
      <c r="O54" s="63">
        <f>IF($N54="""",O53,IF(ISBLANK($N54),"",$N54*AVERAGE(INDEX(Ranges!$O$7:$T$156,A54,L54+1),INDEX(Ranges!$U$7:$Z$156,A54,L54+1))))</f>
        <v>142.33333333333334</v>
      </c>
      <c r="P54" s="58">
        <v>0</v>
      </c>
      <c r="Q54" s="9">
        <v>600</v>
      </c>
      <c r="R54" s="9">
        <v>16</v>
      </c>
      <c r="S54" s="9">
        <v>500</v>
      </c>
      <c r="T54" s="9">
        <v>15000</v>
      </c>
      <c r="U54" s="41">
        <f t="shared" ref="U54:U55" si="5">IF(OR(ISBLANK(S54),ISBLANK(T54)),"",T54/S54)</f>
        <v>30</v>
      </c>
      <c r="V54" s="6">
        <v>0.25</v>
      </c>
      <c r="W54" s="63">
        <f>IF(ISBLANK(V54),"",IF(V54="""",W53,INDEX(Damage!$F$2:$F$151,A54)*V54*SUM(P54:Q54)/1000))</f>
        <v>13.50686274509804</v>
      </c>
      <c r="Z54" s="16">
        <f>IF($O54="","",INDEX(Ranges!$O$7:$T$156,A54,L54+1)/O54)</f>
        <v>1.3395784543325528</v>
      </c>
      <c r="AA54" s="16">
        <f>IF(O54="","",INDEX(Ranges!$U$7:$Z$156,A54,L54+1)/O54)</f>
        <v>3.6604215456674472</v>
      </c>
      <c r="AB54" s="16">
        <f>IF($B54="","",IF($B54="""","""",INDEX(Ranges!$O$7:$T$156,B54,L54+1)/$O54))</f>
        <v>2.3559718969555035</v>
      </c>
      <c r="AC54" s="16">
        <f>IF($B54="","",IF($B54="""","""",INDEX(Ranges!$U$7:$Z$156,$B54,$L54+1)/$O54))</f>
        <v>6.3208430913348943</v>
      </c>
      <c r="AD54" t="s">
        <v>736</v>
      </c>
      <c r="AE54" t="str">
        <f t="shared" si="2"/>
        <v>Damages those caught under the poison cloud</v>
      </c>
      <c r="AF54" t="str">
        <f t="shared" si="4"/>
        <v>Damages those caught under the poison cloud</v>
      </c>
    </row>
    <row r="55" spans="1:32">
      <c r="A55" s="26">
        <v>44</v>
      </c>
      <c r="B55" s="26">
        <v>56</v>
      </c>
      <c r="C55" s="30" t="s">
        <v>352</v>
      </c>
      <c r="D55" s="30" t="s">
        <v>758</v>
      </c>
      <c r="E55">
        <v>0</v>
      </c>
      <c r="F55" t="str">
        <f t="shared" si="1"/>
        <v>Ferocia Virum Nimbus</v>
      </c>
      <c r="G55" t="s">
        <v>392</v>
      </c>
      <c r="H55" t="s">
        <v>397</v>
      </c>
      <c r="I55" t="b">
        <v>1</v>
      </c>
      <c r="J55" t="b">
        <v>0</v>
      </c>
      <c r="K55" t="b">
        <v>0</v>
      </c>
      <c r="L55" s="26">
        <v>1</v>
      </c>
      <c r="M55" s="26" t="str">
        <f ca="1">IF(ISBLANK($L55),"",INDIRECT("'Avatars'!"&amp;ADDRESS(ROW(Avatars!$A$2)+$L55,COLUMN(Avatars!$A$2))))</f>
        <v>Sorcerer</v>
      </c>
      <c r="N55" s="6">
        <v>0.35</v>
      </c>
      <c r="O55" s="63">
        <f>IF($N55="""",O54,IF(ISBLANK($N55),"",$N55*AVERAGE(INDEX(Ranges!$O$7:$T$156,A55,L55+1),INDEX(Ranges!$U$7:$Z$156,A55,L55+1))))</f>
        <v>300.47499999999997</v>
      </c>
      <c r="P55" s="58">
        <v>0</v>
      </c>
      <c r="Q55" s="9">
        <v>300</v>
      </c>
      <c r="S55" s="9">
        <v>500</v>
      </c>
      <c r="T55" s="9">
        <v>15000</v>
      </c>
      <c r="U55" s="41">
        <f t="shared" si="5"/>
        <v>30</v>
      </c>
      <c r="V55" s="6">
        <v>0.35</v>
      </c>
      <c r="W55" s="63">
        <f>IF(ISBLANK(V55),"",IF(V55="""",W54,INDEX(Damage!$F$2:$F$151,A55)*V55*SUM(P55:Q55)/1000))</f>
        <v>23.790768608414236</v>
      </c>
      <c r="Z55" s="16">
        <f>IF($O55="","",INDEX(Ranges!$O$7:$T$156,A55,L55+1)/O55)</f>
        <v>1.5286906841944701</v>
      </c>
      <c r="AA55" s="16">
        <f>IF(O55="","",INDEX(Ranges!$U$7:$Z$156,A55,L55+1)/O55)</f>
        <v>4.1855950300912452</v>
      </c>
      <c r="AB55" s="16">
        <f>IF($B55="","",IF($B55="""","""",INDEX(Ranges!$O$7:$T$156,B55,L55+1)/$O55))</f>
        <v>1.9413706076490005</v>
      </c>
      <c r="AC55" s="16">
        <f>IF($B55="","",IF($B55="""","""",INDEX(Ranges!$U$7:$Z$156,$B55,$L55+1)/$O55))</f>
        <v>5.37704190587126</v>
      </c>
      <c r="AD55" t="s">
        <v>737</v>
      </c>
      <c r="AE55" t="str">
        <f t="shared" si="2"/>
        <v>Heavily damages those caught under the poison cloud</v>
      </c>
      <c r="AF55" t="str">
        <f t="shared" si="4"/>
        <v>Heavily damages those caught under the poison cloud</v>
      </c>
    </row>
    <row r="56" spans="1:32">
      <c r="A56" s="26">
        <v>6</v>
      </c>
      <c r="B56" s="26">
        <v>15</v>
      </c>
      <c r="C56" s="30" t="s">
        <v>240</v>
      </c>
      <c r="D56" s="30" t="s">
        <v>758</v>
      </c>
      <c r="E56">
        <v>0</v>
      </c>
      <c r="F56" t="str">
        <f t="shared" si="1"/>
        <v>Incendia</v>
      </c>
      <c r="G56" t="s">
        <v>245</v>
      </c>
      <c r="I56" t="b">
        <v>1</v>
      </c>
      <c r="J56" t="b">
        <v>0</v>
      </c>
      <c r="K56" t="b">
        <v>0</v>
      </c>
      <c r="L56" s="26">
        <v>0</v>
      </c>
      <c r="M56" s="26" t="str">
        <f ca="1">IF(ISBLANK($L56),"",INDIRECT("'Avatars'!"&amp;ADDRESS(ROW(Avatars!$A$2)+$L56,COLUMN(Avatars!$A$2))))</f>
        <v>Adept</v>
      </c>
      <c r="N56" s="6">
        <v>0.25</v>
      </c>
      <c r="O56" s="63">
        <f>IF($N56="""",O55,IF(ISBLANK($N56),"",$N56*AVERAGE(INDEX(Ranges!$O$7:$T$156,A56,L56+1),INDEX(Ranges!$U$7:$Z$156,A56,L56+1))))</f>
        <v>39.583333333333336</v>
      </c>
      <c r="P56" s="9">
        <v>100</v>
      </c>
      <c r="Q56" s="9">
        <v>300</v>
      </c>
      <c r="R56" s="9">
        <v>1</v>
      </c>
      <c r="U56" s="41" t="str">
        <f t="shared" si="0"/>
        <v/>
      </c>
      <c r="V56" s="6">
        <v>0.8</v>
      </c>
      <c r="W56" s="63">
        <f>IF(ISBLANK(V56),"",IF(V56="""",W55,INDEX(Damage!$F$2:$F$151,A56)*V56*SUM(P56:Q56)/1000))</f>
        <v>10.494814814814816</v>
      </c>
      <c r="X56" s="57" t="s">
        <v>7</v>
      </c>
      <c r="Z56" s="16">
        <f>IF($O56="","",INDEX(Ranges!$O$7:$T$156,A56,L56+1)/O56)</f>
        <v>2.2905263157894735</v>
      </c>
      <c r="AA56" s="16">
        <f>IF(O56="","",INDEX(Ranges!$U$7:$Z$156,A56,L56+1)/O56)</f>
        <v>5.7094736842105256</v>
      </c>
      <c r="AB56" s="16">
        <f>IF($B56="","",IF($B56="""","""",INDEX(Ranges!$O$7:$T$156,B56,L56+1)/$O56))</f>
        <v>5.5494736842105263</v>
      </c>
      <c r="AC56" s="16">
        <f>IF($B56="","",IF($B56="""","""",INDEX(Ranges!$U$7:$Z$156,$B56,$L56+1)/$O56))</f>
        <v>12.581052631578947</v>
      </c>
      <c r="AD56" t="s">
        <v>731</v>
      </c>
      <c r="AE56" t="str">
        <f t="shared" si="2"/>
        <v>Shoots a fireball</v>
      </c>
      <c r="AF56" t="str">
        <f t="shared" si="4"/>
        <v>Shoots a fireball</v>
      </c>
    </row>
    <row r="57" spans="1:32">
      <c r="A57" s="26">
        <v>14</v>
      </c>
      <c r="B57" s="26">
        <v>30</v>
      </c>
      <c r="C57" s="30" t="s">
        <v>296</v>
      </c>
      <c r="D57" s="30" t="s">
        <v>758</v>
      </c>
      <c r="E57">
        <v>0</v>
      </c>
      <c r="F57" t="str">
        <f t="shared" si="1"/>
        <v>Incendia Trio</v>
      </c>
      <c r="G57" t="s">
        <v>245</v>
      </c>
      <c r="H57" t="s">
        <v>398</v>
      </c>
      <c r="I57" t="b">
        <v>1</v>
      </c>
      <c r="J57" t="b">
        <v>0</v>
      </c>
      <c r="K57" t="b">
        <v>0</v>
      </c>
      <c r="L57" s="26">
        <v>0</v>
      </c>
      <c r="M57" s="26" t="str">
        <f ca="1">IF(ISBLANK($L57),"",INDIRECT("'Avatars'!"&amp;ADDRESS(ROW(Avatars!$A$2)+$L57,COLUMN(Avatars!$A$2))))</f>
        <v>Adept</v>
      </c>
      <c r="N57" s="6">
        <v>0.35</v>
      </c>
      <c r="O57" s="63">
        <f>IF($N57="""",O56,IF(ISBLANK($N57),"",$N57*AVERAGE(INDEX(Ranges!$O$7:$T$156,A57,L57+1),INDEX(Ranges!$U$7:$Z$156,A57,L57+1))))</f>
        <v>118.3</v>
      </c>
      <c r="P57" s="9">
        <v>250</v>
      </c>
      <c r="Q57" s="9">
        <v>150</v>
      </c>
      <c r="R57" s="9">
        <v>3</v>
      </c>
      <c r="U57" s="41"/>
      <c r="V57" s="6">
        <v>0.8</v>
      </c>
      <c r="W57" s="63">
        <f>IF(ISBLANK(V57),"",IF(V57="""",W56,INDEX(Damage!$F$2:$F$151,A57)*V57*SUM(P57:Q57)/1000))</f>
        <v>22.46222222222222</v>
      </c>
      <c r="X57" s="57" t="s">
        <v>7</v>
      </c>
      <c r="Z57" s="16">
        <f>IF($O57="","",INDEX(Ranges!$O$7:$T$156,A57,L57+1)/O57)</f>
        <v>1.735700197238659</v>
      </c>
      <c r="AA57" s="16">
        <f>IF(O57="","",INDEX(Ranges!$U$7:$Z$156,A57,L57+1)/O57)</f>
        <v>3.9785855170470557</v>
      </c>
      <c r="AB57" s="16">
        <f>IF($B57="","",IF($B57="""","""",INDEX(Ranges!$O$7:$T$156,B57,L57+1)/$O57))</f>
        <v>3.674274443505213</v>
      </c>
      <c r="AC57" s="16">
        <f>IF($B57="","",IF($B57="""","""",INDEX(Ranges!$U$7:$Z$156,$B57,$L57+1)/$O57))</f>
        <v>8.2248520710059179</v>
      </c>
      <c r="AD57" t="s">
        <v>732</v>
      </c>
      <c r="AE57" t="str">
        <f t="shared" si="2"/>
        <v>Shoots a spread of 3 fireballs</v>
      </c>
      <c r="AF57" t="str">
        <f t="shared" si="4"/>
        <v>Shoots a spread of 3 fireballs</v>
      </c>
    </row>
    <row r="58" spans="1:32">
      <c r="A58" s="26">
        <v>3</v>
      </c>
      <c r="B58" s="26">
        <v>5</v>
      </c>
      <c r="C58" s="30" t="s">
        <v>246</v>
      </c>
      <c r="D58" s="30" t="s">
        <v>758</v>
      </c>
      <c r="E58">
        <v>0</v>
      </c>
      <c r="F58" t="str">
        <f t="shared" si="1"/>
        <v>Calx</v>
      </c>
      <c r="G58" t="s">
        <v>245</v>
      </c>
      <c r="I58" t="b">
        <v>1</v>
      </c>
      <c r="J58" t="b">
        <v>0</v>
      </c>
      <c r="K58" t="b">
        <v>0</v>
      </c>
      <c r="L58" s="26">
        <v>0</v>
      </c>
      <c r="M58" s="26" t="str">
        <f ca="1">IF(ISBLANK($L58),"",INDIRECT("'Avatars'!"&amp;ADDRESS(ROW(Avatars!$A$2)+$L58,COLUMN(Avatars!$A$2))))</f>
        <v>Adept</v>
      </c>
      <c r="N58" s="6">
        <v>0.15</v>
      </c>
      <c r="O58" s="63">
        <f>IF($N58="""",O57,IF(ISBLANK($N58),"",$N58*AVERAGE(INDEX(Ranges!$O$7:$T$156,A58,L58+1),INDEX(Ranges!$U$7:$Z$156,A58,L58+1))))</f>
        <v>13.4</v>
      </c>
      <c r="P58" s="9">
        <v>250</v>
      </c>
      <c r="Q58" s="9">
        <v>350</v>
      </c>
      <c r="R58" s="9">
        <v>1</v>
      </c>
      <c r="U58" s="41"/>
      <c r="V58" s="6">
        <v>0.8</v>
      </c>
      <c r="W58" s="63">
        <f>IF(ISBLANK(V58),"",IF(V58="""",W57,INDEX(Damage!$F$2:$F$151,A58)*V58*SUM(P58:Q58)/1000))</f>
        <v>8.9752380952380939</v>
      </c>
      <c r="X58" s="57" t="s">
        <v>7</v>
      </c>
      <c r="Z58" s="16">
        <f>IF($O58="","",INDEX(Ranges!$O$7:$T$156,A58,L58+1)/O58)</f>
        <v>3.5572139303482588</v>
      </c>
      <c r="AA58" s="16">
        <f>IF(O58="","",INDEX(Ranges!$U$7:$Z$156,A58,L58+1)/O58)</f>
        <v>9.7761194029850742</v>
      </c>
      <c r="AB58" s="16">
        <f>IF($B58="","",IF($B58="""","""",INDEX(Ranges!$O$7:$T$156,B58,L58+1)/$O58))</f>
        <v>5.6965174129353242</v>
      </c>
      <c r="AC58" s="16">
        <f>IF($B58="","",IF($B58="""","""",INDEX(Ranges!$U$7:$Z$156,$B58,$L58+1)/$O58))</f>
        <v>14.825870646766168</v>
      </c>
      <c r="AD58" t="s">
        <v>733</v>
      </c>
      <c r="AE58" t="str">
        <f t="shared" si="2"/>
        <v>Summons a rock</v>
      </c>
      <c r="AF58" t="str">
        <f t="shared" si="4"/>
        <v>Summons a rock</v>
      </c>
    </row>
    <row r="59" spans="1:32">
      <c r="A59" s="26">
        <v>14</v>
      </c>
      <c r="B59" s="26">
        <v>30</v>
      </c>
      <c r="C59" s="30" t="s">
        <v>247</v>
      </c>
      <c r="D59" s="30" t="s">
        <v>758</v>
      </c>
      <c r="E59">
        <v>0</v>
      </c>
      <c r="F59" t="str">
        <f t="shared" si="1"/>
        <v>Calx Multis</v>
      </c>
      <c r="G59" t="s">
        <v>245</v>
      </c>
      <c r="H59" t="s">
        <v>399</v>
      </c>
      <c r="I59" t="b">
        <v>1</v>
      </c>
      <c r="J59" t="b">
        <v>0</v>
      </c>
      <c r="K59" t="b">
        <v>0</v>
      </c>
      <c r="L59" s="26">
        <v>0</v>
      </c>
      <c r="M59" s="26" t="str">
        <f ca="1">IF(ISBLANK($L59),"",INDIRECT("'Avatars'!"&amp;ADDRESS(ROW(Avatars!$A$2)+$L59,COLUMN(Avatars!$A$2))))</f>
        <v>Adept</v>
      </c>
      <c r="N59" s="6">
        <v>0.25</v>
      </c>
      <c r="O59" s="63">
        <f>IF($N59="""",O58,IF(ISBLANK($N59),"",$N59*AVERAGE(INDEX(Ranges!$O$7:$T$156,A59,L59+1),INDEX(Ranges!$U$7:$Z$156,A59,L59+1))))</f>
        <v>84.5</v>
      </c>
      <c r="P59" s="9">
        <v>100</v>
      </c>
      <c r="Q59" s="9">
        <v>300</v>
      </c>
      <c r="R59" s="9">
        <v>1</v>
      </c>
      <c r="S59" s="9">
        <v>300</v>
      </c>
      <c r="T59" s="9">
        <v>900</v>
      </c>
      <c r="U59" s="41">
        <f t="shared" si="0"/>
        <v>3</v>
      </c>
      <c r="V59" s="6">
        <v>0.8</v>
      </c>
      <c r="W59" s="63">
        <f>IF(ISBLANK(V59),"",IF(V59="""",W58,INDEX(Damage!$F$2:$F$151,A59)*V59*SUM(P59:Q59)/1000))</f>
        <v>22.46222222222222</v>
      </c>
      <c r="X59" s="57" t="s">
        <v>7</v>
      </c>
      <c r="Z59" s="16">
        <f>IF($O59="","",INDEX(Ranges!$O$7:$T$156,A59,L59+1)/O59)</f>
        <v>2.4299802761341223</v>
      </c>
      <c r="AA59" s="16">
        <f>IF(O59="","",INDEX(Ranges!$U$7:$Z$156,A59,L59+1)/O59)</f>
        <v>5.5700197238658777</v>
      </c>
      <c r="AB59" s="16">
        <f>IF($B59="","",IF($B59="""","""",INDEX(Ranges!$O$7:$T$156,B59,L59+1)/$O59))</f>
        <v>5.1439842209072983</v>
      </c>
      <c r="AC59" s="16">
        <f>IF($B59="","",IF($B59="""","""",INDEX(Ranges!$U$7:$Z$156,$B59,$L59+1)/$O59))</f>
        <v>11.514792899408285</v>
      </c>
      <c r="AD59" t="s">
        <v>734</v>
      </c>
      <c r="AE59" t="str">
        <f t="shared" si="2"/>
        <v>Summons a line of 3 damaging boulders</v>
      </c>
      <c r="AF59" t="str">
        <f t="shared" si="4"/>
        <v>Summons a line of 3 damaging boulders</v>
      </c>
    </row>
    <row r="60" spans="1:32">
      <c r="A60" s="26">
        <v>21</v>
      </c>
      <c r="B60" s="26">
        <v>50</v>
      </c>
      <c r="C60" s="30" t="s">
        <v>259</v>
      </c>
      <c r="D60" s="30" t="s">
        <v>758</v>
      </c>
      <c r="E60">
        <v>0</v>
      </c>
      <c r="F60" t="str">
        <f t="shared" si="1"/>
        <v>Vis Calx Multis</v>
      </c>
      <c r="G60" t="s">
        <v>245</v>
      </c>
      <c r="H60" t="s">
        <v>400</v>
      </c>
      <c r="I60" t="b">
        <v>1</v>
      </c>
      <c r="J60" t="b">
        <v>0</v>
      </c>
      <c r="K60" t="b">
        <v>0</v>
      </c>
      <c r="L60" s="26">
        <v>0</v>
      </c>
      <c r="M60" s="26" t="str">
        <f ca="1">IF(ISBLANK($L60),"",INDIRECT("'Avatars'!"&amp;ADDRESS(ROW(Avatars!$A$2)+$L60,COLUMN(Avatars!$A$2))))</f>
        <v>Adept</v>
      </c>
      <c r="N60" s="6">
        <v>0.3</v>
      </c>
      <c r="O60" s="63">
        <f>IF($N60="""",O59,IF(ISBLANK($N60),"",$N60*AVERAGE(INDEX(Ranges!$O$7:$T$156,A60,L60+1),INDEX(Ranges!$U$7:$Z$156,A60,L60+1))))</f>
        <v>147.1</v>
      </c>
      <c r="P60" s="9">
        <v>100</v>
      </c>
      <c r="Q60" s="9">
        <v>300</v>
      </c>
      <c r="R60" s="9">
        <v>1</v>
      </c>
      <c r="S60" s="9">
        <v>150</v>
      </c>
      <c r="T60" s="9">
        <v>850</v>
      </c>
      <c r="U60" s="41">
        <f t="shared" si="0"/>
        <v>5.666666666666667</v>
      </c>
      <c r="V60" s="6">
        <v>0.8</v>
      </c>
      <c r="W60" s="63">
        <f>IF(ISBLANK(V60),"",IF(V60="""",W59,INDEX(Damage!$F$2:$F$151,A60)*V60*SUM(P60:Q60)/1000))</f>
        <v>34.204444444444448</v>
      </c>
      <c r="X60" s="26" t="s">
        <v>6</v>
      </c>
      <c r="Z60" s="16">
        <f>IF($O60="","",INDEX(Ranges!$O$7:$T$156,A60,L60+1)/O60)</f>
        <v>2.0779515069113983</v>
      </c>
      <c r="AA60" s="16">
        <f>IF(O60="","",INDEX(Ranges!$U$7:$Z$156,A60,L60+1)/O60)</f>
        <v>4.5887151597552691</v>
      </c>
      <c r="AB60" s="16">
        <f>IF($B60="","",IF($B60="""","""",INDEX(Ranges!$O$7:$T$156,B60,L60+1)/$O60))</f>
        <v>4.9036936324495812</v>
      </c>
      <c r="AC60" s="16">
        <f>IF($B60="","",IF($B60="""","""",INDEX(Ranges!$U$7:$Z$156,$B60,$L60+1)/$O60))</f>
        <v>11.126217992295491</v>
      </c>
      <c r="AD60" t="s">
        <v>735</v>
      </c>
      <c r="AE60" t="str">
        <f t="shared" si="2"/>
        <v>Summons a spread of 6 heavy and damaging rocks</v>
      </c>
      <c r="AF60" t="str">
        <f t="shared" si="4"/>
        <v>Summons a spread of 6 heavy and damaging rocks</v>
      </c>
    </row>
    <row r="61" spans="1:32">
      <c r="A61" s="26">
        <v>2</v>
      </c>
      <c r="B61" s="26">
        <v>8</v>
      </c>
      <c r="C61" s="30" t="s">
        <v>4</v>
      </c>
      <c r="D61" s="30" t="s">
        <v>758</v>
      </c>
      <c r="E61">
        <v>0</v>
      </c>
      <c r="F61" t="str">
        <f t="shared" si="1"/>
        <v>Tueri</v>
      </c>
      <c r="G61" t="s">
        <v>402</v>
      </c>
      <c r="H61" t="s">
        <v>401</v>
      </c>
      <c r="I61" t="b">
        <v>1</v>
      </c>
      <c r="J61" t="b">
        <v>1</v>
      </c>
      <c r="K61" t="b">
        <v>0</v>
      </c>
      <c r="L61" s="26">
        <v>1</v>
      </c>
      <c r="M61" s="26" t="str">
        <f ca="1">IF(ISBLANK($L61),"",INDIRECT("'Avatars'!"&amp;ADDRESS(ROW(Avatars!$A$2)+$L61,COLUMN(Avatars!$A$2))))</f>
        <v>Sorcerer</v>
      </c>
      <c r="N61" s="6">
        <v>0.75</v>
      </c>
      <c r="O61" s="63">
        <f>IF($N61="""",O60,IF(ISBLANK($N61),"",$N61*AVERAGE(INDEX(Ranges!$O$7:$T$156,A61,L61+1),INDEX(Ranges!$U$7:$Z$156,A61,L61+1))))</f>
        <v>40.5</v>
      </c>
      <c r="Q61" s="9">
        <v>300</v>
      </c>
      <c r="T61" s="58">
        <f>60*1000*4.5</f>
        <v>270000</v>
      </c>
      <c r="U61" s="41" t="str">
        <f t="shared" si="0"/>
        <v/>
      </c>
      <c r="W61" s="63" t="str">
        <f>IF(ISBLANK(V61),"",IF(V61="""",W60,INDEX(Damage!$F$2:$F$151,A61)*V61*SUM(P61:Q61)/1000))</f>
        <v/>
      </c>
      <c r="Z61" s="16">
        <f>IF($O61="","",INDEX(Ranges!$O$7:$T$156,A61,L61+1)/O61)</f>
        <v>0.62551440329218111</v>
      </c>
      <c r="AA61" s="16">
        <f>IF(O61="","",INDEX(Ranges!$U$7:$Z$156,A61,L61+1)/O61)</f>
        <v>2.0411522633744856</v>
      </c>
      <c r="AB61" s="16">
        <f>IF($B61="","",IF($B61="""","""",INDEX(Ranges!$O$7:$T$156,B61,L61+1)/$O61))</f>
        <v>2.1563786008230457</v>
      </c>
      <c r="AC61" s="16">
        <f>IF($B61="","",IF($B61="""","""",INDEX(Ranges!$U$7:$Z$156,$B61,$L61+1)/$O61))</f>
        <v>6.1399176954732511</v>
      </c>
      <c r="AD61" t="s">
        <v>815</v>
      </c>
      <c r="AE61" t="str">
        <f t="shared" si="2"/>
        <v>Armor enchantment</v>
      </c>
      <c r="AF61" t="str">
        <f t="shared" si="4"/>
        <v>Armor enchantment</v>
      </c>
    </row>
    <row r="62" spans="1:32">
      <c r="A62" s="26">
        <v>2</v>
      </c>
      <c r="B62" s="26">
        <v>8</v>
      </c>
      <c r="C62" s="30" t="s">
        <v>4</v>
      </c>
      <c r="D62" s="30" t="s">
        <v>758</v>
      </c>
      <c r="E62">
        <v>0</v>
      </c>
      <c r="F62" t="str">
        <f t="shared" si="1"/>
        <v>Tueri</v>
      </c>
      <c r="G62" t="s">
        <v>402</v>
      </c>
      <c r="H62" t="s">
        <v>401</v>
      </c>
      <c r="I62" t="b">
        <v>1</v>
      </c>
      <c r="J62" t="b">
        <v>1</v>
      </c>
      <c r="K62" t="b">
        <v>0</v>
      </c>
      <c r="L62" s="26">
        <v>0</v>
      </c>
      <c r="M62" s="26" t="str">
        <f ca="1">IF(ISBLANK($L62),"",INDIRECT("'Avatars'!"&amp;ADDRESS(ROW(Avatars!$A$2)+$L62,COLUMN(Avatars!$A$2))))</f>
        <v>Adept</v>
      </c>
      <c r="N62" s="6" t="s">
        <v>241</v>
      </c>
      <c r="O62" s="63">
        <f>IF($N62="""",O61,IF(ISBLANK($N62),"",$N62*AVERAGE(INDEX(Ranges!$O$7:$T$156,A62,L62+1),INDEX(Ranges!$U$7:$Z$156,A62,L62+1))))</f>
        <v>40.5</v>
      </c>
      <c r="Q62" s="9">
        <v>300</v>
      </c>
      <c r="T62" s="58">
        <f>60*1000*4.5</f>
        <v>270000</v>
      </c>
      <c r="U62" s="41" t="str">
        <f t="shared" si="0"/>
        <v/>
      </c>
      <c r="W62" s="63" t="str">
        <f>IF(ISBLANK(V62),"",IF(V62="""",W61,INDEX(Damage!$F$2:$F$151,A62)*V62*SUM(P62:Q62)/1000))</f>
        <v/>
      </c>
      <c r="Z62" s="16">
        <f>IF($O62="","",INDEX(Ranges!$O$7:$T$156,A62,L62+1)/O62)</f>
        <v>0.82304526748971196</v>
      </c>
      <c r="AA62" s="16">
        <f>IF(O62="","",INDEX(Ranges!$U$7:$Z$156,A62,L62+1)/O62)</f>
        <v>2.2386831275720165</v>
      </c>
      <c r="AB62" s="16">
        <f>IF($B62="","",IF($B62="""","""",INDEX(Ranges!$O$7:$T$156,B62,L62+1)/$O62))</f>
        <v>2.9465020576131691</v>
      </c>
      <c r="AC62" s="16">
        <f>IF($B62="","",IF($B62="""","""",INDEX(Ranges!$U$7:$Z$156,$B62,$L62+1)/$O62))</f>
        <v>6.9300411522633754</v>
      </c>
      <c r="AD62" t="s">
        <v>815</v>
      </c>
      <c r="AE62" t="str">
        <f t="shared" si="2"/>
        <v>Armor enchantment</v>
      </c>
      <c r="AF62" t="str">
        <f t="shared" si="4"/>
        <v>Armor enchantment</v>
      </c>
    </row>
    <row r="63" spans="1:32">
      <c r="A63" s="26">
        <v>11</v>
      </c>
      <c r="B63" s="26">
        <v>20</v>
      </c>
      <c r="C63" s="30" t="s">
        <v>4</v>
      </c>
      <c r="D63" s="30" t="s">
        <v>758</v>
      </c>
      <c r="E63">
        <v>1</v>
      </c>
      <c r="F63" t="str">
        <f t="shared" si="1"/>
        <v>(Tueri)</v>
      </c>
      <c r="G63" t="s">
        <v>402</v>
      </c>
      <c r="H63" t="s">
        <v>401</v>
      </c>
      <c r="I63" t="b">
        <v>1</v>
      </c>
      <c r="J63" t="b">
        <v>1</v>
      </c>
      <c r="K63" t="b">
        <v>0</v>
      </c>
      <c r="L63" s="26">
        <v>2</v>
      </c>
      <c r="M63" s="26" t="str">
        <f ca="1">IF(ISBLANK($L63),"",INDIRECT("'Avatars'!"&amp;ADDRESS(ROW(Avatars!$A$2)+$L63,COLUMN(Avatars!$A$2))))</f>
        <v>Leyshaper</v>
      </c>
      <c r="N63" s="6" t="s">
        <v>241</v>
      </c>
      <c r="O63" s="63">
        <f>IF($N63="""",O62,IF(ISBLANK($N63),"",$N63*AVERAGE(INDEX(Ranges!$O$7:$T$156,A63,L63+1),INDEX(Ranges!$U$7:$Z$156,A63,L63+1))))</f>
        <v>40.5</v>
      </c>
      <c r="Q63" s="9">
        <v>300</v>
      </c>
      <c r="T63" s="58">
        <f>60*1000*4.5</f>
        <v>270000</v>
      </c>
      <c r="U63" s="41" t="str">
        <f t="shared" si="0"/>
        <v/>
      </c>
      <c r="W63" s="63" t="str">
        <f>IF(ISBLANK(V63),"",IF(V63="""",W62,INDEX(Damage!$F$2:$F$151,A63)*V63*SUM(P63:Q63)/1000))</f>
        <v/>
      </c>
      <c r="Z63" s="16">
        <f>IF($O63="","",INDEX(Ranges!$O$7:$T$156,A63,L63+1)/O63)</f>
        <v>2.5596707818930042</v>
      </c>
      <c r="AA63" s="16">
        <f>IF(O63="","",INDEX(Ranges!$U$7:$Z$156,A63,L63+1)/O63)</f>
        <v>7.8271604938271606</v>
      </c>
      <c r="AB63" s="16">
        <f>IF($B63="","",IF($B63="""","""",INDEX(Ranges!$O$7:$T$156,B63,L63+1)/$O63))</f>
        <v>4.5596707818930042</v>
      </c>
      <c r="AC63" s="16">
        <f>IF($B63="","",IF($B63="""","""",INDEX(Ranges!$U$7:$Z$156,$B63,$L63+1)/$O63))</f>
        <v>13.358024691358025</v>
      </c>
      <c r="AD63" t="s">
        <v>815</v>
      </c>
      <c r="AE63" t="str">
        <f t="shared" si="2"/>
        <v>Armor enchantment</v>
      </c>
      <c r="AF63" t="str">
        <f t="shared" si="4"/>
        <v>Armor enchantment</v>
      </c>
    </row>
    <row r="64" spans="1:32">
      <c r="A64" s="26">
        <v>11</v>
      </c>
      <c r="B64" s="26">
        <v>20</v>
      </c>
      <c r="C64" s="30" t="s">
        <v>4</v>
      </c>
      <c r="D64" s="30" t="s">
        <v>758</v>
      </c>
      <c r="E64">
        <v>1</v>
      </c>
      <c r="F64" t="str">
        <f t="shared" si="1"/>
        <v>(Tueri)</v>
      </c>
      <c r="G64" t="s">
        <v>402</v>
      </c>
      <c r="H64" t="s">
        <v>401</v>
      </c>
      <c r="I64" t="b">
        <v>1</v>
      </c>
      <c r="J64" t="b">
        <v>1</v>
      </c>
      <c r="K64" t="b">
        <v>0</v>
      </c>
      <c r="L64" s="26">
        <v>0</v>
      </c>
      <c r="M64" s="26" t="str">
        <f ca="1">IF(ISBLANK($L64),"",INDIRECT("'Avatars'!"&amp;ADDRESS(ROW(Avatars!$A$2)+$L64,COLUMN(Avatars!$A$2))))</f>
        <v>Adept</v>
      </c>
      <c r="N64" s="6" t="s">
        <v>241</v>
      </c>
      <c r="O64" s="63">
        <f>IF($N64="""",O63,IF(ISBLANK($N64),"",$N64*AVERAGE(INDEX(Ranges!$O$7:$T$156,A64,L64+1),INDEX(Ranges!$U$7:$Z$156,A64,L64+1))))</f>
        <v>40.5</v>
      </c>
      <c r="Q64" s="9">
        <v>300</v>
      </c>
      <c r="T64" s="58">
        <f>60*1000*4.5</f>
        <v>270000</v>
      </c>
      <c r="U64" s="41" t="str">
        <f t="shared" si="0"/>
        <v/>
      </c>
      <c r="W64" s="63" t="str">
        <f>IF(ISBLANK(V64),"",IF(V64="""",W63,INDEX(Damage!$F$2:$F$151,A64)*V64*SUM(P64:Q64)/1000))</f>
        <v/>
      </c>
      <c r="Z64" s="16">
        <f>IF($O64="","",INDEX(Ranges!$O$7:$T$156,A64,L64+1)/O64)</f>
        <v>4.0082304526748977</v>
      </c>
      <c r="AA64" s="16">
        <f>IF(O64="","",INDEX(Ranges!$U$7:$Z$156,A64,L64+1)/O64)</f>
        <v>9.2757201646090532</v>
      </c>
      <c r="AB64" s="16">
        <f>IF($B64="","",IF($B64="""","""",INDEX(Ranges!$O$7:$T$156,B64,L64+1)/$O64))</f>
        <v>7.1934156378600829</v>
      </c>
      <c r="AC64" s="16">
        <f>IF($B64="","",IF($B64="""","""",INDEX(Ranges!$U$7:$Z$156,$B64,$L64+1)/$O64))</f>
        <v>15.991769547325102</v>
      </c>
      <c r="AD64" t="s">
        <v>815</v>
      </c>
      <c r="AE64" t="str">
        <f t="shared" si="2"/>
        <v>Armor enchantment</v>
      </c>
      <c r="AF64" t="str">
        <f t="shared" si="4"/>
        <v>Armor enchantment</v>
      </c>
    </row>
    <row r="65" spans="1:32">
      <c r="A65" s="26">
        <v>23</v>
      </c>
      <c r="B65" s="26">
        <v>28</v>
      </c>
      <c r="C65" s="30" t="s">
        <v>4</v>
      </c>
      <c r="D65" s="30" t="s">
        <v>758</v>
      </c>
      <c r="E65">
        <v>2</v>
      </c>
      <c r="F65" t="str">
        <f t="shared" si="1"/>
        <v>(Tueri)</v>
      </c>
      <c r="G65" t="s">
        <v>402</v>
      </c>
      <c r="H65" t="s">
        <v>401</v>
      </c>
      <c r="I65" t="b">
        <v>1</v>
      </c>
      <c r="J65" t="b">
        <v>1</v>
      </c>
      <c r="K65" t="b">
        <v>0</v>
      </c>
      <c r="L65" s="26">
        <v>0</v>
      </c>
      <c r="M65" s="26" t="str">
        <f ca="1">IF(ISBLANK($L65),"",INDIRECT("'Avatars'!"&amp;ADDRESS(ROW(Avatars!$A$2)+$L65,COLUMN(Avatars!$A$2))))</f>
        <v>Adept</v>
      </c>
      <c r="N65" s="6" t="s">
        <v>241</v>
      </c>
      <c r="O65" s="63">
        <f>IF($N65="""",O64,IF(ISBLANK($N65),"",$N65*AVERAGE(INDEX(Ranges!$O$7:$T$156,A65,L65+1),INDEX(Ranges!$U$7:$Z$156,A65,L65+1))))</f>
        <v>40.5</v>
      </c>
      <c r="Q65" s="9">
        <v>300</v>
      </c>
      <c r="T65" s="58">
        <f>60*1000*4.5</f>
        <v>270000</v>
      </c>
      <c r="U65" s="41" t="str">
        <f t="shared" si="0"/>
        <v/>
      </c>
      <c r="W65" s="63" t="str">
        <f>IF(ISBLANK(V65),"",IF(V65="""",W64,INDEX(Damage!$F$2:$F$151,A65)*V65*SUM(P65:Q65)/1000))</f>
        <v/>
      </c>
      <c r="Z65" s="16">
        <f>IF($O65="","",INDEX(Ranges!$O$7:$T$156,A65,L65+1)/O65)</f>
        <v>8.2551440329218124</v>
      </c>
      <c r="AA65" s="16">
        <f>IF(O65="","",INDEX(Ranges!$U$7:$Z$156,A65,L65+1)/O65)</f>
        <v>18.65843621399177</v>
      </c>
      <c r="AB65" s="16">
        <f>IF($B65="","",IF($B65="""","""",INDEX(Ranges!$O$7:$T$156,B65,L65+1)/$O65))</f>
        <v>10.024691358024691</v>
      </c>
      <c r="AC65" s="16">
        <f>IF($B65="","",IF($B65="""","""",INDEX(Ranges!$U$7:$Z$156,$B65,$L65+1)/$O65))</f>
        <v>22.032921810699591</v>
      </c>
      <c r="AD65" t="s">
        <v>815</v>
      </c>
      <c r="AE65" t="str">
        <f t="shared" si="2"/>
        <v>Armor enchantment</v>
      </c>
      <c r="AF65" t="str">
        <f t="shared" si="4"/>
        <v>Armor enchantment</v>
      </c>
    </row>
    <row r="66" spans="1:32">
      <c r="A66" s="26">
        <v>13</v>
      </c>
      <c r="B66" s="26">
        <v>17</v>
      </c>
      <c r="C66" s="30" t="s">
        <v>268</v>
      </c>
      <c r="D66" s="30" t="s">
        <v>758</v>
      </c>
      <c r="E66">
        <v>0</v>
      </c>
      <c r="F66" t="str">
        <f t="shared" si="1"/>
        <v>Divinus</v>
      </c>
      <c r="G66" t="s">
        <v>249</v>
      </c>
      <c r="I66" t="b">
        <v>0</v>
      </c>
      <c r="J66" t="b">
        <v>0</v>
      </c>
      <c r="K66" t="b">
        <v>0</v>
      </c>
      <c r="L66" s="26">
        <v>1</v>
      </c>
      <c r="M66" s="77" t="str">
        <f ca="1">IF(ISBLANK($L66),"",INDIRECT("'Avatars'!"&amp;ADDRESS(ROW(Avatars!$A$2)+$L66,COLUMN(Avatars!$A$2))))</f>
        <v>Sorcerer</v>
      </c>
      <c r="N66" s="6">
        <v>0.6</v>
      </c>
      <c r="O66" s="63">
        <f>IF($N66="""",O65,IF(ISBLANK($N66),"",$N66*AVERAGE(INDEX(Ranges!$O$7:$T$156,A66,L66+1),INDEX(Ranges!$U$7:$Z$156,A66,L66+1))))</f>
        <v>159.09999999999997</v>
      </c>
      <c r="Q66" s="9">
        <v>800</v>
      </c>
      <c r="T66" s="58">
        <f t="shared" ref="T66:T75" si="6">60*1000*6.5</f>
        <v>390000</v>
      </c>
      <c r="U66" s="41" t="str">
        <f t="shared" si="0"/>
        <v/>
      </c>
      <c r="W66" s="63" t="str">
        <f>IF(ISBLANK(V66),"",IF(V66="""",W65,INDEX(Damage!$F$2:$F$151,A66)*V66*SUM(P66:Q66)/1000))</f>
        <v/>
      </c>
      <c r="Z66" s="16">
        <f>IF($O66="","",INDEX(Ranges!$O$7:$T$156,A66,L66+1)/O66)</f>
        <v>0.87366436203645526</v>
      </c>
      <c r="AA66" s="16">
        <f>IF(O66="","",INDEX(Ranges!$U$7:$Z$156,A66,L66+1)/O66)</f>
        <v>2.4596689712968787</v>
      </c>
      <c r="AB66" s="16">
        <f>IF($B66="","",IF($B66="""","""",INDEX(Ranges!$O$7:$T$156,B66,L66+1)/$O66))</f>
        <v>1.1334590404357849</v>
      </c>
      <c r="AC66" s="16">
        <f>IF($B66="","",IF($B66="""","""",INDEX(Ranges!$U$7:$Z$156,$B66,$L66+1)/$O66))</f>
        <v>3.0463021160695587</v>
      </c>
      <c r="AD66" t="s">
        <v>815</v>
      </c>
      <c r="AE66" t="str">
        <f t="shared" si="2"/>
        <v>Armor enchantment</v>
      </c>
      <c r="AF66" t="str">
        <f t="shared" si="4"/>
        <v>Armor enchantment</v>
      </c>
    </row>
    <row r="67" spans="1:32">
      <c r="A67" s="26">
        <v>15</v>
      </c>
      <c r="B67" s="26">
        <v>17</v>
      </c>
      <c r="C67" s="30" t="s">
        <v>268</v>
      </c>
      <c r="D67" s="30" t="s">
        <v>758</v>
      </c>
      <c r="E67">
        <v>0</v>
      </c>
      <c r="F67" t="str">
        <f t="shared" ref="F67:F163" si="7">IF(E67=0,C67,"("&amp;C67&amp;")")</f>
        <v>Divinus</v>
      </c>
      <c r="G67" t="s">
        <v>249</v>
      </c>
      <c r="I67" t="b">
        <v>0</v>
      </c>
      <c r="J67" t="b">
        <v>0</v>
      </c>
      <c r="K67" t="b">
        <v>0</v>
      </c>
      <c r="L67" s="26">
        <v>0</v>
      </c>
      <c r="M67" s="77" t="str">
        <f ca="1">IF(ISBLANK($L67),"",INDIRECT("'Avatars'!"&amp;ADDRESS(ROW(Avatars!$A$2)+$L67,COLUMN(Avatars!$A$2))))</f>
        <v>Adept</v>
      </c>
      <c r="N67" s="6" t="s">
        <v>241</v>
      </c>
      <c r="O67" s="63">
        <f>IF($N67="""",O66,IF(ISBLANK($N67),"",$N67*AVERAGE(INDEX(Ranges!$O$7:$T$156,A67,L67+1),INDEX(Ranges!$U$7:$Z$156,A67,L67+1))))</f>
        <v>159.09999999999997</v>
      </c>
      <c r="Q67" s="9">
        <v>800</v>
      </c>
      <c r="T67" s="58">
        <f t="shared" si="6"/>
        <v>390000</v>
      </c>
      <c r="U67" s="41" t="str">
        <f t="shared" si="0"/>
        <v/>
      </c>
      <c r="W67" s="63" t="str">
        <f>IF(ISBLANK(V67),"",IF(V67="""",W66,INDEX(Damage!$F$2:$F$151,A67)*V67*SUM(P67:Q67)/1000))</f>
        <v/>
      </c>
      <c r="Z67" s="16">
        <f>IF($O67="","",INDEX(Ranges!$O$7:$T$156,A67,L67+1)/O67)</f>
        <v>1.3806830085899857</v>
      </c>
      <c r="AA67" s="16">
        <f>IF(O67="","",INDEX(Ranges!$U$7:$Z$156,A67,L67+1)/O67)</f>
        <v>3.1301068510370844</v>
      </c>
      <c r="AB67" s="16">
        <f>IF($B67="","",IF($B67="""","""",INDEX(Ranges!$O$7:$T$156,B67,L67+1)/$O67))</f>
        <v>1.5608631887701658</v>
      </c>
      <c r="AC67" s="16">
        <f>IF($B67="","",IF($B67="""","""",INDEX(Ranges!$U$7:$Z$156,$B67,$L67+1)/$O67))</f>
        <v>3.4737062644039391</v>
      </c>
      <c r="AD67" t="s">
        <v>815</v>
      </c>
      <c r="AE67" t="str">
        <f t="shared" ref="AE67:AE130" si="8">IF(AD67&lt;&gt;"",AD67,"This spell's effect is not yet available")</f>
        <v>Armor enchantment</v>
      </c>
      <c r="AF67" t="str">
        <f t="shared" si="4"/>
        <v>Armor enchantment</v>
      </c>
    </row>
    <row r="68" spans="1:32">
      <c r="A68" s="26">
        <v>22</v>
      </c>
      <c r="B68" s="26">
        <v>39</v>
      </c>
      <c r="C68" s="30" t="s">
        <v>269</v>
      </c>
      <c r="D68" s="30" t="s">
        <v>758</v>
      </c>
      <c r="E68">
        <v>0</v>
      </c>
      <c r="F68" t="str">
        <f t="shared" si="7"/>
        <v>Excelcior Divinus</v>
      </c>
      <c r="G68" t="s">
        <v>249</v>
      </c>
      <c r="I68" t="b">
        <v>0</v>
      </c>
      <c r="J68" t="b">
        <v>0</v>
      </c>
      <c r="K68" t="b">
        <v>0</v>
      </c>
      <c r="L68" s="26">
        <v>1</v>
      </c>
      <c r="M68" s="26" t="str">
        <f ca="1">IF(ISBLANK($L68),"",INDIRECT("'Avatars'!"&amp;ADDRESS(ROW(Avatars!$A$2)+$L68,COLUMN(Avatars!$A$2))))</f>
        <v>Sorcerer</v>
      </c>
      <c r="N68" s="6">
        <v>0.65</v>
      </c>
      <c r="O68" s="63">
        <f>IF($N68="""",O67,IF(ISBLANK($N68),"",$N68*AVERAGE(INDEX(Ranges!$O$7:$T$156,A68,L68+1),INDEX(Ranges!$U$7:$Z$156,A68,L68+1))))</f>
        <v>275.05833333333334</v>
      </c>
      <c r="Q68" s="9">
        <v>800</v>
      </c>
      <c r="T68" s="58">
        <f t="shared" si="6"/>
        <v>390000</v>
      </c>
      <c r="U68" s="41" t="str">
        <f t="shared" si="0"/>
        <v/>
      </c>
      <c r="W68" s="63" t="str">
        <f>IF(ISBLANK(V68),"",IF(V68="""",W67,INDEX(Damage!$F$2:$F$151,A68)*V68*SUM(P68:Q68)/1000))</f>
        <v/>
      </c>
      <c r="Z68" s="16">
        <f>IF($O68="","",INDEX(Ranges!$O$7:$T$156,A68,L68+1)/O68)</f>
        <v>0.84345744842003212</v>
      </c>
      <c r="AA68" s="16">
        <f>IF(O68="","",INDEX(Ranges!$U$7:$Z$156,A68,L68+1)/O68)</f>
        <v>2.233465628503045</v>
      </c>
      <c r="AB68" s="16">
        <f>IF($B68="","",IF($B68="""","""",INDEX(Ranges!$O$7:$T$156,B68,L68+1)/$O68))</f>
        <v>1.4821098554852001</v>
      </c>
      <c r="AC68" s="16">
        <f>IF($B68="","",IF($B68="""","""",INDEX(Ranges!$U$7:$Z$156,$B68,$L68+1)/$O68))</f>
        <v>3.95916017814403</v>
      </c>
      <c r="AD68" t="s">
        <v>815</v>
      </c>
      <c r="AE68" t="str">
        <f t="shared" si="8"/>
        <v>Armor enchantment</v>
      </c>
      <c r="AF68" t="str">
        <f t="shared" si="4"/>
        <v>Armor enchantment</v>
      </c>
    </row>
    <row r="69" spans="1:32">
      <c r="A69" s="77">
        <v>22</v>
      </c>
      <c r="B69" s="77">
        <v>39</v>
      </c>
      <c r="C69" s="30" t="s">
        <v>269</v>
      </c>
      <c r="D69" s="30" t="s">
        <v>758</v>
      </c>
      <c r="E69">
        <v>0</v>
      </c>
      <c r="F69" t="str">
        <f t="shared" ref="F69" si="9">IF(E69=0,C69,"("&amp;C69&amp;")")</f>
        <v>Excelcior Divinus</v>
      </c>
      <c r="G69" t="s">
        <v>249</v>
      </c>
      <c r="I69" t="b">
        <v>0</v>
      </c>
      <c r="J69" t="b">
        <v>0</v>
      </c>
      <c r="K69" t="b">
        <v>0</v>
      </c>
      <c r="L69" s="77">
        <v>0</v>
      </c>
      <c r="M69" s="77" t="str">
        <f ca="1">IF(ISBLANK($L69),"",INDIRECT("'Avatars'!"&amp;ADDRESS(ROW(Avatars!$A$2)+$L69,COLUMN(Avatars!$A$2))))</f>
        <v>Adept</v>
      </c>
      <c r="N69" s="6">
        <v>0.65</v>
      </c>
      <c r="O69" s="78">
        <f>IF($N69="""",O68,IF(ISBLANK($N69),"",$N69*AVERAGE(INDEX(Ranges!$O$7:$T$156,A69,L69+1),INDEX(Ranges!$U$7:$Z$156,A69,L69+1))))</f>
        <v>332.25833333333338</v>
      </c>
      <c r="P69" s="78"/>
      <c r="Q69" s="78">
        <v>800</v>
      </c>
      <c r="R69" s="78"/>
      <c r="S69" s="78"/>
      <c r="T69" s="78">
        <f t="shared" si="6"/>
        <v>390000</v>
      </c>
      <c r="U69" s="41" t="str">
        <f t="shared" ref="U69" si="10">IF(OR(ISBLANK(S69),ISBLANK(T69)),"",T69/S69)</f>
        <v/>
      </c>
      <c r="W69" s="78" t="str">
        <f>IF(ISBLANK(V69),"",IF(V69="""",W68,INDEX(Damage!$F$2:$F$151,A69)*V69*SUM(P69:Q69)/1000))</f>
        <v/>
      </c>
      <c r="X69" s="77"/>
      <c r="Z69" s="16">
        <f>IF($O69="","",INDEX(Ranges!$O$7:$T$156,A69,L69+1)/O69)</f>
        <v>0.96310601690451692</v>
      </c>
      <c r="AA69" s="16">
        <f>IF(O69="","",INDEX(Ranges!$U$7:$Z$156,A69,L69+1)/O69)</f>
        <v>2.1138170600185595</v>
      </c>
      <c r="AB69" s="16">
        <f>IF($B69="","",IF($B69="""","""",INDEX(Ranges!$O$7:$T$156,B69,L69+1)/$O69))</f>
        <v>1.6964711193599358</v>
      </c>
      <c r="AC69" s="16">
        <f>IF($B69="","",IF($B69="""","""",INDEX(Ranges!$U$7:$Z$156,$B69,$L69+1)/$O69))</f>
        <v>3.7470843470191362</v>
      </c>
      <c r="AD69" t="s">
        <v>815</v>
      </c>
      <c r="AE69" t="str">
        <f t="shared" si="8"/>
        <v>Armor enchantment</v>
      </c>
      <c r="AF69" t="str">
        <f t="shared" si="4"/>
        <v>Armor enchantment</v>
      </c>
    </row>
    <row r="70" spans="1:32">
      <c r="A70" s="26">
        <v>40</v>
      </c>
      <c r="B70" s="26">
        <v>55</v>
      </c>
      <c r="C70" s="30" t="s">
        <v>269</v>
      </c>
      <c r="D70" s="30" t="s">
        <v>758</v>
      </c>
      <c r="E70">
        <v>1</v>
      </c>
      <c r="F70" t="str">
        <f t="shared" si="7"/>
        <v>(Excelcior Divinus)</v>
      </c>
      <c r="G70" t="s">
        <v>249</v>
      </c>
      <c r="I70" t="b">
        <v>0</v>
      </c>
      <c r="J70" t="b">
        <v>0</v>
      </c>
      <c r="K70" t="b">
        <v>0</v>
      </c>
      <c r="L70" s="26">
        <v>1</v>
      </c>
      <c r="M70" s="26" t="str">
        <f ca="1">IF(ISBLANK($L70),"",INDIRECT("'Avatars'!"&amp;ADDRESS(ROW(Avatars!$A$2)+$L70,COLUMN(Avatars!$A$2))))</f>
        <v>Sorcerer</v>
      </c>
      <c r="N70" s="6" t="s">
        <v>241</v>
      </c>
      <c r="O70" s="63">
        <f>IF($N70="""",O68,IF(ISBLANK($N70),"",$N70*AVERAGE(INDEX(Ranges!$O$7:$T$156,A70,L70+1),INDEX(Ranges!$U$7:$Z$156,A70,L70+1))))</f>
        <v>275.05833333333334</v>
      </c>
      <c r="Q70" s="9">
        <v>800</v>
      </c>
      <c r="T70" s="58">
        <f t="shared" si="6"/>
        <v>390000</v>
      </c>
      <c r="U70" s="41" t="str">
        <f t="shared" si="0"/>
        <v/>
      </c>
      <c r="W70" s="63" t="str">
        <f>IF(ISBLANK(V70),"",IF(V70="""",W68,INDEX(Damage!$F$2:$F$151,A70)*V70*SUM(P70:Q70)/1000))</f>
        <v/>
      </c>
      <c r="Z70" s="16">
        <f>IF($O70="","",INDEX(Ranges!$O$7:$T$156,A70,L70+1)/O70)</f>
        <v>1.5196776441360924</v>
      </c>
      <c r="AA70" s="16">
        <f>IF(O70="","",INDEX(Ranges!$U$7:$Z$156,A70,L70+1)/O70)</f>
        <v>4.0439906686460443</v>
      </c>
      <c r="AB70" s="16">
        <f>IF($B70="","",IF($B70="""","""",INDEX(Ranges!$O$7:$T$156,B70,L70+1)/$O70))</f>
        <v>2.0831944738994759</v>
      </c>
      <c r="AC70" s="16">
        <f>IF($B70="","",IF($B70="""","""",INDEX(Ranges!$U$7:$Z$156,$B70,$L70+1)/$O70))</f>
        <v>5.6472869391341227</v>
      </c>
      <c r="AD70" t="s">
        <v>815</v>
      </c>
      <c r="AE70" t="str">
        <f t="shared" si="8"/>
        <v>Armor enchantment</v>
      </c>
      <c r="AF70" t="str">
        <f t="shared" si="4"/>
        <v>Armor enchantment</v>
      </c>
    </row>
    <row r="71" spans="1:32">
      <c r="A71" s="77">
        <v>40</v>
      </c>
      <c r="B71" s="77">
        <v>55</v>
      </c>
      <c r="C71" s="30" t="s">
        <v>269</v>
      </c>
      <c r="D71" s="30" t="s">
        <v>758</v>
      </c>
      <c r="E71">
        <v>1</v>
      </c>
      <c r="F71" t="str">
        <f t="shared" ref="F71" si="11">IF(E71=0,C71,"("&amp;C71&amp;")")</f>
        <v>(Excelcior Divinus)</v>
      </c>
      <c r="G71" t="s">
        <v>249</v>
      </c>
      <c r="I71" t="b">
        <v>0</v>
      </c>
      <c r="J71" t="b">
        <v>0</v>
      </c>
      <c r="K71" t="b">
        <v>0</v>
      </c>
      <c r="L71" s="77">
        <v>0</v>
      </c>
      <c r="M71" s="77" t="str">
        <f ca="1">IF(ISBLANK($L71),"",INDIRECT("'Avatars'!"&amp;ADDRESS(ROW(Avatars!$A$2)+$L71,COLUMN(Avatars!$A$2))))</f>
        <v>Adept</v>
      </c>
      <c r="N71" s="6" t="s">
        <v>241</v>
      </c>
      <c r="O71" s="78">
        <f>IF($N71="""",O69,IF(ISBLANK($N71),"",$N71*AVERAGE(INDEX(Ranges!$O$7:$T$156,A71,L71+1),INDEX(Ranges!$U$7:$Z$156,A71,L71+1))))</f>
        <v>332.25833333333338</v>
      </c>
      <c r="P71" s="78"/>
      <c r="Q71" s="78">
        <v>800</v>
      </c>
      <c r="R71" s="78"/>
      <c r="S71" s="78"/>
      <c r="T71" s="78">
        <f t="shared" si="6"/>
        <v>390000</v>
      </c>
      <c r="U71" s="41" t="str">
        <f t="shared" ref="U71" si="12">IF(OR(ISBLANK(S71),ISBLANK(T71)),"",T71/S71)</f>
        <v/>
      </c>
      <c r="W71" s="78" t="str">
        <f>IF(ISBLANK(V71),"",IF(V71="""",W69,INDEX(Damage!$F$2:$F$151,A71)*V71*SUM(P71:Q71)/1000))</f>
        <v/>
      </c>
      <c r="X71" s="77"/>
      <c r="Z71" s="16">
        <f>IF($O71="","",INDEX(Ranges!$O$7:$T$156,A71,L71+1)/O71)</f>
        <v>1.7396102430337836</v>
      </c>
      <c r="AA71" s="16">
        <f>IF(O71="","",INDEX(Ranges!$U$7:$Z$156,A71,L71+1)/O71)</f>
        <v>3.8293496526297299</v>
      </c>
      <c r="AB71" s="16">
        <f>IF($B71="","",IF($B71="""","""",INDEX(Ranges!$O$7:$T$156,B71,L71+1)/$O71))</f>
        <v>2.3866970981415059</v>
      </c>
      <c r="AC71" s="16">
        <f>IF($B71="","",IF($B71="""","""",INDEX(Ranges!$U$7:$Z$156,$B71,$L71+1)/$O71))</f>
        <v>5.3372125103458643</v>
      </c>
      <c r="AD71" t="s">
        <v>815</v>
      </c>
      <c r="AE71" t="str">
        <f t="shared" si="8"/>
        <v>Armor enchantment</v>
      </c>
      <c r="AF71" t="str">
        <f t="shared" si="4"/>
        <v>Armor enchantment</v>
      </c>
    </row>
    <row r="72" spans="1:32">
      <c r="A72" s="26">
        <v>25</v>
      </c>
      <c r="B72" s="26">
        <v>50</v>
      </c>
      <c r="C72" s="30" t="s">
        <v>307</v>
      </c>
      <c r="D72" s="30" t="s">
        <v>758</v>
      </c>
      <c r="E72">
        <v>0</v>
      </c>
      <c r="F72" t="str">
        <f t="shared" si="7"/>
        <v>Animus Divinus</v>
      </c>
      <c r="G72" t="s">
        <v>249</v>
      </c>
      <c r="I72" t="b">
        <v>0</v>
      </c>
      <c r="J72" t="b">
        <v>0</v>
      </c>
      <c r="K72" t="b">
        <v>0</v>
      </c>
      <c r="L72" s="26">
        <v>0</v>
      </c>
      <c r="M72" s="26" t="str">
        <f ca="1">IF(ISBLANK($L72),"",INDIRECT("'Avatars'!"&amp;ADDRESS(ROW(Avatars!$A$2)+$L72,COLUMN(Avatars!$A$2))))</f>
        <v>Adept</v>
      </c>
      <c r="N72" s="6">
        <v>0.75</v>
      </c>
      <c r="O72" s="63">
        <f>IF($N72="""",O70,IF(ISBLANK($N72),"",$N72*AVERAGE(INDEX(Ranges!$O$7:$T$156,A72,L72+1),INDEX(Ranges!$U$7:$Z$156,A72,L72+1))))</f>
        <v>440.00000000000006</v>
      </c>
      <c r="Q72" s="9">
        <v>800</v>
      </c>
      <c r="T72" s="58">
        <f t="shared" si="6"/>
        <v>390000</v>
      </c>
      <c r="U72" s="41" t="str">
        <f t="shared" si="0"/>
        <v/>
      </c>
      <c r="W72" s="63" t="str">
        <f>IF(ISBLANK(V72),"",IF(V72="""",W70,INDEX(Damage!$F$2:$F$151,A72)*V72*SUM(P72:Q72)/1000))</f>
        <v/>
      </c>
      <c r="Z72" s="16">
        <f>IF($O72="","",INDEX(Ranges!$O$7:$T$156,A72,L72+1)/O72)</f>
        <v>0.82499999999999984</v>
      </c>
      <c r="AA72" s="16">
        <f>IF(O72="","",INDEX(Ranges!$U$7:$Z$156,A72,L72+1)/O72)</f>
        <v>1.8416666666666666</v>
      </c>
      <c r="AB72" s="16">
        <f>IF($B72="","",IF($B72="""","""",INDEX(Ranges!$O$7:$T$156,B72,L72+1)/$O72))</f>
        <v>1.6393939393939392</v>
      </c>
      <c r="AC72" s="16">
        <f>IF($B72="","",IF($B72="""","""",INDEX(Ranges!$U$7:$Z$156,$B72,$L72+1)/$O72))</f>
        <v>3.7196969696969693</v>
      </c>
      <c r="AD72" t="s">
        <v>815</v>
      </c>
      <c r="AE72" t="str">
        <f t="shared" si="8"/>
        <v>Armor enchantment</v>
      </c>
      <c r="AF72" t="str">
        <f t="shared" si="4"/>
        <v>Armor enchantment</v>
      </c>
    </row>
    <row r="73" spans="1:32">
      <c r="A73" s="26">
        <v>51</v>
      </c>
      <c r="B73" s="26">
        <v>150</v>
      </c>
      <c r="C73" s="30" t="s">
        <v>355</v>
      </c>
      <c r="D73" s="30" t="s">
        <v>758</v>
      </c>
      <c r="E73">
        <v>0</v>
      </c>
      <c r="F73" t="str">
        <f t="shared" si="7"/>
        <v>Spiritus Divinus</v>
      </c>
      <c r="G73" t="s">
        <v>249</v>
      </c>
      <c r="I73" t="b">
        <v>0</v>
      </c>
      <c r="J73" t="b">
        <v>0</v>
      </c>
      <c r="K73" t="b">
        <v>0</v>
      </c>
      <c r="L73" s="26">
        <v>0</v>
      </c>
      <c r="M73" s="26" t="str">
        <f ca="1">IF(ISBLANK($L73),"",INDIRECT("'Avatars'!"&amp;ADDRESS(ROW(Avatars!$A$2)+$L73,COLUMN(Avatars!$A$2))))</f>
        <v>Adept</v>
      </c>
      <c r="N73" s="6">
        <v>0.75</v>
      </c>
      <c r="O73" s="63">
        <f>IF($N73="""",O72,IF(ISBLANK($N73),"",$N73*AVERAGE(INDEX(Ranges!$O$7:$T$156,A73,L73+1),INDEX(Ranges!$U$7:$Z$156,A73,L73+1))))</f>
        <v>899.87500000000011</v>
      </c>
      <c r="Q73" s="9">
        <v>800</v>
      </c>
      <c r="T73" s="58">
        <f t="shared" si="6"/>
        <v>390000</v>
      </c>
      <c r="U73" s="41" t="str">
        <f t="shared" si="0"/>
        <v/>
      </c>
      <c r="W73" s="63" t="str">
        <f>IF(ISBLANK(V73),"",IF(V73="""",W72,INDEX(Damage!$F$2:$F$151,A73)*V73*SUM(P73:Q73)/1000))</f>
        <v/>
      </c>
      <c r="Z73" s="16">
        <f>IF($O73="","",INDEX(Ranges!$O$7:$T$156,A73,L73+1)/O73)</f>
        <v>0.81752095198407182</v>
      </c>
      <c r="AA73" s="16">
        <f>IF(O73="","",INDEX(Ranges!$U$7:$Z$156,A73,L73+1)/O73)</f>
        <v>1.8491457146825945</v>
      </c>
      <c r="AB73" s="16">
        <f>IF($B73="","",IF($B73="""","""",INDEX(Ranges!$O$7:$T$156,B73,L73+1)/$O73))</f>
        <v>2.3944066305505394</v>
      </c>
      <c r="AC73" s="16">
        <f>IF($B73="","",IF($B73="""","""",INDEX(Ranges!$U$7:$Z$156,$B73,$L73+1)/$O73))</f>
        <v>5.130712598972079</v>
      </c>
      <c r="AD73" t="s">
        <v>815</v>
      </c>
      <c r="AE73" t="str">
        <f t="shared" si="8"/>
        <v>Armor enchantment</v>
      </c>
      <c r="AF73" t="str">
        <f t="shared" si="4"/>
        <v>Armor enchantment</v>
      </c>
    </row>
    <row r="74" spans="1:32">
      <c r="A74" s="26">
        <v>25</v>
      </c>
      <c r="B74" s="26">
        <v>50</v>
      </c>
      <c r="C74" s="30" t="s">
        <v>353</v>
      </c>
      <c r="D74" s="30" t="s">
        <v>758</v>
      </c>
      <c r="E74">
        <v>0</v>
      </c>
      <c r="F74" t="str">
        <f t="shared" si="7"/>
        <v>Divinus Rex</v>
      </c>
      <c r="G74" t="s">
        <v>249</v>
      </c>
      <c r="I74" t="b">
        <v>0</v>
      </c>
      <c r="J74" t="b">
        <v>0</v>
      </c>
      <c r="K74" t="b">
        <v>0</v>
      </c>
      <c r="L74" s="26">
        <v>1</v>
      </c>
      <c r="M74" s="26" t="str">
        <f ca="1">IF(ISBLANK($L74),"",INDIRECT("'Avatars'!"&amp;ADDRESS(ROW(Avatars!$A$2)+$L74,COLUMN(Avatars!$A$2))))</f>
        <v>Sorcerer</v>
      </c>
      <c r="N74" s="6">
        <v>0.5</v>
      </c>
      <c r="O74" s="63">
        <f>IF($N74="""",O73,IF(ISBLANK($N74),"",$N74*AVERAGE(INDEX(Ranges!$O$7:$T$156,A74,L74+1),INDEX(Ranges!$U$7:$Z$156,A74,L74+1))))</f>
        <v>243.33333333333334</v>
      </c>
      <c r="Q74" s="9">
        <v>600</v>
      </c>
      <c r="T74" s="58">
        <f t="shared" si="6"/>
        <v>390000</v>
      </c>
      <c r="U74" s="41" t="str">
        <f t="shared" si="0"/>
        <v/>
      </c>
      <c r="W74" s="63" t="str">
        <f>IF(ISBLANK(V74),"",IF(V74="""",W73,INDEX(Damage!$F$2:$F$151,A74)*V74*SUM(P74:Q74)/1000))</f>
        <v/>
      </c>
      <c r="Z74" s="16">
        <f>IF($O74="","",INDEX(Ranges!$O$7:$T$156,A74,L74+1)/O74)</f>
        <v>1.0808219178082192</v>
      </c>
      <c r="AA74" s="16">
        <f>IF(O74="","",INDEX(Ranges!$U$7:$Z$156,A74,L74+1)/O74)</f>
        <v>2.919178082191781</v>
      </c>
      <c r="AB74" s="16">
        <f>IF($B74="","",IF($B74="""","""",INDEX(Ranges!$O$7:$T$156,B74,L74+1)/$O74))</f>
        <v>2.1424657534246574</v>
      </c>
      <c r="AC74" s="16">
        <f>IF($B74="","",IF($B74="""","""",INDEX(Ranges!$U$7:$Z$156,$B74,$L74+1)/$O74))</f>
        <v>5.904109589041096</v>
      </c>
      <c r="AD74" t="s">
        <v>815</v>
      </c>
      <c r="AE74" t="str">
        <f t="shared" si="8"/>
        <v>Armor enchantment</v>
      </c>
      <c r="AF74" t="str">
        <f t="shared" si="4"/>
        <v>Armor enchantment</v>
      </c>
    </row>
    <row r="75" spans="1:32">
      <c r="A75" s="26">
        <v>51</v>
      </c>
      <c r="B75" s="26">
        <v>150</v>
      </c>
      <c r="C75" s="30" t="s">
        <v>354</v>
      </c>
      <c r="D75" s="30" t="s">
        <v>758</v>
      </c>
      <c r="E75">
        <v>0</v>
      </c>
      <c r="F75" t="str">
        <f t="shared" si="7"/>
        <v>Divinus Deus</v>
      </c>
      <c r="G75" t="s">
        <v>249</v>
      </c>
      <c r="I75" t="b">
        <v>0</v>
      </c>
      <c r="J75" t="b">
        <v>0</v>
      </c>
      <c r="K75" t="b">
        <v>0</v>
      </c>
      <c r="L75" s="26">
        <v>1</v>
      </c>
      <c r="M75" s="26" t="str">
        <f ca="1">IF(ISBLANK($L75),"",INDIRECT("'Avatars'!"&amp;ADDRESS(ROW(Avatars!$A$2)+$L75,COLUMN(Avatars!$A$2))))</f>
        <v>Sorcerer</v>
      </c>
      <c r="N75" s="6">
        <v>0.5</v>
      </c>
      <c r="O75" s="63">
        <f>IF($N75="""",O74,IF(ISBLANK($N75),"",$N75*AVERAGE(INDEX(Ranges!$O$7:$T$156,A75,L75+1),INDEX(Ranges!$U$7:$Z$156,A75,L75+1))))</f>
        <v>497.91666666666669</v>
      </c>
      <c r="Q75" s="9">
        <v>600</v>
      </c>
      <c r="T75" s="58">
        <f t="shared" si="6"/>
        <v>390000</v>
      </c>
      <c r="U75" s="41" t="str">
        <f t="shared" si="0"/>
        <v/>
      </c>
      <c r="W75" s="63" t="str">
        <f>IF(ISBLANK(V75),"",IF(V75="""",W74,INDEX(Damage!$F$2:$F$151,A75)*V75*SUM(P75:Q75)/1000))</f>
        <v/>
      </c>
      <c r="Z75" s="16">
        <f>IF($O75="","",INDEX(Ranges!$O$7:$T$156,A75,L75+1)/O75)</f>
        <v>1.0677824267782428</v>
      </c>
      <c r="AA75" s="16">
        <f>IF(O75="","",INDEX(Ranges!$U$7:$Z$156,A75,L75+1)/O75)</f>
        <v>2.9322175732217572</v>
      </c>
      <c r="AB75" s="16">
        <f>IF($B75="","",IF($B75="""","""",INDEX(Ranges!$O$7:$T$156,B75,L75+1)/$O75))</f>
        <v>3.1223430962343097</v>
      </c>
      <c r="AC75" s="16">
        <f>IF($B75="","",IF($B75="""","""",INDEX(Ranges!$U$7:$Z$156,$B75,$L75+1)/$O75))</f>
        <v>8.0676150627615062</v>
      </c>
      <c r="AD75" t="s">
        <v>815</v>
      </c>
      <c r="AE75" t="str">
        <f t="shared" si="8"/>
        <v>Armor enchantment</v>
      </c>
      <c r="AF75" t="str">
        <f t="shared" si="4"/>
        <v>Armor enchantment</v>
      </c>
    </row>
    <row r="76" spans="1:32">
      <c r="A76" s="26">
        <v>36</v>
      </c>
      <c r="B76" s="26">
        <v>44</v>
      </c>
      <c r="C76" s="30" t="s">
        <v>270</v>
      </c>
      <c r="D76" s="30" t="s">
        <v>758</v>
      </c>
      <c r="E76">
        <v>0</v>
      </c>
      <c r="F76" t="str">
        <f t="shared" si="7"/>
        <v>Vis Tueri</v>
      </c>
      <c r="G76" t="s">
        <v>402</v>
      </c>
      <c r="H76" t="s">
        <v>401</v>
      </c>
      <c r="I76" t="b">
        <v>1</v>
      </c>
      <c r="J76" t="b">
        <v>1</v>
      </c>
      <c r="K76" t="b">
        <v>0</v>
      </c>
      <c r="L76" s="26">
        <v>1</v>
      </c>
      <c r="M76" s="26" t="str">
        <f ca="1">IF(ISBLANK($L76),"",INDIRECT("'Avatars'!"&amp;ADDRESS(ROW(Avatars!$A$2)+$L76,COLUMN(Avatars!$A$2))))</f>
        <v>Sorcerer</v>
      </c>
      <c r="N76" s="6">
        <v>0.6</v>
      </c>
      <c r="O76" s="63">
        <f>IF($N76="""",O75,IF(ISBLANK($N76),"",$N76*AVERAGE(INDEX(Ranges!$O$7:$T$156,A76,L76+1),INDEX(Ranges!$U$7:$Z$156,A76,L76+1))))</f>
        <v>418.7</v>
      </c>
      <c r="Q76" s="9">
        <v>300</v>
      </c>
      <c r="T76" s="58">
        <f>60*1000*4.5</f>
        <v>270000</v>
      </c>
      <c r="U76" s="41" t="str">
        <f t="shared" si="0"/>
        <v/>
      </c>
      <c r="W76" s="63" t="str">
        <f>IF(ISBLANK(V76),"",IF(V76="""",W75,INDEX(Damage!$F$2:$F$151,A76)*V76*SUM(P76:Q76)/1000))</f>
        <v/>
      </c>
      <c r="Z76" s="16">
        <f>IF($O76="","",INDEX(Ranges!$O$7:$T$156,A76,L76+1)/O76)</f>
        <v>0.89960990367009008</v>
      </c>
      <c r="AA76" s="16">
        <f>IF(O76="","",INDEX(Ranges!$U$7:$Z$156,A76,L76+1)/O76)</f>
        <v>2.4337234296632433</v>
      </c>
      <c r="AB76" s="16">
        <f>IF($B76="","",IF($B76="""","""",INDEX(Ranges!$O$7:$T$156,B76,L76+1)/$O76))</f>
        <v>1.0970464135021099</v>
      </c>
      <c r="AC76" s="16">
        <f>IF($B76="","",IF($B76="""","""",INDEX(Ranges!$U$7:$Z$156,$B76,$L76+1)/$O76))</f>
        <v>3.0037417403073006</v>
      </c>
      <c r="AD76" t="s">
        <v>815</v>
      </c>
      <c r="AE76" t="str">
        <f t="shared" si="8"/>
        <v>Armor enchantment</v>
      </c>
      <c r="AF76" t="str">
        <f t="shared" si="4"/>
        <v>Armor enchantment</v>
      </c>
    </row>
    <row r="77" spans="1:32">
      <c r="A77" s="26">
        <v>45</v>
      </c>
      <c r="B77" s="26">
        <v>55</v>
      </c>
      <c r="C77" s="30" t="s">
        <v>270</v>
      </c>
      <c r="D77" s="30" t="s">
        <v>758</v>
      </c>
      <c r="E77">
        <v>1</v>
      </c>
      <c r="F77" t="str">
        <f t="shared" si="7"/>
        <v>(Vis Tueri)</v>
      </c>
      <c r="G77" t="s">
        <v>402</v>
      </c>
      <c r="H77" t="s">
        <v>401</v>
      </c>
      <c r="I77" t="b">
        <v>1</v>
      </c>
      <c r="J77" t="b">
        <v>1</v>
      </c>
      <c r="K77" t="b">
        <v>0</v>
      </c>
      <c r="L77" s="26">
        <v>1</v>
      </c>
      <c r="M77" s="26" t="str">
        <f ca="1">IF(ISBLANK($L77),"",INDIRECT("'Avatars'!"&amp;ADDRESS(ROW(Avatars!$A$2)+$L77,COLUMN(Avatars!$A$2))))</f>
        <v>Sorcerer</v>
      </c>
      <c r="N77" s="6" t="s">
        <v>241</v>
      </c>
      <c r="O77" s="63">
        <f>IF($N77="""",O76,IF(ISBLANK($N77),"",$N77*AVERAGE(INDEX(Ranges!$O$7:$T$156,A77,L77+1),INDEX(Ranges!$U$7:$Z$156,A77,L77+1))))</f>
        <v>418.7</v>
      </c>
      <c r="Q77" s="9">
        <v>300</v>
      </c>
      <c r="T77" s="58">
        <f>60*1000*4.5</f>
        <v>270000</v>
      </c>
      <c r="U77" s="41" t="str">
        <f t="shared" ref="U77:U143" si="13">IF(OR(ISBLANK(S77),ISBLANK(T77)),"",T77/S77)</f>
        <v/>
      </c>
      <c r="W77" s="63" t="str">
        <f>IF(ISBLANK(V77),"",IF(V77="""",W76,INDEX(Damage!$F$2:$F$151,A77)*V77*SUM(P77:Q77)/1000))</f>
        <v/>
      </c>
      <c r="Z77" s="16">
        <f>IF($O77="","",INDEX(Ranges!$O$7:$T$156,A77,L77+1)/O77)</f>
        <v>1.1217259772311123</v>
      </c>
      <c r="AA77" s="16">
        <f>IF(O77="","",INDEX(Ranges!$U$7:$Z$156,A77,L77+1)/O77)</f>
        <v>3.059469787437306</v>
      </c>
      <c r="AB77" s="16">
        <f>IF($B77="","",IF($B77="""","""",INDEX(Ranges!$O$7:$T$156,B77,L77+1)/$O77))</f>
        <v>1.368521614521137</v>
      </c>
      <c r="AC77" s="16">
        <f>IF($B77="","",IF($B77="""","""",INDEX(Ranges!$U$7:$Z$156,$B77,$L77+1)/$O77))</f>
        <v>3.7098957089403708</v>
      </c>
      <c r="AD77" t="s">
        <v>815</v>
      </c>
      <c r="AE77" t="str">
        <f t="shared" si="8"/>
        <v>Armor enchantment</v>
      </c>
      <c r="AF77" t="str">
        <f t="shared" si="4"/>
        <v>Armor enchantment</v>
      </c>
    </row>
    <row r="78" spans="1:32">
      <c r="A78" s="26">
        <v>11</v>
      </c>
      <c r="B78" s="26">
        <v>17</v>
      </c>
      <c r="C78" s="30" t="s">
        <v>256</v>
      </c>
      <c r="D78" s="30" t="s">
        <v>758</v>
      </c>
      <c r="E78">
        <v>0</v>
      </c>
      <c r="F78" t="str">
        <f t="shared" si="7"/>
        <v>Hex Mortis Hydra</v>
      </c>
      <c r="G78" t="s">
        <v>195</v>
      </c>
      <c r="I78" t="b">
        <v>1</v>
      </c>
      <c r="J78" t="b">
        <v>0</v>
      </c>
      <c r="K78" t="b">
        <v>0</v>
      </c>
      <c r="L78" s="26">
        <v>1</v>
      </c>
      <c r="M78" s="26" t="str">
        <f ca="1">IF(ISBLANK($L78),"",INDIRECT("'Avatars'!"&amp;ADDRESS(ROW(Avatars!$A$2)+$L78,COLUMN(Avatars!$A$2))))</f>
        <v>Sorcerer</v>
      </c>
      <c r="N78" s="6">
        <v>0.4</v>
      </c>
      <c r="O78" s="63">
        <f>IF($N78="""",O77,IF(ISBLANK($N78),"",$N78*AVERAGE(INDEX(Ranges!$O$7:$T$156,A78,L78+1),INDEX(Ranges!$U$7:$Z$156,A78,L78+1))))</f>
        <v>90</v>
      </c>
      <c r="P78" s="63">
        <v>500</v>
      </c>
      <c r="Q78" s="9">
        <v>200</v>
      </c>
      <c r="U78" s="41" t="str">
        <f t="shared" si="13"/>
        <v/>
      </c>
      <c r="V78" s="6">
        <v>2</v>
      </c>
      <c r="W78" s="63">
        <f>IF(ISBLANK(V78),"",IF(V78="""",W77,INDEX(Damage!$F$2:$F$151,A78)*V78*SUM(P78:Q78)/1000))</f>
        <v>79.123123123123122</v>
      </c>
      <c r="Z78" s="16">
        <f>IF($O78="","",INDEX(Ranges!$O$7:$T$156,A78,L78+1)/O78)</f>
        <v>1.3148148148148149</v>
      </c>
      <c r="AA78" s="16">
        <f>IF(O78="","",INDEX(Ranges!$U$7:$Z$156,A78,L78+1)/O78)</f>
        <v>3.6851851851851856</v>
      </c>
      <c r="AB78" s="16">
        <f>IF($B78="","",IF($B78="""","""",INDEX(Ranges!$O$7:$T$156,B78,L78+1)/$O78))</f>
        <v>2.003703703703704</v>
      </c>
      <c r="AC78" s="16">
        <f>IF($B78="","",IF($B78="""","""",INDEX(Ranges!$U$7:$Z$156,$B78,$L78+1)/$O78))</f>
        <v>5.3851851851851853</v>
      </c>
      <c r="AD78" t="s">
        <v>756</v>
      </c>
      <c r="AE78" t="str">
        <f t="shared" si="8"/>
        <v>Fierce direct-damage spell that hits the selected target with a beam of celestial energy</v>
      </c>
      <c r="AF78" t="str">
        <f t="shared" si="4"/>
        <v>Fierce direct-damage spell that hits the selected target with a beam of celestial energy</v>
      </c>
    </row>
    <row r="79" spans="1:32">
      <c r="A79" s="26">
        <v>19</v>
      </c>
      <c r="B79" s="26">
        <v>25</v>
      </c>
      <c r="C79" s="30" t="s">
        <v>256</v>
      </c>
      <c r="D79" s="30" t="s">
        <v>758</v>
      </c>
      <c r="E79">
        <v>1</v>
      </c>
      <c r="F79" t="str">
        <f t="shared" si="7"/>
        <v>(Hex Mortis Hydra)</v>
      </c>
      <c r="G79" t="s">
        <v>195</v>
      </c>
      <c r="I79" t="b">
        <v>1</v>
      </c>
      <c r="J79" t="b">
        <v>0</v>
      </c>
      <c r="K79" t="b">
        <v>0</v>
      </c>
      <c r="L79" s="26">
        <v>1</v>
      </c>
      <c r="M79" s="26" t="str">
        <f ca="1">IF(ISBLANK($L79),"",INDIRECT("'Avatars'!"&amp;ADDRESS(ROW(Avatars!$A$2)+$L79,COLUMN(Avatars!$A$2))))</f>
        <v>Sorcerer</v>
      </c>
      <c r="N79" s="6" t="s">
        <v>241</v>
      </c>
      <c r="O79" s="63">
        <f>IF($N79="""",O78,IF(ISBLANK($N79),"",$N79*AVERAGE(INDEX(Ranges!$O$7:$T$156,A79,L79+1),INDEX(Ranges!$U$7:$Z$156,A79,L79+1))))</f>
        <v>90</v>
      </c>
      <c r="P79" s="63">
        <v>400</v>
      </c>
      <c r="Q79" s="9">
        <v>300</v>
      </c>
      <c r="U79" s="41" t="str">
        <f t="shared" si="13"/>
        <v/>
      </c>
      <c r="V79" s="6">
        <v>2</v>
      </c>
      <c r="W79" s="63">
        <f>IF(ISBLANK(V79),"",IF(V79="""",W78,INDEX(Damage!$F$2:$F$151,A79)*V79*SUM(P79:Q79)/1000))</f>
        <v>132.53333333333333</v>
      </c>
      <c r="Z79" s="16">
        <f>IF($O79="","",INDEX(Ranges!$O$7:$T$156,A79,L79+1)/O79)</f>
        <v>2.2333333333333334</v>
      </c>
      <c r="AA79" s="16">
        <f>IF(O79="","",INDEX(Ranges!$U$7:$Z$156,A79,L79+1)/O79)</f>
        <v>6.0481481481481483</v>
      </c>
      <c r="AB79" s="16">
        <f>IF($B79="","",IF($B79="""","""",INDEX(Ranges!$O$7:$T$156,B79,L79+1)/$O79))</f>
        <v>2.9222222222222221</v>
      </c>
      <c r="AC79" s="16">
        <f>IF($B79="","",IF($B79="""","""",INDEX(Ranges!$U$7:$Z$156,$B79,$L79+1)/$O79))</f>
        <v>7.8925925925925933</v>
      </c>
      <c r="AD79" t="s">
        <v>756</v>
      </c>
      <c r="AE79" t="str">
        <f t="shared" si="8"/>
        <v>Fierce direct-damage spell that hits the selected target with a beam of celestial energy</v>
      </c>
      <c r="AF79" t="str">
        <f t="shared" si="4"/>
        <v>Fierce direct-damage spell that hits the selected target with a beam of celestial energy</v>
      </c>
    </row>
    <row r="80" spans="1:32">
      <c r="A80" s="26">
        <v>33</v>
      </c>
      <c r="B80" s="26">
        <v>42</v>
      </c>
      <c r="C80" s="30" t="s">
        <v>257</v>
      </c>
      <c r="D80" s="30" t="s">
        <v>758</v>
      </c>
      <c r="E80">
        <v>0</v>
      </c>
      <c r="F80" t="str">
        <f t="shared" si="7"/>
        <v>Nex Mortis Hydra</v>
      </c>
      <c r="G80" t="s">
        <v>195</v>
      </c>
      <c r="I80" t="b">
        <v>1</v>
      </c>
      <c r="J80" t="b">
        <v>0</v>
      </c>
      <c r="K80" t="b">
        <v>0</v>
      </c>
      <c r="L80" s="26">
        <v>1</v>
      </c>
      <c r="M80" s="26" t="str">
        <f ca="1">IF(ISBLANK($L80),"",INDIRECT("'Avatars'!"&amp;ADDRESS(ROW(Avatars!$A$2)+$L80,COLUMN(Avatars!$A$2))))</f>
        <v>Sorcerer</v>
      </c>
      <c r="N80" s="6">
        <v>0.4</v>
      </c>
      <c r="O80" s="63">
        <f>IF($N80="""",O79,IF(ISBLANK($N80),"",$N80*AVERAGE(INDEX(Ranges!$O$7:$T$156,A80,L80+1),INDEX(Ranges!$U$7:$Z$156,A80,L80+1))))</f>
        <v>253.73333333333335</v>
      </c>
      <c r="P80" s="9">
        <v>300</v>
      </c>
      <c r="Q80" s="9">
        <v>400</v>
      </c>
      <c r="U80" s="41" t="str">
        <f t="shared" si="13"/>
        <v/>
      </c>
      <c r="V80" s="6">
        <v>2</v>
      </c>
      <c r="W80" s="63">
        <f>IF(ISBLANK(V80),"",IF(V80="""",W79,INDEX(Damage!$F$2:$F$151,A80)*V80*SUM(P80:Q80)/1000))</f>
        <v>236.44444444444443</v>
      </c>
      <c r="Z80" s="16">
        <f>IF($O80="","",INDEX(Ranges!$O$7:$T$156,A80,L80+1)/O80)</f>
        <v>1.3623226484498161</v>
      </c>
      <c r="AA80" s="16">
        <f>IF(O80="","",INDEX(Ranges!$U$7:$Z$156,A80,L80+1)/O80)</f>
        <v>3.6376773515501837</v>
      </c>
      <c r="AB80" s="16">
        <f>IF($B80="","",IF($B80="""","""",INDEX(Ranges!$O$7:$T$156,B80,L80+1)/$O80))</f>
        <v>1.7288491854965844</v>
      </c>
      <c r="AC80" s="16">
        <f>IF($B80="","",IF($B80="""","""",INDEX(Ranges!$U$7:$Z$156,$B80,$L80+1)/$O80))</f>
        <v>4.6702574881765626</v>
      </c>
      <c r="AD80" t="s">
        <v>756</v>
      </c>
      <c r="AE80" t="str">
        <f t="shared" si="8"/>
        <v>Fierce direct-damage spell that hits the selected target with a beam of celestial energy</v>
      </c>
      <c r="AF80" t="str">
        <f t="shared" si="4"/>
        <v>Fierce direct-damage spell that hits the selected target with a beam of celestial energy</v>
      </c>
    </row>
    <row r="81" spans="1:32">
      <c r="A81" s="26">
        <v>43</v>
      </c>
      <c r="B81" s="26">
        <v>64</v>
      </c>
      <c r="C81" s="30" t="s">
        <v>257</v>
      </c>
      <c r="D81" s="30" t="s">
        <v>758</v>
      </c>
      <c r="E81">
        <v>1</v>
      </c>
      <c r="F81" t="str">
        <f t="shared" si="7"/>
        <v>(Nex Mortis Hydra)</v>
      </c>
      <c r="G81" t="s">
        <v>195</v>
      </c>
      <c r="I81" t="b">
        <v>1</v>
      </c>
      <c r="J81" t="b">
        <v>0</v>
      </c>
      <c r="K81" t="b">
        <v>0</v>
      </c>
      <c r="L81" s="26">
        <v>1</v>
      </c>
      <c r="M81" s="26" t="str">
        <f ca="1">IF(ISBLANK($L81),"",INDIRECT("'Avatars'!"&amp;ADDRESS(ROW(Avatars!$A$2)+$L81,COLUMN(Avatars!$A$2))))</f>
        <v>Sorcerer</v>
      </c>
      <c r="N81" s="6" t="s">
        <v>241</v>
      </c>
      <c r="O81" s="63">
        <f>IF($N81="""",O80,IF(ISBLANK($N81),"",$N81*AVERAGE(INDEX(Ranges!$O$7:$T$156,A81,L81+1),INDEX(Ranges!$U$7:$Z$156,A81,L81+1))))</f>
        <v>253.73333333333335</v>
      </c>
      <c r="P81" s="9">
        <v>200</v>
      </c>
      <c r="Q81" s="9">
        <v>500</v>
      </c>
      <c r="U81" s="41" t="str">
        <f t="shared" si="13"/>
        <v/>
      </c>
      <c r="V81" s="6">
        <v>2</v>
      </c>
      <c r="W81" s="63">
        <f>IF(ISBLANK(V81),"",IF(V81="""",W80,INDEX(Damage!$F$2:$F$151,A81)*V81*SUM(P81:Q81)/1000))</f>
        <v>310.64290429042899</v>
      </c>
      <c r="Z81" s="16">
        <f>IF($O81="","",INDEX(Ranges!$O$7:$T$156,A81,L81+1)/O81)</f>
        <v>1.7695743562795585</v>
      </c>
      <c r="AA81" s="16">
        <f>IF(O81="","",INDEX(Ranges!$U$7:$Z$156,A81,L81+1)/O81)</f>
        <v>4.7622175512348921</v>
      </c>
      <c r="AB81" s="16">
        <f>IF($B81="","",IF($B81="""","""",INDEX(Ranges!$O$7:$T$156,B81,L81+1)/$O81))</f>
        <v>2.6248029427220176</v>
      </c>
      <c r="AC81" s="16">
        <f>IF($B81="","",IF($B81="""","""",INDEX(Ranges!$U$7:$Z$156,$B81,$L81+1)/$O81))</f>
        <v>7.2569626904887023</v>
      </c>
      <c r="AD81" t="s">
        <v>756</v>
      </c>
      <c r="AE81" t="str">
        <f t="shared" si="8"/>
        <v>Fierce direct-damage spell that hits the selected target with a beam of celestial energy</v>
      </c>
      <c r="AF81" t="str">
        <f t="shared" si="4"/>
        <v>Fierce direct-damage spell that hits the selected target with a beam of celestial energy</v>
      </c>
    </row>
    <row r="82" spans="1:32">
      <c r="A82" s="26">
        <v>65</v>
      </c>
      <c r="B82" s="26">
        <v>89</v>
      </c>
      <c r="C82" s="30" t="s">
        <v>258</v>
      </c>
      <c r="D82" s="30" t="s">
        <v>758</v>
      </c>
      <c r="E82">
        <v>0</v>
      </c>
      <c r="F82" t="str">
        <f t="shared" si="7"/>
        <v>Vis Mortis Hydra</v>
      </c>
      <c r="G82" t="s">
        <v>195</v>
      </c>
      <c r="I82" t="b">
        <v>1</v>
      </c>
      <c r="J82" t="b">
        <v>0</v>
      </c>
      <c r="K82" t="b">
        <v>0</v>
      </c>
      <c r="L82" s="26">
        <v>1</v>
      </c>
      <c r="M82" s="26" t="str">
        <f ca="1">IF(ISBLANK($L82),"",INDIRECT("'Avatars'!"&amp;ADDRESS(ROW(Avatars!$A$2)+$L82,COLUMN(Avatars!$A$2))))</f>
        <v>Sorcerer</v>
      </c>
      <c r="N82" s="6">
        <v>0.4</v>
      </c>
      <c r="O82" s="63">
        <f>IF($N82="""",O81,IF(ISBLANK($N82),"",$N82*AVERAGE(INDEX(Ranges!$O$7:$T$156,A82,L82+1),INDEX(Ranges!$U$7:$Z$156,A82,L82+1))))</f>
        <v>508.20000000000005</v>
      </c>
      <c r="P82" s="9">
        <v>200</v>
      </c>
      <c r="Q82" s="9">
        <v>500</v>
      </c>
      <c r="U82" s="41" t="str">
        <f t="shared" si="13"/>
        <v/>
      </c>
      <c r="V82" s="6">
        <v>2</v>
      </c>
      <c r="W82" s="63">
        <f>IF(ISBLANK(V82),"",IF(V82="""",W81,INDEX(Damage!$F$2:$F$151,A82)*V82*SUM(P82:Q82)/1000))</f>
        <v>483.71072796934862</v>
      </c>
      <c r="Z82" s="16">
        <f>IF($O82="","",INDEX(Ranges!$O$7:$T$156,A82,L82+1)/O82)</f>
        <v>1.3308408762954218</v>
      </c>
      <c r="AA82" s="16">
        <f>IF(O82="","",INDEX(Ranges!$U$7:$Z$156,A82,L82+1)/O82)</f>
        <v>3.6691591237045782</v>
      </c>
      <c r="AB82" s="16">
        <f>IF($B82="","",IF($B82="""","""",INDEX(Ranges!$O$7:$T$156,B82,L82+1)/$O82))</f>
        <v>1.818837727928637</v>
      </c>
      <c r="AC82" s="16">
        <f>IF($B82="","",IF($B82="""","""",INDEX(Ranges!$U$7:$Z$156,$B82,$L82+1)/$O82))</f>
        <v>5.1036337399973757</v>
      </c>
      <c r="AD82" t="s">
        <v>756</v>
      </c>
      <c r="AE82" t="str">
        <f t="shared" si="8"/>
        <v>Fierce direct-damage spell that hits the selected target with a beam of celestial energy</v>
      </c>
      <c r="AF82" t="str">
        <f t="shared" si="4"/>
        <v>Fierce direct-damage spell that hits the selected target with a beam of celestial energy</v>
      </c>
    </row>
    <row r="83" spans="1:32">
      <c r="A83" s="26">
        <v>90</v>
      </c>
      <c r="B83" s="26">
        <v>150</v>
      </c>
      <c r="C83" s="30" t="s">
        <v>258</v>
      </c>
      <c r="D83" s="30" t="s">
        <v>758</v>
      </c>
      <c r="E83">
        <v>1</v>
      </c>
      <c r="F83" t="str">
        <f t="shared" si="7"/>
        <v>(Vis Mortis Hydra)</v>
      </c>
      <c r="G83" t="s">
        <v>195</v>
      </c>
      <c r="I83" t="b">
        <v>1</v>
      </c>
      <c r="J83" t="b">
        <v>0</v>
      </c>
      <c r="K83" t="b">
        <v>0</v>
      </c>
      <c r="L83" s="26">
        <v>1</v>
      </c>
      <c r="M83" s="26" t="str">
        <f ca="1">IF(ISBLANK($L83),"",INDIRECT("'Avatars'!"&amp;ADDRESS(ROW(Avatars!$A$2)+$L83,COLUMN(Avatars!$A$2))))</f>
        <v>Sorcerer</v>
      </c>
      <c r="N83" s="6" t="s">
        <v>241</v>
      </c>
      <c r="O83" s="63">
        <f>IF($N83="""",O82,IF(ISBLANK($N83),"",$N83*AVERAGE(INDEX(Ranges!$O$7:$T$156,A83,L83+1),INDEX(Ranges!$U$7:$Z$156,A83,L83+1))))</f>
        <v>508.20000000000005</v>
      </c>
      <c r="P83" s="9">
        <v>200</v>
      </c>
      <c r="Q83" s="9">
        <v>500</v>
      </c>
      <c r="U83" s="41" t="str">
        <f t="shared" si="13"/>
        <v/>
      </c>
      <c r="V83" s="6">
        <v>2</v>
      </c>
      <c r="W83" s="63">
        <f>IF(ISBLANK(V83),"",IF(V83="""",W82,INDEX(Damage!$F$2:$F$151,A83)*V83*SUM(P83:Q83)/1000))</f>
        <v>668.18290598290594</v>
      </c>
      <c r="Z83" s="16">
        <f>IF($O83="","",INDEX(Ranges!$O$7:$T$156,A83,L83+1)/O83)</f>
        <v>1.839170930080021</v>
      </c>
      <c r="AA83" s="16">
        <f>IF(O83="","",INDEX(Ranges!$U$7:$Z$156,A83,L83+1)/O83)</f>
        <v>5.1495474222746944</v>
      </c>
      <c r="AB83" s="16">
        <f>IF($B83="","",IF($B83="""","""",INDEX(Ranges!$O$7:$T$156,B83,L83+1)/$O83))</f>
        <v>3.0591630591630592</v>
      </c>
      <c r="AC83" s="16">
        <f>IF($B83="","",IF($B83="""","""",INDEX(Ranges!$U$7:$Z$156,$B83,$L83+1)/$O83))</f>
        <v>7.9043683589138132</v>
      </c>
      <c r="AD83" t="s">
        <v>756</v>
      </c>
      <c r="AE83" t="str">
        <f t="shared" si="8"/>
        <v>Fierce direct-damage spell that hits the selected target with a beam of celestial energy</v>
      </c>
      <c r="AF83" t="str">
        <f t="shared" si="4"/>
        <v>Fierce direct-damage spell that hits the selected target with a beam of celestial energy</v>
      </c>
    </row>
    <row r="84" spans="1:32">
      <c r="A84" s="26">
        <v>11</v>
      </c>
      <c r="B84" s="26">
        <v>18</v>
      </c>
      <c r="C84" s="30" t="s">
        <v>302</v>
      </c>
      <c r="D84" s="30" t="s">
        <v>758</v>
      </c>
      <c r="E84">
        <v>0</v>
      </c>
      <c r="F84" t="str">
        <f t="shared" si="7"/>
        <v>Lunae Nox Animus</v>
      </c>
      <c r="G84" t="s">
        <v>195</v>
      </c>
      <c r="I84" t="b">
        <v>1</v>
      </c>
      <c r="J84" t="b">
        <v>0</v>
      </c>
      <c r="K84" t="b">
        <v>0</v>
      </c>
      <c r="L84" s="26">
        <v>0</v>
      </c>
      <c r="M84" s="26" t="str">
        <f ca="1">IF(ISBLANK($L84),"",INDIRECT("'Avatars'!"&amp;ADDRESS(ROW(Avatars!$A$2)+$L84,COLUMN(Avatars!$A$2))))</f>
        <v>Adept</v>
      </c>
      <c r="N84" s="6">
        <v>0.4</v>
      </c>
      <c r="O84" s="63">
        <f>IF($N84="""",O83,IF(ISBLANK($N84),"",$N84*AVERAGE(INDEX(Ranges!$O$7:$T$156,A84,L84+1),INDEX(Ranges!$U$7:$Z$156,A84,L84+1))))</f>
        <v>107.60000000000001</v>
      </c>
      <c r="P84" s="9">
        <v>500</v>
      </c>
      <c r="Q84" s="9">
        <v>200</v>
      </c>
      <c r="U84" s="41" t="str">
        <f t="shared" si="13"/>
        <v/>
      </c>
      <c r="V84" s="6">
        <v>2</v>
      </c>
      <c r="W84" s="63">
        <f>IF(ISBLANK(V84),"",IF(V84="""",W83,INDEX(Damage!$F$2:$F$151,A84)*V84*SUM(P84:Q84)/1000))</f>
        <v>79.123123123123122</v>
      </c>
      <c r="Z84" s="16">
        <f>IF($O84="","",INDEX(Ranges!$O$7:$T$156,A84,L84+1)/O84)</f>
        <v>1.5086741016109046</v>
      </c>
      <c r="AA84" s="16">
        <f>IF(O84="","",INDEX(Ranges!$U$7:$Z$156,A84,L84+1)/O84)</f>
        <v>3.4913258983890954</v>
      </c>
      <c r="AB84" s="16">
        <f>IF($B84="","",IF($B84="""","""",INDEX(Ranges!$O$7:$T$156,B84,L84+1)/$O84))</f>
        <v>2.4411400247831474</v>
      </c>
      <c r="AC84" s="16">
        <f>IF($B84="","",IF($B84="""","""",INDEX(Ranges!$U$7:$Z$156,$B84,$L84+1)/$O84))</f>
        <v>5.511152416356877</v>
      </c>
      <c r="AD84" t="s">
        <v>757</v>
      </c>
      <c r="AE84" t="str">
        <f t="shared" si="8"/>
        <v>Draws life from the target with a beam of shadow-damage</v>
      </c>
      <c r="AF84" t="str">
        <f t="shared" si="4"/>
        <v>Draws life from the target with a beam of shadow-damage</v>
      </c>
    </row>
    <row r="85" spans="1:32">
      <c r="A85" s="26">
        <v>19</v>
      </c>
      <c r="B85" s="26">
        <v>26</v>
      </c>
      <c r="C85" s="30" t="s">
        <v>302</v>
      </c>
      <c r="D85" s="30" t="s">
        <v>758</v>
      </c>
      <c r="E85">
        <v>1</v>
      </c>
      <c r="F85" t="str">
        <f t="shared" si="7"/>
        <v>(Lunae Nox Animus)</v>
      </c>
      <c r="G85" t="s">
        <v>195</v>
      </c>
      <c r="I85" t="b">
        <v>1</v>
      </c>
      <c r="J85" t="b">
        <v>0</v>
      </c>
      <c r="K85" t="b">
        <v>0</v>
      </c>
      <c r="L85" s="26">
        <v>0</v>
      </c>
      <c r="M85" s="26" t="str">
        <f ca="1">IF(ISBLANK($L85),"",INDIRECT("'Avatars'!"&amp;ADDRESS(ROW(Avatars!$A$2)+$L85,COLUMN(Avatars!$A$2))))</f>
        <v>Adept</v>
      </c>
      <c r="N85" s="6" t="s">
        <v>241</v>
      </c>
      <c r="O85" s="63">
        <f>IF($N85="""",O84,IF(ISBLANK($N85),"",$N85*AVERAGE(INDEX(Ranges!$O$7:$T$156,A85,L85+1),INDEX(Ranges!$U$7:$Z$156,A85,L85+1))))</f>
        <v>107.60000000000001</v>
      </c>
      <c r="P85" s="9">
        <v>400</v>
      </c>
      <c r="Q85" s="9">
        <v>300</v>
      </c>
      <c r="U85" s="41" t="str">
        <f t="shared" si="13"/>
        <v/>
      </c>
      <c r="V85" s="6">
        <v>2</v>
      </c>
      <c r="W85" s="63">
        <f>IF(ISBLANK(V85),"",IF(V85="""",W84,INDEX(Damage!$F$2:$F$151,A85)*V85*SUM(P85:Q85)/1000))</f>
        <v>132.53333333333333</v>
      </c>
      <c r="Z85" s="16">
        <f>IF($O85="","",INDEX(Ranges!$O$7:$T$156,A85,L85+1)/O85)</f>
        <v>2.574349442379182</v>
      </c>
      <c r="AA85" s="16">
        <f>IF(O85="","",INDEX(Ranges!$U$7:$Z$156,A85,L85+1)/O85)</f>
        <v>5.7651796778190834</v>
      </c>
      <c r="AB85" s="16">
        <f>IF($B85="","",IF($B85="""","""",INDEX(Ranges!$O$7:$T$156,B85,L85+1)/$O85))</f>
        <v>3.5068153655514251</v>
      </c>
      <c r="AC85" s="16">
        <f>IF($B85="","",IF($B85="""","""",INDEX(Ranges!$U$7:$Z$156,$B85,$L85+1)/$O85))</f>
        <v>7.7850061957868641</v>
      </c>
      <c r="AD85" t="s">
        <v>757</v>
      </c>
      <c r="AE85" t="str">
        <f t="shared" si="8"/>
        <v>Draws life from the target with a beam of shadow-damage</v>
      </c>
      <c r="AF85" t="str">
        <f t="shared" si="4"/>
        <v>Draws life from the target with a beam of shadow-damage</v>
      </c>
    </row>
    <row r="86" spans="1:32">
      <c r="A86" s="26">
        <v>27</v>
      </c>
      <c r="B86" s="26">
        <v>35</v>
      </c>
      <c r="C86" s="30" t="s">
        <v>302</v>
      </c>
      <c r="D86" s="30" t="s">
        <v>758</v>
      </c>
      <c r="E86">
        <v>2</v>
      </c>
      <c r="F86" t="str">
        <f t="shared" si="7"/>
        <v>(Lunae Nox Animus)</v>
      </c>
      <c r="G86" t="s">
        <v>195</v>
      </c>
      <c r="I86" t="b">
        <v>1</v>
      </c>
      <c r="J86" t="b">
        <v>0</v>
      </c>
      <c r="K86" t="b">
        <v>0</v>
      </c>
      <c r="L86" s="26">
        <v>0</v>
      </c>
      <c r="M86" s="26" t="str">
        <f ca="1">IF(ISBLANK($L86),"",INDIRECT("'Avatars'!"&amp;ADDRESS(ROW(Avatars!$A$2)+$L86,COLUMN(Avatars!$A$2))))</f>
        <v>Adept</v>
      </c>
      <c r="N86" s="6" t="s">
        <v>241</v>
      </c>
      <c r="O86" s="63">
        <f>IF($N86="""",O85,IF(ISBLANK($N86),"",$N86*AVERAGE(INDEX(Ranges!$O$7:$T$156,A86,L86+1),INDEX(Ranges!$U$7:$Z$156,A86,L86+1))))</f>
        <v>107.60000000000001</v>
      </c>
      <c r="P86" s="9">
        <v>300</v>
      </c>
      <c r="Q86" s="9">
        <v>400</v>
      </c>
      <c r="U86" s="41" t="str">
        <f t="shared" si="13"/>
        <v/>
      </c>
      <c r="V86" s="6">
        <v>2</v>
      </c>
      <c r="W86" s="63">
        <f>IF(ISBLANK(V86),"",IF(V86="""",W85,INDEX(Damage!$F$2:$F$151,A86)*V86*SUM(P86:Q86)/1000))</f>
        <v>192.94299516908214</v>
      </c>
      <c r="Z86" s="16">
        <f>IF($O86="","",INDEX(Ranges!$O$7:$T$156,A86,L86+1)/O86)</f>
        <v>3.6400247831474597</v>
      </c>
      <c r="AA86" s="16">
        <f>IF(O86="","",INDEX(Ranges!$U$7:$Z$156,A86,L86+1)/O86)</f>
        <v>8.0390334572490705</v>
      </c>
      <c r="AB86" s="16">
        <f>IF($B86="","",IF($B86="""","""",INDEX(Ranges!$O$7:$T$156,B86,L86+1)/$O86))</f>
        <v>4.7057001239157374</v>
      </c>
      <c r="AC86" s="16">
        <f>IF($B86="","",IF($B86="""","""",INDEX(Ranges!$U$7:$Z$156,$B86,$L86+1)/$O86))</f>
        <v>10.554522924411399</v>
      </c>
      <c r="AD86" t="s">
        <v>757</v>
      </c>
      <c r="AE86" t="str">
        <f t="shared" si="8"/>
        <v>Draws life from the target with a beam of shadow-damage</v>
      </c>
      <c r="AF86" t="str">
        <f t="shared" si="4"/>
        <v>Draws life from the target with a beam of shadow-damage</v>
      </c>
    </row>
    <row r="87" spans="1:32">
      <c r="A87" s="26">
        <v>30</v>
      </c>
      <c r="B87" s="26">
        <v>55</v>
      </c>
      <c r="C87" s="30" t="s">
        <v>303</v>
      </c>
      <c r="D87" s="30" t="s">
        <v>758</v>
      </c>
      <c r="E87">
        <v>0</v>
      </c>
      <c r="F87" t="str">
        <f t="shared" si="7"/>
        <v>Lunae Nox Ultimus</v>
      </c>
      <c r="G87" t="s">
        <v>195</v>
      </c>
      <c r="I87" t="b">
        <v>1</v>
      </c>
      <c r="J87" t="b">
        <v>0</v>
      </c>
      <c r="K87" t="b">
        <v>0</v>
      </c>
      <c r="L87" s="26">
        <v>0</v>
      </c>
      <c r="M87" s="26" t="str">
        <f ca="1">IF(ISBLANK($L87),"",INDIRECT("'Avatars'!"&amp;ADDRESS(ROW(Avatars!$A$2)+$L87,COLUMN(Avatars!$A$2))))</f>
        <v>Adept</v>
      </c>
      <c r="N87" s="6">
        <v>0.3</v>
      </c>
      <c r="O87" s="63">
        <f>IF($N87="""",O86,IF(ISBLANK($N87),"",$N87*AVERAGE(INDEX(Ranges!$O$7:$T$156,A87,L87+1),INDEX(Ranges!$U$7:$Z$156,A87,L87+1))))</f>
        <v>211.15</v>
      </c>
      <c r="P87" s="9">
        <v>200</v>
      </c>
      <c r="Q87" s="9">
        <v>500</v>
      </c>
      <c r="U87" s="41" t="str">
        <f t="shared" si="13"/>
        <v/>
      </c>
      <c r="V87" s="6">
        <v>2</v>
      </c>
      <c r="W87" s="63">
        <f>IF(ISBLANK(V87),"",IF(V87="""",W86,INDEX(Damage!$F$2:$F$151,A87)*V87*SUM(P87:Q87)/1000))</f>
        <v>212.55111111111111</v>
      </c>
      <c r="Z87" s="16">
        <f>IF($O87="","",INDEX(Ranges!$O$7:$T$156,A87,L87+1)/O87)</f>
        <v>2.0585681584971192</v>
      </c>
      <c r="AA87" s="16">
        <f>IF(O87="","",INDEX(Ranges!$U$7:$Z$156,A87,L87+1)/O87)</f>
        <v>4.6080985081695474</v>
      </c>
      <c r="AB87" s="16">
        <f>IF($B87="","",IF($B87="""","""",INDEX(Ranges!$O$7:$T$156,B87,L87+1)/$O87))</f>
        <v>3.7556239640066305</v>
      </c>
      <c r="AC87" s="16">
        <f>IF($B87="","",IF($B87="""","""",INDEX(Ranges!$U$7:$Z$156,$B87,$L87+1)/$O87))</f>
        <v>8.3984529165680009</v>
      </c>
      <c r="AD87" t="s">
        <v>757</v>
      </c>
      <c r="AE87" t="str">
        <f t="shared" si="8"/>
        <v>Draws life from the target with a beam of shadow-damage</v>
      </c>
      <c r="AF87" t="str">
        <f t="shared" si="4"/>
        <v>Draws life from the target with a beam of shadow-damage</v>
      </c>
    </row>
    <row r="88" spans="1:32">
      <c r="A88" s="26">
        <v>58</v>
      </c>
      <c r="B88" s="26">
        <v>85</v>
      </c>
      <c r="C88" s="30" t="s">
        <v>303</v>
      </c>
      <c r="D88" s="30" t="s">
        <v>758</v>
      </c>
      <c r="E88">
        <v>1</v>
      </c>
      <c r="F88" t="str">
        <f t="shared" si="7"/>
        <v>(Lunae Nox Ultimus)</v>
      </c>
      <c r="G88" t="s">
        <v>195</v>
      </c>
      <c r="I88" t="b">
        <v>1</v>
      </c>
      <c r="J88" t="b">
        <v>0</v>
      </c>
      <c r="K88" t="b">
        <v>0</v>
      </c>
      <c r="L88" s="26">
        <v>0</v>
      </c>
      <c r="M88" s="26" t="str">
        <f ca="1">IF(ISBLANK($L88),"",INDIRECT("'Avatars'!"&amp;ADDRESS(ROW(Avatars!$A$2)+$L88,COLUMN(Avatars!$A$2))))</f>
        <v>Adept</v>
      </c>
      <c r="N88" s="6" t="s">
        <v>241</v>
      </c>
      <c r="O88" s="63">
        <f>IF($N88="""",O87,IF(ISBLANK($N88),"",$N88*AVERAGE(INDEX(Ranges!$O$7:$T$156,A88,L88+1),INDEX(Ranges!$U$7:$Z$156,A88,L88+1))))</f>
        <v>211.15</v>
      </c>
      <c r="P88" s="9">
        <v>200</v>
      </c>
      <c r="Q88" s="9">
        <v>500</v>
      </c>
      <c r="U88" s="41" t="str">
        <f t="shared" si="13"/>
        <v/>
      </c>
      <c r="V88" s="6">
        <v>2</v>
      </c>
      <c r="W88" s="63">
        <f>IF(ISBLANK(V88),"",IF(V88="""",W87,INDEX(Damage!$F$2:$F$151,A88)*V88*SUM(P88:Q88)/1000))</f>
        <v>422.29770992366406</v>
      </c>
      <c r="Z88" s="16">
        <f>IF($O88="","",INDEX(Ranges!$O$7:$T$156,A88,L88+1)/O88)</f>
        <v>3.9592706606677717</v>
      </c>
      <c r="AA88" s="16">
        <f>IF(O88="","",INDEX(Ranges!$U$7:$Z$156,A88,L88+1)/O88)</f>
        <v>8.971505249033072</v>
      </c>
      <c r="AB88" s="16">
        <f>IF($B88="","",IF($B88="""","""",INDEX(Ranges!$O$7:$T$156,B88,L88+1)/$O88))</f>
        <v>5.7920909306180439</v>
      </c>
      <c r="AC88" s="16">
        <f>IF($B88="","",IF($B88="""","""",INDEX(Ranges!$U$7:$Z$156,$B88,$L88+1)/$O88))</f>
        <v>13.451732575578184</v>
      </c>
      <c r="AD88" t="s">
        <v>757</v>
      </c>
      <c r="AE88" t="str">
        <f t="shared" si="8"/>
        <v>Draws life from the target with a beam of shadow-damage</v>
      </c>
      <c r="AF88" t="str">
        <f t="shared" si="4"/>
        <v>Draws life from the target with a beam of shadow-damage</v>
      </c>
    </row>
    <row r="89" spans="1:32">
      <c r="A89" s="26">
        <v>9</v>
      </c>
      <c r="C89" s="30" t="s">
        <v>264</v>
      </c>
      <c r="D89" s="30" t="s">
        <v>758</v>
      </c>
      <c r="E89">
        <v>0</v>
      </c>
      <c r="F89" t="str">
        <f t="shared" si="7"/>
        <v>Trans</v>
      </c>
      <c r="G89" t="s">
        <v>403</v>
      </c>
      <c r="I89" t="b">
        <v>1</v>
      </c>
      <c r="J89" t="b">
        <v>0</v>
      </c>
      <c r="K89" t="b">
        <v>0</v>
      </c>
      <c r="L89" s="26">
        <v>0</v>
      </c>
      <c r="M89" s="26" t="str">
        <f ca="1">IF(ISBLANK($L89),"",INDIRECT("'Avatars'!"&amp;ADDRESS(ROW(Avatars!$A$2)+$L89,COLUMN(Avatars!$A$2))))</f>
        <v>Adept</v>
      </c>
      <c r="N89" s="6">
        <v>0.2</v>
      </c>
      <c r="O89" s="63">
        <f>IF($N89="""",O88,IF(ISBLANK($N89),"",$N89*AVERAGE(INDEX(Ranges!$O$7:$T$156,A89,L89+1),INDEX(Ranges!$U$7:$Z$156,A89,L89+1))))</f>
        <v>45.466666666666669</v>
      </c>
      <c r="P89" s="9">
        <v>200</v>
      </c>
      <c r="Q89" s="9">
        <v>300</v>
      </c>
      <c r="U89" s="41" t="str">
        <f t="shared" si="13"/>
        <v/>
      </c>
      <c r="W89" s="63" t="str">
        <f>IF(ISBLANK(V89),"",IF(V89="""",W88,INDEX(Damage!$F$2:$F$151,A89)*V89*SUM(P89:Q89)/1000))</f>
        <v/>
      </c>
      <c r="Z89" s="16">
        <f>IF($O89="","",INDEX(Ranges!$O$7:$T$156,A89,L89+1)/O89)</f>
        <v>2.9398826979472146</v>
      </c>
      <c r="AA89" s="16">
        <f>IF(O89="","",INDEX(Ranges!$U$7:$Z$156,A89,L89+1)/O89)</f>
        <v>7.0601173020527854</v>
      </c>
      <c r="AB89" s="16" t="str">
        <f>IF($B89="","",IF($B89="""","""",INDEX(Ranges!$O$7:$T$156,B89,L89+1)/$O89))</f>
        <v/>
      </c>
      <c r="AC89" s="16" t="str">
        <f>IF($B89="","",IF($B89="""","""",INDEX(Ranges!$U$7:$Z$156,$B89,$L89+1)/$O89))</f>
        <v/>
      </c>
      <c r="AD89" t="s">
        <v>718</v>
      </c>
      <c r="AE89" t="str">
        <f t="shared" si="8"/>
        <v>Moves you instantly to the chosen location on your screen</v>
      </c>
      <c r="AF89" t="str">
        <f t="shared" si="4"/>
        <v>Moves you instantly to the chosen location on your screen</v>
      </c>
    </row>
    <row r="90" spans="1:32">
      <c r="A90" s="26">
        <v>9</v>
      </c>
      <c r="C90" s="30" t="s">
        <v>264</v>
      </c>
      <c r="D90" s="30" t="s">
        <v>758</v>
      </c>
      <c r="E90">
        <v>0</v>
      </c>
      <c r="F90" t="str">
        <f t="shared" si="7"/>
        <v>Trans</v>
      </c>
      <c r="G90" t="s">
        <v>403</v>
      </c>
      <c r="I90" t="b">
        <v>1</v>
      </c>
      <c r="J90" t="b">
        <v>0</v>
      </c>
      <c r="K90" t="b">
        <v>0</v>
      </c>
      <c r="L90" s="26">
        <v>1</v>
      </c>
      <c r="M90" s="26" t="str">
        <f ca="1">IF(ISBLANK($L90),"",INDIRECT("'Avatars'!"&amp;ADDRESS(ROW(Avatars!$A$2)+$L90,COLUMN(Avatars!$A$2))))</f>
        <v>Sorcerer</v>
      </c>
      <c r="N90" s="6" t="s">
        <v>241</v>
      </c>
      <c r="O90" s="63">
        <f>IF($N90="""",O89,IF(ISBLANK($N90),"",$N90*AVERAGE(INDEX(Ranges!$O$7:$T$156,A90,L90+1),INDEX(Ranges!$U$7:$Z$156,A90,L90+1))))</f>
        <v>45.466666666666669</v>
      </c>
      <c r="P90" s="9">
        <v>200</v>
      </c>
      <c r="Q90" s="9">
        <v>300</v>
      </c>
      <c r="U90" s="41" t="str">
        <f t="shared" si="13"/>
        <v/>
      </c>
      <c r="W90" s="63" t="str">
        <f>IF(ISBLANK(V90),"",IF(V90="""",W89,INDEX(Damage!$F$2:$F$151,A90)*V90*SUM(P90:Q90)/1000))</f>
        <v/>
      </c>
      <c r="Z90" s="16">
        <f>IF($O90="","",INDEX(Ranges!$O$7:$T$156,A90,L90+1)/O90)</f>
        <v>2.1480938416422286</v>
      </c>
      <c r="AA90" s="16">
        <f>IF(O90="","",INDEX(Ranges!$U$7:$Z$156,A90,L90+1)/O90)</f>
        <v>6.2683284457477999</v>
      </c>
      <c r="AB90" s="16" t="str">
        <f>IF($B90="","",IF($B90="""","""",INDEX(Ranges!$O$7:$T$156,B90,L90+1)/$O90))</f>
        <v/>
      </c>
      <c r="AC90" s="16" t="str">
        <f>IF($B90="","",IF($B90="""","""",INDEX(Ranges!$U$7:$Z$156,$B90,$L90+1)/$O90))</f>
        <v/>
      </c>
      <c r="AD90" t="s">
        <v>718</v>
      </c>
      <c r="AE90" t="str">
        <f t="shared" si="8"/>
        <v>Moves you instantly to the chosen location on your screen</v>
      </c>
      <c r="AF90" t="str">
        <f t="shared" si="4"/>
        <v>Moves you instantly to the chosen location on your screen</v>
      </c>
    </row>
    <row r="91" spans="1:32">
      <c r="A91" s="26">
        <v>7</v>
      </c>
      <c r="C91" s="30" t="s">
        <v>264</v>
      </c>
      <c r="D91" s="30" t="s">
        <v>758</v>
      </c>
      <c r="E91">
        <v>0</v>
      </c>
      <c r="F91" t="str">
        <f t="shared" si="7"/>
        <v>Trans</v>
      </c>
      <c r="G91" t="s">
        <v>403</v>
      </c>
      <c r="I91" t="b">
        <v>1</v>
      </c>
      <c r="J91" t="b">
        <v>0</v>
      </c>
      <c r="K91" t="b">
        <v>0</v>
      </c>
      <c r="L91" s="26">
        <v>2</v>
      </c>
      <c r="M91" s="26" t="str">
        <f ca="1">IF(ISBLANK($L91),"",INDIRECT("'Avatars'!"&amp;ADDRESS(ROW(Avatars!$A$2)+$L91,COLUMN(Avatars!$A$2))))</f>
        <v>Leyshaper</v>
      </c>
      <c r="N91" s="6" t="s">
        <v>241</v>
      </c>
      <c r="O91" s="63">
        <f>IF($N91="""",O90,IF(ISBLANK($N91),"",$N91*AVERAGE(INDEX(Ranges!$O$7:$T$156,A91,L91+1),INDEX(Ranges!$U$7:$Z$156,A91,L91+1))))</f>
        <v>45.466666666666669</v>
      </c>
      <c r="P91" s="9">
        <v>200</v>
      </c>
      <c r="Q91" s="9">
        <v>300</v>
      </c>
      <c r="U91" s="41" t="str">
        <f t="shared" si="13"/>
        <v/>
      </c>
      <c r="W91" s="63" t="str">
        <f>IF(ISBLANK(V91),"",IF(V91="""",W90,INDEX(Damage!$F$2:$F$151,A91)*V91*SUM(P91:Q91)/1000))</f>
        <v/>
      </c>
      <c r="Z91" s="16">
        <f>IF($O91="","",INDEX(Ranges!$O$7:$T$156,A91,L91+1)/O91)</f>
        <v>1.4882697947214076</v>
      </c>
      <c r="AA91" s="16">
        <f>IF(O91="","",INDEX(Ranges!$U$7:$Z$156,A91,L91+1)/O91)</f>
        <v>4.7507331378299122</v>
      </c>
      <c r="AB91" s="16" t="str">
        <f>IF($B91="","",IF($B91="""","""",INDEX(Ranges!$O$7:$T$156,B91,L91+1)/$O91))</f>
        <v/>
      </c>
      <c r="AC91" s="16" t="str">
        <f>IF($B91="","",IF($B91="""","""",INDEX(Ranges!$U$7:$Z$156,$B91,$L91+1)/$O91))</f>
        <v/>
      </c>
      <c r="AD91" t="s">
        <v>718</v>
      </c>
      <c r="AE91" t="str">
        <f t="shared" si="8"/>
        <v>Moves you instantly to the chosen location on your screen</v>
      </c>
      <c r="AF91" t="str">
        <f t="shared" si="4"/>
        <v>Moves you instantly to the chosen location on your screen</v>
      </c>
    </row>
    <row r="92" spans="1:32">
      <c r="A92" s="26">
        <v>19</v>
      </c>
      <c r="C92" s="30" t="s">
        <v>264</v>
      </c>
      <c r="D92" s="30" t="s">
        <v>758</v>
      </c>
      <c r="E92">
        <v>0</v>
      </c>
      <c r="F92" t="str">
        <f t="shared" si="7"/>
        <v>Trans</v>
      </c>
      <c r="G92" t="s">
        <v>403</v>
      </c>
      <c r="I92" t="b">
        <v>1</v>
      </c>
      <c r="J92" t="b">
        <v>0</v>
      </c>
      <c r="K92" t="b">
        <v>0</v>
      </c>
      <c r="L92" s="26">
        <v>4</v>
      </c>
      <c r="M92" s="26" t="str">
        <f ca="1">IF(ISBLANK($L92),"",INDIRECT("'Avatars'!"&amp;ADDRESS(ROW(Avatars!$A$2)+$L92,COLUMN(Avatars!$A$2))))</f>
        <v>Paladin</v>
      </c>
      <c r="N92" s="6" t="s">
        <v>241</v>
      </c>
      <c r="O92" s="63">
        <f>IF($N92="""",O91,IF(ISBLANK($N92),"",$N92*AVERAGE(INDEX(Ranges!$O$7:$T$156,A92,L92+1),INDEX(Ranges!$U$7:$Z$156,A92,L92+1))))</f>
        <v>45.466666666666669</v>
      </c>
      <c r="P92" s="9">
        <v>200</v>
      </c>
      <c r="Q92" s="9">
        <v>300</v>
      </c>
      <c r="U92" s="41" t="str">
        <f t="shared" si="13"/>
        <v/>
      </c>
      <c r="W92" s="63" t="str">
        <f>IF(ISBLANK(V92),"",IF(V92="""",W91,INDEX(Damage!$F$2:$F$151,A92)*V92*SUM(P92:Q92)/1000))</f>
        <v/>
      </c>
      <c r="Z92" s="16">
        <f>IF($O92="","",INDEX(Ranges!$O$7:$T$156,A92,L92+1)/O92)</f>
        <v>1.6348973607038122</v>
      </c>
      <c r="AA92" s="16">
        <f>IF(O92="","",INDEX(Ranges!$U$7:$Z$156,A92,L92+1)/O92)</f>
        <v>9.1862170087976533</v>
      </c>
      <c r="AB92" s="16" t="str">
        <f>IF($B92="","",IF($B92="""","""",INDEX(Ranges!$O$7:$T$156,B92,L92+1)/$O92))</f>
        <v/>
      </c>
      <c r="AC92" s="16" t="str">
        <f>IF($B92="","",IF($B92="""","""",INDEX(Ranges!$U$7:$Z$156,$B92,$L92+1)/$O92))</f>
        <v/>
      </c>
      <c r="AD92" t="s">
        <v>718</v>
      </c>
      <c r="AE92" t="str">
        <f t="shared" si="8"/>
        <v>Moves you instantly to the chosen location on your screen</v>
      </c>
      <c r="AF92" t="str">
        <f t="shared" si="4"/>
        <v>Moves you instantly to the chosen location on your screen</v>
      </c>
    </row>
    <row r="93" spans="1:32">
      <c r="A93" s="26">
        <v>16</v>
      </c>
      <c r="C93" s="30" t="s">
        <v>264</v>
      </c>
      <c r="D93" s="30" t="s">
        <v>758</v>
      </c>
      <c r="E93">
        <v>1</v>
      </c>
      <c r="F93" t="str">
        <f t="shared" si="7"/>
        <v>(Trans)</v>
      </c>
      <c r="G93" t="s">
        <v>403</v>
      </c>
      <c r="I93" t="b">
        <v>1</v>
      </c>
      <c r="J93" t="b">
        <v>0</v>
      </c>
      <c r="K93" t="b">
        <v>0</v>
      </c>
      <c r="L93" s="26">
        <v>0</v>
      </c>
      <c r="M93" s="26" t="str">
        <f ca="1">IF(ISBLANK($L93),"",INDIRECT("'Avatars'!"&amp;ADDRESS(ROW(Avatars!$A$2)+$L93,COLUMN(Avatars!$A$2))))</f>
        <v>Adept</v>
      </c>
      <c r="N93" s="6" t="s">
        <v>241</v>
      </c>
      <c r="O93" s="63">
        <f>IF($N93="""",O92,IF(ISBLANK($N93),"",$N93*AVERAGE(INDEX(Ranges!$O$7:$T$156,A93,L93+1),INDEX(Ranges!$U$7:$Z$156,A93,L93+1))))</f>
        <v>45.466666666666669</v>
      </c>
      <c r="Q93" s="9">
        <v>300</v>
      </c>
      <c r="U93" s="41" t="str">
        <f t="shared" si="13"/>
        <v/>
      </c>
      <c r="W93" s="63" t="str">
        <f>IF(ISBLANK(V93),"",IF(V93="""",W92,INDEX(Damage!$F$2:$F$151,A93)*V93*SUM(P93:Q93)/1000))</f>
        <v/>
      </c>
      <c r="Z93" s="16">
        <f>IF($O93="","",INDEX(Ranges!$O$7:$T$156,A93,L93+1)/O93)</f>
        <v>5.1466275659824046</v>
      </c>
      <c r="AA93" s="16">
        <f>IF(O93="","",INDEX(Ranges!$U$7:$Z$156,A93,L93+1)/O93)</f>
        <v>11.55425219941349</v>
      </c>
      <c r="AB93" s="16" t="str">
        <f>IF($B93="","",IF($B93="""","""",INDEX(Ranges!$O$7:$T$156,B93,L93+1)/$O93))</f>
        <v/>
      </c>
      <c r="AC93" s="16" t="str">
        <f>IF($B93="","",IF($B93="""","""",INDEX(Ranges!$U$7:$Z$156,$B93,$L93+1)/$O93))</f>
        <v/>
      </c>
      <c r="AD93" t="s">
        <v>718</v>
      </c>
      <c r="AE93" t="str">
        <f t="shared" si="8"/>
        <v>Moves you instantly to the chosen location on your screen</v>
      </c>
      <c r="AF93" t="str">
        <f t="shared" si="4"/>
        <v>Moves you instantly to the chosen location on your screen</v>
      </c>
    </row>
    <row r="94" spans="1:32">
      <c r="A94" s="26">
        <v>16</v>
      </c>
      <c r="C94" s="30" t="s">
        <v>264</v>
      </c>
      <c r="D94" s="30" t="s">
        <v>758</v>
      </c>
      <c r="E94">
        <v>1</v>
      </c>
      <c r="F94" t="str">
        <f t="shared" si="7"/>
        <v>(Trans)</v>
      </c>
      <c r="G94" t="s">
        <v>403</v>
      </c>
      <c r="I94" t="b">
        <v>1</v>
      </c>
      <c r="J94" t="b">
        <v>0</v>
      </c>
      <c r="K94" t="b">
        <v>0</v>
      </c>
      <c r="L94" s="26">
        <v>1</v>
      </c>
      <c r="M94" s="26" t="str">
        <f ca="1">IF(ISBLANK($L94),"",INDIRECT("'Avatars'!"&amp;ADDRESS(ROW(Avatars!$A$2)+$L94,COLUMN(Avatars!$A$2))))</f>
        <v>Sorcerer</v>
      </c>
      <c r="N94" s="6" t="s">
        <v>241</v>
      </c>
      <c r="O94" s="63">
        <f>IF($N94="""",O93,IF(ISBLANK($N94),"",$N94*AVERAGE(INDEX(Ranges!$O$7:$T$156,A94,L94+1),INDEX(Ranges!$U$7:$Z$156,A94,L94+1))))</f>
        <v>45.466666666666669</v>
      </c>
      <c r="Q94" s="9">
        <v>300</v>
      </c>
      <c r="U94" s="41" t="str">
        <f t="shared" si="13"/>
        <v/>
      </c>
      <c r="W94" s="63" t="str">
        <f>IF(ISBLANK(V94),"",IF(V94="""",W93,INDEX(Damage!$F$2:$F$151,A94)*V94*SUM(P94:Q94)/1000))</f>
        <v/>
      </c>
      <c r="AD94" t="s">
        <v>718</v>
      </c>
      <c r="AE94" t="str">
        <f t="shared" si="8"/>
        <v>Moves you instantly to the chosen location on your screen</v>
      </c>
      <c r="AF94" t="str">
        <f t="shared" si="4"/>
        <v>Moves you instantly to the chosen location on your screen</v>
      </c>
    </row>
    <row r="95" spans="1:32">
      <c r="A95" s="26">
        <v>14</v>
      </c>
      <c r="C95" s="30" t="s">
        <v>264</v>
      </c>
      <c r="D95" s="30" t="s">
        <v>758</v>
      </c>
      <c r="E95">
        <v>1</v>
      </c>
      <c r="F95" t="str">
        <f t="shared" si="7"/>
        <v>(Trans)</v>
      </c>
      <c r="G95" t="s">
        <v>403</v>
      </c>
      <c r="I95" t="b">
        <v>1</v>
      </c>
      <c r="J95" t="b">
        <v>0</v>
      </c>
      <c r="K95" t="b">
        <v>0</v>
      </c>
      <c r="L95" s="26">
        <v>2</v>
      </c>
      <c r="M95" s="26" t="str">
        <f ca="1">IF(ISBLANK($L95),"",INDIRECT("'Avatars'!"&amp;ADDRESS(ROW(Avatars!$A$2)+$L95,COLUMN(Avatars!$A$2))))</f>
        <v>Leyshaper</v>
      </c>
      <c r="N95" s="6" t="s">
        <v>241</v>
      </c>
      <c r="O95" s="63">
        <f>IF($N95="""",O94,IF(ISBLANK($N95),"",$N95*AVERAGE(INDEX(Ranges!$O$7:$T$156,A95,L95+1),INDEX(Ranges!$U$7:$Z$156,A95,L95+1))))</f>
        <v>45.466666666666669</v>
      </c>
      <c r="Q95" s="9">
        <v>300</v>
      </c>
      <c r="U95" s="41" t="str">
        <f t="shared" si="13"/>
        <v/>
      </c>
      <c r="W95" s="63" t="str">
        <f>IF(ISBLANK(V95),"",IF(V95="""",W94,INDEX(Damage!$F$2:$F$151,A95)*V95*SUM(P95:Q95)/1000))</f>
        <v/>
      </c>
      <c r="AD95" t="s">
        <v>718</v>
      </c>
      <c r="AE95" t="str">
        <f t="shared" si="8"/>
        <v>Moves you instantly to the chosen location on your screen</v>
      </c>
      <c r="AF95" t="str">
        <f t="shared" si="4"/>
        <v>Moves you instantly to the chosen location on your screen</v>
      </c>
    </row>
    <row r="96" spans="1:32">
      <c r="A96" s="26">
        <v>9</v>
      </c>
      <c r="C96" s="30" t="s">
        <v>276</v>
      </c>
      <c r="D96" s="30" t="s">
        <v>758</v>
      </c>
      <c r="E96">
        <v>0</v>
      </c>
      <c r="F96" t="str">
        <f t="shared" si="7"/>
        <v>Reditus Doma</v>
      </c>
      <c r="G96" t="s">
        <v>405</v>
      </c>
      <c r="H96" t="s">
        <v>404</v>
      </c>
      <c r="I96" t="b">
        <v>0</v>
      </c>
      <c r="J96" t="b">
        <v>0</v>
      </c>
      <c r="K96" t="b">
        <v>0</v>
      </c>
      <c r="L96" s="26">
        <v>0</v>
      </c>
      <c r="M96" s="26" t="str">
        <f ca="1">IF(ISBLANK($L96),"",INDIRECT("'Avatars'!"&amp;ADDRESS(ROW(Avatars!$A$2)+$L96,COLUMN(Avatars!$A$2))))</f>
        <v>Adept</v>
      </c>
      <c r="N96" s="6">
        <v>0.05</v>
      </c>
      <c r="O96" s="63">
        <f>IF($N96="""",O95,IF(ISBLANK($N96),"",$N96*AVERAGE(INDEX(Ranges!$O$7:$T$156,A96,L96+1),INDEX(Ranges!$U$7:$Z$156,A96,L96+1))))</f>
        <v>11.366666666666667</v>
      </c>
      <c r="Q96" s="9">
        <v>800</v>
      </c>
      <c r="S96" s="9">
        <v>7500</v>
      </c>
      <c r="U96" s="41" t="str">
        <f t="shared" si="13"/>
        <v/>
      </c>
      <c r="W96" s="63" t="str">
        <f>IF(ISBLANK(V96),"",IF(V96="""",W95,INDEX(Damage!$F$2:$F$151,A96)*V96*SUM(P96:Q96)/1000))</f>
        <v/>
      </c>
      <c r="Z96" s="16">
        <f>IF($O96="","",INDEX(Ranges!$O$7:$T$156,A96,L96+1)/O96)</f>
        <v>11.759530791788858</v>
      </c>
      <c r="AA96" s="16">
        <f>IF(O96="","",INDEX(Ranges!$U$7:$Z$156,A96,L96+1)/O96)</f>
        <v>28.240469208211142</v>
      </c>
      <c r="AB96" s="16" t="str">
        <f>IF($B96="","",IF($B96="""","""",INDEX(Ranges!$O$7:$T$156,B96,L96+1)/$O96))</f>
        <v/>
      </c>
      <c r="AC96" s="16" t="str">
        <f>IF($B96="","",IF($B96="""","""",INDEX(Ranges!$U$7:$Z$156,$B96,$L96+1)/$O96))</f>
        <v/>
      </c>
      <c r="AD96" t="s">
        <v>730</v>
      </c>
      <c r="AE96" t="str">
        <f t="shared" si="8"/>
        <v>Transports you back home (your spawn point)</v>
      </c>
      <c r="AF96" t="str">
        <f t="shared" si="4"/>
        <v>Transports you back home (your spawn point)</v>
      </c>
    </row>
    <row r="97" spans="1:32">
      <c r="A97" s="26">
        <v>7</v>
      </c>
      <c r="C97" s="30" t="s">
        <v>276</v>
      </c>
      <c r="D97" s="30" t="s">
        <v>758</v>
      </c>
      <c r="E97">
        <v>0</v>
      </c>
      <c r="F97" t="str">
        <f t="shared" si="7"/>
        <v>Reditus Doma</v>
      </c>
      <c r="G97" t="s">
        <v>405</v>
      </c>
      <c r="H97" t="s">
        <v>404</v>
      </c>
      <c r="I97" t="b">
        <v>0</v>
      </c>
      <c r="J97" t="b">
        <v>0</v>
      </c>
      <c r="K97" t="b">
        <v>0</v>
      </c>
      <c r="L97" s="26">
        <v>1</v>
      </c>
      <c r="M97" s="26" t="str">
        <f ca="1">IF(ISBLANK($L97),"",INDIRECT("'Avatars'!"&amp;ADDRESS(ROW(Avatars!$A$2)+$L97,COLUMN(Avatars!$A$2))))</f>
        <v>Sorcerer</v>
      </c>
      <c r="N97" s="6" t="s">
        <v>241</v>
      </c>
      <c r="O97" s="63">
        <f>IF($N97="""",O96,IF(ISBLANK($N97),"",$N97*AVERAGE(INDEX(Ranges!$O$7:$T$156,A97,L97+1),INDEX(Ranges!$U$7:$Z$156,A97,L97+1))))</f>
        <v>11.366666666666667</v>
      </c>
      <c r="Q97" s="9">
        <v>800</v>
      </c>
      <c r="S97" s="9">
        <v>7500</v>
      </c>
      <c r="U97" s="41" t="str">
        <f t="shared" si="13"/>
        <v/>
      </c>
      <c r="W97" s="63" t="str">
        <f>IF(ISBLANK(V97),"",IF(V97="""",W96,INDEX(Damage!$F$2:$F$151,A97)*V97*SUM(P97:Q97)/1000))</f>
        <v/>
      </c>
      <c r="Z97" s="16">
        <f>IF($O97="","",INDEX(Ranges!$O$7:$T$156,A97,L97+1)/O97)</f>
        <v>6.7741935483870961</v>
      </c>
      <c r="AA97" s="16">
        <f>IF(O97="","",INDEX(Ranges!$U$7:$Z$156,A97,L97+1)/O97)</f>
        <v>19.824046920821115</v>
      </c>
      <c r="AB97" s="16" t="str">
        <f>IF($B97="","",IF($B97="""","""",INDEX(Ranges!$O$7:$T$156,B97,L97+1)/$O97))</f>
        <v/>
      </c>
      <c r="AC97" s="16" t="str">
        <f>IF($B97="","",IF($B97="""","""",INDEX(Ranges!$U$7:$Z$156,$B97,$L97+1)/$O97))</f>
        <v/>
      </c>
      <c r="AD97" t="s">
        <v>730</v>
      </c>
      <c r="AE97" t="str">
        <f t="shared" si="8"/>
        <v>Transports you back home (your spawn point)</v>
      </c>
      <c r="AF97" t="str">
        <f t="shared" si="4"/>
        <v>Transports you back home (your spawn point)</v>
      </c>
    </row>
    <row r="98" spans="1:32">
      <c r="A98" s="26">
        <v>3</v>
      </c>
      <c r="C98" s="30" t="s">
        <v>276</v>
      </c>
      <c r="D98" s="30" t="s">
        <v>758</v>
      </c>
      <c r="E98">
        <v>0</v>
      </c>
      <c r="F98" t="str">
        <f t="shared" si="7"/>
        <v>Reditus Doma</v>
      </c>
      <c r="G98" t="s">
        <v>405</v>
      </c>
      <c r="H98" t="s">
        <v>404</v>
      </c>
      <c r="I98" t="b">
        <v>0</v>
      </c>
      <c r="J98" t="b">
        <v>0</v>
      </c>
      <c r="K98" t="b">
        <v>0</v>
      </c>
      <c r="L98" s="26">
        <v>2</v>
      </c>
      <c r="M98" s="26" t="str">
        <f ca="1">IF(ISBLANK($L98),"",INDIRECT("'Avatars'!"&amp;ADDRESS(ROW(Avatars!$A$2)+$L98,COLUMN(Avatars!$A$2))))</f>
        <v>Leyshaper</v>
      </c>
      <c r="N98" s="6" t="s">
        <v>241</v>
      </c>
      <c r="O98" s="63">
        <f>IF($N98="""",O97,IF(ISBLANK($N98),"",$N98*AVERAGE(INDEX(Ranges!$O$7:$T$156,A98,L98+1),INDEX(Ranges!$U$7:$Z$156,A98,L98+1))))</f>
        <v>11.366666666666667</v>
      </c>
      <c r="Q98" s="9">
        <v>800</v>
      </c>
      <c r="S98" s="9">
        <v>7500</v>
      </c>
      <c r="U98" s="41" t="str">
        <f t="shared" si="13"/>
        <v/>
      </c>
      <c r="W98" s="63" t="str">
        <f>IF(ISBLANK(V98),"",IF(V98="""",W97,INDEX(Damage!$F$2:$F$151,A98)*V98*SUM(P98:Q98)/1000))</f>
        <v/>
      </c>
      <c r="Z98" s="16">
        <f>IF($O98="","",INDEX(Ranges!$O$7:$T$156,A98,L98+1)/O98)</f>
        <v>2.7859237536656893</v>
      </c>
      <c r="AA98" s="16">
        <f>IF(O98="","",INDEX(Ranges!$U$7:$Z$156,A98,L98+1)/O98)</f>
        <v>10.117302052785924</v>
      </c>
      <c r="AB98" s="16" t="str">
        <f>IF($B98="","",IF($B98="""","""",INDEX(Ranges!$O$7:$T$156,B98,L98+1)/$O98))</f>
        <v/>
      </c>
      <c r="AC98" s="16" t="str">
        <f>IF($B98="","",IF($B98="""","""",INDEX(Ranges!$U$7:$Z$156,$B98,$L98+1)/$O98))</f>
        <v/>
      </c>
      <c r="AD98" t="s">
        <v>730</v>
      </c>
      <c r="AE98" t="str">
        <f t="shared" si="8"/>
        <v>Transports you back home (your spawn point)</v>
      </c>
      <c r="AF98" t="str">
        <f t="shared" si="4"/>
        <v>Transports you back home (your spawn point)</v>
      </c>
    </row>
    <row r="99" spans="1:32">
      <c r="A99" s="26">
        <v>11</v>
      </c>
      <c r="C99" s="30" t="s">
        <v>276</v>
      </c>
      <c r="D99" s="30" t="s">
        <v>758</v>
      </c>
      <c r="E99">
        <v>0</v>
      </c>
      <c r="F99" t="str">
        <f t="shared" si="7"/>
        <v>Reditus Doma</v>
      </c>
      <c r="G99" t="s">
        <v>405</v>
      </c>
      <c r="H99" t="s">
        <v>404</v>
      </c>
      <c r="I99" t="b">
        <v>0</v>
      </c>
      <c r="J99" t="b">
        <v>0</v>
      </c>
      <c r="K99" t="b">
        <v>0</v>
      </c>
      <c r="L99" s="26">
        <v>3</v>
      </c>
      <c r="M99" s="26" t="str">
        <f ca="1">IF(ISBLANK($L99),"",INDIRECT("'Avatars'!"&amp;ADDRESS(ROW(Avatars!$A$2)+$L99,COLUMN(Avatars!$A$2))))</f>
        <v>Hunter</v>
      </c>
      <c r="N99" s="6" t="s">
        <v>241</v>
      </c>
      <c r="O99" s="63">
        <f>IF($N99="""",O98,IF(ISBLANK($N99),"",$N99*AVERAGE(INDEX(Ranges!$O$7:$T$156,A99,L99+1),INDEX(Ranges!$U$7:$Z$156,A99,L99+1))))</f>
        <v>11.366666666666667</v>
      </c>
      <c r="Q99" s="9">
        <v>800</v>
      </c>
      <c r="S99" s="9">
        <v>7500</v>
      </c>
      <c r="U99" s="41" t="str">
        <f t="shared" si="13"/>
        <v/>
      </c>
      <c r="W99" s="63" t="str">
        <f>IF(ISBLANK(V99),"",IF(V99="""",W98,INDEX(Damage!$F$2:$F$151,A99)*V99*SUM(P99:Q99)/1000))</f>
        <v/>
      </c>
      <c r="Z99" s="16">
        <f>IF($O99="","",INDEX(Ranges!$O$7:$T$156,A99,L99+1)/O99)</f>
        <v>2.6686217008797648</v>
      </c>
      <c r="AA99" s="16">
        <f>IF(O99="","",INDEX(Ranges!$U$7:$Z$156,A99,L99+1)/O99)</f>
        <v>21.436950146627563</v>
      </c>
      <c r="AB99" s="16" t="str">
        <f>IF($B99="","",IF($B99="""","""",INDEX(Ranges!$O$7:$T$156,B99,L99+1)/$O99))</f>
        <v/>
      </c>
      <c r="AC99" s="16" t="str">
        <f>IF($B99="","",IF($B99="""","""",INDEX(Ranges!$U$7:$Z$156,$B99,$L99+1)/$O99))</f>
        <v/>
      </c>
      <c r="AD99" t="s">
        <v>730</v>
      </c>
      <c r="AE99" t="str">
        <f t="shared" si="8"/>
        <v>Transports you back home (your spawn point)</v>
      </c>
      <c r="AF99" t="str">
        <f t="shared" si="4"/>
        <v>Transports you back home (your spawn point)</v>
      </c>
    </row>
    <row r="100" spans="1:32">
      <c r="A100" s="26">
        <v>12</v>
      </c>
      <c r="C100" s="30" t="s">
        <v>276</v>
      </c>
      <c r="D100" s="30" t="s">
        <v>758</v>
      </c>
      <c r="E100">
        <v>0</v>
      </c>
      <c r="F100" t="str">
        <f t="shared" si="7"/>
        <v>Reditus Doma</v>
      </c>
      <c r="G100" t="s">
        <v>405</v>
      </c>
      <c r="H100" t="s">
        <v>404</v>
      </c>
      <c r="I100" t="b">
        <v>0</v>
      </c>
      <c r="J100" t="b">
        <v>0</v>
      </c>
      <c r="K100" t="b">
        <v>0</v>
      </c>
      <c r="L100" s="26">
        <v>4</v>
      </c>
      <c r="M100" s="26" t="str">
        <f ca="1">IF(ISBLANK($L100),"",INDIRECT("'Avatars'!"&amp;ADDRESS(ROW(Avatars!$A$2)+$L100,COLUMN(Avatars!$A$2))))</f>
        <v>Paladin</v>
      </c>
      <c r="N100" s="6" t="s">
        <v>241</v>
      </c>
      <c r="O100" s="63">
        <f>IF($N100="""",O99,IF(ISBLANK($N100),"",$N100*AVERAGE(INDEX(Ranges!$O$7:$T$156,A100,L100+1),INDEX(Ranges!$U$7:$Z$156,A100,L100+1))))</f>
        <v>11.366666666666667</v>
      </c>
      <c r="Q100" s="9">
        <v>800</v>
      </c>
      <c r="S100" s="9">
        <v>7500</v>
      </c>
      <c r="U100" s="41" t="str">
        <f t="shared" si="13"/>
        <v/>
      </c>
      <c r="W100" s="63" t="str">
        <f>IF(ISBLANK(V100),"",IF(V100="""",W99,INDEX(Damage!$F$2:$F$151,A100)*V100*SUM(P100:Q100)/1000))</f>
        <v/>
      </c>
      <c r="Z100" s="16">
        <f>IF($O100="","",INDEX(Ranges!$O$7:$T$156,A100,L100+1)/O100)</f>
        <v>4.2815249266862168</v>
      </c>
      <c r="AA100" s="16">
        <f>IF(O100="","",INDEX(Ranges!$U$7:$Z$156,A100,L100+1)/O100)</f>
        <v>24.193548387096772</v>
      </c>
      <c r="AB100" s="16" t="str">
        <f>IF($B100="","",IF($B100="""","""",INDEX(Ranges!$O$7:$T$156,B100,L100+1)/$O100))</f>
        <v/>
      </c>
      <c r="AC100" s="16" t="str">
        <f>IF($B100="","",IF($B100="""","""",INDEX(Ranges!$U$7:$Z$156,$B100,$L100+1)/$O100))</f>
        <v/>
      </c>
      <c r="AD100" t="s">
        <v>730</v>
      </c>
      <c r="AE100" t="str">
        <f t="shared" si="8"/>
        <v>Transports you back home (your spawn point)</v>
      </c>
      <c r="AF100" t="str">
        <f t="shared" si="4"/>
        <v>Transports you back home (your spawn point)</v>
      </c>
    </row>
    <row r="101" spans="1:32">
      <c r="A101" s="26">
        <v>14</v>
      </c>
      <c r="C101" s="30" t="s">
        <v>276</v>
      </c>
      <c r="D101" s="30" t="s">
        <v>758</v>
      </c>
      <c r="E101">
        <v>0</v>
      </c>
      <c r="F101" t="str">
        <f t="shared" si="7"/>
        <v>Reditus Doma</v>
      </c>
      <c r="G101" t="s">
        <v>405</v>
      </c>
      <c r="H101" t="s">
        <v>404</v>
      </c>
      <c r="I101" t="b">
        <v>0</v>
      </c>
      <c r="J101" t="b">
        <v>0</v>
      </c>
      <c r="K101" t="b">
        <v>0</v>
      </c>
      <c r="L101" s="26">
        <v>5</v>
      </c>
      <c r="M101" s="26" t="str">
        <f ca="1">IF(ISBLANK($L101),"",INDIRECT("'Avatars'!"&amp;ADDRESS(ROW(Avatars!$A$2)+$L101,COLUMN(Avatars!$A$2))))</f>
        <v>Warrior</v>
      </c>
      <c r="N101" s="6" t="s">
        <v>241</v>
      </c>
      <c r="O101" s="63">
        <f>IF($N101="""",O100,IF(ISBLANK($N101),"",$N101*AVERAGE(INDEX(Ranges!$O$7:$T$156,A101,L101+1),INDEX(Ranges!$U$7:$Z$156,A101,L101+1))))</f>
        <v>11.366666666666667</v>
      </c>
      <c r="Q101" s="9">
        <v>800</v>
      </c>
      <c r="S101" s="9">
        <v>7500</v>
      </c>
      <c r="U101" s="41" t="str">
        <f t="shared" si="13"/>
        <v/>
      </c>
      <c r="W101" s="91" t="str">
        <f>IF(ISBLANK(V101),"",IF(V101="""",W100,INDEX(Damage!$F$2:$F$151,A101)*V101*SUM(P101:Q101)/1000))</f>
        <v/>
      </c>
      <c r="Z101" s="16">
        <f>IF($O101="","",INDEX(Ranges!$O$7:$T$156,A101,L101+1)/O101)</f>
        <v>2.4633431085043989</v>
      </c>
      <c r="AA101" s="16">
        <f>IF(O101="","",INDEX(Ranges!$U$7:$Z$156,A101,L101+1)/O101)</f>
        <v>25.806451612903224</v>
      </c>
      <c r="AB101" s="16" t="str">
        <f>IF($B101="","",IF($B101="""","""",INDEX(Ranges!$O$7:$T$156,B101,L101+1)/$O101))</f>
        <v/>
      </c>
      <c r="AC101" s="16" t="str">
        <f>IF($B101="","",IF($B101="""","""",INDEX(Ranges!$U$7:$Z$156,$B101,$L101+1)/$O101))</f>
        <v/>
      </c>
      <c r="AD101" t="s">
        <v>730</v>
      </c>
      <c r="AE101" t="str">
        <f t="shared" si="8"/>
        <v>Transports you back home (your spawn point)</v>
      </c>
      <c r="AF101" t="str">
        <f t="shared" si="4"/>
        <v>Transports you back home (your spawn point)</v>
      </c>
    </row>
    <row r="102" spans="1:32">
      <c r="A102" s="26">
        <v>18</v>
      </c>
      <c r="C102" s="30" t="s">
        <v>306</v>
      </c>
      <c r="D102" s="30" t="s">
        <v>758</v>
      </c>
      <c r="E102">
        <v>0</v>
      </c>
      <c r="F102" t="str">
        <f t="shared" si="7"/>
        <v>Uni Reditus Velox</v>
      </c>
      <c r="G102" t="s">
        <v>405</v>
      </c>
      <c r="H102" t="s">
        <v>406</v>
      </c>
      <c r="I102" t="b">
        <v>0</v>
      </c>
      <c r="J102" t="b">
        <v>0</v>
      </c>
      <c r="K102" t="b">
        <v>0</v>
      </c>
      <c r="L102" s="26">
        <v>0</v>
      </c>
      <c r="M102" s="26" t="str">
        <f ca="1">IF(ISBLANK($L102),"",INDIRECT("'Avatars'!"&amp;ADDRESS(ROW(Avatars!$A$2)+$L102,COLUMN(Avatars!$A$2))))</f>
        <v>Adept</v>
      </c>
      <c r="O102" s="63" t="str">
        <f>IF($N102="""",O101,IF(ISBLANK($N102),"",$N102*AVERAGE(INDEX(Ranges!$O$7:$T$156,A102,L102+1),INDEX(Ranges!$U$7:$Z$156,A102,L102+1))))</f>
        <v/>
      </c>
      <c r="Q102" s="9">
        <v>300</v>
      </c>
      <c r="S102" s="9">
        <v>500</v>
      </c>
      <c r="U102" s="41" t="str">
        <f t="shared" si="13"/>
        <v/>
      </c>
      <c r="W102" s="91" t="str">
        <f>IF(ISBLANK(V102),"",IF(V102="""",W101,INDEX(Damage!$F$2:$F$151,A102)*V102*SUM(P102:Q102)/1000))</f>
        <v/>
      </c>
      <c r="Z102" s="16" t="str">
        <f>IF($O102="","",INDEX(Ranges!$O$7:$T$156,A102,L102+1)/O102)</f>
        <v/>
      </c>
      <c r="AA102" s="16" t="str">
        <f>IF(O102="","",INDEX(Ranges!$U$7:$Z$156,A102,L102+1)/O102)</f>
        <v/>
      </c>
      <c r="AB102" s="16" t="str">
        <f>IF($B102="","",IF($B102="""","""",INDEX(Ranges!$O$7:$T$156,B102,L102+1)/$O102))</f>
        <v/>
      </c>
      <c r="AC102" s="16" t="str">
        <f>IF($B102="","",IF($B102="""","""",INDEX(Ranges!$U$7:$Z$156,$B102,$L102+1)/$O102))</f>
        <v/>
      </c>
      <c r="AD102" t="s">
        <v>729</v>
      </c>
      <c r="AE102" t="str">
        <f t="shared" si="8"/>
        <v>Provides a fast teleport for just you to your "/mark 1" location</v>
      </c>
      <c r="AF102" t="str">
        <f t="shared" si="4"/>
        <v>Provides a fast teleport for just you to your "/mark 1" location</v>
      </c>
    </row>
    <row r="103" spans="1:32">
      <c r="A103" s="26">
        <v>16</v>
      </c>
      <c r="C103" s="30" t="s">
        <v>295</v>
      </c>
      <c r="D103" s="30" t="s">
        <v>758</v>
      </c>
      <c r="E103">
        <v>0</v>
      </c>
      <c r="F103" t="str">
        <f t="shared" si="7"/>
        <v>Pario Porta</v>
      </c>
      <c r="G103" t="s">
        <v>405</v>
      </c>
      <c r="H103" t="s">
        <v>407</v>
      </c>
      <c r="I103" t="b">
        <v>1</v>
      </c>
      <c r="J103" t="b">
        <v>0</v>
      </c>
      <c r="K103" t="b">
        <v>0</v>
      </c>
      <c r="L103" s="26">
        <v>0</v>
      </c>
      <c r="M103" s="26" t="str">
        <f ca="1">IF(ISBLANK($L103),"",INDIRECT("'Avatars'!"&amp;ADDRESS(ROW(Avatars!$A$2)+$L103,COLUMN(Avatars!$A$2))))</f>
        <v>Adept</v>
      </c>
      <c r="N103" s="6">
        <v>0.85</v>
      </c>
      <c r="O103" s="63">
        <f>IF($N103="""",O102,IF(ISBLANK($N103),"",$N103*AVERAGE(INDEX(Ranges!$O$7:$T$156,A103,L103+1),INDEX(Ranges!$U$7:$Z$156,A103,L103+1))))</f>
        <v>322.7166666666667</v>
      </c>
      <c r="Q103" s="9">
        <v>550</v>
      </c>
      <c r="S103" s="9">
        <v>1000</v>
      </c>
      <c r="T103" s="58">
        <v>10000</v>
      </c>
      <c r="U103" s="41">
        <f t="shared" si="13"/>
        <v>10</v>
      </c>
      <c r="W103" s="91" t="str">
        <f>IF(ISBLANK(V103),"",IF(V103="""",W102,INDEX(Damage!$F$2:$F$151,A103)*V103*SUM(P103:Q103)/1000))</f>
        <v/>
      </c>
      <c r="X103" s="57" t="s">
        <v>244</v>
      </c>
      <c r="Z103" s="16">
        <f>IF($O103="","",INDEX(Ranges!$O$7:$T$156,A103,L103+1)/O103)</f>
        <v>0.72509425192377208</v>
      </c>
      <c r="AA103" s="16">
        <f>IF(O103="","",INDEX(Ranges!$U$7:$Z$156,A103,L103+1)/O103)</f>
        <v>1.6278469245468161</v>
      </c>
      <c r="AB103" s="16" t="str">
        <f>IF($B103="","",IF($B103="""","""",INDEX(Ranges!$O$7:$T$156,B103,L103+1)/$O103))</f>
        <v/>
      </c>
      <c r="AC103" s="16" t="str">
        <f>IF($B103="","",IF($B103="""","""",INDEX(Ranges!$U$7:$Z$156,$B103,$L103+1)/$O103))</f>
        <v/>
      </c>
      <c r="AD103" t="s">
        <v>728</v>
      </c>
      <c r="AE103" t="str">
        <f t="shared" si="8"/>
        <v>Long-range teleport to any location that has been saved with "/mark #".  For example, to visit the location at which you last said "/mark 1", press 1 when casting this spell</v>
      </c>
      <c r="AF103" t="str">
        <f t="shared" si="4"/>
        <v>Long-range teleport to any location that has been saved with "/mark #".  For example, to visit the location at which you last said "/mark 1", press 1 when casting this spell</v>
      </c>
    </row>
    <row r="104" spans="1:32">
      <c r="A104" s="26">
        <v>16</v>
      </c>
      <c r="C104" s="30" t="s">
        <v>295</v>
      </c>
      <c r="D104" s="30" t="s">
        <v>758</v>
      </c>
      <c r="E104">
        <v>0</v>
      </c>
      <c r="F104" t="str">
        <f t="shared" si="7"/>
        <v>Pario Porta</v>
      </c>
      <c r="G104" t="s">
        <v>405</v>
      </c>
      <c r="H104" t="s">
        <v>407</v>
      </c>
      <c r="I104" t="b">
        <v>1</v>
      </c>
      <c r="J104" t="b">
        <v>0</v>
      </c>
      <c r="K104" t="b">
        <v>0</v>
      </c>
      <c r="L104" s="26">
        <v>1</v>
      </c>
      <c r="M104" s="26" t="str">
        <f ca="1">IF(ISBLANK($L104),"",INDIRECT("'Avatars'!"&amp;ADDRESS(ROW(Avatars!$A$2)+$L104,COLUMN(Avatars!$A$2))))</f>
        <v>Sorcerer</v>
      </c>
      <c r="N104" s="6" t="s">
        <v>241</v>
      </c>
      <c r="O104" s="63">
        <f>IF($N104="""",O103,IF(ISBLANK($N104),"",$N104*AVERAGE(INDEX(Ranges!$O$7:$T$156,A104,L104+1),INDEX(Ranges!$U$7:$Z$156,A104,L104+1))))</f>
        <v>322.7166666666667</v>
      </c>
      <c r="Q104" s="9">
        <v>550</v>
      </c>
      <c r="S104" s="9">
        <v>1000</v>
      </c>
      <c r="T104" s="58">
        <v>10000</v>
      </c>
      <c r="U104" s="41">
        <f t="shared" si="13"/>
        <v>10</v>
      </c>
      <c r="W104" s="91" t="str">
        <f>IF(ISBLANK(V104),"",IF(V104="""",W103,INDEX(Damage!$F$2:$F$151,A104)*V104*SUM(P104:Q104)/1000))</f>
        <v/>
      </c>
      <c r="X104" s="57" t="s">
        <v>244</v>
      </c>
      <c r="Z104" s="16">
        <f>IF($O104="","",INDEX(Ranges!$O$7:$T$156,A104,L104+1)/O104)</f>
        <v>0.52677787532923614</v>
      </c>
      <c r="AA104" s="16">
        <f>IF(O104="","",INDEX(Ranges!$U$7:$Z$156,A104,L104+1)/O104)</f>
        <v>1.4295305479522802</v>
      </c>
      <c r="AB104" s="16" t="str">
        <f>IF($B104="","",IF($B104="""","""",INDEX(Ranges!$O$7:$T$156,B104,L104+1)/$O104))</f>
        <v/>
      </c>
      <c r="AC104" s="16" t="str">
        <f>IF($B104="","",IF($B104="""","""",INDEX(Ranges!$U$7:$Z$156,$B104,$L104+1)/$O104))</f>
        <v/>
      </c>
      <c r="AD104" t="s">
        <v>728</v>
      </c>
      <c r="AE104" t="str">
        <f t="shared" si="8"/>
        <v>Long-range teleport to any location that has been saved with "/mark #".  For example, to visit the location at which you last said "/mark 1", press 1 when casting this spell</v>
      </c>
      <c r="AF104" t="str">
        <f t="shared" si="4"/>
        <v>Long-range teleport to any location that has been saved with "/mark #".  For example, to visit the location at which you last said "/mark 1", press 1 when casting this spell</v>
      </c>
    </row>
    <row r="105" spans="1:32">
      <c r="A105" s="26">
        <v>16</v>
      </c>
      <c r="C105" s="30" t="s">
        <v>295</v>
      </c>
      <c r="D105" s="30" t="s">
        <v>758</v>
      </c>
      <c r="E105">
        <v>0</v>
      </c>
      <c r="F105" t="str">
        <f t="shared" si="7"/>
        <v>Pario Porta</v>
      </c>
      <c r="G105" t="s">
        <v>405</v>
      </c>
      <c r="H105" t="s">
        <v>407</v>
      </c>
      <c r="I105" t="b">
        <v>1</v>
      </c>
      <c r="J105" t="b">
        <v>0</v>
      </c>
      <c r="K105" t="b">
        <v>0</v>
      </c>
      <c r="L105" s="26">
        <v>2</v>
      </c>
      <c r="M105" s="26" t="str">
        <f ca="1">IF(ISBLANK($L105),"",INDIRECT("'Avatars'!"&amp;ADDRESS(ROW(Avatars!$A$2)+$L105,COLUMN(Avatars!$A$2))))</f>
        <v>Leyshaper</v>
      </c>
      <c r="N105" s="6" t="s">
        <v>241</v>
      </c>
      <c r="O105" s="63">
        <f>IF($N105="""",O104,IF(ISBLANK($N105),"",$N105*AVERAGE(INDEX(Ranges!$O$7:$T$156,A105,L105+1),INDEX(Ranges!$U$7:$Z$156,A105,L105+1))))</f>
        <v>322.7166666666667</v>
      </c>
      <c r="Q105" s="9">
        <v>550</v>
      </c>
      <c r="S105" s="9">
        <v>1000</v>
      </c>
      <c r="T105" s="9">
        <v>10000</v>
      </c>
      <c r="U105" s="41">
        <f t="shared" si="13"/>
        <v>10</v>
      </c>
      <c r="W105" s="91" t="str">
        <f>IF(ISBLANK(V105),"",IF(V105="""",W104,INDEX(Damage!$F$2:$F$151,A105)*V105*SUM(P105:Q105)/1000))</f>
        <v/>
      </c>
      <c r="X105" s="57" t="s">
        <v>244</v>
      </c>
      <c r="Z105" s="16">
        <f>IF($O105="","",INDEX(Ranges!$O$7:$T$156,A105,L105+1)/O105)</f>
        <v>0.46067241646439078</v>
      </c>
      <c r="AA105" s="16">
        <f>IF(O105="","",INDEX(Ranges!$U$7:$Z$156,A105,L105+1)/O105)</f>
        <v>1.3634250890874346</v>
      </c>
      <c r="AB105" s="16" t="str">
        <f>IF($B105="","",IF($B105="""","""",INDEX(Ranges!$O$7:$T$156,B105,L105+1)/$O105))</f>
        <v/>
      </c>
      <c r="AC105" s="16" t="str">
        <f>IF($B105="","",IF($B105="""","""",INDEX(Ranges!$U$7:$Z$156,$B105,$L105+1)/$O105))</f>
        <v/>
      </c>
      <c r="AD105" t="s">
        <v>728</v>
      </c>
      <c r="AE105" t="str">
        <f t="shared" si="8"/>
        <v>Long-range teleport to any location that has been saved with "/mark #".  For example, to visit the location at which you last said "/mark 1", press 1 when casting this spell</v>
      </c>
      <c r="AF105" t="str">
        <f t="shared" si="4"/>
        <v>Long-range teleport to any location that has been saved with "/mark #".  For example, to visit the location at which you last said "/mark 1", press 1 when casting this spell</v>
      </c>
    </row>
    <row r="106" spans="1:32">
      <c r="A106" s="26">
        <v>9</v>
      </c>
      <c r="B106" s="26">
        <v>20</v>
      </c>
      <c r="C106" s="30" t="s">
        <v>248</v>
      </c>
      <c r="D106" s="30" t="s">
        <v>758</v>
      </c>
      <c r="E106">
        <v>0</v>
      </c>
      <c r="F106" t="str">
        <f t="shared" si="7"/>
        <v>Velocitas</v>
      </c>
      <c r="G106" t="s">
        <v>402</v>
      </c>
      <c r="H106" t="s">
        <v>368</v>
      </c>
      <c r="I106" t="b">
        <v>1</v>
      </c>
      <c r="J106" t="b">
        <v>1</v>
      </c>
      <c r="K106" t="b">
        <v>0</v>
      </c>
      <c r="L106" s="26">
        <v>0</v>
      </c>
      <c r="M106" s="26" t="str">
        <f ca="1">IF(ISBLANK($L106),"",INDIRECT("'Avatars'!"&amp;ADDRESS(ROW(Avatars!$A$2)+$L106,COLUMN(Avatars!$A$2))))</f>
        <v>Adept</v>
      </c>
      <c r="N106" s="6">
        <v>0.5</v>
      </c>
      <c r="O106" s="63">
        <f>IF($N106="""",O105,IF(ISBLANK($N106),"",$N106*AVERAGE(INDEX(Ranges!$O$7:$T$156,A106,L106+1),INDEX(Ranges!$U$7:$Z$156,A106,L106+1))))</f>
        <v>113.66666666666667</v>
      </c>
      <c r="Q106" s="9">
        <v>150</v>
      </c>
      <c r="S106" s="9">
        <v>1000</v>
      </c>
      <c r="T106" s="58">
        <f>60*1000*4.5</f>
        <v>270000</v>
      </c>
      <c r="U106" s="41">
        <f t="shared" si="13"/>
        <v>270</v>
      </c>
      <c r="W106" s="91" t="str">
        <f>IF(ISBLANK(V106),"",IF(V106="""",W105,INDEX(Damage!$F$2:$F$151,A106)*V106*SUM(P106:Q106)/1000))</f>
        <v/>
      </c>
      <c r="Z106" s="16">
        <f>IF($O106="","",INDEX(Ranges!$O$7:$T$156,A106,L106+1)/O106)</f>
        <v>1.1759530791788857</v>
      </c>
      <c r="AA106" s="16">
        <f>IF(O106="","",INDEX(Ranges!$U$7:$Z$156,A106,L106+1)/O106)</f>
        <v>2.8240469208211141</v>
      </c>
      <c r="AB106" s="16">
        <f>IF($B106="","",IF($B106="""","""",INDEX(Ranges!$O$7:$T$156,B106,L106+1)/$O106))</f>
        <v>2.5630498533724344</v>
      </c>
      <c r="AC106" s="16">
        <f>IF($B106="","",IF($B106="""","""",INDEX(Ranges!$U$7:$Z$156,$B106,$L106+1)/$O106))</f>
        <v>5.6979472140762457</v>
      </c>
      <c r="AD106" t="s">
        <v>819</v>
      </c>
      <c r="AE106" t="str">
        <f t="shared" si="8"/>
        <v>Speed enchantment</v>
      </c>
      <c r="AF106" t="str">
        <f t="shared" ref="AF106:AF163" si="14">AD106</f>
        <v>Speed enchantment</v>
      </c>
    </row>
    <row r="107" spans="1:32">
      <c r="A107" s="26">
        <v>999</v>
      </c>
      <c r="C107" s="30" t="s">
        <v>308</v>
      </c>
      <c r="E107">
        <v>0</v>
      </c>
      <c r="F107" t="str">
        <f t="shared" si="7"/>
        <v>Nimbus</v>
      </c>
      <c r="G107" t="s">
        <v>409</v>
      </c>
      <c r="H107" t="s">
        <v>408</v>
      </c>
      <c r="I107" t="b">
        <v>0</v>
      </c>
      <c r="J107" t="b">
        <v>0</v>
      </c>
      <c r="K107" t="b">
        <v>0</v>
      </c>
      <c r="L107" s="26">
        <v>0</v>
      </c>
      <c r="M107" s="26" t="str">
        <f ca="1">IF(ISBLANK($L107),"",INDIRECT("'Avatars'!"&amp;ADDRESS(ROW(Avatars!$A$2)+$L107,COLUMN(Avatars!$A$2))))</f>
        <v>Adept</v>
      </c>
      <c r="N107" s="6">
        <v>0.3</v>
      </c>
      <c r="O107" s="63" t="e">
        <f>IF($N107="""",O106,IF(ISBLANK($N107),"",$N107*AVERAGE(INDEX(Ranges!$O$7:$T$156,A107,L107+1),INDEX(Ranges!$U$7:$Z$156,A107,L107+1))))</f>
        <v>#REF!</v>
      </c>
      <c r="Q107" s="9" t="s">
        <v>490</v>
      </c>
      <c r="U107" s="41" t="str">
        <f t="shared" si="13"/>
        <v/>
      </c>
      <c r="W107" s="91" t="str">
        <f>IF(ISBLANK(V107),"",IF(V107="""",W106,INDEX(Damage!$F$2:$F$151,A107)*V107*SUM(P107:Q107)/1000))</f>
        <v/>
      </c>
      <c r="Z107" s="16" t="e">
        <f>IF($O107="","",INDEX(Ranges!$O$7:$T$156,A107,L107+1)/O107)</f>
        <v>#REF!</v>
      </c>
      <c r="AA107" s="16" t="e">
        <f>IF(O107="","",INDEX(Ranges!$U$7:$Z$156,A107,L107+1)/O107)</f>
        <v>#REF!</v>
      </c>
      <c r="AB107" s="16" t="str">
        <f>IF($B107="","",IF($B107="""","""",INDEX(Ranges!$O$7:$T$156,B107,L107+1)/$O107))</f>
        <v/>
      </c>
      <c r="AC107" s="16" t="str">
        <f>IF($B107="","",IF($B107="""","""",INDEX(Ranges!$U$7:$Z$156,$B107,$L107+1)/$O107))</f>
        <v/>
      </c>
      <c r="AD107" t="s">
        <v>490</v>
      </c>
      <c r="AE107" t="str">
        <f t="shared" si="8"/>
        <v>This spell's effect is not yet available</v>
      </c>
      <c r="AF107" t="str">
        <f t="shared" si="14"/>
        <v/>
      </c>
    </row>
    <row r="108" spans="1:32">
      <c r="A108" s="26">
        <v>999</v>
      </c>
      <c r="C108" s="30" t="s">
        <v>308</v>
      </c>
      <c r="E108">
        <v>0</v>
      </c>
      <c r="F108" t="str">
        <f t="shared" si="7"/>
        <v>Nimbus</v>
      </c>
      <c r="G108" t="s">
        <v>409</v>
      </c>
      <c r="H108" t="s">
        <v>408</v>
      </c>
      <c r="I108" t="b">
        <v>0</v>
      </c>
      <c r="J108" t="b">
        <v>0</v>
      </c>
      <c r="K108" t="b">
        <v>0</v>
      </c>
      <c r="L108" s="26">
        <v>1</v>
      </c>
      <c r="M108" s="26" t="str">
        <f ca="1">IF(ISBLANK($L108),"",INDIRECT("'Avatars'!"&amp;ADDRESS(ROW(Avatars!$A$2)+$L108,COLUMN(Avatars!$A$2))))</f>
        <v>Sorcerer</v>
      </c>
      <c r="N108" s="6" t="s">
        <v>241</v>
      </c>
      <c r="O108" s="63" t="e">
        <f>IF($N108="""",O107,IF(ISBLANK($N108),"",$N108*AVERAGE(INDEX(Ranges!$O$7:$T$156,A108,L108+1),INDEX(Ranges!$U$7:$Z$156,A108,L108+1))))</f>
        <v>#REF!</v>
      </c>
      <c r="Q108" s="9" t="s">
        <v>490</v>
      </c>
      <c r="U108" s="41" t="str">
        <f t="shared" si="13"/>
        <v/>
      </c>
      <c r="W108" s="91" t="str">
        <f>IF(ISBLANK(V108),"",IF(V108="""",W107,INDEX(Damage!$F$2:$F$151,A108)*V108*SUM(P108:Q108)/1000))</f>
        <v/>
      </c>
      <c r="Z108" s="16" t="e">
        <f>IF($O108="","",INDEX(Ranges!$O$7:$T$156,A108,L108+1)/O108)</f>
        <v>#REF!</v>
      </c>
      <c r="AA108" s="16" t="e">
        <f>IF(O108="","",INDEX(Ranges!$U$7:$Z$156,A108,L108+1)/O108)</f>
        <v>#REF!</v>
      </c>
      <c r="AB108" s="16" t="str">
        <f>IF($B108="","",IF($B108="""","""",INDEX(Ranges!$O$7:$T$156,B108,L108+1)/$O108))</f>
        <v/>
      </c>
      <c r="AC108" s="16" t="str">
        <f>IF($B108="","",IF($B108="""","""",INDEX(Ranges!$U$7:$Z$156,$B108,$L108+1)/$O108))</f>
        <v/>
      </c>
      <c r="AD108" t="s">
        <v>490</v>
      </c>
      <c r="AE108" t="str">
        <f t="shared" si="8"/>
        <v>This spell's effect is not yet available</v>
      </c>
      <c r="AF108" t="str">
        <f t="shared" si="14"/>
        <v/>
      </c>
    </row>
    <row r="109" spans="1:32">
      <c r="A109" s="26">
        <v>999</v>
      </c>
      <c r="C109" s="30" t="s">
        <v>308</v>
      </c>
      <c r="E109">
        <v>0</v>
      </c>
      <c r="F109" t="str">
        <f t="shared" si="7"/>
        <v>Nimbus</v>
      </c>
      <c r="G109" t="s">
        <v>409</v>
      </c>
      <c r="H109" t="s">
        <v>408</v>
      </c>
      <c r="I109" t="b">
        <v>0</v>
      </c>
      <c r="J109" t="b">
        <v>0</v>
      </c>
      <c r="K109" t="b">
        <v>0</v>
      </c>
      <c r="L109" s="26">
        <v>2</v>
      </c>
      <c r="M109" s="26" t="str">
        <f ca="1">IF(ISBLANK($L109),"",INDIRECT("'Avatars'!"&amp;ADDRESS(ROW(Avatars!$A$2)+$L109,COLUMN(Avatars!$A$2))))</f>
        <v>Leyshaper</v>
      </c>
      <c r="N109" s="6" t="s">
        <v>241</v>
      </c>
      <c r="O109" s="63" t="e">
        <f>IF($N109="""",O108,IF(ISBLANK($N109),"",$N109*AVERAGE(INDEX(Ranges!$O$7:$T$156,A109,L109+1),INDEX(Ranges!$U$7:$Z$156,A109,L109+1))))</f>
        <v>#REF!</v>
      </c>
      <c r="Q109" s="9" t="s">
        <v>490</v>
      </c>
      <c r="U109" s="41" t="str">
        <f t="shared" si="13"/>
        <v/>
      </c>
      <c r="W109" s="91" t="str">
        <f>IF(ISBLANK(V109),"",IF(V109="""",W108,INDEX(Damage!$F$2:$F$151,A109)*V109*SUM(P109:Q109)/1000))</f>
        <v/>
      </c>
      <c r="Z109" s="16" t="e">
        <f>IF($O109="","",INDEX(Ranges!$O$7:$T$156,A109,L109+1)/O109)</f>
        <v>#REF!</v>
      </c>
      <c r="AA109" s="16" t="e">
        <f>IF(O109="","",INDEX(Ranges!$U$7:$Z$156,A109,L109+1)/O109)</f>
        <v>#REF!</v>
      </c>
      <c r="AB109" s="16" t="str">
        <f>IF($B109="","",IF($B109="""","""",INDEX(Ranges!$O$7:$T$156,B109,L109+1)/$O109))</f>
        <v/>
      </c>
      <c r="AC109" s="16" t="str">
        <f>IF($B109="","",IF($B109="""","""",INDEX(Ranges!$U$7:$Z$156,$B109,$L109+1)/$O109))</f>
        <v/>
      </c>
      <c r="AD109" t="s">
        <v>490</v>
      </c>
      <c r="AE109" t="str">
        <f t="shared" si="8"/>
        <v>This spell's effect is not yet available</v>
      </c>
      <c r="AF109" t="str">
        <f t="shared" si="14"/>
        <v/>
      </c>
    </row>
    <row r="110" spans="1:32">
      <c r="A110" s="26">
        <v>30</v>
      </c>
      <c r="B110" s="26">
        <v>50</v>
      </c>
      <c r="C110" s="30" t="s">
        <v>356</v>
      </c>
      <c r="D110" s="30" t="s">
        <v>758</v>
      </c>
      <c r="E110">
        <v>0</v>
      </c>
      <c r="F110" t="str">
        <f t="shared" si="7"/>
        <v>Vis Robur</v>
      </c>
      <c r="G110" t="s">
        <v>402</v>
      </c>
      <c r="H110" t="s">
        <v>410</v>
      </c>
      <c r="I110" t="b">
        <v>1</v>
      </c>
      <c r="J110" t="b">
        <v>1</v>
      </c>
      <c r="K110" t="b">
        <v>0</v>
      </c>
      <c r="L110" s="26">
        <v>0</v>
      </c>
      <c r="M110" s="26" t="str">
        <f ca="1">IF(ISBLANK($L110),"",INDIRECT("'Avatars'!"&amp;ADDRESS(ROW(Avatars!$A$2)+$L110,COLUMN(Avatars!$A$2))))</f>
        <v>Adept</v>
      </c>
      <c r="N110" s="6">
        <v>0.55000000000000004</v>
      </c>
      <c r="O110" s="63">
        <f>IF($N110="""",O109,IF(ISBLANK($N110),"",$N110*AVERAGE(INDEX(Ranges!$O$7:$T$156,A110,L110+1),INDEX(Ranges!$U$7:$Z$156,A110,L110+1))))</f>
        <v>387.10833333333341</v>
      </c>
      <c r="P110" s="9">
        <v>200</v>
      </c>
      <c r="Q110" s="9">
        <v>400</v>
      </c>
      <c r="T110" s="9">
        <f>60*1000*4.5</f>
        <v>270000</v>
      </c>
      <c r="U110" s="41" t="str">
        <f t="shared" si="13"/>
        <v/>
      </c>
      <c r="W110" s="91" t="str">
        <f>IF(ISBLANK(V110),"",IF(V110="""",W109,INDEX(Damage!$F$2:$F$151,A110)*V110*SUM(P110:Q110)/1000))</f>
        <v/>
      </c>
      <c r="Z110" s="16">
        <f>IF($O110="","",INDEX(Ranges!$O$7:$T$156,A110,L110+1)/O110)</f>
        <v>1.1228553591802466</v>
      </c>
      <c r="AA110" s="16">
        <f>IF(O110="","",INDEX(Ranges!$U$7:$Z$156,A110,L110+1)/O110)</f>
        <v>2.513508277183389</v>
      </c>
      <c r="AB110" s="16">
        <f>IF($B110="","",IF($B110="""","""",INDEX(Ranges!$O$7:$T$156,B110,L110+1)/$O110))</f>
        <v>1.8633888015843969</v>
      </c>
      <c r="AC110" s="16">
        <f>IF($B110="","",IF($B110="""","""",INDEX(Ranges!$U$7:$Z$156,$B110,$L110+1)/$O110))</f>
        <v>4.2279293048888116</v>
      </c>
      <c r="AD110" t="s">
        <v>816</v>
      </c>
      <c r="AE110" t="str">
        <f t="shared" si="8"/>
        <v>Increases damage</v>
      </c>
      <c r="AF110" t="str">
        <f t="shared" si="14"/>
        <v>Increases damage</v>
      </c>
    </row>
    <row r="111" spans="1:32">
      <c r="A111" s="26">
        <v>51</v>
      </c>
      <c r="B111" s="26">
        <v>75</v>
      </c>
      <c r="C111" s="30" t="s">
        <v>356</v>
      </c>
      <c r="D111" s="30" t="s">
        <v>758</v>
      </c>
      <c r="E111">
        <v>1</v>
      </c>
      <c r="F111" t="str">
        <f t="shared" si="7"/>
        <v>(Vis Robur)</v>
      </c>
      <c r="G111" t="s">
        <v>402</v>
      </c>
      <c r="H111" t="s">
        <v>410</v>
      </c>
      <c r="I111" t="b">
        <v>1</v>
      </c>
      <c r="J111" t="b">
        <v>1</v>
      </c>
      <c r="K111" t="b">
        <v>0</v>
      </c>
      <c r="L111" s="26">
        <v>0</v>
      </c>
      <c r="M111" s="26" t="str">
        <f ca="1">IF(ISBLANK($L111),"",INDIRECT("'Avatars'!"&amp;ADDRESS(ROW(Avatars!$A$2)+$L111,COLUMN(Avatars!$A$2))))</f>
        <v>Adept</v>
      </c>
      <c r="N111" s="6" t="s">
        <v>241</v>
      </c>
      <c r="O111" s="63">
        <f>IF($N111="""",O110,IF(ISBLANK($N111),"",$N111*AVERAGE(INDEX(Ranges!$O$7:$T$156,A111,L111+1),INDEX(Ranges!$U$7:$Z$156,A111,L111+1))))</f>
        <v>387.10833333333341</v>
      </c>
      <c r="Q111" s="9">
        <v>400</v>
      </c>
      <c r="T111" s="58">
        <f>60*1000*4.5</f>
        <v>270000</v>
      </c>
      <c r="U111" s="41" t="str">
        <f t="shared" si="13"/>
        <v/>
      </c>
      <c r="W111" s="91" t="str">
        <f>IF(ISBLANK(V111),"",IF(V111="""",W110,INDEX(Damage!$F$2:$F$151,A111)*V111*SUM(P111:Q111)/1000))</f>
        <v/>
      </c>
      <c r="Z111" s="16">
        <f>IF($O111="","",INDEX(Ranges!$O$7:$T$156,A111,L111+1)/O111)</f>
        <v>1.9004154737046044</v>
      </c>
      <c r="AA111" s="16">
        <f>IF(O111="","",INDEX(Ranges!$U$7:$Z$156,A111,L111+1)/O111)</f>
        <v>4.2985383075366492</v>
      </c>
      <c r="AB111" s="16">
        <f>IF($B111="","",IF($B111="""","""",INDEX(Ranges!$O$7:$T$156,B111,L111+1)/$O111))</f>
        <v>2.7890556045895849</v>
      </c>
      <c r="AC111" s="16">
        <f>IF($B111="","",IF($B111="""","""",INDEX(Ranges!$U$7:$Z$156,$B111,$L111+1)/$O111))</f>
        <v>6.4633069984715723</v>
      </c>
      <c r="AD111" t="s">
        <v>816</v>
      </c>
      <c r="AE111" t="str">
        <f t="shared" si="8"/>
        <v>Increases damage</v>
      </c>
      <c r="AF111" t="str">
        <f t="shared" si="14"/>
        <v>Increases damage</v>
      </c>
    </row>
    <row r="112" spans="1:32">
      <c r="A112" s="26">
        <v>5</v>
      </c>
      <c r="B112" s="26">
        <v>15</v>
      </c>
      <c r="C112" s="30" t="s">
        <v>267</v>
      </c>
      <c r="D112" s="30" t="s">
        <v>758</v>
      </c>
      <c r="E112">
        <v>0</v>
      </c>
      <c r="F112" t="str">
        <f t="shared" si="7"/>
        <v>Robur</v>
      </c>
      <c r="G112" t="s">
        <v>402</v>
      </c>
      <c r="H112" t="s">
        <v>410</v>
      </c>
      <c r="I112" t="b">
        <v>1</v>
      </c>
      <c r="J112" t="b">
        <v>1</v>
      </c>
      <c r="K112" t="b">
        <v>0</v>
      </c>
      <c r="L112" s="26">
        <v>0</v>
      </c>
      <c r="M112" s="26" t="str">
        <f ca="1">IF(ISBLANK($L112),"",INDIRECT("'Avatars'!"&amp;ADDRESS(ROW(Avatars!$A$2)+$L112,COLUMN(Avatars!$A$2))))</f>
        <v>Adept</v>
      </c>
      <c r="N112" s="6">
        <v>0.55000000000000004</v>
      </c>
      <c r="O112" s="63">
        <f>IF($N112="""",O111,IF(ISBLANK($N112),"",$N112*AVERAGE(INDEX(Ranges!$O$7:$T$156,A112,L112+1),INDEX(Ranges!$U$7:$Z$156,A112,L112+1))))</f>
        <v>75.625</v>
      </c>
      <c r="P112" s="9">
        <v>300</v>
      </c>
      <c r="Q112" s="9">
        <v>500</v>
      </c>
      <c r="T112" s="58">
        <f>60*1000*4.5</f>
        <v>270000</v>
      </c>
      <c r="U112" s="41" t="str">
        <f t="shared" si="13"/>
        <v/>
      </c>
      <c r="W112" s="91" t="str">
        <f>IF(ISBLANK(V112),"",IF(V112="""",W111,INDEX(Damage!$F$2:$F$151,A112)*V112*SUM(P112:Q112)/1000))</f>
        <v/>
      </c>
      <c r="Z112" s="16">
        <f>IF($O112="","",INDEX(Ranges!$O$7:$T$156,A112,L112+1)/O112)</f>
        <v>1.0093663911845732</v>
      </c>
      <c r="AA112" s="16">
        <f>IF(O112="","",INDEX(Ranges!$U$7:$Z$156,A112,L112+1)/O112)</f>
        <v>2.6269972451790631</v>
      </c>
      <c r="AB112" s="16">
        <f>IF($B112="","",IF($B112="""","""",INDEX(Ranges!$O$7:$T$156,B112,L112+1)/$O112))</f>
        <v>2.9046831955922867</v>
      </c>
      <c r="AC112" s="16">
        <f>IF($B112="","",IF($B112="""","""",INDEX(Ranges!$U$7:$Z$156,$B112,$L112+1)/$O112))</f>
        <v>6.5851239669421489</v>
      </c>
      <c r="AD112" t="s">
        <v>816</v>
      </c>
      <c r="AE112" t="str">
        <f t="shared" si="8"/>
        <v>Increases damage</v>
      </c>
      <c r="AF112" t="str">
        <f t="shared" si="14"/>
        <v>Increases damage</v>
      </c>
    </row>
    <row r="113" spans="1:32">
      <c r="A113" s="26">
        <v>16</v>
      </c>
      <c r="B113" s="26">
        <v>35</v>
      </c>
      <c r="C113" s="30" t="s">
        <v>267</v>
      </c>
      <c r="D113" s="30" t="s">
        <v>758</v>
      </c>
      <c r="E113">
        <v>1</v>
      </c>
      <c r="F113" t="str">
        <f t="shared" si="7"/>
        <v>(Robur)</v>
      </c>
      <c r="G113" t="s">
        <v>402</v>
      </c>
      <c r="H113" t="s">
        <v>410</v>
      </c>
      <c r="I113" t="b">
        <v>1</v>
      </c>
      <c r="J113" t="b">
        <v>1</v>
      </c>
      <c r="K113" t="b">
        <v>0</v>
      </c>
      <c r="L113" s="26">
        <v>0</v>
      </c>
      <c r="M113" s="26" t="str">
        <f ca="1">IF(ISBLANK($L113),"",INDIRECT("'Avatars'!"&amp;ADDRESS(ROW(Avatars!$A$2)+$L113,COLUMN(Avatars!$A$2))))</f>
        <v>Adept</v>
      </c>
      <c r="N113" s="6" t="s">
        <v>241</v>
      </c>
      <c r="O113" s="63">
        <f>IF($N113="""",O112,IF(ISBLANK($N113),"",$N113*AVERAGE(INDEX(Ranges!$O$7:$T$156,A113,L113+1),INDEX(Ranges!$U$7:$Z$156,A113,L113+1))))</f>
        <v>75.625</v>
      </c>
      <c r="Q113" s="9">
        <v>600</v>
      </c>
      <c r="T113" s="58">
        <f>60*1000*4.5</f>
        <v>270000</v>
      </c>
      <c r="U113" s="41" t="str">
        <f t="shared" si="13"/>
        <v/>
      </c>
      <c r="W113" s="91" t="str">
        <f>IF(ISBLANK(V113),"",IF(V113="""",W112,INDEX(Damage!$F$2:$F$151,A113)*V113*SUM(P113:Q113)/1000))</f>
        <v/>
      </c>
      <c r="Z113" s="16">
        <f>IF($O113="","",INDEX(Ranges!$O$7:$T$156,A113,L113+1)/O113)</f>
        <v>3.0942148760330577</v>
      </c>
      <c r="AA113" s="16">
        <f>IF(O113="","",INDEX(Ranges!$U$7:$Z$156,A113,L113+1)/O113)</f>
        <v>6.9465564738292018</v>
      </c>
      <c r="AB113" s="16">
        <f>IF($B113="","",IF($B113="""","""",INDEX(Ranges!$O$7:$T$156,B113,L113+1)/$O113))</f>
        <v>6.6953168044077138</v>
      </c>
      <c r="AC113" s="16">
        <f>IF($B113="","",IF($B113="""","""",INDEX(Ranges!$U$7:$Z$156,$B113,$L113+1)/$O113))</f>
        <v>15.017079889807164</v>
      </c>
      <c r="AD113" t="s">
        <v>816</v>
      </c>
      <c r="AE113" t="str">
        <f t="shared" si="8"/>
        <v>Increases damage</v>
      </c>
      <c r="AF113" t="str">
        <f t="shared" si="14"/>
        <v>Increases damage</v>
      </c>
    </row>
    <row r="114" spans="1:32">
      <c r="A114" s="26">
        <v>12</v>
      </c>
      <c r="B114" s="26">
        <v>25</v>
      </c>
      <c r="C114" s="30" t="s">
        <v>358</v>
      </c>
      <c r="D114" s="30" t="s">
        <v>758</v>
      </c>
      <c r="E114">
        <v>0</v>
      </c>
      <c r="F114" t="str">
        <f t="shared" si="7"/>
        <v>Omni Vis Vires</v>
      </c>
      <c r="G114" t="s">
        <v>402</v>
      </c>
      <c r="H114" t="s">
        <v>411</v>
      </c>
      <c r="I114" t="b">
        <v>1</v>
      </c>
      <c r="J114" t="b">
        <v>1</v>
      </c>
      <c r="K114" t="b">
        <v>0</v>
      </c>
      <c r="L114" s="26">
        <v>1</v>
      </c>
      <c r="M114" s="26" t="str">
        <f ca="1">IF(ISBLANK($L114),"",INDIRECT("'Avatars'!"&amp;ADDRESS(ROW(Avatars!$A$2)+$L114,COLUMN(Avatars!$A$2))))</f>
        <v>Sorcerer</v>
      </c>
      <c r="N114" s="6">
        <v>0.7</v>
      </c>
      <c r="O114" s="63">
        <f>IF($N114="""",O113,IF(ISBLANK($N114),"",$N114*AVERAGE(INDEX(Ranges!$O$7:$T$156,A114,L114+1),INDEX(Ranges!$U$7:$Z$156,A114,L114+1))))</f>
        <v>169.28333333333333</v>
      </c>
      <c r="Q114" s="9" t="s">
        <v>490</v>
      </c>
      <c r="T114" s="9">
        <f>60*1000*4</f>
        <v>240000</v>
      </c>
      <c r="U114" s="41" t="str">
        <f t="shared" si="13"/>
        <v/>
      </c>
      <c r="W114" s="91" t="str">
        <f>IF(ISBLANK(V114),"",IF(V114="""",W113,INDEX(Damage!$F$2:$F$151,A114)*V114*SUM(P114:Q114)/1000))</f>
        <v/>
      </c>
      <c r="Z114" s="16">
        <f>IF($O114="","",INDEX(Ranges!$O$7:$T$156,A114,L114+1)/O114)</f>
        <v>0.76006694890223503</v>
      </c>
      <c r="AA114" s="16">
        <f>IF(O114="","",INDEX(Ranges!$U$7:$Z$156,A114,L114+1)/O114)</f>
        <v>2.0970759082406221</v>
      </c>
      <c r="AB114" s="16">
        <f>IF($B114="","",IF($B114="""","""",INDEX(Ranges!$O$7:$T$156,B114,L114+1)/$O114))</f>
        <v>1.5536083489219257</v>
      </c>
      <c r="AC114" s="16">
        <f>IF($B114="","",IF($B114="""","""",INDEX(Ranges!$U$7:$Z$156,$B114,$L114+1)/$O114))</f>
        <v>4.1961209018410948</v>
      </c>
      <c r="AD114" t="s">
        <v>817</v>
      </c>
      <c r="AE114" t="str">
        <f t="shared" si="8"/>
        <v>Adds to the defense, damage and speed of the target</v>
      </c>
      <c r="AF114" t="str">
        <f t="shared" si="14"/>
        <v>Adds to the defense, damage and speed of the target</v>
      </c>
    </row>
    <row r="115" spans="1:32">
      <c r="A115" s="26">
        <v>26</v>
      </c>
      <c r="B115" s="26">
        <v>39</v>
      </c>
      <c r="C115" s="30" t="s">
        <v>358</v>
      </c>
      <c r="D115" s="30" t="s">
        <v>758</v>
      </c>
      <c r="E115">
        <v>1</v>
      </c>
      <c r="F115" t="str">
        <f t="shared" si="7"/>
        <v>(Omni Vis Vires)</v>
      </c>
      <c r="G115" t="s">
        <v>402</v>
      </c>
      <c r="H115" t="s">
        <v>411</v>
      </c>
      <c r="I115" t="b">
        <v>1</v>
      </c>
      <c r="J115" t="b">
        <v>1</v>
      </c>
      <c r="K115" t="b">
        <v>0</v>
      </c>
      <c r="L115" s="26">
        <v>1</v>
      </c>
      <c r="M115" s="26" t="str">
        <f ca="1">IF(ISBLANK($L115),"",INDIRECT("'Avatars'!"&amp;ADDRESS(ROW(Avatars!$A$2)+$L115,COLUMN(Avatars!$A$2))))</f>
        <v>Sorcerer</v>
      </c>
      <c r="N115" s="6" t="s">
        <v>241</v>
      </c>
      <c r="O115" s="63">
        <f>IF($N115="""",O114,IF(ISBLANK($N115),"",$N115*AVERAGE(INDEX(Ranges!$O$7:$T$156,A115,L115+1),INDEX(Ranges!$U$7:$Z$156,A115,L115+1))))</f>
        <v>169.28333333333333</v>
      </c>
      <c r="Q115" s="9" t="s">
        <v>490</v>
      </c>
      <c r="T115" s="58">
        <f>60*1000*5</f>
        <v>300000</v>
      </c>
      <c r="U115" s="41" t="str">
        <f t="shared" si="13"/>
        <v/>
      </c>
      <c r="W115" s="91" t="str">
        <f>IF(ISBLANK(V115),"",IF(V115="""",W114,INDEX(Damage!$F$2:$F$151,A115)*V115*SUM(P115:Q115)/1000))</f>
        <v/>
      </c>
      <c r="Z115" s="16">
        <f>IF($O115="","",INDEX(Ranges!$O$7:$T$156,A115,L115+1)/O115)</f>
        <v>1.6146499950772868</v>
      </c>
      <c r="AA115" s="16">
        <f>IF(O115="","",INDEX(Ranges!$U$7:$Z$156,A115,L115+1)/O115)</f>
        <v>4.3339568770306194</v>
      </c>
      <c r="AB115" s="16">
        <f>IF($B115="","",IF($B115="""","""",INDEX(Ranges!$O$7:$T$156,B115,L115+1)/$O115))</f>
        <v>2.4081913950969778</v>
      </c>
      <c r="AC115" s="16">
        <f>IF($B115="","",IF($B115="""","""",INDEX(Ranges!$U$7:$Z$156,$B115,$L115+1)/$O115))</f>
        <v>6.4330018706310916</v>
      </c>
      <c r="AD115" t="s">
        <v>817</v>
      </c>
      <c r="AE115" t="str">
        <f t="shared" si="8"/>
        <v>Adds to the defense, damage and speed of the target</v>
      </c>
      <c r="AF115" t="str">
        <f t="shared" si="14"/>
        <v>Adds to the defense, damage and speed of the target</v>
      </c>
    </row>
    <row r="116" spans="1:32">
      <c r="A116" s="26">
        <v>40</v>
      </c>
      <c r="B116" s="26">
        <v>60</v>
      </c>
      <c r="C116" s="30" t="s">
        <v>358</v>
      </c>
      <c r="D116" s="30" t="s">
        <v>758</v>
      </c>
      <c r="E116">
        <v>2</v>
      </c>
      <c r="F116" t="str">
        <f t="shared" si="7"/>
        <v>(Omni Vis Vires)</v>
      </c>
      <c r="G116" t="s">
        <v>402</v>
      </c>
      <c r="H116" t="s">
        <v>411</v>
      </c>
      <c r="I116" t="b">
        <v>1</v>
      </c>
      <c r="J116" t="b">
        <v>1</v>
      </c>
      <c r="K116" t="b">
        <v>0</v>
      </c>
      <c r="L116" s="26">
        <v>1</v>
      </c>
      <c r="M116" s="26" t="str">
        <f ca="1">IF(ISBLANK($L116),"",INDIRECT("'Avatars'!"&amp;ADDRESS(ROW(Avatars!$A$2)+$L116,COLUMN(Avatars!$A$2))))</f>
        <v>Sorcerer</v>
      </c>
      <c r="N116" s="6" t="s">
        <v>241</v>
      </c>
      <c r="O116" s="63">
        <f>IF($N116="""",O115,IF(ISBLANK($N116),"",$N116*AVERAGE(INDEX(Ranges!$O$7:$T$156,A116,L116+1),INDEX(Ranges!$U$7:$Z$156,A116,L116+1))))</f>
        <v>169.28333333333333</v>
      </c>
      <c r="Q116" s="9" t="s">
        <v>490</v>
      </c>
      <c r="T116" s="58">
        <f>60*1000*6.5</f>
        <v>390000</v>
      </c>
      <c r="U116" s="41" t="str">
        <f t="shared" si="13"/>
        <v/>
      </c>
      <c r="W116" s="91" t="str">
        <f>IF(ISBLANK(V116),"",IF(V116="""",W115,INDEX(Damage!$F$2:$F$151,A116)*V116*SUM(P116:Q116)/1000))</f>
        <v/>
      </c>
      <c r="Z116" s="16">
        <f>IF($O116="","",INDEX(Ranges!$O$7:$T$156,A116,L116+1)/O116)</f>
        <v>2.4692330412523384</v>
      </c>
      <c r="AA116" s="16">
        <f>IF(O116="","",INDEX(Ranges!$U$7:$Z$156,A116,L116+1)/O116)</f>
        <v>6.5708378458206163</v>
      </c>
      <c r="AB116" s="16">
        <f>IF($B116="","",IF($B116="""","""",INDEX(Ranges!$O$7:$T$156,B116,L116+1)/$O116))</f>
        <v>3.6900659643595555</v>
      </c>
      <c r="AC116" s="16">
        <f>IF($B116="","",IF($B116="""","""",INDEX(Ranges!$U$7:$Z$156,$B116,$L116+1)/$O116))</f>
        <v>10.095500639952743</v>
      </c>
      <c r="AD116" t="s">
        <v>817</v>
      </c>
      <c r="AE116" t="str">
        <f t="shared" si="8"/>
        <v>Adds to the defense, damage and speed of the target</v>
      </c>
      <c r="AF116" t="str">
        <f t="shared" si="14"/>
        <v>Adds to the defense, damage and speed of the target</v>
      </c>
    </row>
    <row r="117" spans="1:32">
      <c r="A117" s="26">
        <v>61</v>
      </c>
      <c r="B117" s="26">
        <v>150</v>
      </c>
      <c r="C117" s="30" t="s">
        <v>358</v>
      </c>
      <c r="D117" s="30" t="s">
        <v>758</v>
      </c>
      <c r="E117">
        <v>3</v>
      </c>
      <c r="F117" t="str">
        <f t="shared" si="7"/>
        <v>(Omni Vis Vires)</v>
      </c>
      <c r="G117" t="s">
        <v>402</v>
      </c>
      <c r="H117" t="s">
        <v>411</v>
      </c>
      <c r="I117" t="b">
        <v>1</v>
      </c>
      <c r="J117" t="b">
        <v>1</v>
      </c>
      <c r="K117" t="b">
        <v>0</v>
      </c>
      <c r="L117" s="26">
        <v>1</v>
      </c>
      <c r="M117" s="26" t="str">
        <f ca="1">IF(ISBLANK($L117),"",INDIRECT("'Avatars'!"&amp;ADDRESS(ROW(Avatars!$A$2)+$L117,COLUMN(Avatars!$A$2))))</f>
        <v>Sorcerer</v>
      </c>
      <c r="N117" s="6" t="s">
        <v>241</v>
      </c>
      <c r="O117" s="63">
        <f>IF($N117="""",O116,IF(ISBLANK($N117),"",$N117*AVERAGE(INDEX(Ranges!$O$7:$T$156,A117,L117+1),INDEX(Ranges!$U$7:$Z$156,A117,L117+1))))</f>
        <v>169.28333333333333</v>
      </c>
      <c r="Q117" s="9" t="s">
        <v>490</v>
      </c>
      <c r="T117" s="58">
        <f>60*1000*8</f>
        <v>480000</v>
      </c>
      <c r="U117" s="41" t="str">
        <f t="shared" si="13"/>
        <v/>
      </c>
      <c r="W117" s="91" t="str">
        <f>IF(ISBLANK(V117),"",IF(V117="""",W116,INDEX(Damage!$F$2:$F$151,A117)*V117*SUM(P117:Q117)/1000))</f>
        <v/>
      </c>
      <c r="Z117" s="16">
        <f>IF($O117="","",INDEX(Ranges!$O$7:$T$156,A117,L117+1)/O117)</f>
        <v>3.7511076105149157</v>
      </c>
      <c r="AA117" s="16">
        <f>IF(O117="","",INDEX(Ranges!$U$7:$Z$156,A117,L117+1)/O117)</f>
        <v>10.233336615142266</v>
      </c>
      <c r="AB117" s="16">
        <f>IF($B117="","",IF($B117="""","""",INDEX(Ranges!$O$7:$T$156,B117,L117+1)/$O117))</f>
        <v>9.1838141183420312</v>
      </c>
      <c r="AC117" s="16">
        <f>IF($B117="","",IF($B117="""","""",INDEX(Ranges!$U$7:$Z$156,$B117,$L117+1)/$O117))</f>
        <v>23.729447671556564</v>
      </c>
      <c r="AD117" t="s">
        <v>817</v>
      </c>
      <c r="AE117" t="str">
        <f t="shared" si="8"/>
        <v>Adds to the defense, damage and speed of the target</v>
      </c>
      <c r="AF117" t="str">
        <f t="shared" si="14"/>
        <v>Adds to the defense, damage and speed of the target</v>
      </c>
    </row>
    <row r="118" spans="1:32">
      <c r="A118" s="26">
        <v>38</v>
      </c>
      <c r="B118" s="26">
        <v>53</v>
      </c>
      <c r="C118" s="30" t="s">
        <v>359</v>
      </c>
      <c r="D118" s="30" t="s">
        <v>758</v>
      </c>
      <c r="E118">
        <v>0</v>
      </c>
      <c r="F118" t="str">
        <f t="shared" si="7"/>
        <v>Amicus Omni Vires</v>
      </c>
      <c r="G118" t="s">
        <v>414</v>
      </c>
      <c r="H118" t="s">
        <v>412</v>
      </c>
      <c r="I118" t="b">
        <v>0</v>
      </c>
      <c r="J118" t="b">
        <v>0</v>
      </c>
      <c r="K118" t="b">
        <v>0</v>
      </c>
      <c r="L118" s="26">
        <v>1</v>
      </c>
      <c r="M118" s="26" t="str">
        <f ca="1">IF(ISBLANK($L118),"",INDIRECT("'Avatars'!"&amp;ADDRESS(ROW(Avatars!$A$2)+$L118,COLUMN(Avatars!$A$2))))</f>
        <v>Sorcerer</v>
      </c>
      <c r="N118" s="6">
        <v>0.7</v>
      </c>
      <c r="O118" s="63">
        <f>IF($N118="""",O117,IF(ISBLANK($N118),"",$N118*AVERAGE(INDEX(Ranges!$O$7:$T$156,A118,L118+1),INDEX(Ranges!$U$7:$Z$156,A118,L118+1))))</f>
        <v>512.04999999999995</v>
      </c>
      <c r="Q118" s="9" t="s">
        <v>490</v>
      </c>
      <c r="T118" s="58">
        <f>60*1000*4</f>
        <v>240000</v>
      </c>
      <c r="U118" s="41" t="str">
        <f t="shared" si="13"/>
        <v/>
      </c>
      <c r="W118" s="91" t="str">
        <f>IF(ISBLANK(V118),"",IF(V118="""",W117,INDEX(Damage!$F$2:$F$151,A118)*V118*SUM(P118:Q118)/1000))</f>
        <v/>
      </c>
      <c r="Z118" s="16">
        <f>IF($O118="","",INDEX(Ranges!$O$7:$T$156,A118,L118+1)/O118)</f>
        <v>0.77596588874784378</v>
      </c>
      <c r="AA118" s="16">
        <f>IF(O118="","",INDEX(Ranges!$U$7:$Z$156,A118,L118+1)/O118)</f>
        <v>2.0811769683950136</v>
      </c>
      <c r="AB118" s="16">
        <f>IF($B118="","",IF($B118="""","""",INDEX(Ranges!$O$7:$T$156,B118,L118+1)/$O118))</f>
        <v>1.0786707027308533</v>
      </c>
      <c r="AC118" s="16">
        <f>IF($B118="","",IF($B118="""","""",INDEX(Ranges!$U$7:$Z$156,$B118,$L118+1)/$O118))</f>
        <v>2.9424209875337697</v>
      </c>
      <c r="AD118" t="s">
        <v>818</v>
      </c>
      <c r="AE118" t="str">
        <f t="shared" si="8"/>
        <v>Adds to the defense, damage and speed of all nearby party members</v>
      </c>
      <c r="AF118" t="str">
        <f t="shared" si="14"/>
        <v>Adds to the defense, damage and speed of all nearby party members</v>
      </c>
    </row>
    <row r="119" spans="1:32">
      <c r="A119" s="26">
        <v>54</v>
      </c>
      <c r="B119" s="26">
        <v>71</v>
      </c>
      <c r="C119" s="30" t="s">
        <v>359</v>
      </c>
      <c r="D119" s="30" t="s">
        <v>758</v>
      </c>
      <c r="E119">
        <v>1</v>
      </c>
      <c r="F119" t="str">
        <f t="shared" si="7"/>
        <v>(Amicus Omni Vires)</v>
      </c>
      <c r="G119" t="s">
        <v>414</v>
      </c>
      <c r="H119" t="s">
        <v>412</v>
      </c>
      <c r="I119" t="b">
        <v>0</v>
      </c>
      <c r="J119" t="b">
        <v>0</v>
      </c>
      <c r="K119" t="b">
        <v>0</v>
      </c>
      <c r="L119" s="26">
        <v>1</v>
      </c>
      <c r="M119" s="26" t="str">
        <f ca="1">IF(ISBLANK($L119),"",INDIRECT("'Avatars'!"&amp;ADDRESS(ROW(Avatars!$A$2)+$L119,COLUMN(Avatars!$A$2))))</f>
        <v>Sorcerer</v>
      </c>
      <c r="N119" s="6" t="s">
        <v>241</v>
      </c>
      <c r="O119" s="63">
        <f>IF($N119="""",O118,IF(ISBLANK($N119),"",$N119*AVERAGE(INDEX(Ranges!$O$7:$T$156,A119,L119+1),INDEX(Ranges!$U$7:$Z$156,A119,L119+1))))</f>
        <v>512.04999999999995</v>
      </c>
      <c r="Q119" s="9" t="s">
        <v>490</v>
      </c>
      <c r="T119" s="58">
        <f>60*1000*5</f>
        <v>300000</v>
      </c>
      <c r="U119" s="41" t="str">
        <f t="shared" si="13"/>
        <v/>
      </c>
      <c r="W119" s="91" t="str">
        <f>IF(ISBLANK(V119),"",IF(V119="""",W118,INDEX(Damage!$F$2:$F$151,A119)*V119*SUM(P119:Q119)/1000))</f>
        <v/>
      </c>
      <c r="Z119" s="16">
        <f>IF($O119="","",INDEX(Ranges!$O$7:$T$156,A119,L119+1)/O119)</f>
        <v>1.098851023663054</v>
      </c>
      <c r="AA119" s="16">
        <f>IF(O119="","",INDEX(Ranges!$U$7:$Z$156,A119,L119+1)/O119)</f>
        <v>2.9879894541548682</v>
      </c>
      <c r="AB119" s="16">
        <f>IF($B119="","",IF($B119="""","""",INDEX(Ranges!$O$7:$T$156,B119,L119+1)/$O119))</f>
        <v>1.4419164795104646</v>
      </c>
      <c r="AC119" s="16">
        <f>IF($B119="","",IF($B119="""","""",INDEX(Ranges!$U$7:$Z$156,$B119,$L119+1)/$O119))</f>
        <v>4.0165348436025132</v>
      </c>
      <c r="AD119" t="s">
        <v>818</v>
      </c>
      <c r="AE119" t="str">
        <f t="shared" si="8"/>
        <v>Adds to the defense, damage and speed of all nearby party members</v>
      </c>
      <c r="AF119" t="str">
        <f t="shared" si="14"/>
        <v>Adds to the defense, damage and speed of all nearby party members</v>
      </c>
    </row>
    <row r="120" spans="1:32">
      <c r="A120" s="26">
        <v>72</v>
      </c>
      <c r="B120" s="26">
        <v>85</v>
      </c>
      <c r="C120" s="30" t="s">
        <v>359</v>
      </c>
      <c r="D120" s="30" t="s">
        <v>758</v>
      </c>
      <c r="E120">
        <v>2</v>
      </c>
      <c r="F120" t="str">
        <f t="shared" si="7"/>
        <v>(Amicus Omni Vires)</v>
      </c>
      <c r="G120" t="s">
        <v>414</v>
      </c>
      <c r="H120" t="s">
        <v>412</v>
      </c>
      <c r="I120" t="b">
        <v>0</v>
      </c>
      <c r="J120" t="b">
        <v>0</v>
      </c>
      <c r="K120" t="b">
        <v>0</v>
      </c>
      <c r="L120" s="26">
        <v>1</v>
      </c>
      <c r="M120" s="26" t="str">
        <f ca="1">IF(ISBLANK($L120),"",INDIRECT("'Avatars'!"&amp;ADDRESS(ROW(Avatars!$A$2)+$L120,COLUMN(Avatars!$A$2))))</f>
        <v>Sorcerer</v>
      </c>
      <c r="N120" s="6" t="s">
        <v>241</v>
      </c>
      <c r="O120" s="63">
        <f>IF($N120="""",O119,IF(ISBLANK($N120),"",$N120*AVERAGE(INDEX(Ranges!$O$7:$T$156,A120,L120+1),INDEX(Ranges!$U$7:$Z$156,A120,L120+1))))</f>
        <v>512.04999999999995</v>
      </c>
      <c r="Q120" s="9" t="s">
        <v>490</v>
      </c>
      <c r="T120" s="58">
        <f>60*1000*6.5</f>
        <v>390000</v>
      </c>
      <c r="U120" s="41" t="str">
        <f t="shared" si="13"/>
        <v/>
      </c>
      <c r="W120" s="91" t="str">
        <f>IF(ISBLANK(V120),"",IF(V120="""",W119,INDEX(Damage!$F$2:$F$151,A120)*V120*SUM(P120:Q120)/1000))</f>
        <v/>
      </c>
      <c r="Z120" s="16">
        <f>IF($O120="","",INDEX(Ranges!$O$7:$T$156,A120,L120+1)/O120)</f>
        <v>1.4620968004426653</v>
      </c>
      <c r="AA120" s="16">
        <f>IF(O120="","",INDEX(Ranges!$U$7:$Z$156,A120,L120+1)/O120)</f>
        <v>4.0621033102236117</v>
      </c>
      <c r="AB120" s="16">
        <f>IF($B120="","",IF($B120="""","""",INDEX(Ranges!$O$7:$T$156,B120,L120+1)/$O120))</f>
        <v>1.7244409725612735</v>
      </c>
      <c r="AC120" s="16">
        <f>IF($B120="","",IF($B120="""","""",INDEX(Ranges!$U$7:$Z$156,$B120,$L120+1)/$O120))</f>
        <v>4.8829866874979668</v>
      </c>
      <c r="AD120" t="s">
        <v>818</v>
      </c>
      <c r="AE120" t="str">
        <f t="shared" si="8"/>
        <v>Adds to the defense, damage and speed of all nearby party members</v>
      </c>
      <c r="AF120" t="str">
        <f t="shared" si="14"/>
        <v>Adds to the defense, damage and speed of all nearby party members</v>
      </c>
    </row>
    <row r="121" spans="1:32">
      <c r="A121" s="26">
        <v>86</v>
      </c>
      <c r="B121" s="26">
        <v>150</v>
      </c>
      <c r="C121" s="30" t="s">
        <v>359</v>
      </c>
      <c r="D121" s="30" t="s">
        <v>758</v>
      </c>
      <c r="E121">
        <v>3</v>
      </c>
      <c r="F121" t="str">
        <f t="shared" si="7"/>
        <v>(Amicus Omni Vires)</v>
      </c>
      <c r="G121" t="s">
        <v>414</v>
      </c>
      <c r="H121" t="s">
        <v>412</v>
      </c>
      <c r="I121" t="b">
        <v>0</v>
      </c>
      <c r="J121" t="b">
        <v>0</v>
      </c>
      <c r="K121" t="b">
        <v>0</v>
      </c>
      <c r="L121" s="26">
        <v>1</v>
      </c>
      <c r="M121" s="26" t="str">
        <f ca="1">IF(ISBLANK($L121),"",INDIRECT("'Avatars'!"&amp;ADDRESS(ROW(Avatars!$A$2)+$L121,COLUMN(Avatars!$A$2))))</f>
        <v>Sorcerer</v>
      </c>
      <c r="N121" s="6" t="s">
        <v>241</v>
      </c>
      <c r="O121" s="63">
        <f>IF($N121="""",O120,IF(ISBLANK($N121),"",$N121*AVERAGE(INDEX(Ranges!$O$7:$T$156,A121,L121+1),INDEX(Ranges!$U$7:$Z$156,A121,L121+1))))</f>
        <v>512.04999999999995</v>
      </c>
      <c r="Q121" s="9" t="s">
        <v>490</v>
      </c>
      <c r="T121" s="58">
        <f>60*1000*8</f>
        <v>480000</v>
      </c>
      <c r="U121" s="41" t="str">
        <f t="shared" si="13"/>
        <v/>
      </c>
      <c r="W121" s="91" t="str">
        <f>IF(ISBLANK(V121),"",IF(V121="""",W120,INDEX(Damage!$F$2:$F$151,A121)*V121*SUM(P121:Q121)/1000))</f>
        <v/>
      </c>
      <c r="Z121" s="16">
        <f>IF($O121="","",INDEX(Ranges!$O$7:$T$156,A121,L121+1)/O121)</f>
        <v>1.7446212934934742</v>
      </c>
      <c r="AA121" s="16">
        <f>IF(O121="","",INDEX(Ranges!$U$7:$Z$156,A121,L121+1)/O121)</f>
        <v>4.9285551541190644</v>
      </c>
      <c r="AB121" s="16">
        <f>IF($B121="","",IF($B121="""","""",INDEX(Ranges!$O$7:$T$156,B121,L121+1)/$O121))</f>
        <v>3.0361618331543148</v>
      </c>
      <c r="AC121" s="16">
        <f>IF($B121="","",IF($B121="""","""",INDEX(Ranges!$U$7:$Z$156,$B121,$L121+1)/$O121))</f>
        <v>7.8449370178693494</v>
      </c>
      <c r="AD121" t="s">
        <v>818</v>
      </c>
      <c r="AE121" t="str">
        <f t="shared" si="8"/>
        <v>Adds to the defense, damage and speed of all nearby party members</v>
      </c>
      <c r="AF121" t="str">
        <f t="shared" si="14"/>
        <v>Adds to the defense, damage and speed of all nearby party members</v>
      </c>
    </row>
    <row r="122" spans="1:32">
      <c r="A122" s="26">
        <v>5</v>
      </c>
      <c r="B122" s="26">
        <v>12</v>
      </c>
      <c r="C122" s="30" t="s">
        <v>360</v>
      </c>
      <c r="D122" s="30" t="s">
        <v>758</v>
      </c>
      <c r="E122">
        <v>0</v>
      </c>
      <c r="F122" t="str">
        <f t="shared" si="7"/>
        <v>Unda Uxor</v>
      </c>
      <c r="G122" t="s">
        <v>194</v>
      </c>
      <c r="H122" t="s">
        <v>413</v>
      </c>
      <c r="I122" t="b">
        <v>1</v>
      </c>
      <c r="J122" t="b">
        <v>0</v>
      </c>
      <c r="K122" t="b">
        <v>0</v>
      </c>
      <c r="L122" s="26">
        <v>1</v>
      </c>
      <c r="M122" s="26" t="str">
        <f ca="1">IF(ISBLANK($L122),"",INDIRECT("'Avatars'!"&amp;ADDRESS(ROW(Avatars!$A$2)+$L122,COLUMN(Avatars!$A$2))))</f>
        <v>Sorcerer</v>
      </c>
      <c r="N122" s="6">
        <v>0.4</v>
      </c>
      <c r="O122" s="63">
        <f>IF($N122="""",O121,IF(ISBLANK($N122),"",$N122*AVERAGE(INDEX(Ranges!$O$7:$T$156,A122,L122+1),INDEX(Ranges!$U$7:$Z$156,A122,L122+1))))</f>
        <v>47</v>
      </c>
      <c r="P122" s="9">
        <v>250</v>
      </c>
      <c r="Q122" s="9">
        <v>550</v>
      </c>
      <c r="R122" s="9">
        <v>3</v>
      </c>
      <c r="U122" s="41" t="str">
        <f t="shared" si="13"/>
        <v/>
      </c>
      <c r="V122" s="6">
        <v>0.7</v>
      </c>
      <c r="W122" s="91">
        <f>IF(ISBLANK(V122),"",IF(V122="""",W121,INDEX(Damage!$F$2:$F$151,A122)*V122*SUM(P122:Q122)/1000))</f>
        <v>15.200888888888883</v>
      </c>
      <c r="X122" s="26" t="s">
        <v>244</v>
      </c>
      <c r="Z122" s="16">
        <f>IF($O122="","",INDEX(Ranges!$O$7:$T$156,A122,L122+1)/O122)</f>
        <v>1.198581560283688</v>
      </c>
      <c r="AA122" s="16">
        <f>IF(O122="","",INDEX(Ranges!$U$7:$Z$156,A122,L122+1)/O122)</f>
        <v>3.8014184397163118</v>
      </c>
      <c r="AB122" s="16">
        <f>IF($B122="","",IF($B122="""","""",INDEX(Ranges!$O$7:$T$156,B122,L122+1)/$O122))</f>
        <v>2.7375886524822701</v>
      </c>
      <c r="AC122" s="16">
        <f>IF($B122="","",IF($B122="""","""",INDEX(Ranges!$U$7:$Z$156,$B122,$L122+1)/$O122))</f>
        <v>7.5531914893617023</v>
      </c>
      <c r="AD122" t="s">
        <v>727</v>
      </c>
      <c r="AE122" t="str">
        <f t="shared" si="8"/>
        <v>Area of effect spell that hits the targeted location</v>
      </c>
      <c r="AF122" t="str">
        <f t="shared" si="14"/>
        <v>Area of effect spell that hits the targeted location</v>
      </c>
    </row>
    <row r="123" spans="1:32">
      <c r="A123" s="26">
        <v>3</v>
      </c>
      <c r="B123" s="26">
        <v>150</v>
      </c>
      <c r="C123" s="30" t="s">
        <v>364</v>
      </c>
      <c r="D123" s="30" t="s">
        <v>758</v>
      </c>
      <c r="E123">
        <v>0</v>
      </c>
      <c r="F123" t="str">
        <f t="shared" si="7"/>
        <v>Quickness</v>
      </c>
      <c r="G123" t="s">
        <v>402</v>
      </c>
      <c r="H123" t="s">
        <v>532</v>
      </c>
      <c r="I123" t="b">
        <v>0</v>
      </c>
      <c r="J123" t="b">
        <v>0</v>
      </c>
      <c r="K123" t="b">
        <v>0</v>
      </c>
      <c r="L123" s="26">
        <v>3</v>
      </c>
      <c r="M123" s="77" t="str">
        <f ca="1">IF(ISBLANK($L123),"",INDIRECT("'Avatars'!"&amp;ADDRESS(ROW(Avatars!$A$2)+$L123,COLUMN(Avatars!$A$2))))</f>
        <v>Hunter</v>
      </c>
      <c r="N123" s="6">
        <v>0.2</v>
      </c>
      <c r="O123" s="63">
        <f>IF($N123="""",O122,IF(ISBLANK($N123),"",$N123*AVERAGE(INDEX(Ranges!$O$7:$T$156,A123,L123+1),INDEX(Ranges!$U$7:$Z$156,A123,L123+1))))</f>
        <v>10.666666666666668</v>
      </c>
      <c r="Q123" s="9">
        <v>500</v>
      </c>
      <c r="T123" s="63">
        <v>120000</v>
      </c>
      <c r="U123" s="41" t="str">
        <f t="shared" si="13"/>
        <v/>
      </c>
      <c r="W123" s="91" t="str">
        <f>IF(ISBLANK(V123),"",IF(V123="""",W122,INDEX(Damage!$F$2:$F$151,A123)*V123*SUM(P123:Q123)/1000))</f>
        <v/>
      </c>
      <c r="Z123" s="16">
        <f>IF($O123="","",INDEX(Ranges!$O$7:$T$156,A123,L123+1)/O123)</f>
        <v>1.0937499999999998</v>
      </c>
      <c r="AA123" s="16">
        <f>IF(O123="","",INDEX(Ranges!$U$7:$Z$156,A123,L123+1)/O123)</f>
        <v>8.9062499999999982</v>
      </c>
      <c r="AB123" s="16">
        <f>IF($B123="","",IF($B123="""","""",INDEX(Ranges!$O$7:$T$156,B123,L123+1)/$O123))</f>
        <v>33.249999999999993</v>
      </c>
      <c r="AC123" s="16">
        <f>IF($B123="","",IF($B123="""","""",INDEX(Ranges!$U$7:$Z$156,$B123,$L123+1)/$O123))</f>
        <v>264.09374999999994</v>
      </c>
      <c r="AD123" t="s">
        <v>830</v>
      </c>
      <c r="AE123" t="str">
        <f t="shared" si="8"/>
        <v>Boosts  speed and MP steal</v>
      </c>
      <c r="AF123" t="str">
        <f t="shared" si="14"/>
        <v>Boosts  speed and MP steal</v>
      </c>
    </row>
    <row r="124" spans="1:32">
      <c r="A124" s="62">
        <v>15</v>
      </c>
      <c r="B124" s="62">
        <v>150</v>
      </c>
      <c r="C124" s="30" t="s">
        <v>417</v>
      </c>
      <c r="D124" s="30" t="s">
        <v>758</v>
      </c>
      <c r="E124">
        <v>0</v>
      </c>
      <c r="F124" t="str">
        <f t="shared" si="7"/>
        <v>Haste</v>
      </c>
      <c r="G124" t="s">
        <v>402</v>
      </c>
      <c r="H124" t="s">
        <v>532</v>
      </c>
      <c r="I124" t="b">
        <v>0</v>
      </c>
      <c r="J124" t="b">
        <v>0</v>
      </c>
      <c r="K124" t="b">
        <v>0</v>
      </c>
      <c r="L124" s="62">
        <v>3</v>
      </c>
      <c r="M124" s="77" t="str">
        <f ca="1">IF(ISBLANK($L124),"",INDIRECT("'Avatars'!"&amp;ADDRESS(ROW(Avatars!$A$2)+$L124,COLUMN(Avatars!$A$2))))</f>
        <v>Hunter</v>
      </c>
      <c r="N124" s="6">
        <v>0.2</v>
      </c>
      <c r="O124" s="63">
        <f>IF($N124="""",O123,IF(ISBLANK($N124),"",$N124*AVERAGE(INDEX(Ranges!$O$7:$T$156,A124,L124+1),INDEX(Ranges!$U$7:$Z$156,A124,L124+1))))</f>
        <v>35.766666666666673</v>
      </c>
      <c r="P124" s="63"/>
      <c r="Q124" s="96">
        <v>500</v>
      </c>
      <c r="R124" s="63"/>
      <c r="S124" s="63"/>
      <c r="T124" s="99">
        <v>120000</v>
      </c>
      <c r="U124" s="41" t="str">
        <f t="shared" si="13"/>
        <v/>
      </c>
      <c r="W124" s="91" t="str">
        <f>IF(ISBLANK(V124),"",IF(V124="""",W123,INDEX(Damage!$F$2:$F$151,A124)*V124*SUM(P124:Q124)/1000))</f>
        <v/>
      </c>
      <c r="X124" s="62"/>
      <c r="Z124" s="16">
        <f>IF($O124="","",INDEX(Ranges!$O$7:$T$156,A124,L124+1)/O124)</f>
        <v>1.1090400745573157</v>
      </c>
      <c r="AA124" s="16">
        <f>IF(O124="","",INDEX(Ranges!$U$7:$Z$156,A124,L124+1)/O124)</f>
        <v>8.890959925442683</v>
      </c>
      <c r="AB124" s="16">
        <f>IF($B124="","",IF($B124="""","""",INDEX(Ranges!$O$7:$T$156,B124,L124+1)/$O124))</f>
        <v>9.9161230195712928</v>
      </c>
      <c r="AC124" s="16">
        <f>IF($B124="","",IF($B124="""","""",INDEX(Ranges!$U$7:$Z$156,$B124,$L124+1)/$O124))</f>
        <v>78.760484622553577</v>
      </c>
      <c r="AD124" t="s">
        <v>829</v>
      </c>
      <c r="AE124" t="str">
        <f t="shared" si="8"/>
        <v>Significantly increases  speed and MP steal</v>
      </c>
      <c r="AF124" t="str">
        <f t="shared" si="14"/>
        <v>Significantly increases  speed and MP steal</v>
      </c>
    </row>
    <row r="125" spans="1:32">
      <c r="A125" s="62">
        <v>27</v>
      </c>
      <c r="B125" s="62">
        <v>150</v>
      </c>
      <c r="C125" s="30" t="s">
        <v>418</v>
      </c>
      <c r="D125" s="30" t="s">
        <v>758</v>
      </c>
      <c r="E125">
        <v>0</v>
      </c>
      <c r="F125" t="str">
        <f t="shared" ref="F125:F130" si="15">IF(E125=0,C125,"("&amp;C125&amp;")")</f>
        <v>Rancor</v>
      </c>
      <c r="G125" t="s">
        <v>402</v>
      </c>
      <c r="H125" t="s">
        <v>533</v>
      </c>
      <c r="I125" t="b">
        <v>0</v>
      </c>
      <c r="J125" t="b">
        <v>0</v>
      </c>
      <c r="K125" t="b">
        <v>0</v>
      </c>
      <c r="L125" s="62">
        <v>3</v>
      </c>
      <c r="M125" s="77" t="str">
        <f ca="1">IF(ISBLANK($L125),"",INDIRECT("'Avatars'!"&amp;ADDRESS(ROW(Avatars!$A$2)+$L125,COLUMN(Avatars!$A$2))))</f>
        <v>Hunter</v>
      </c>
      <c r="N125" s="6">
        <v>0.2</v>
      </c>
      <c r="O125" s="63">
        <f>IF($N125="""",O128,IF(ISBLANK($N125),"",$N125*AVERAGE(INDEX(Ranges!$O$7:$T$156,A125,L125+1),INDEX(Ranges!$U$7:$Z$156,A125,L125+1))))</f>
        <v>60.866666666666667</v>
      </c>
      <c r="P125" s="63"/>
      <c r="Q125" s="96">
        <v>500</v>
      </c>
      <c r="R125" s="63"/>
      <c r="S125" s="63"/>
      <c r="T125" s="99">
        <v>120000</v>
      </c>
      <c r="U125" s="41"/>
      <c r="W125" s="91" t="str">
        <f>IF(ISBLANK(V125),"",IF(V125="""",W124,INDEX(Damage!$F$2:$F$151,A125)*V125*SUM(P125:Q125)/1000))</f>
        <v/>
      </c>
      <c r="X125" s="62"/>
      <c r="Z125" s="16">
        <f>IF($O125="","",INDEX(Ranges!$O$7:$T$156,A125,L125+1)/O125)</f>
        <v>1.1117196056955092</v>
      </c>
      <c r="AA125" s="16">
        <f>IF(O125="","",INDEX(Ranges!$U$7:$Z$156,A125,L125+1)/O125)</f>
        <v>8.8882803943044912</v>
      </c>
      <c r="AB125" s="16">
        <f>IF($B125="","",IF($B125="""","""",INDEX(Ranges!$O$7:$T$156,B125,L125+1)/$O125))</f>
        <v>5.8269441401971518</v>
      </c>
      <c r="AC125" s="16">
        <f>IF($B125="","",IF($B125="""","""",INDEX(Ranges!$U$7:$Z$156,$B125,$L125+1)/$O125))</f>
        <v>46.281489594742609</v>
      </c>
      <c r="AD125" t="s">
        <v>828</v>
      </c>
      <c r="AE125" t="str">
        <f t="shared" si="8"/>
        <v>Maximizes  speed and MP steal</v>
      </c>
      <c r="AF125" t="str">
        <f t="shared" si="14"/>
        <v>Maximizes  speed and MP steal</v>
      </c>
    </row>
    <row r="126" spans="1:32">
      <c r="A126" s="62">
        <v>1</v>
      </c>
      <c r="B126" s="62">
        <v>150</v>
      </c>
      <c r="C126" s="30" t="s">
        <v>534</v>
      </c>
      <c r="D126" s="30" t="s">
        <v>758</v>
      </c>
      <c r="E126">
        <v>0</v>
      </c>
      <c r="F126" t="str">
        <f>IF(E126=0,C126,"("&amp;C126&amp;")")</f>
        <v>Fury</v>
      </c>
      <c r="G126" t="s">
        <v>402</v>
      </c>
      <c r="H126" t="s">
        <v>532</v>
      </c>
      <c r="I126" t="b">
        <v>0</v>
      </c>
      <c r="J126" t="b">
        <v>0</v>
      </c>
      <c r="K126" t="b">
        <v>0</v>
      </c>
      <c r="L126" s="62">
        <v>5</v>
      </c>
      <c r="M126" s="77" t="str">
        <f ca="1">IF(ISBLANK($L126),"",INDIRECT("'Avatars'!"&amp;ADDRESS(ROW(Avatars!$A$2)+$L126,COLUMN(Avatars!$A$2))))</f>
        <v>Warrior</v>
      </c>
      <c r="N126" s="6">
        <v>0.2</v>
      </c>
      <c r="O126" s="63">
        <f>IF($N126="""",O124,IF(ISBLANK($N126),"",$N126*AVERAGE(INDEX(Ranges!$O$7:$T$156,A126,L126+1),INDEX(Ranges!$U$7:$Z$156,A126,L126+1))))</f>
        <v>5.7</v>
      </c>
      <c r="P126" s="63"/>
      <c r="Q126" s="96">
        <v>500</v>
      </c>
      <c r="R126" s="63"/>
      <c r="S126" s="63"/>
      <c r="T126" s="99">
        <v>120000</v>
      </c>
      <c r="U126" s="41" t="str">
        <f>IF(OR(ISBLANK(S126),ISBLANK(T126)),"",T126/S126)</f>
        <v/>
      </c>
      <c r="W126" s="91" t="str">
        <f>IF(ISBLANK(V126),"",IF(V126="""",W125,INDEX(Damage!$F$2:$F$151,A126)*V126*SUM(P126:Q126)/1000))</f>
        <v/>
      </c>
      <c r="X126" s="62"/>
      <c r="Z126" s="16">
        <f>IF($O126="","",INDEX(Ranges!$O$7:$T$156,A126,L126+1)/O126)</f>
        <v>1.1111111111111112</v>
      </c>
      <c r="AA126" s="16">
        <f>IF(O126="","",INDEX(Ranges!$U$7:$Z$156,A126,L126+1)/O126)</f>
        <v>8.8888888888888875</v>
      </c>
      <c r="AB126" s="16">
        <f>IF($B126="","",IF($B126="""","""",INDEX(Ranges!$O$7:$T$156,B126,L126+1)/$O126))</f>
        <v>44.678362573099413</v>
      </c>
      <c r="AC126" s="16">
        <f>IF($B126="","",IF($B126="""","""",INDEX(Ranges!$U$7:$Z$156,$B126,$L126+1)/$O126))</f>
        <v>476.66666666666663</v>
      </c>
      <c r="AD126" t="s">
        <v>825</v>
      </c>
      <c r="AE126" t="str">
        <f t="shared" si="8"/>
        <v>Boosts damage and HP steal</v>
      </c>
      <c r="AF126" t="str">
        <f t="shared" si="14"/>
        <v>Boosts damage and HP steal</v>
      </c>
    </row>
    <row r="127" spans="1:32">
      <c r="A127" s="62">
        <v>18</v>
      </c>
      <c r="B127" s="62">
        <v>150</v>
      </c>
      <c r="C127" s="30" t="s">
        <v>430</v>
      </c>
      <c r="D127" s="30" t="s">
        <v>758</v>
      </c>
      <c r="E127">
        <v>0</v>
      </c>
      <c r="F127" t="str">
        <f>IF(E127=0,C127,"("&amp;C127&amp;")")</f>
        <v>Wrath</v>
      </c>
      <c r="G127" t="s">
        <v>402</v>
      </c>
      <c r="H127" t="s">
        <v>533</v>
      </c>
      <c r="I127" t="b">
        <v>0</v>
      </c>
      <c r="J127" t="b">
        <v>0</v>
      </c>
      <c r="K127" t="b">
        <v>0</v>
      </c>
      <c r="L127" s="62">
        <v>5</v>
      </c>
      <c r="M127" s="77" t="str">
        <f ca="1">IF(ISBLANK($L127),"",INDIRECT("'Avatars'!"&amp;ADDRESS(ROW(Avatars!$A$2)+$L127,COLUMN(Avatars!$A$2))))</f>
        <v>Warrior</v>
      </c>
      <c r="N127" s="6">
        <v>0.2</v>
      </c>
      <c r="O127" s="63">
        <f>IF($N127="""",O126,IF(ISBLANK($N127),"",$N127*AVERAGE(INDEX(Ranges!$O$7:$T$156,A127,L127+1),INDEX(Ranges!$U$7:$Z$156,A127,L127+1))))</f>
        <v>39.966666666666669</v>
      </c>
      <c r="P127" s="63"/>
      <c r="Q127" s="96">
        <v>500</v>
      </c>
      <c r="R127" s="63"/>
      <c r="S127" s="63"/>
      <c r="T127" s="99">
        <v>120000</v>
      </c>
      <c r="U127" s="41"/>
      <c r="W127" s="91" t="str">
        <f>IF(ISBLANK(V127),"",IF(V127="""",W126,INDEX(Damage!$F$2:$F$151,A127)*V127*SUM(P127:Q127)/1000))</f>
        <v/>
      </c>
      <c r="X127" s="62"/>
      <c r="Z127" s="16">
        <f>IF($O127="","",INDEX(Ranges!$O$7:$T$156,A127,L127+1)/O127)</f>
        <v>0.86738949124270215</v>
      </c>
      <c r="AA127" s="16">
        <f>IF(O127="","",INDEX(Ranges!$U$7:$Z$156,A127,L127+1)/O127)</f>
        <v>9.1326105087572973</v>
      </c>
      <c r="AB127" s="16">
        <f>IF($B127="","",IF($B127="""","""",INDEX(Ranges!$O$7:$T$156,B127,L127+1)/$O127))</f>
        <v>6.3719766472060044</v>
      </c>
      <c r="AC127" s="16">
        <f>IF($B127="","",IF($B127="""","""",INDEX(Ranges!$U$7:$Z$156,$B127,$L127+1)/$O127))</f>
        <v>67.981651376146786</v>
      </c>
      <c r="AD127" t="s">
        <v>826</v>
      </c>
      <c r="AE127" t="str">
        <f t="shared" si="8"/>
        <v>Significantly increases damage and HP steal</v>
      </c>
      <c r="AF127" t="str">
        <f t="shared" si="14"/>
        <v>Significantly increases damage and HP steal</v>
      </c>
    </row>
    <row r="128" spans="1:32">
      <c r="A128" s="62">
        <v>27</v>
      </c>
      <c r="B128" s="62">
        <v>150</v>
      </c>
      <c r="C128" s="30" t="s">
        <v>431</v>
      </c>
      <c r="D128" s="30" t="s">
        <v>758</v>
      </c>
      <c r="E128">
        <v>0</v>
      </c>
      <c r="F128" t="str">
        <f>IF(E128=0,C128,"("&amp;C128&amp;")")</f>
        <v>Rage</v>
      </c>
      <c r="G128" t="s">
        <v>402</v>
      </c>
      <c r="H128" t="s">
        <v>533</v>
      </c>
      <c r="I128" t="b">
        <v>0</v>
      </c>
      <c r="J128" t="b">
        <v>0</v>
      </c>
      <c r="K128" t="b">
        <v>0</v>
      </c>
      <c r="L128" s="62">
        <v>5</v>
      </c>
      <c r="M128" s="77" t="str">
        <f ca="1">IF(ISBLANK($L128),"",INDIRECT("'Avatars'!"&amp;ADDRESS(ROW(Avatars!$A$2)+$L128,COLUMN(Avatars!$A$2))))</f>
        <v>Warrior</v>
      </c>
      <c r="N128" s="6">
        <v>0.2</v>
      </c>
      <c r="O128" s="63">
        <f>IF($N128="""",O127,IF(ISBLANK($N128),"",$N128*AVERAGE(INDEX(Ranges!$O$7:$T$156,A128,L128+1),INDEX(Ranges!$U$7:$Z$156,A128,L128+1))))</f>
        <v>57.266666666666666</v>
      </c>
      <c r="P128" s="63"/>
      <c r="Q128" s="96">
        <v>500</v>
      </c>
      <c r="R128" s="63"/>
      <c r="S128" s="63"/>
      <c r="T128" s="99">
        <v>120000</v>
      </c>
      <c r="U128" s="41"/>
      <c r="W128" s="91" t="str">
        <f>IF(ISBLANK(V128),"",IF(V128="""",W127,INDEX(Damage!$F$2:$F$151,A128)*V128*SUM(P128:Q128)/1000))</f>
        <v/>
      </c>
      <c r="X128" s="62"/>
      <c r="Z128" s="16">
        <f>IF($O128="","",INDEX(Ranges!$O$7:$T$156,A128,L128+1)/O128)</f>
        <v>0.86728754365541327</v>
      </c>
      <c r="AA128" s="16">
        <f>IF(O128="","",INDEX(Ranges!$U$7:$Z$156,A128,L128+1)/O128)</f>
        <v>9.1327124563445867</v>
      </c>
      <c r="AB128" s="16">
        <f>IF($B128="","",IF($B128="""","""",INDEX(Ranges!$O$7:$T$156,B128,L128+1)/$O128))</f>
        <v>4.447031431897555</v>
      </c>
      <c r="AC128" s="16">
        <f>IF($B128="","",IF($B128="""","""",INDEX(Ranges!$U$7:$Z$156,$B128,$L128+1)/$O128))</f>
        <v>47.444703143189756</v>
      </c>
      <c r="AD128" t="s">
        <v>827</v>
      </c>
      <c r="AE128" t="str">
        <f t="shared" si="8"/>
        <v>Maximizes damage and HP steal</v>
      </c>
      <c r="AF128" t="str">
        <f t="shared" si="14"/>
        <v>Maximizes damage and HP steal</v>
      </c>
    </row>
    <row r="129" spans="1:32">
      <c r="A129" s="62">
        <v>5</v>
      </c>
      <c r="B129" s="62">
        <v>9</v>
      </c>
      <c r="C129" s="30" t="s">
        <v>422</v>
      </c>
      <c r="D129" s="30" t="s">
        <v>758</v>
      </c>
      <c r="E129">
        <v>0</v>
      </c>
      <c r="F129" t="str">
        <f t="shared" si="15"/>
        <v>Eagleye</v>
      </c>
      <c r="G129" t="s">
        <v>429</v>
      </c>
      <c r="H129" t="s">
        <v>428</v>
      </c>
      <c r="I129" t="b">
        <v>0</v>
      </c>
      <c r="J129" t="b">
        <v>0</v>
      </c>
      <c r="K129" t="b">
        <v>0</v>
      </c>
      <c r="L129" s="62">
        <v>3</v>
      </c>
      <c r="M129" s="77" t="str">
        <f ca="1">IF(ISBLANK($L129),"",INDIRECT("'Avatars'!"&amp;ADDRESS(ROW(Avatars!$A$2)+$L129,COLUMN(Avatars!$A$2))))</f>
        <v>Hunter</v>
      </c>
      <c r="N129" s="6">
        <v>0.1</v>
      </c>
      <c r="O129" s="63">
        <f>IF($N129="""",O125,IF(ISBLANK($N129),"",$N129*AVERAGE(INDEX(Ranges!$O$7:$T$156,A129,L129+1),INDEX(Ranges!$U$7:$Z$156,A129,L129+1))))</f>
        <v>7.75</v>
      </c>
      <c r="P129" s="63"/>
      <c r="Q129" s="96">
        <f t="shared" ref="Q129:Q134" si="16">2*S129</f>
        <v>0</v>
      </c>
      <c r="R129" s="63">
        <v>1</v>
      </c>
      <c r="S129" s="63"/>
      <c r="T129" s="63"/>
      <c r="U129" s="41" t="str">
        <f t="shared" si="13"/>
        <v/>
      </c>
      <c r="V129" s="6">
        <v>1.5</v>
      </c>
      <c r="W129" s="91">
        <f>IF(ISBLANK(V129),"",IF(V129="""",W128,INDEX(Damage!$F$2:$F$151,A129)*V129*SUM(P129:Q129)/1000))</f>
        <v>0</v>
      </c>
      <c r="X129" s="62"/>
      <c r="Z129" s="16">
        <f>IF($O129="","",INDEX(Ranges!$O$7:$T$156,A129,L129+1)/O129)</f>
        <v>2.10752688172043</v>
      </c>
      <c r="AA129" s="16">
        <f>IF(O129="","",INDEX(Ranges!$U$7:$Z$156,A129,L129+1)/O129)</f>
        <v>17.892473118279568</v>
      </c>
      <c r="AB129" s="16">
        <f>IF($B129="","",IF($B129="""","""",INDEX(Ranges!$O$7:$T$156,B129,L129+1)/$O129))</f>
        <v>3.311827956989247</v>
      </c>
      <c r="AC129" s="16">
        <f>IF($B129="","",IF($B129="""","""",INDEX(Ranges!$U$7:$Z$156,$B129,$L129+1)/$O129))</f>
        <v>27.483870967741936</v>
      </c>
      <c r="AD129" t="s">
        <v>726</v>
      </c>
      <c r="AE129" t="str">
        <f t="shared" si="8"/>
        <v>Fires a projectile weapon instantly, without needing to select a target (only usable when a bow, crossbow, javelin or thrown weapon is equipped)</v>
      </c>
      <c r="AF129" t="str">
        <f t="shared" si="14"/>
        <v>Fires a projectile weapon instantly, without needing to select a target (only usable when a bow, crossbow, javelin or thrown weapon is equipped)</v>
      </c>
    </row>
    <row r="130" spans="1:32">
      <c r="A130" s="62">
        <v>13</v>
      </c>
      <c r="B130" s="62">
        <v>150</v>
      </c>
      <c r="C130" s="30" t="s">
        <v>422</v>
      </c>
      <c r="D130" s="30" t="s">
        <v>758</v>
      </c>
      <c r="E130">
        <v>1</v>
      </c>
      <c r="F130" t="str">
        <f t="shared" si="15"/>
        <v>(Eagleye)</v>
      </c>
      <c r="G130" t="s">
        <v>429</v>
      </c>
      <c r="H130" t="s">
        <v>428</v>
      </c>
      <c r="I130" t="b">
        <v>0</v>
      </c>
      <c r="J130" t="b">
        <v>0</v>
      </c>
      <c r="K130" t="b">
        <v>0</v>
      </c>
      <c r="L130" s="62">
        <v>3</v>
      </c>
      <c r="M130" s="77" t="str">
        <f ca="1">IF(ISBLANK($L130),"",INDIRECT("'Avatars'!"&amp;ADDRESS(ROW(Avatars!$A$2)+$L130,COLUMN(Avatars!$A$2))))</f>
        <v>Hunter</v>
      </c>
      <c r="N130" s="6" t="s">
        <v>241</v>
      </c>
      <c r="O130" s="63">
        <f>IF($N130="""",O129,IF(ISBLANK($N130),"",$N130*AVERAGE(INDEX(Ranges!$O$7:$T$156,A130,L130+1),INDEX(Ranges!$U$7:$Z$156,A130,L130+1))))</f>
        <v>7.75</v>
      </c>
      <c r="P130" s="63"/>
      <c r="Q130" s="96">
        <f t="shared" si="16"/>
        <v>0</v>
      </c>
      <c r="R130" s="63">
        <v>1</v>
      </c>
      <c r="S130" s="63"/>
      <c r="T130" s="63"/>
      <c r="U130" s="41" t="str">
        <f t="shared" si="13"/>
        <v/>
      </c>
      <c r="V130" s="6">
        <v>1.5</v>
      </c>
      <c r="W130" s="91">
        <f>IF(ISBLANK(V130),"",IF(V130="""",W129,INDEX(Damage!$F$2:$F$151,A130)*V130*SUM(P130:Q130)/1000))</f>
        <v>0</v>
      </c>
      <c r="X130" s="62"/>
      <c r="Z130" s="16">
        <f>IF($O130="","",INDEX(Ranges!$O$7:$T$156,A130,L130+1)/O130)</f>
        <v>4.5161290322580649</v>
      </c>
      <c r="AA130" s="16">
        <f>IF(O130="","",INDEX(Ranges!$U$7:$Z$156,A130,L130+1)/O130)</f>
        <v>37.075268817204297</v>
      </c>
      <c r="AB130" s="16">
        <f>IF($B130="","",IF($B130="""","""",INDEX(Ranges!$O$7:$T$156,B130,L130+1)/$O130))</f>
        <v>45.763440860215049</v>
      </c>
      <c r="AC130" s="16">
        <f>IF($B130="","",IF($B130="""","""",INDEX(Ranges!$U$7:$Z$156,$B130,$L130+1)/$O130))</f>
        <v>363.48387096774195</v>
      </c>
      <c r="AD130" t="s">
        <v>726</v>
      </c>
      <c r="AE130" t="str">
        <f t="shared" si="8"/>
        <v>Fires a projectile weapon instantly, without needing to select a target (only usable when a bow, crossbow, javelin or thrown weapon is equipped)</v>
      </c>
      <c r="AF130" t="str">
        <f t="shared" si="14"/>
        <v>Fires a projectile weapon instantly, without needing to select a target (only usable when a bow, crossbow, javelin or thrown weapon is equipped)</v>
      </c>
    </row>
    <row r="131" spans="1:32">
      <c r="A131" s="62">
        <v>8</v>
      </c>
      <c r="B131" s="62">
        <v>18</v>
      </c>
      <c r="C131" s="30" t="s">
        <v>420</v>
      </c>
      <c r="D131" s="30" t="s">
        <v>758</v>
      </c>
      <c r="E131">
        <v>0</v>
      </c>
      <c r="F131" t="str">
        <f t="shared" si="7"/>
        <v>Spreadshot</v>
      </c>
      <c r="G131" t="s">
        <v>429</v>
      </c>
      <c r="H131" t="s">
        <v>425</v>
      </c>
      <c r="I131" t="b">
        <v>1</v>
      </c>
      <c r="J131" t="b">
        <v>0</v>
      </c>
      <c r="K131" t="b">
        <v>0</v>
      </c>
      <c r="L131" s="62">
        <v>3</v>
      </c>
      <c r="M131" s="77" t="str">
        <f ca="1">IF(ISBLANK($L131),"",INDIRECT("'Avatars'!"&amp;ADDRESS(ROW(Avatars!$A$2)+$L131,COLUMN(Avatars!$A$2))))</f>
        <v>Hunter</v>
      </c>
      <c r="N131" s="6">
        <v>0.2</v>
      </c>
      <c r="O131" s="63">
        <f>IF($N131="""",O130,IF(ISBLANK($N131),"",$N131*AVERAGE(INDEX(Ranges!$O$7:$T$156,A131,L131+1),INDEX(Ranges!$U$7:$Z$156,A131,L131+1))))</f>
        <v>20.8</v>
      </c>
      <c r="P131" s="63"/>
      <c r="Q131" s="96">
        <f t="shared" si="16"/>
        <v>1000</v>
      </c>
      <c r="R131" s="63">
        <v>3</v>
      </c>
      <c r="S131" s="63">
        <v>500</v>
      </c>
      <c r="T131" s="63">
        <v>600</v>
      </c>
      <c r="U131" s="41">
        <f t="shared" si="13"/>
        <v>1.2</v>
      </c>
      <c r="V131" s="6">
        <v>1.1000000000000001</v>
      </c>
      <c r="W131" s="91">
        <f>IF(ISBLANK(V131),"",IF(V131="""",W130,INDEX(Damage!$F$2:$F$151,A131)*V131*SUM(P131:Q131)/1000))</f>
        <v>45.795878136200727</v>
      </c>
      <c r="X131" s="62"/>
      <c r="Z131" s="16">
        <f>IF($O131="","",INDEX(Ranges!$O$7:$T$156,A131,L131+1)/O131)</f>
        <v>1.1217948717948718</v>
      </c>
      <c r="AA131" s="16">
        <f>IF(O131="","",INDEX(Ranges!$U$7:$Z$156,A131,L131+1)/O131)</f>
        <v>8.8782051282051277</v>
      </c>
      <c r="AB131" s="16">
        <f>IF($B131="","",IF($B131="""","""",INDEX(Ranges!$O$7:$T$156,B131,L131+1)/$O131))</f>
        <v>2.2435897435897436</v>
      </c>
      <c r="AC131" s="16">
        <f>IF($B131="","",IF($B131="""","""",INDEX(Ranges!$U$7:$Z$156,$B131,$L131+1)/$O131))</f>
        <v>18.125</v>
      </c>
      <c r="AD131" t="s">
        <v>725</v>
      </c>
      <c r="AE131" t="str">
        <f t="shared" ref="AE131:AE163" si="17">IF(AD131&lt;&gt;"",AD131,"This spell's effect is not yet available")</f>
        <v>Fires a projectile weapon in a forward spread (only usable when a bow, crossbow, javelin or thrown weapon is equipped)</v>
      </c>
      <c r="AF131" t="str">
        <f t="shared" si="14"/>
        <v>Fires a projectile weapon in a forward spread (only usable when a bow, crossbow, javelin or thrown weapon is equipped)</v>
      </c>
    </row>
    <row r="132" spans="1:32">
      <c r="A132" s="62">
        <v>21</v>
      </c>
      <c r="B132" s="62">
        <v>36</v>
      </c>
      <c r="C132" s="30" t="s">
        <v>420</v>
      </c>
      <c r="D132" s="30" t="s">
        <v>758</v>
      </c>
      <c r="E132">
        <v>1</v>
      </c>
      <c r="F132" t="str">
        <f t="shared" si="7"/>
        <v>(Spreadshot)</v>
      </c>
      <c r="G132" t="s">
        <v>429</v>
      </c>
      <c r="H132" t="s">
        <v>425</v>
      </c>
      <c r="I132" t="b">
        <v>1</v>
      </c>
      <c r="J132" t="b">
        <v>0</v>
      </c>
      <c r="K132" t="b">
        <v>0</v>
      </c>
      <c r="L132" s="62">
        <v>3</v>
      </c>
      <c r="M132" s="77" t="str">
        <f ca="1">IF(ISBLANK($L132),"",INDIRECT("'Avatars'!"&amp;ADDRESS(ROW(Avatars!$A$2)+$L132,COLUMN(Avatars!$A$2))))</f>
        <v>Hunter</v>
      </c>
      <c r="N132" s="6" t="s">
        <v>241</v>
      </c>
      <c r="O132" s="63">
        <f>IF($N132="""",O131,IF(ISBLANK($N132),"",$N132*AVERAGE(INDEX(Ranges!$O$7:$T$156,A132,L132+1),INDEX(Ranges!$U$7:$Z$156,A132,L132+1))))</f>
        <v>20.8</v>
      </c>
      <c r="P132" s="63"/>
      <c r="Q132" s="96">
        <f t="shared" si="16"/>
        <v>1000</v>
      </c>
      <c r="R132" s="63">
        <v>4</v>
      </c>
      <c r="S132" s="63">
        <v>500</v>
      </c>
      <c r="T132" s="63">
        <v>600</v>
      </c>
      <c r="U132" s="41">
        <f t="shared" si="13"/>
        <v>1.2</v>
      </c>
      <c r="V132" s="6">
        <v>1.1000000000000001</v>
      </c>
      <c r="W132" s="91">
        <f>IF(ISBLANK(V132),"",IF(V132="""",W131,INDEX(Damage!$F$2:$F$151,A132)*V132*SUM(P132:Q132)/1000))</f>
        <v>117.57777777777777</v>
      </c>
      <c r="X132" s="62"/>
      <c r="Z132" s="16">
        <f>IF($O132="","",INDEX(Ranges!$O$7:$T$156,A132,L132+1)/O132)</f>
        <v>2.5801282051282044</v>
      </c>
      <c r="AA132" s="16">
        <f>IF(O132="","",INDEX(Ranges!$U$7:$Z$156,A132,L132+1)/O132)</f>
        <v>20.33653846153846</v>
      </c>
      <c r="AB132" s="16">
        <f>IF($B132="","",IF($B132="""","""",INDEX(Ranges!$O$7:$T$156,B132,L132+1)/$O132))</f>
        <v>4.2628205128205119</v>
      </c>
      <c r="AC132" s="16">
        <f>IF($B132="","",IF($B132="""","""",INDEX(Ranges!$U$7:$Z$156,$B132,$L132+1)/$O132))</f>
        <v>35.144230769230766</v>
      </c>
      <c r="AD132" t="s">
        <v>725</v>
      </c>
      <c r="AE132" t="str">
        <f t="shared" si="17"/>
        <v>Fires a projectile weapon in a forward spread (only usable when a bow, crossbow, javelin or thrown weapon is equipped)</v>
      </c>
      <c r="AF132" t="str">
        <f t="shared" si="14"/>
        <v>Fires a projectile weapon in a forward spread (only usable when a bow, crossbow, javelin or thrown weapon is equipped)</v>
      </c>
    </row>
    <row r="133" spans="1:32">
      <c r="A133" s="62">
        <v>37</v>
      </c>
      <c r="B133" s="62">
        <v>55</v>
      </c>
      <c r="C133" s="30" t="s">
        <v>420</v>
      </c>
      <c r="D133" s="30" t="s">
        <v>758</v>
      </c>
      <c r="E133">
        <v>2</v>
      </c>
      <c r="F133" t="str">
        <f t="shared" si="7"/>
        <v>(Spreadshot)</v>
      </c>
      <c r="G133" t="s">
        <v>429</v>
      </c>
      <c r="H133" t="s">
        <v>425</v>
      </c>
      <c r="I133" t="b">
        <v>1</v>
      </c>
      <c r="J133" t="b">
        <v>0</v>
      </c>
      <c r="K133" t="b">
        <v>0</v>
      </c>
      <c r="L133" s="62">
        <v>3</v>
      </c>
      <c r="M133" s="77" t="str">
        <f ca="1">IF(ISBLANK($L133),"",INDIRECT("'Avatars'!"&amp;ADDRESS(ROW(Avatars!$A$2)+$L133,COLUMN(Avatars!$A$2))))</f>
        <v>Hunter</v>
      </c>
      <c r="N133" s="6" t="s">
        <v>241</v>
      </c>
      <c r="O133" s="63">
        <f>IF($N133="""",O132,IF(ISBLANK($N133),"",$N133*AVERAGE(INDEX(Ranges!$O$7:$T$156,A133,L133+1),INDEX(Ranges!$U$7:$Z$156,A133,L133+1))))</f>
        <v>20.8</v>
      </c>
      <c r="P133" s="63"/>
      <c r="Q133" s="96">
        <f t="shared" si="16"/>
        <v>1000</v>
      </c>
      <c r="R133" s="63">
        <v>5</v>
      </c>
      <c r="S133" s="63">
        <v>500</v>
      </c>
      <c r="T133" s="63">
        <v>600</v>
      </c>
      <c r="U133" s="41">
        <f t="shared" si="13"/>
        <v>1.2</v>
      </c>
      <c r="V133" s="6">
        <v>1.1000000000000001</v>
      </c>
      <c r="W133" s="91">
        <f>IF(ISBLANK(V133),"",IF(V133="""",W132,INDEX(Damage!$F$2:$F$151,A133)*V133*SUM(P133:Q133)/1000))</f>
        <v>206.37153558052435</v>
      </c>
      <c r="X133" s="62"/>
      <c r="Z133" s="16">
        <f>IF($O133="","",INDEX(Ranges!$O$7:$T$156,A133,L133+1)/O133)</f>
        <v>4.3749999999999991</v>
      </c>
      <c r="AA133" s="16">
        <f>IF(O133="","",INDEX(Ranges!$U$7:$Z$156,A133,L133+1)/O133)</f>
        <v>35.881410256410255</v>
      </c>
      <c r="AB133" s="16">
        <f>IF($B133="","",IF($B133="""","""",INDEX(Ranges!$O$7:$T$156,B133,L133+1)/$O133))</f>
        <v>6.3942307692307674</v>
      </c>
      <c r="AC133" s="16">
        <f>IF($B133="","",IF($B133="""","""",INDEX(Ranges!$U$7:$Z$156,$B133,$L133+1)/$O133))</f>
        <v>53.525641025641022</v>
      </c>
      <c r="AD133" t="s">
        <v>725</v>
      </c>
      <c r="AE133" t="str">
        <f t="shared" si="17"/>
        <v>Fires a projectile weapon in a forward spread (only usable when a bow, crossbow, javelin or thrown weapon is equipped)</v>
      </c>
      <c r="AF133" t="str">
        <f t="shared" si="14"/>
        <v>Fires a projectile weapon in a forward spread (only usable when a bow, crossbow, javelin or thrown weapon is equipped)</v>
      </c>
    </row>
    <row r="134" spans="1:32">
      <c r="A134" s="62">
        <v>56</v>
      </c>
      <c r="B134" s="62">
        <v>150</v>
      </c>
      <c r="C134" s="30" t="s">
        <v>420</v>
      </c>
      <c r="D134" s="30" t="s">
        <v>758</v>
      </c>
      <c r="E134">
        <v>3</v>
      </c>
      <c r="F134" t="str">
        <f t="shared" si="7"/>
        <v>(Spreadshot)</v>
      </c>
      <c r="G134" t="s">
        <v>429</v>
      </c>
      <c r="H134" t="s">
        <v>425</v>
      </c>
      <c r="I134" t="b">
        <v>1</v>
      </c>
      <c r="J134" t="b">
        <v>0</v>
      </c>
      <c r="K134" t="b">
        <v>0</v>
      </c>
      <c r="L134" s="62">
        <v>3</v>
      </c>
      <c r="M134" s="77" t="str">
        <f ca="1">IF(ISBLANK($L134),"",INDIRECT("'Avatars'!"&amp;ADDRESS(ROW(Avatars!$A$2)+$L134,COLUMN(Avatars!$A$2))))</f>
        <v>Hunter</v>
      </c>
      <c r="N134" s="6" t="s">
        <v>241</v>
      </c>
      <c r="O134" s="63">
        <f>IF($N134="""",O133,IF(ISBLANK($N134),"",$N134*AVERAGE(INDEX(Ranges!$O$7:$T$156,A134,L134+1),INDEX(Ranges!$U$7:$Z$156,A134,L134+1))))</f>
        <v>20.8</v>
      </c>
      <c r="P134" s="63"/>
      <c r="Q134" s="96">
        <f t="shared" si="16"/>
        <v>1000</v>
      </c>
      <c r="R134" s="63">
        <v>6</v>
      </c>
      <c r="S134" s="63">
        <v>500</v>
      </c>
      <c r="T134" s="63">
        <v>600</v>
      </c>
      <c r="U134" s="41">
        <f t="shared" si="13"/>
        <v>1.2</v>
      </c>
      <c r="V134" s="6">
        <v>1.1000000000000001</v>
      </c>
      <c r="W134" s="91">
        <f>IF(ISBLANK(V134),"",IF(V134="""",W133,INDEX(Damage!$F$2:$F$151,A134)*V134*SUM(P134:Q134)/1000))</f>
        <v>321.46946631671045</v>
      </c>
      <c r="X134" s="62"/>
      <c r="Z134" s="16">
        <f>IF($O134="","",INDEX(Ranges!$O$7:$T$156,A134,L134+1)/O134)</f>
        <v>6.5064102564102555</v>
      </c>
      <c r="AA134" s="16">
        <f>IF(O134="","",INDEX(Ranges!$U$7:$Z$156,A134,L134+1)/O134)</f>
        <v>56.137820512820511</v>
      </c>
      <c r="AB134" s="16">
        <f>IF($B134="","",IF($B134="""","""",INDEX(Ranges!$O$7:$T$156,B134,L134+1)/$O134))</f>
        <v>17.051282051282048</v>
      </c>
      <c r="AC134" s="16">
        <f>IF($B134="","",IF($B134="""","""",INDEX(Ranges!$U$7:$Z$156,$B134,$L134+1)/$O134))</f>
        <v>135.43269230769229</v>
      </c>
      <c r="AD134" t="s">
        <v>725</v>
      </c>
      <c r="AE134" t="str">
        <f t="shared" si="17"/>
        <v>Fires a projectile weapon in a forward spread (only usable when a bow, crossbow, javelin or thrown weapon is equipped)</v>
      </c>
      <c r="AF134" t="str">
        <f t="shared" si="14"/>
        <v>Fires a projectile weapon in a forward spread (only usable when a bow, crossbow, javelin or thrown weapon is equipped)</v>
      </c>
    </row>
    <row r="135" spans="1:32">
      <c r="A135" s="62">
        <v>15</v>
      </c>
      <c r="B135" s="62">
        <v>31</v>
      </c>
      <c r="C135" s="30" t="s">
        <v>426</v>
      </c>
      <c r="D135" s="30" t="s">
        <v>758</v>
      </c>
      <c r="E135">
        <v>0</v>
      </c>
      <c r="F135" t="str">
        <f t="shared" si="7"/>
        <v>Rapidshot</v>
      </c>
      <c r="G135" t="s">
        <v>429</v>
      </c>
      <c r="H135" t="s">
        <v>424</v>
      </c>
      <c r="I135" t="b">
        <v>1</v>
      </c>
      <c r="J135" t="b">
        <v>0</v>
      </c>
      <c r="K135" t="b">
        <v>0</v>
      </c>
      <c r="L135" s="62">
        <v>3</v>
      </c>
      <c r="M135" s="77" t="str">
        <f ca="1">IF(ISBLANK($L135),"",INDIRECT("'Avatars'!"&amp;ADDRESS(ROW(Avatars!$A$2)+$L135,COLUMN(Avatars!$A$2))))</f>
        <v>Hunter</v>
      </c>
      <c r="N135" s="6">
        <v>0.2</v>
      </c>
      <c r="O135" s="63">
        <f>IF($N135="""",O134,IF(ISBLANK($N135),"",$N135*AVERAGE(INDEX(Ranges!$O$7:$T$156,A135,L135+1),INDEX(Ranges!$U$7:$Z$156,A135,L135+1))))</f>
        <v>35.766666666666673</v>
      </c>
      <c r="P135" s="63"/>
      <c r="Q135" s="75">
        <f>2*S135</f>
        <v>400</v>
      </c>
      <c r="R135" s="63">
        <v>1</v>
      </c>
      <c r="S135" s="63">
        <v>200</v>
      </c>
      <c r="T135" s="63">
        <f>S135*3</f>
        <v>600</v>
      </c>
      <c r="U135" s="41">
        <f t="shared" si="13"/>
        <v>3</v>
      </c>
      <c r="V135" s="6">
        <v>1.1000000000000001</v>
      </c>
      <c r="W135" s="91">
        <f>IF(ISBLANK(V135),"",IF(V135="""",W134,INDEX(Damage!$F$2:$F$151,A135)*V135*SUM(P135:Q135)/1000))</f>
        <v>33.537777777777791</v>
      </c>
      <c r="X135" s="62"/>
      <c r="Z135" s="16">
        <f>IF($O135="","",INDEX(Ranges!$O$7:$T$156,A135,L135+1)/O135)</f>
        <v>1.1090400745573157</v>
      </c>
      <c r="AA135" s="16">
        <f>IF(O135="","",INDEX(Ranges!$U$7:$Z$156,A135,L135+1)/O135)</f>
        <v>8.890959925442683</v>
      </c>
      <c r="AB135" s="16">
        <f>IF($B135="","",IF($B135="""","""",INDEX(Ranges!$O$7:$T$156,B135,L135+1)/$O135))</f>
        <v>2.1528424976700831</v>
      </c>
      <c r="AC135" s="16">
        <f>IF($B135="","",IF($B135="""","""",INDEX(Ranges!$U$7:$Z$156,$B135,$L135+1)/$O135))</f>
        <v>17.567567567567565</v>
      </c>
      <c r="AD135" t="s">
        <v>724</v>
      </c>
      <c r="AE135" t="str">
        <f t="shared" si="17"/>
        <v>Shoots multiple projectiles in a straight line (only usable when a bow, crossbow, javelin or thrown weapon is equipped)</v>
      </c>
      <c r="AF135" t="str">
        <f t="shared" si="14"/>
        <v>Shoots multiple projectiles in a straight line (only usable when a bow, crossbow, javelin or thrown weapon is equipped)</v>
      </c>
    </row>
    <row r="136" spans="1:32">
      <c r="A136" s="62">
        <v>32</v>
      </c>
      <c r="B136" s="62">
        <v>54</v>
      </c>
      <c r="C136" s="30" t="s">
        <v>426</v>
      </c>
      <c r="D136" s="30" t="s">
        <v>758</v>
      </c>
      <c r="E136">
        <v>1</v>
      </c>
      <c r="F136" t="str">
        <f t="shared" si="7"/>
        <v>(Rapidshot)</v>
      </c>
      <c r="G136" t="s">
        <v>429</v>
      </c>
      <c r="H136" t="s">
        <v>424</v>
      </c>
      <c r="I136" t="b">
        <v>1</v>
      </c>
      <c r="J136" t="b">
        <v>0</v>
      </c>
      <c r="K136" t="b">
        <v>0</v>
      </c>
      <c r="L136" s="62">
        <v>3</v>
      </c>
      <c r="M136" s="77" t="str">
        <f ca="1">IF(ISBLANK($L136),"",INDIRECT("'Avatars'!"&amp;ADDRESS(ROW(Avatars!$A$2)+$L136,COLUMN(Avatars!$A$2))))</f>
        <v>Hunter</v>
      </c>
      <c r="N136" s="6" t="s">
        <v>241</v>
      </c>
      <c r="O136" s="63">
        <f>IF($N136="""",O135,IF(ISBLANK($N136),"",$N136*AVERAGE(INDEX(Ranges!$O$7:$T$156,A136,L136+1),INDEX(Ranges!$U$7:$Z$156,A136,L136+1))))</f>
        <v>35.766666666666673</v>
      </c>
      <c r="P136" s="63"/>
      <c r="Q136" s="75">
        <f t="shared" ref="Q136:Q142" si="18">2*S136</f>
        <v>400</v>
      </c>
      <c r="R136" s="63">
        <v>1</v>
      </c>
      <c r="S136" s="63">
        <v>200</v>
      </c>
      <c r="T136" s="63">
        <f>S136*4</f>
        <v>800</v>
      </c>
      <c r="U136" s="41">
        <f t="shared" si="13"/>
        <v>4</v>
      </c>
      <c r="V136" s="6">
        <v>1.1000000000000001</v>
      </c>
      <c r="W136" s="91">
        <f>IF(ISBLANK(V136),"",IF(V136="""",W135,INDEX(Damage!$F$2:$F$151,A136)*V136*SUM(P136:Q136)/1000))</f>
        <v>72.252517580872009</v>
      </c>
      <c r="X136" s="62"/>
      <c r="Z136" s="16">
        <f>IF($O136="","",INDEX(Ranges!$O$7:$T$156,A136,L136+1)/O136)</f>
        <v>2.2180801491146314</v>
      </c>
      <c r="AA136" s="16">
        <f>IF(O136="","",INDEX(Ranges!$U$7:$Z$156,A136,L136+1)/O136)</f>
        <v>17.996272134203164</v>
      </c>
      <c r="AB136" s="16">
        <f>IF($B136="","",IF($B136="""","""",INDEX(Ranges!$O$7:$T$156,B136,L136+1)/$O136))</f>
        <v>3.6533084808946867</v>
      </c>
      <c r="AC136" s="16">
        <f>IF($B136="","",IF($B136="""","""",INDEX(Ranges!$U$7:$Z$156,$B136,$L136+1)/$O136))</f>
        <v>30.698974836905865</v>
      </c>
      <c r="AD136" t="s">
        <v>724</v>
      </c>
      <c r="AE136" t="str">
        <f t="shared" si="17"/>
        <v>Shoots multiple projectiles in a straight line (only usable when a bow, crossbow, javelin or thrown weapon is equipped)</v>
      </c>
      <c r="AF136" t="str">
        <f t="shared" si="14"/>
        <v>Shoots multiple projectiles in a straight line (only usable when a bow, crossbow, javelin or thrown weapon is equipped)</v>
      </c>
    </row>
    <row r="137" spans="1:32">
      <c r="A137" s="62">
        <v>55</v>
      </c>
      <c r="B137" s="62">
        <v>81</v>
      </c>
      <c r="C137" s="30" t="s">
        <v>426</v>
      </c>
      <c r="D137" s="30" t="s">
        <v>758</v>
      </c>
      <c r="E137">
        <v>2</v>
      </c>
      <c r="F137" t="str">
        <f t="shared" si="7"/>
        <v>(Rapidshot)</v>
      </c>
      <c r="G137" t="s">
        <v>429</v>
      </c>
      <c r="H137" t="s">
        <v>424</v>
      </c>
      <c r="I137" t="b">
        <v>1</v>
      </c>
      <c r="J137" t="b">
        <v>0</v>
      </c>
      <c r="K137" t="b">
        <v>0</v>
      </c>
      <c r="L137" s="62">
        <v>3</v>
      </c>
      <c r="M137" s="77" t="str">
        <f ca="1">IF(ISBLANK($L137),"",INDIRECT("'Avatars'!"&amp;ADDRESS(ROW(Avatars!$A$2)+$L137,COLUMN(Avatars!$A$2))))</f>
        <v>Hunter</v>
      </c>
      <c r="N137" s="6" t="s">
        <v>241</v>
      </c>
      <c r="O137" s="63">
        <f>IF($N137="""",O136,IF(ISBLANK($N137),"",$N137*AVERAGE(INDEX(Ranges!$O$7:$T$156,A137,L137+1),INDEX(Ranges!$U$7:$Z$156,A137,L137+1))))</f>
        <v>35.766666666666673</v>
      </c>
      <c r="P137" s="63"/>
      <c r="Q137" s="75">
        <f t="shared" si="18"/>
        <v>400</v>
      </c>
      <c r="R137" s="63">
        <v>1</v>
      </c>
      <c r="S137" s="63">
        <v>200</v>
      </c>
      <c r="T137" s="63">
        <f>S137*5</f>
        <v>1000</v>
      </c>
      <c r="U137" s="41">
        <f t="shared" si="13"/>
        <v>5</v>
      </c>
      <c r="V137" s="6">
        <v>1.1000000000000001</v>
      </c>
      <c r="W137" s="91">
        <f>IF(ISBLANK(V137),"",IF(V137="""",W136,INDEX(Damage!$F$2:$F$151,A137)*V137*SUM(P137:Q137)/1000))</f>
        <v>126.52053333333332</v>
      </c>
      <c r="X137" s="62"/>
      <c r="Z137" s="16">
        <f>IF($O137="","",INDEX(Ranges!$O$7:$T$156,A137,L137+1)/O137)</f>
        <v>3.7185461323392341</v>
      </c>
      <c r="AA137" s="16">
        <f>IF(O137="","",INDEX(Ranges!$U$7:$Z$156,A137,L137+1)/O137)</f>
        <v>31.127679403541464</v>
      </c>
      <c r="AB137" s="16">
        <f>IF($B137="","",IF($B137="""","""",INDEX(Ranges!$O$7:$T$156,B137,L137+1)/$O137))</f>
        <v>5.4147250698974814</v>
      </c>
      <c r="AC137" s="16">
        <f>IF($B137="","",IF($B137="""","""",INDEX(Ranges!$U$7:$Z$156,$B137,$L137+1)/$O137))</f>
        <v>49.179869524697104</v>
      </c>
      <c r="AD137" t="s">
        <v>724</v>
      </c>
      <c r="AE137" t="str">
        <f t="shared" si="17"/>
        <v>Shoots multiple projectiles in a straight line (only usable when a bow, crossbow, javelin or thrown weapon is equipped)</v>
      </c>
      <c r="AF137" t="str">
        <f t="shared" si="14"/>
        <v>Shoots multiple projectiles in a straight line (only usable when a bow, crossbow, javelin or thrown weapon is equipped)</v>
      </c>
    </row>
    <row r="138" spans="1:32">
      <c r="A138" s="62">
        <v>82</v>
      </c>
      <c r="B138" s="62">
        <v>150</v>
      </c>
      <c r="C138" s="30" t="s">
        <v>426</v>
      </c>
      <c r="D138" s="30" t="s">
        <v>758</v>
      </c>
      <c r="E138">
        <v>3</v>
      </c>
      <c r="F138" t="str">
        <f t="shared" si="7"/>
        <v>(Rapidshot)</v>
      </c>
      <c r="G138" t="s">
        <v>429</v>
      </c>
      <c r="H138" t="s">
        <v>424</v>
      </c>
      <c r="I138" t="b">
        <v>1</v>
      </c>
      <c r="J138" t="b">
        <v>0</v>
      </c>
      <c r="K138" t="b">
        <v>0</v>
      </c>
      <c r="L138" s="62">
        <v>3</v>
      </c>
      <c r="M138" s="77" t="str">
        <f ca="1">IF(ISBLANK($L138),"",INDIRECT("'Avatars'!"&amp;ADDRESS(ROW(Avatars!$A$2)+$L138,COLUMN(Avatars!$A$2))))</f>
        <v>Hunter</v>
      </c>
      <c r="N138" s="6" t="s">
        <v>241</v>
      </c>
      <c r="O138" s="63">
        <f>IF($N138="""",O137,IF(ISBLANK($N138),"",$N138*AVERAGE(INDEX(Ranges!$O$7:$T$156,A138,L138+1),INDEX(Ranges!$U$7:$Z$156,A138,L138+1))))</f>
        <v>35.766666666666673</v>
      </c>
      <c r="P138" s="63"/>
      <c r="Q138" s="75">
        <f t="shared" si="18"/>
        <v>400</v>
      </c>
      <c r="R138" s="63">
        <v>1</v>
      </c>
      <c r="S138" s="63">
        <v>200</v>
      </c>
      <c r="T138" s="63">
        <f>S138*6</f>
        <v>1200</v>
      </c>
      <c r="U138" s="41">
        <f t="shared" si="13"/>
        <v>6</v>
      </c>
      <c r="V138" s="6">
        <v>1.1000000000000001</v>
      </c>
      <c r="W138" s="91">
        <f>IF(ISBLANK(V138),"",IF(V138="""",W137,INDEX(Damage!$F$2:$F$151,A138)*V138*SUM(P138:Q138)/1000))</f>
        <v>193.4435009310987</v>
      </c>
      <c r="X138" s="62"/>
      <c r="Z138" s="16">
        <f>IF($O138="","",INDEX(Ranges!$O$7:$T$156,A138,L138+1)/O138)</f>
        <v>5.4799627213420301</v>
      </c>
      <c r="AA138" s="16">
        <f>IF(O138="","",INDEX(Ranges!$U$7:$Z$156,A138,L138+1)/O138)</f>
        <v>49.608574091332699</v>
      </c>
      <c r="AB138" s="16">
        <f>IF($B138="","",IF($B138="""","""",INDEX(Ranges!$O$7:$T$156,B138,L138+1)/$O138))</f>
        <v>9.9161230195712928</v>
      </c>
      <c r="AC138" s="16">
        <f>IF($B138="","",IF($B138="""","""",INDEX(Ranges!$U$7:$Z$156,$B138,$L138+1)/$O138))</f>
        <v>78.760484622553577</v>
      </c>
      <c r="AD138" t="s">
        <v>724</v>
      </c>
      <c r="AE138" t="str">
        <f t="shared" si="17"/>
        <v>Shoots multiple projectiles in a straight line (only usable when a bow, crossbow, javelin or thrown weapon is equipped)</v>
      </c>
      <c r="AF138" t="str">
        <f t="shared" si="14"/>
        <v>Shoots multiple projectiles in a straight line (only usable when a bow, crossbow, javelin or thrown weapon is equipped)</v>
      </c>
    </row>
    <row r="139" spans="1:32">
      <c r="A139" s="62">
        <v>19</v>
      </c>
      <c r="B139" s="62">
        <v>40</v>
      </c>
      <c r="C139" s="30" t="s">
        <v>421</v>
      </c>
      <c r="D139" s="30" t="s">
        <v>758</v>
      </c>
      <c r="E139">
        <v>0</v>
      </c>
      <c r="F139" t="str">
        <f t="shared" si="7"/>
        <v>Hailfire</v>
      </c>
      <c r="G139" t="s">
        <v>429</v>
      </c>
      <c r="H139" t="s">
        <v>423</v>
      </c>
      <c r="I139" t="b">
        <v>1</v>
      </c>
      <c r="J139" t="b">
        <v>0</v>
      </c>
      <c r="K139" t="b">
        <v>0</v>
      </c>
      <c r="L139" s="62">
        <v>3</v>
      </c>
      <c r="M139" s="77" t="str">
        <f ca="1">IF(ISBLANK($L139),"",INDIRECT("'Avatars'!"&amp;ADDRESS(ROW(Avatars!$A$2)+$L139,COLUMN(Avatars!$A$2))))</f>
        <v>Hunter</v>
      </c>
      <c r="N139" s="6">
        <v>0.2</v>
      </c>
      <c r="O139" s="63">
        <f>IF($N139="""",O138,IF(ISBLANK($N139),"",$N139*AVERAGE(INDEX(Ranges!$O$7:$T$156,A139,L139+1),INDEX(Ranges!$U$7:$Z$156,A139,L139+1))))</f>
        <v>44.133333333333333</v>
      </c>
      <c r="P139" s="63"/>
      <c r="Q139" s="75">
        <f t="shared" si="18"/>
        <v>200</v>
      </c>
      <c r="R139" s="63">
        <v>1</v>
      </c>
      <c r="S139" s="63">
        <v>100</v>
      </c>
      <c r="T139" s="63">
        <f>S139*6</f>
        <v>600</v>
      </c>
      <c r="U139" s="41">
        <f t="shared" si="13"/>
        <v>6</v>
      </c>
      <c r="V139" s="6">
        <v>1.1000000000000001</v>
      </c>
      <c r="W139" s="91">
        <f>IF(ISBLANK(V139),"",IF(V139="""",W138,INDEX(Damage!$F$2:$F$151,A139)*V139*SUM(P139:Q139)/1000))</f>
        <v>20.826666666666668</v>
      </c>
      <c r="X139" s="62"/>
      <c r="Z139" s="16">
        <f>IF($O139="","",INDEX(Ranges!$O$7:$T$156,A139,L139+1)/O139)</f>
        <v>1.1102719033232626</v>
      </c>
      <c r="AA139" s="16">
        <f>IF(O139="","",INDEX(Ranges!$U$7:$Z$156,A139,L139+1)/O139)</f>
        <v>8.8897280966767376</v>
      </c>
      <c r="AB139" s="16">
        <f>IF($B139="","",IF($B139="""","""",INDEX(Ranges!$O$7:$T$156,B139,L139+1)/$O139))</f>
        <v>2.2205438066465253</v>
      </c>
      <c r="AC139" s="16">
        <f>IF($B139="","",IF($B139="""","""",INDEX(Ranges!$U$7:$Z$156,$B139,$L139+1)/$O139))</f>
        <v>17.953172205438069</v>
      </c>
      <c r="AD139" t="s">
        <v>723</v>
      </c>
      <c r="AE139" t="str">
        <f t="shared" si="17"/>
        <v>Fires a projectile weapon several times in a slight spread (only usable when a bow, crossbow, javelin or thrown weapon is equipped)</v>
      </c>
      <c r="AF139" t="str">
        <f t="shared" si="14"/>
        <v>Fires a projectile weapon several times in a slight spread (only usable when a bow, crossbow, javelin or thrown weapon is equipped)</v>
      </c>
    </row>
    <row r="140" spans="1:32">
      <c r="A140" s="62">
        <v>41</v>
      </c>
      <c r="B140" s="62">
        <v>60</v>
      </c>
      <c r="C140" s="30" t="s">
        <v>421</v>
      </c>
      <c r="D140" s="30" t="s">
        <v>758</v>
      </c>
      <c r="E140">
        <v>1</v>
      </c>
      <c r="F140" t="str">
        <f t="shared" si="7"/>
        <v>(Hailfire)</v>
      </c>
      <c r="G140" t="s">
        <v>429</v>
      </c>
      <c r="H140" t="s">
        <v>423</v>
      </c>
      <c r="I140" t="b">
        <v>1</v>
      </c>
      <c r="J140" t="b">
        <v>0</v>
      </c>
      <c r="K140" t="b">
        <v>0</v>
      </c>
      <c r="L140" s="62">
        <v>3</v>
      </c>
      <c r="M140" s="77" t="str">
        <f ca="1">IF(ISBLANK($L140),"",INDIRECT("'Avatars'!"&amp;ADDRESS(ROW(Avatars!$A$2)+$L140,COLUMN(Avatars!$A$2))))</f>
        <v>Hunter</v>
      </c>
      <c r="N140" s="6" t="s">
        <v>241</v>
      </c>
      <c r="O140" s="63">
        <f>IF($N140="""",O139,IF(ISBLANK($N140),"",$N140*AVERAGE(INDEX(Ranges!$O$7:$T$156,A140,L140+1),INDEX(Ranges!$U$7:$Z$156,A140,L140+1))))</f>
        <v>44.133333333333333</v>
      </c>
      <c r="P140" s="63"/>
      <c r="Q140" s="75">
        <f t="shared" si="18"/>
        <v>200</v>
      </c>
      <c r="R140" s="63">
        <v>1</v>
      </c>
      <c r="S140" s="63">
        <v>100</v>
      </c>
      <c r="T140" s="63">
        <f>S140*8</f>
        <v>800</v>
      </c>
      <c r="U140" s="41">
        <f t="shared" si="13"/>
        <v>8</v>
      </c>
      <c r="V140" s="6">
        <v>1.1000000000000001</v>
      </c>
      <c r="W140" s="91">
        <f>IF(ISBLANK(V140),"",IF(V140="""",W139,INDEX(Damage!$F$2:$F$151,A140)*V140*SUM(P140:Q140)/1000))</f>
        <v>46.751386025200468</v>
      </c>
      <c r="X140" s="62"/>
      <c r="Z140" s="16">
        <f>IF($O140="","",INDEX(Ranges!$O$7:$T$156,A140,L140+1)/O140)</f>
        <v>2.2734138972809665</v>
      </c>
      <c r="AA140" s="16">
        <f>IF(O140="","",INDEX(Ranges!$U$7:$Z$156,A140,L140+1)/O140)</f>
        <v>18.889728096676738</v>
      </c>
      <c r="AB140" s="16">
        <f>IF($B140="","",IF($B140="""","""",INDEX(Ranges!$O$7:$T$156,B140,L140+1)/$O140))</f>
        <v>3.2779456193353473</v>
      </c>
      <c r="AC140" s="16">
        <f>IF($B140="","",IF($B140="""","""",INDEX(Ranges!$U$7:$Z$156,$B140,$L140+1)/$O140))</f>
        <v>27.847432024169184</v>
      </c>
      <c r="AD140" t="s">
        <v>723</v>
      </c>
      <c r="AE140" t="str">
        <f t="shared" si="17"/>
        <v>Fires a projectile weapon several times in a slight spread (only usable when a bow, crossbow, javelin or thrown weapon is equipped)</v>
      </c>
      <c r="AF140" t="str">
        <f t="shared" si="14"/>
        <v>Fires a projectile weapon several times in a slight spread (only usable when a bow, crossbow, javelin or thrown weapon is equipped)</v>
      </c>
    </row>
    <row r="141" spans="1:32">
      <c r="A141" s="62">
        <v>61</v>
      </c>
      <c r="B141" s="62">
        <v>90</v>
      </c>
      <c r="C141" s="30" t="s">
        <v>421</v>
      </c>
      <c r="D141" s="30" t="s">
        <v>758</v>
      </c>
      <c r="E141">
        <v>2</v>
      </c>
      <c r="F141" t="str">
        <f t="shared" si="7"/>
        <v>(Hailfire)</v>
      </c>
      <c r="G141" t="s">
        <v>429</v>
      </c>
      <c r="H141" t="s">
        <v>423</v>
      </c>
      <c r="I141" t="b">
        <v>1</v>
      </c>
      <c r="J141" t="b">
        <v>0</v>
      </c>
      <c r="K141" t="b">
        <v>0</v>
      </c>
      <c r="L141" s="62">
        <v>3</v>
      </c>
      <c r="M141" s="77" t="str">
        <f ca="1">IF(ISBLANK($L141),"",INDIRECT("'Avatars'!"&amp;ADDRESS(ROW(Avatars!$A$2)+$L141,COLUMN(Avatars!$A$2))))</f>
        <v>Hunter</v>
      </c>
      <c r="N141" s="6" t="s">
        <v>241</v>
      </c>
      <c r="O141" s="63">
        <f>IF($N141="""",O140,IF(ISBLANK($N141),"",$N141*AVERAGE(INDEX(Ranges!$O$7:$T$156,A141,L141+1),INDEX(Ranges!$U$7:$Z$156,A141,L141+1))))</f>
        <v>44.133333333333333</v>
      </c>
      <c r="P141" s="63"/>
      <c r="Q141" s="75">
        <f t="shared" si="18"/>
        <v>140</v>
      </c>
      <c r="R141" s="63">
        <v>1</v>
      </c>
      <c r="S141" s="63">
        <v>70</v>
      </c>
      <c r="T141" s="63">
        <f>S141*10</f>
        <v>700</v>
      </c>
      <c r="U141" s="41">
        <f t="shared" si="13"/>
        <v>10</v>
      </c>
      <c r="V141" s="6">
        <v>1.1000000000000001</v>
      </c>
      <c r="W141" s="91">
        <f>IF(ISBLANK(V141),"",IF(V141="""",W140,INDEX(Damage!$F$2:$F$151,A141)*V141*SUM(P141:Q141)/1000))</f>
        <v>49.346508515815088</v>
      </c>
      <c r="X141" s="62"/>
      <c r="Z141" s="16">
        <f>IF($O141="","",INDEX(Ranges!$O$7:$T$156,A141,L141+1)/O141)</f>
        <v>3.3308157099697877</v>
      </c>
      <c r="AA141" s="16">
        <f>IF(O141="","",INDEX(Ranges!$U$7:$Z$156,A141,L141+1)/O141)</f>
        <v>28.194864048338367</v>
      </c>
      <c r="AB141" s="16">
        <f>IF($B141="","",IF($B141="""","""",INDEX(Ranges!$O$7:$T$156,B141,L141+1)/$O141))</f>
        <v>4.8640483383685789</v>
      </c>
      <c r="AC141" s="16">
        <f>IF($B141="","",IF($B141="""","""",INDEX(Ranges!$U$7:$Z$156,$B141,$L141+1)/$O141))</f>
        <v>42.983383685800604</v>
      </c>
      <c r="AD141" t="s">
        <v>723</v>
      </c>
      <c r="AE141" t="str">
        <f t="shared" si="17"/>
        <v>Fires a projectile weapon several times in a slight spread (only usable when a bow, crossbow, javelin or thrown weapon is equipped)</v>
      </c>
      <c r="AF141" t="str">
        <f t="shared" si="14"/>
        <v>Fires a projectile weapon several times in a slight spread (only usable when a bow, crossbow, javelin or thrown weapon is equipped)</v>
      </c>
    </row>
    <row r="142" spans="1:32">
      <c r="A142" s="62">
        <v>91</v>
      </c>
      <c r="B142" s="62">
        <v>150</v>
      </c>
      <c r="C142" s="30" t="s">
        <v>421</v>
      </c>
      <c r="D142" s="30" t="s">
        <v>758</v>
      </c>
      <c r="E142">
        <v>3</v>
      </c>
      <c r="F142" t="str">
        <f t="shared" si="7"/>
        <v>(Hailfire)</v>
      </c>
      <c r="G142" t="s">
        <v>429</v>
      </c>
      <c r="H142" t="s">
        <v>423</v>
      </c>
      <c r="I142" t="b">
        <v>1</v>
      </c>
      <c r="J142" t="b">
        <v>0</v>
      </c>
      <c r="K142" t="b">
        <v>0</v>
      </c>
      <c r="L142" s="62">
        <v>3</v>
      </c>
      <c r="M142" s="77" t="str">
        <f ca="1">IF(ISBLANK($L142),"",INDIRECT("'Avatars'!"&amp;ADDRESS(ROW(Avatars!$A$2)+$L142,COLUMN(Avatars!$A$2))))</f>
        <v>Hunter</v>
      </c>
      <c r="N142" s="6" t="s">
        <v>241</v>
      </c>
      <c r="O142" s="63">
        <f>IF($N142="""",O141,IF(ISBLANK($N142),"",$N142*AVERAGE(INDEX(Ranges!$O$7:$T$156,A142,L142+1),INDEX(Ranges!$U$7:$Z$156,A142,L142+1))))</f>
        <v>44.133333333333333</v>
      </c>
      <c r="P142" s="63"/>
      <c r="Q142" s="75">
        <f t="shared" si="18"/>
        <v>160</v>
      </c>
      <c r="R142" s="63">
        <v>1</v>
      </c>
      <c r="S142" s="63">
        <v>80</v>
      </c>
      <c r="T142" s="63">
        <f>S142*12</f>
        <v>960</v>
      </c>
      <c r="U142" s="41">
        <f t="shared" si="13"/>
        <v>12</v>
      </c>
      <c r="V142" s="6">
        <v>1.1000000000000001</v>
      </c>
      <c r="W142" s="91">
        <f>IF(ISBLANK(V142),"",IF(V142="""",W141,INDEX(Damage!$F$2:$F$151,A142)*V142*SUM(P142:Q142)/1000))</f>
        <v>84.827830795262273</v>
      </c>
      <c r="X142" s="62"/>
      <c r="Z142" s="16">
        <f>IF($O142="","",INDEX(Ranges!$O$7:$T$156,A142,L142+1)/O142)</f>
        <v>4.9169184290030206</v>
      </c>
      <c r="AA142" s="16">
        <f>IF(O142="","",INDEX(Ranges!$U$7:$Z$156,A142,L142+1)/O142)</f>
        <v>43.330815709969791</v>
      </c>
      <c r="AB142" s="16">
        <f>IF($B142="","",IF($B142="""","""",INDEX(Ranges!$O$7:$T$156,B142,L142+1)/$O142))</f>
        <v>8.0362537764350446</v>
      </c>
      <c r="AC142" s="16">
        <f>IF($B142="","",IF($B142="""","""",INDEX(Ranges!$U$7:$Z$156,$B142,$L142+1)/$O142))</f>
        <v>63.829305135951664</v>
      </c>
      <c r="AD142" t="s">
        <v>723</v>
      </c>
      <c r="AE142" t="str">
        <f t="shared" si="17"/>
        <v>Fires a projectile weapon several times in a slight spread (only usable when a bow, crossbow, javelin or thrown weapon is equipped)</v>
      </c>
      <c r="AF142" t="str">
        <f t="shared" si="14"/>
        <v>Fires a projectile weapon several times in a slight spread (only usable when a bow, crossbow, javelin or thrown weapon is equipped)</v>
      </c>
    </row>
    <row r="143" spans="1:32">
      <c r="A143" s="26">
        <v>10</v>
      </c>
      <c r="B143" s="26">
        <v>25</v>
      </c>
      <c r="C143" s="30" t="s">
        <v>365</v>
      </c>
      <c r="D143" s="30" t="s">
        <v>760</v>
      </c>
      <c r="E143">
        <v>0</v>
      </c>
      <c r="F143" t="str">
        <f t="shared" si="7"/>
        <v>Attack Run</v>
      </c>
      <c r="G143" t="s">
        <v>365</v>
      </c>
      <c r="I143" t="b">
        <v>1</v>
      </c>
      <c r="J143" t="b">
        <v>0</v>
      </c>
      <c r="K143" t="b">
        <v>0</v>
      </c>
      <c r="L143" s="26">
        <v>3</v>
      </c>
      <c r="M143" s="77" t="str">
        <f ca="1">IF(ISBLANK($L143),"",INDIRECT("'Avatars'!"&amp;ADDRESS(ROW(Avatars!$A$2)+$L143,COLUMN(Avatars!$A$2))))</f>
        <v>Hunter</v>
      </c>
      <c r="N143" s="6">
        <v>7.0000000000000007E-2</v>
      </c>
      <c r="O143" s="63">
        <f>IF($N143="""",O142,IF(ISBLANK($N143),"",$N143*AVERAGE(INDEX(Ranges!$O$7:$T$156,A143,L143+1),INDEX(Ranges!$U$7:$Z$156,A143,L143+1))))</f>
        <v>8.9716666666666676</v>
      </c>
      <c r="Q143" s="75">
        <v>0</v>
      </c>
      <c r="T143" s="63">
        <f>60*1000*6.5</f>
        <v>390000</v>
      </c>
      <c r="U143" s="41" t="str">
        <f t="shared" si="13"/>
        <v/>
      </c>
      <c r="V143" s="6">
        <v>2</v>
      </c>
      <c r="W143" s="91">
        <f>IF(ISBLANK(V143),"",IF(V143="""",W142,INDEX(Damage!$F$2:$F$151,A143)*V143*SUM(P143:Q143)/1000))</f>
        <v>0</v>
      </c>
      <c r="Z143" s="16">
        <f>IF($O143="","",INDEX(Ranges!$O$7:$T$156,A143,L143+1)/O143)</f>
        <v>3.1209362808842647</v>
      </c>
      <c r="AA143" s="16">
        <f>IF(O143="","",INDEX(Ranges!$U$7:$Z$156,A143,L143+1)/O143)</f>
        <v>25.450492290544304</v>
      </c>
      <c r="AB143" s="16">
        <f>IF($B143="","",IF($B143="""","""",INDEX(Ranges!$O$7:$T$156,B143,L143+1)/$O143))</f>
        <v>7.0221066319895957</v>
      </c>
      <c r="AC143" s="16">
        <f>IF($B143="","",IF($B143="""","""",INDEX(Ranges!$U$7:$Z$156,$B143,$L143+1)/$O143))</f>
        <v>56.882779119450113</v>
      </c>
      <c r="AD143" t="s">
        <v>719</v>
      </c>
      <c r="AE143" t="str">
        <f t="shared" si="17"/>
        <v>Causes you to run quickly at the target and deal extra damage on your first hit</v>
      </c>
      <c r="AF143" t="str">
        <f t="shared" si="14"/>
        <v>Causes you to run quickly at the target and deal extra damage on your first hit</v>
      </c>
    </row>
    <row r="144" spans="1:32">
      <c r="A144" s="62">
        <v>7</v>
      </c>
      <c r="B144" s="62">
        <v>25</v>
      </c>
      <c r="C144" s="30" t="s">
        <v>365</v>
      </c>
      <c r="D144" s="30" t="s">
        <v>760</v>
      </c>
      <c r="E144">
        <v>0</v>
      </c>
      <c r="F144" t="str">
        <f t="shared" si="7"/>
        <v>Attack Run</v>
      </c>
      <c r="G144" t="s">
        <v>365</v>
      </c>
      <c r="I144" t="b">
        <v>1</v>
      </c>
      <c r="J144" t="b">
        <v>0</v>
      </c>
      <c r="K144" t="b">
        <v>0</v>
      </c>
      <c r="L144" s="62">
        <v>5</v>
      </c>
      <c r="M144" s="77" t="str">
        <f ca="1">IF(ISBLANK($L144),"",INDIRECT("'Avatars'!"&amp;ADDRESS(ROW(Avatars!$A$2)+$L144,COLUMN(Avatars!$A$2))))</f>
        <v>Warrior</v>
      </c>
      <c r="N144" s="6" t="s">
        <v>241</v>
      </c>
      <c r="O144" s="63">
        <f>IF($N144="""",O143,IF(ISBLANK($N144),"",$N144*AVERAGE(INDEX(Ranges!$O$7:$T$156,A144,L144+1),INDEX(Ranges!$U$7:$Z$156,A144,L144+1))))</f>
        <v>8.9716666666666676</v>
      </c>
      <c r="P144" s="63"/>
      <c r="Q144" s="75">
        <v>0</v>
      </c>
      <c r="R144" s="63"/>
      <c r="S144" s="63"/>
      <c r="T144" s="63"/>
      <c r="U144" s="41" t="str">
        <f t="shared" ref="U144:U182" si="19">IF(OR(ISBLANK(S144),ISBLANK(T144)),"",T144/S144)</f>
        <v/>
      </c>
      <c r="V144" s="6">
        <v>2</v>
      </c>
      <c r="W144" s="91">
        <f>IF(ISBLANK(V144),"",IF(V144="""",W143,INDEX(Damage!$F$2:$F$151,A144)*V144*SUM(P144:Q144)/1000))</f>
        <v>0</v>
      </c>
      <c r="X144" s="62"/>
      <c r="Z144" s="16">
        <f>IF($O144="","",INDEX(Ranges!$O$7:$T$156,A144,L144+1)/O144)</f>
        <v>1.8205461638491545</v>
      </c>
      <c r="AA144" s="16">
        <f>IF(O144="","",INDEX(Ranges!$U$7:$Z$156,A144,L144+1)/O144)</f>
        <v>18.354077651866987</v>
      </c>
      <c r="AB144" s="16">
        <f>IF($B144="","",IF($B144="""","""",INDEX(Ranges!$O$7:$T$156,B144,L144+1)/$O144))</f>
        <v>5.1644064647965804</v>
      </c>
      <c r="AC144" s="16">
        <f>IF($B144="","",IF($B144="""","""",INDEX(Ranges!$U$7:$Z$156,$B144,$L144+1)/$O144))</f>
        <v>55.025078952257104</v>
      </c>
      <c r="AD144" t="s">
        <v>719</v>
      </c>
      <c r="AE144" t="str">
        <f t="shared" si="17"/>
        <v>Causes you to run quickly at the target and deal extra damage on your first hit</v>
      </c>
      <c r="AF144" t="str">
        <f t="shared" si="14"/>
        <v>Causes you to run quickly at the target and deal extra damage on your first hit</v>
      </c>
    </row>
    <row r="145" spans="1:32">
      <c r="A145" s="62">
        <v>31</v>
      </c>
      <c r="B145" s="62">
        <v>50</v>
      </c>
      <c r="C145" s="30" t="s">
        <v>365</v>
      </c>
      <c r="D145" s="30" t="s">
        <v>760</v>
      </c>
      <c r="E145">
        <v>1</v>
      </c>
      <c r="F145" t="str">
        <f t="shared" si="7"/>
        <v>(Attack Run)</v>
      </c>
      <c r="G145" t="s">
        <v>365</v>
      </c>
      <c r="I145" t="b">
        <v>1</v>
      </c>
      <c r="J145" t="b">
        <v>0</v>
      </c>
      <c r="K145" t="b">
        <v>0</v>
      </c>
      <c r="L145" s="62">
        <v>3</v>
      </c>
      <c r="M145" s="77" t="str">
        <f ca="1">IF(ISBLANK($L145),"",INDIRECT("'Avatars'!"&amp;ADDRESS(ROW(Avatars!$A$2)+$L145,COLUMN(Avatars!$A$2))))</f>
        <v>Hunter</v>
      </c>
      <c r="N145" s="6" t="s">
        <v>241</v>
      </c>
      <c r="O145" s="63">
        <f>IF($N145="""",O144,IF(ISBLANK($N145),"",$N145*AVERAGE(INDEX(Ranges!$O$7:$T$156,A145,L145+1),INDEX(Ranges!$U$7:$Z$156,A145,L145+1))))</f>
        <v>8.9716666666666676</v>
      </c>
      <c r="P145" s="63"/>
      <c r="Q145" s="75">
        <v>0</v>
      </c>
      <c r="R145" s="63"/>
      <c r="S145" s="63"/>
      <c r="T145" s="63"/>
      <c r="U145" s="41" t="str">
        <f t="shared" si="19"/>
        <v/>
      </c>
      <c r="V145" s="6">
        <v>3</v>
      </c>
      <c r="W145" s="91">
        <f>IF(ISBLANK(V145),"",IF(V145="""",W144,INDEX(Damage!$F$2:$F$151,A145)*V145*SUM(P145:Q145)/1000))</f>
        <v>0</v>
      </c>
      <c r="X145" s="62"/>
      <c r="Z145" s="16">
        <f>IF($O145="","",INDEX(Ranges!$O$7:$T$156,A145,L145+1)/O145)</f>
        <v>8.5825747724317267</v>
      </c>
      <c r="AA145" s="16">
        <f>IF(O145="","",INDEX(Ranges!$U$7:$Z$156,A145,L145+1)/O145)</f>
        <v>70.035296303176665</v>
      </c>
      <c r="AB145" s="16">
        <f>IF($B145="","",IF($B145="""","""",INDEX(Ranges!$O$7:$T$156,B145,L145+1)/$O145))</f>
        <v>13.524057217165145</v>
      </c>
      <c r="AC145" s="16">
        <f>IF($B145="","",IF($B145="""","""",INDEX(Ranges!$U$7:$Z$156,$B145,$L145+1)/$O145))</f>
        <v>115.54895039940553</v>
      </c>
      <c r="AD145" t="s">
        <v>719</v>
      </c>
      <c r="AE145" t="str">
        <f t="shared" si="17"/>
        <v>Causes you to run quickly at the target and deal extra damage on your first hit</v>
      </c>
      <c r="AF145" t="str">
        <f t="shared" si="14"/>
        <v>Causes you to run quickly at the target and deal extra damage on your first hit</v>
      </c>
    </row>
    <row r="146" spans="1:32">
      <c r="A146" s="62">
        <v>25</v>
      </c>
      <c r="B146" s="62">
        <v>50</v>
      </c>
      <c r="C146" s="30" t="s">
        <v>365</v>
      </c>
      <c r="D146" s="30" t="s">
        <v>760</v>
      </c>
      <c r="E146">
        <v>1</v>
      </c>
      <c r="F146" t="str">
        <f t="shared" si="7"/>
        <v>(Attack Run)</v>
      </c>
      <c r="G146" t="s">
        <v>365</v>
      </c>
      <c r="I146" t="b">
        <v>1</v>
      </c>
      <c r="J146" t="b">
        <v>0</v>
      </c>
      <c r="K146" t="b">
        <v>0</v>
      </c>
      <c r="L146" s="62">
        <v>5</v>
      </c>
      <c r="M146" s="77" t="str">
        <f ca="1">IF(ISBLANK($L146),"",INDIRECT("'Avatars'!"&amp;ADDRESS(ROW(Avatars!$A$2)+$L146,COLUMN(Avatars!$A$2))))</f>
        <v>Warrior</v>
      </c>
      <c r="N146" s="6" t="s">
        <v>241</v>
      </c>
      <c r="O146" s="63">
        <f>IF($N146="""",O145,IF(ISBLANK($N146),"",$N146*AVERAGE(INDEX(Ranges!$O$7:$T$156,A146,L146+1),INDEX(Ranges!$U$7:$Z$156,A146,L146+1))))</f>
        <v>8.9716666666666676</v>
      </c>
      <c r="P146" s="63"/>
      <c r="Q146" s="75">
        <v>0</v>
      </c>
      <c r="R146" s="63"/>
      <c r="S146" s="63"/>
      <c r="T146" s="63"/>
      <c r="U146" s="41" t="str">
        <f t="shared" si="19"/>
        <v/>
      </c>
      <c r="V146" s="6">
        <v>3</v>
      </c>
      <c r="W146" s="91">
        <f>IF(ISBLANK(V146),"",IF(V146="""",W145,INDEX(Damage!$F$2:$F$151,A146)*V146*SUM(P146:Q146)/1000))</f>
        <v>0</v>
      </c>
      <c r="X146" s="62"/>
      <c r="Z146" s="16">
        <f>IF($O146="","",INDEX(Ranges!$O$7:$T$156,A146,L146+1)/O146)</f>
        <v>5.1644064647965804</v>
      </c>
      <c r="AA146" s="16">
        <f>IF(O146="","",INDEX(Ranges!$U$7:$Z$156,A146,L146+1)/O146)</f>
        <v>55.025078952257104</v>
      </c>
      <c r="AB146" s="16">
        <f>IF($B146="","",IF($B146="""","""",INDEX(Ranges!$O$7:$T$156,B146,L146+1)/$O146))</f>
        <v>9.8086568827791183</v>
      </c>
      <c r="AC146" s="16">
        <f>IF($B146="","",IF($B146="""","""",INDEX(Ranges!$U$7:$Z$156,$B146,$L146+1)/$O146))</f>
        <v>111.83355006501949</v>
      </c>
      <c r="AD146" t="s">
        <v>719</v>
      </c>
      <c r="AE146" t="str">
        <f t="shared" si="17"/>
        <v>Causes you to run quickly at the target and deal extra damage on your first hit</v>
      </c>
      <c r="AF146" t="str">
        <f t="shared" si="14"/>
        <v>Causes you to run quickly at the target and deal extra damage on your first hit</v>
      </c>
    </row>
    <row r="147" spans="1:32">
      <c r="A147" s="26">
        <v>12</v>
      </c>
      <c r="B147" s="26">
        <v>25</v>
      </c>
      <c r="C147" s="30" t="s">
        <v>432</v>
      </c>
      <c r="D147" s="30" t="s">
        <v>760</v>
      </c>
      <c r="E147">
        <v>0</v>
      </c>
      <c r="F147" t="str">
        <f t="shared" si="7"/>
        <v>Tornado</v>
      </c>
      <c r="G147" t="s">
        <v>366</v>
      </c>
      <c r="H147" t="s">
        <v>427</v>
      </c>
      <c r="I147" t="b">
        <v>0</v>
      </c>
      <c r="J147" t="b">
        <v>0</v>
      </c>
      <c r="K147" t="b">
        <v>0</v>
      </c>
      <c r="L147" s="26">
        <v>3</v>
      </c>
      <c r="M147" s="77" t="str">
        <f ca="1">IF(ISBLANK($L147),"",INDIRECT("'Avatars'!"&amp;ADDRESS(ROW(Avatars!$A$2)+$L147,COLUMN(Avatars!$A$2))))</f>
        <v>Hunter</v>
      </c>
      <c r="N147" s="6">
        <v>0.1</v>
      </c>
      <c r="O147" s="63">
        <f>IF($N147="""",O146,IF(ISBLANK($N147),"",$N147*AVERAGE(INDEX(Ranges!$O$7:$T$156,A147,L147+1),INDEX(Ranges!$U$7:$Z$156,A147,L147+1))))</f>
        <v>14.583333333333336</v>
      </c>
      <c r="Q147" s="75">
        <v>0</v>
      </c>
      <c r="R147" s="9">
        <v>5</v>
      </c>
      <c r="T147" s="63"/>
      <c r="U147" s="41" t="str">
        <f t="shared" si="19"/>
        <v/>
      </c>
      <c r="V147" s="6">
        <v>0.7</v>
      </c>
      <c r="W147" s="91">
        <f>IF(ISBLANK(V147),"",IF(V147="""",W146,INDEX(Damage!$F$2:$F$151,A147)*V147*SUM(P147:Q147)/1000))</f>
        <v>0</v>
      </c>
      <c r="X147" s="62" t="s">
        <v>6</v>
      </c>
      <c r="Z147" s="16">
        <f>IF($O147="","",INDEX(Ranges!$O$7:$T$156,A147,L147+1)/O147)</f>
        <v>2.2399999999999993</v>
      </c>
      <c r="AA147" s="16">
        <f>IF(O147="","",INDEX(Ranges!$U$7:$Z$156,A147,L147+1)/O147)</f>
        <v>17.759999999999998</v>
      </c>
      <c r="AB147" s="16">
        <f>IF($B147="","",IF($B147="""","""",INDEX(Ranges!$O$7:$T$156,B147,L147+1)/$O147))</f>
        <v>4.3199999999999985</v>
      </c>
      <c r="AC147" s="16">
        <f>IF($B147="","",IF($B147="""","""",INDEX(Ranges!$U$7:$Z$156,$B147,$L147+1)/$O147))</f>
        <v>34.994285714285709</v>
      </c>
      <c r="AD147" t="s">
        <v>722</v>
      </c>
      <c r="AE147" t="str">
        <f t="shared" si="17"/>
        <v>Shoot a projectile at nearby enemies (only usable when a bow, crossbow, javelin or thrown weapon is equipped)</v>
      </c>
      <c r="AF147" t="str">
        <f t="shared" si="14"/>
        <v>Shoot a projectile at nearby enemies (only usable when a bow, crossbow, javelin or thrown weapon is equipped)</v>
      </c>
    </row>
    <row r="148" spans="1:32">
      <c r="A148" s="62">
        <v>27</v>
      </c>
      <c r="B148" s="62">
        <v>30</v>
      </c>
      <c r="C148" s="30" t="s">
        <v>432</v>
      </c>
      <c r="D148" s="30" t="s">
        <v>760</v>
      </c>
      <c r="E148">
        <v>1</v>
      </c>
      <c r="F148" t="str">
        <f t="shared" ref="F148:F151" si="20">IF(E148=0,C148,"("&amp;C148&amp;")")</f>
        <v>(Tornado)</v>
      </c>
      <c r="G148" t="s">
        <v>366</v>
      </c>
      <c r="H148" t="s">
        <v>427</v>
      </c>
      <c r="I148" t="b">
        <v>0</v>
      </c>
      <c r="J148" t="b">
        <v>0</v>
      </c>
      <c r="K148" t="b">
        <v>0</v>
      </c>
      <c r="L148" s="62">
        <v>3</v>
      </c>
      <c r="M148" s="77" t="str">
        <f ca="1">IF(ISBLANK($L148),"",INDIRECT("'Avatars'!"&amp;ADDRESS(ROW(Avatars!$A$2)+$L148,COLUMN(Avatars!$A$2))))</f>
        <v>Hunter</v>
      </c>
      <c r="N148" s="6" t="s">
        <v>241</v>
      </c>
      <c r="O148" s="63">
        <f>IF($N148="""",O147,IF(ISBLANK($N148),"",$N148*AVERAGE(INDEX(Ranges!$O$7:$T$156,A148,L148+1),INDEX(Ranges!$U$7:$Z$156,A148,L148+1))))</f>
        <v>14.583333333333336</v>
      </c>
      <c r="P148" s="63"/>
      <c r="Q148" s="75">
        <v>0</v>
      </c>
      <c r="R148" s="63">
        <v>6</v>
      </c>
      <c r="S148" s="63"/>
      <c r="T148" s="63"/>
      <c r="U148" s="41" t="str">
        <f t="shared" si="19"/>
        <v/>
      </c>
      <c r="V148" s="6">
        <v>0.7</v>
      </c>
      <c r="W148" s="91">
        <f>IF(ISBLANK(V148),"",IF(V148="""",W147,INDEX(Damage!$F$2:$F$151,A148)*V148*SUM(P148:Q148)/1000))</f>
        <v>0</v>
      </c>
      <c r="X148" s="62" t="s">
        <v>7</v>
      </c>
      <c r="Z148" s="16">
        <f>IF($O148="","",INDEX(Ranges!$O$7:$T$156,A148,L148+1)/O148)</f>
        <v>4.6399999999999988</v>
      </c>
      <c r="AA148" s="16">
        <f>IF(O148="","",INDEX(Ranges!$U$7:$Z$156,A148,L148+1)/O148)</f>
        <v>37.097142857142849</v>
      </c>
      <c r="AB148" s="16">
        <f>IF($B148="","",IF($B148="""","""",INDEX(Ranges!$O$7:$T$156,B148,L148+1)/$O148))</f>
        <v>5.1199999999999983</v>
      </c>
      <c r="AC148" s="16">
        <f>IF($B148="","",IF($B148="""","""",INDEX(Ranges!$U$7:$Z$156,$B148,$L148+1)/$O148))</f>
        <v>42.034285714285708</v>
      </c>
      <c r="AD148" t="s">
        <v>722</v>
      </c>
      <c r="AE148" t="str">
        <f t="shared" si="17"/>
        <v>Shoot a projectile at nearby enemies (only usable when a bow, crossbow, javelin or thrown weapon is equipped)</v>
      </c>
      <c r="AF148" t="str">
        <f t="shared" si="14"/>
        <v>Shoot a projectile at nearby enemies (only usable when a bow, crossbow, javelin or thrown weapon is equipped)</v>
      </c>
    </row>
    <row r="149" spans="1:32">
      <c r="A149" s="62">
        <v>30</v>
      </c>
      <c r="B149" s="62">
        <v>65</v>
      </c>
      <c r="C149" s="30" t="s">
        <v>433</v>
      </c>
      <c r="D149" s="30" t="s">
        <v>758</v>
      </c>
      <c r="E149">
        <v>0</v>
      </c>
      <c r="F149" t="str">
        <f t="shared" si="20"/>
        <v>Hurricane</v>
      </c>
      <c r="G149" t="s">
        <v>366</v>
      </c>
      <c r="H149" t="s">
        <v>427</v>
      </c>
      <c r="I149" t="b">
        <v>0</v>
      </c>
      <c r="J149" t="b">
        <v>0</v>
      </c>
      <c r="K149" t="b">
        <v>0</v>
      </c>
      <c r="L149" s="62">
        <v>3</v>
      </c>
      <c r="M149" s="77" t="str">
        <f ca="1">IF(ISBLANK($L149),"",INDIRECT("'Avatars'!"&amp;ADDRESS(ROW(Avatars!$A$2)+$L149,COLUMN(Avatars!$A$2))))</f>
        <v>Hunter</v>
      </c>
      <c r="N149" s="6">
        <v>0.1</v>
      </c>
      <c r="O149" s="63">
        <f>IF($N149="""",O148,IF(ISBLANK($N149),"",$N149*AVERAGE(INDEX(Ranges!$O$7:$T$156,A149,L149+1),INDEX(Ranges!$U$7:$Z$156,A149,L149+1))))</f>
        <v>34.383333333333333</v>
      </c>
      <c r="P149" s="63"/>
      <c r="Q149" s="75">
        <v>0</v>
      </c>
      <c r="R149" s="63">
        <v>7</v>
      </c>
      <c r="S149" s="63"/>
      <c r="T149" s="63"/>
      <c r="U149" s="41" t="str">
        <f t="shared" si="19"/>
        <v/>
      </c>
      <c r="V149" s="6">
        <v>0.7</v>
      </c>
      <c r="W149" s="91">
        <f>IF(ISBLANK(V149),"",IF(V149="""",W148,INDEX(Damage!$F$2:$F$151,A149)*V149*SUM(P149:Q149)/1000))</f>
        <v>0</v>
      </c>
      <c r="X149" s="62" t="s">
        <v>7</v>
      </c>
      <c r="Z149" s="16">
        <f>IF($O149="","",INDEX(Ranges!$O$7:$T$156,A149,L149+1)/O149)</f>
        <v>2.1715947649054774</v>
      </c>
      <c r="AA149" s="16">
        <f>IF(O149="","",INDEX(Ranges!$U$7:$Z$156,A149,L149+1)/O149)</f>
        <v>17.828405235094522</v>
      </c>
      <c r="AB149" s="16">
        <f>IF($B149="","",IF($B149="""","""",INDEX(Ranges!$O$7:$T$156,B149,L149+1)/$O149))</f>
        <v>4.5467765390208426</v>
      </c>
      <c r="AC149" s="16">
        <f>IF($B149="","",IF($B149="""","""",INDEX(Ranges!$U$7:$Z$156,$B149,$L149+1)/$O149))</f>
        <v>39.108095007270968</v>
      </c>
      <c r="AD149" t="s">
        <v>722</v>
      </c>
      <c r="AE149" t="str">
        <f t="shared" si="17"/>
        <v>Shoot a projectile at nearby enemies (only usable when a bow, crossbow, javelin or thrown weapon is equipped)</v>
      </c>
      <c r="AF149" t="str">
        <f t="shared" si="14"/>
        <v>Shoot a projectile at nearby enemies (only usable when a bow, crossbow, javelin or thrown weapon is equipped)</v>
      </c>
    </row>
    <row r="150" spans="1:32">
      <c r="A150" s="62">
        <v>66</v>
      </c>
      <c r="B150" s="62">
        <v>80</v>
      </c>
      <c r="C150" s="30" t="s">
        <v>433</v>
      </c>
      <c r="D150" s="30" t="s">
        <v>758</v>
      </c>
      <c r="E150">
        <v>1</v>
      </c>
      <c r="F150" t="str">
        <f t="shared" si="20"/>
        <v>(Hurricane)</v>
      </c>
      <c r="G150" t="s">
        <v>366</v>
      </c>
      <c r="H150" t="s">
        <v>427</v>
      </c>
      <c r="I150" t="b">
        <v>0</v>
      </c>
      <c r="J150" t="b">
        <v>0</v>
      </c>
      <c r="K150" t="b">
        <v>0</v>
      </c>
      <c r="L150" s="62">
        <v>3</v>
      </c>
      <c r="M150" s="77" t="str">
        <f ca="1">IF(ISBLANK($L150),"",INDIRECT("'Avatars'!"&amp;ADDRESS(ROW(Avatars!$A$2)+$L150,COLUMN(Avatars!$A$2))))</f>
        <v>Hunter</v>
      </c>
      <c r="N150" s="6" t="s">
        <v>241</v>
      </c>
      <c r="O150" s="63">
        <f>IF($N150="""",O149,IF(ISBLANK($N150),"",$N150*AVERAGE(INDEX(Ranges!$O$7:$T$156,A150,L150+1),INDEX(Ranges!$U$7:$Z$156,A150,L150+1))))</f>
        <v>34.383333333333333</v>
      </c>
      <c r="P150" s="63"/>
      <c r="Q150" s="63">
        <v>0</v>
      </c>
      <c r="R150" s="63">
        <v>8</v>
      </c>
      <c r="S150" s="63"/>
      <c r="T150" s="63"/>
      <c r="U150" s="41" t="str">
        <f t="shared" si="19"/>
        <v/>
      </c>
      <c r="V150" s="6">
        <v>0.7</v>
      </c>
      <c r="W150" s="91">
        <f>IF(ISBLANK(V150),"",IF(V150="""",W149,INDEX(Damage!$F$2:$F$151,A150)*V150*SUM(P150:Q150)/1000))</f>
        <v>0</v>
      </c>
      <c r="X150" s="62" t="s">
        <v>7</v>
      </c>
      <c r="Z150" s="16">
        <f>IF($O150="","",INDEX(Ranges!$O$7:$T$156,A150,L150+1)/O150)</f>
        <v>4.6146388754241396</v>
      </c>
      <c r="AA150" s="16">
        <f>IF(O150="","",INDEX(Ranges!$U$7:$Z$156,A150,L150+1)/O150)</f>
        <v>39.554047503635481</v>
      </c>
      <c r="AB150" s="16">
        <f>IF($B150="","",IF($B150="""","""",INDEX(Ranges!$O$7:$T$156,B150,L150+1)/$O150))</f>
        <v>5.5647115850702855</v>
      </c>
      <c r="AC150" s="16">
        <f>IF($B150="","",IF($B150="""","""",INDEX(Ranges!$U$7:$Z$156,$B150,$L150+1)/$O150))</f>
        <v>50.712554532234613</v>
      </c>
      <c r="AD150" t="s">
        <v>722</v>
      </c>
      <c r="AE150" t="str">
        <f t="shared" si="17"/>
        <v>Shoot a projectile at nearby enemies (only usable when a bow, crossbow, javelin or thrown weapon is equipped)</v>
      </c>
      <c r="AF150" t="str">
        <f t="shared" si="14"/>
        <v>Shoot a projectile at nearby enemies (only usable when a bow, crossbow, javelin or thrown weapon is equipped)</v>
      </c>
    </row>
    <row r="151" spans="1:32">
      <c r="A151" s="62">
        <v>81</v>
      </c>
      <c r="B151" s="62">
        <v>150</v>
      </c>
      <c r="C151" s="30" t="s">
        <v>433</v>
      </c>
      <c r="D151" s="30" t="s">
        <v>758</v>
      </c>
      <c r="E151">
        <v>2</v>
      </c>
      <c r="F151" t="str">
        <f t="shared" si="20"/>
        <v>(Hurricane)</v>
      </c>
      <c r="G151" t="s">
        <v>366</v>
      </c>
      <c r="H151" t="s">
        <v>427</v>
      </c>
      <c r="I151" t="b">
        <v>0</v>
      </c>
      <c r="J151" t="b">
        <v>0</v>
      </c>
      <c r="K151" t="b">
        <v>0</v>
      </c>
      <c r="L151" s="62">
        <v>3</v>
      </c>
      <c r="M151" s="77" t="str">
        <f ca="1">IF(ISBLANK($L151),"",INDIRECT("'Avatars'!"&amp;ADDRESS(ROW(Avatars!$A$2)+$L151,COLUMN(Avatars!$A$2))))</f>
        <v>Hunter</v>
      </c>
      <c r="N151" s="6" t="s">
        <v>241</v>
      </c>
      <c r="O151" s="63">
        <f>IF($N151="""",O150,IF(ISBLANK($N151),"",$N151*AVERAGE(INDEX(Ranges!$O$7:$T$156,A151,L151+1),INDEX(Ranges!$U$7:$Z$156,A151,L151+1))))</f>
        <v>34.383333333333333</v>
      </c>
      <c r="P151" s="63"/>
      <c r="Q151" s="63">
        <v>0</v>
      </c>
      <c r="R151" s="63">
        <v>10</v>
      </c>
      <c r="S151" s="63"/>
      <c r="T151" s="63"/>
      <c r="U151" s="41" t="str">
        <f t="shared" si="19"/>
        <v/>
      </c>
      <c r="V151" s="6">
        <v>0.7</v>
      </c>
      <c r="W151" s="91">
        <f>IF(ISBLANK(V151),"",IF(V151="""",W150,INDEX(Damage!$F$2:$F$151,A151)*V151*SUM(P151:Q151)/1000))</f>
        <v>0</v>
      </c>
      <c r="X151" s="62" t="s">
        <v>7</v>
      </c>
      <c r="Z151" s="16">
        <f>IF($O151="","",INDEX(Ranges!$O$7:$T$156,A151,L151+1)/O151)</f>
        <v>5.6325739214735808</v>
      </c>
      <c r="AA151" s="16">
        <f>IF(O151="","",INDEX(Ranges!$U$7:$Z$156,A151,L151+1)/O151)</f>
        <v>51.158507028599125</v>
      </c>
      <c r="AB151" s="16">
        <f>IF($B151="","",IF($B151="""","""",INDEX(Ranges!$O$7:$T$156,B151,L151+1)/$O151))</f>
        <v>10.315075133301017</v>
      </c>
      <c r="AC151" s="16">
        <f>IF($B151="","",IF($B151="""","""",INDEX(Ranges!$U$7:$Z$156,$B151,$L151+1)/$O151))</f>
        <v>81.929229277750849</v>
      </c>
      <c r="AD151" t="s">
        <v>722</v>
      </c>
      <c r="AE151" t="str">
        <f t="shared" si="17"/>
        <v>Shoot a projectile at nearby enemies (only usable when a bow, crossbow, javelin or thrown weapon is equipped)</v>
      </c>
      <c r="AF151" t="str">
        <f t="shared" si="14"/>
        <v>Shoot a projectile at nearby enemies (only usable when a bow, crossbow, javelin or thrown weapon is equipped)</v>
      </c>
    </row>
    <row r="152" spans="1:32">
      <c r="A152" s="26">
        <v>17</v>
      </c>
      <c r="B152" s="26">
        <v>24</v>
      </c>
      <c r="C152" s="30" t="s">
        <v>419</v>
      </c>
      <c r="D152" s="30" t="s">
        <v>760</v>
      </c>
      <c r="E152">
        <v>0</v>
      </c>
      <c r="F152" t="str">
        <f t="shared" si="7"/>
        <v>Leap</v>
      </c>
      <c r="G152" t="s">
        <v>419</v>
      </c>
      <c r="I152" t="b">
        <v>1</v>
      </c>
      <c r="J152" t="b">
        <v>0</v>
      </c>
      <c r="K152" t="b">
        <v>0</v>
      </c>
      <c r="L152" s="26">
        <v>3</v>
      </c>
      <c r="M152" s="77" t="str">
        <f ca="1">IF(ISBLANK($L152),"",INDIRECT("'Avatars'!"&amp;ADDRESS(ROW(Avatars!$A$2)+$L152,COLUMN(Avatars!$A$2))))</f>
        <v>Hunter</v>
      </c>
      <c r="N152" s="6">
        <v>0.08</v>
      </c>
      <c r="O152" s="63">
        <f>IF($N152="""",O151,IF(ISBLANK($N152),"",$N152*AVERAGE(INDEX(Ranges!$O$7:$T$156,A152,L152+1),INDEX(Ranges!$U$7:$Z$156,A152,L152+1))))</f>
        <v>15.72</v>
      </c>
      <c r="Q152" s="9">
        <v>500</v>
      </c>
      <c r="T152" s="63"/>
      <c r="U152" s="41" t="str">
        <f t="shared" si="19"/>
        <v/>
      </c>
      <c r="V152" s="6">
        <v>0.7</v>
      </c>
      <c r="W152" s="91">
        <f>IF(ISBLANK(V152),"",IF(V152="""",W151,INDEX(Damage!$F$2:$F$151,A152)*V152*SUM(P152:Q152)/1000))</f>
        <v>29.900793650793648</v>
      </c>
      <c r="X152" s="62" t="s">
        <v>7</v>
      </c>
      <c r="Z152" s="16">
        <f>IF($O152="","",INDEX(Ranges!$O$7:$T$156,A152,L152+1)/O152)</f>
        <v>2.8201865988125525</v>
      </c>
      <c r="AA152" s="16">
        <f>IF(O152="","",INDEX(Ranges!$U$7:$Z$156,A152,L152+1)/O152)</f>
        <v>22.179813401187449</v>
      </c>
      <c r="AB152" s="16">
        <f>IF($B152="","",IF($B152="""","""",INDEX(Ranges!$O$7:$T$156,B152,L152+1)/$O152))</f>
        <v>3.8592027141645455</v>
      </c>
      <c r="AC152" s="16">
        <f>IF($B152="","",IF($B152="""","""",INDEX(Ranges!$U$7:$Z$156,$B152,$L152+1)/$O152))</f>
        <v>31.488549618320608</v>
      </c>
      <c r="AD152" t="s">
        <v>720</v>
      </c>
      <c r="AE152" t="str">
        <f t="shared" si="17"/>
        <v>Jump over pits, monsters, deep water and short objects</v>
      </c>
      <c r="AF152" t="str">
        <f t="shared" si="14"/>
        <v>Jump over pits, monsters, deep water and short objects</v>
      </c>
    </row>
    <row r="153" spans="1:32">
      <c r="A153" s="26">
        <v>14</v>
      </c>
      <c r="B153" s="26">
        <v>24</v>
      </c>
      <c r="C153" s="30" t="s">
        <v>419</v>
      </c>
      <c r="D153" s="30" t="s">
        <v>760</v>
      </c>
      <c r="E153">
        <v>0</v>
      </c>
      <c r="F153" t="str">
        <f t="shared" si="7"/>
        <v>Leap</v>
      </c>
      <c r="G153" t="s">
        <v>419</v>
      </c>
      <c r="I153" t="b">
        <v>1</v>
      </c>
      <c r="J153" t="b">
        <v>0</v>
      </c>
      <c r="K153" t="b">
        <v>0</v>
      </c>
      <c r="L153" s="26">
        <v>5</v>
      </c>
      <c r="M153" s="77" t="str">
        <f ca="1">IF(ISBLANK($L153),"",INDIRECT("'Avatars'!"&amp;ADDRESS(ROW(Avatars!$A$2)+$L153,COLUMN(Avatars!$A$2))))</f>
        <v>Warrior</v>
      </c>
      <c r="N153" s="6" t="s">
        <v>241</v>
      </c>
      <c r="O153" s="63">
        <f>IF($N153="""",O152,IF(ISBLANK($N153),"",$N153*AVERAGE(INDEX(Ranges!$O$7:$T$156,A153,L153+1),INDEX(Ranges!$U$7:$Z$156,A153,L153+1))))</f>
        <v>15.72</v>
      </c>
      <c r="Q153" s="63">
        <v>500</v>
      </c>
      <c r="U153" s="41" t="str">
        <f t="shared" si="19"/>
        <v/>
      </c>
      <c r="V153" s="6">
        <v>2</v>
      </c>
      <c r="W153" s="91">
        <f>IF(ISBLANK(V153),"",IF(V153="""",W152,INDEX(Damage!$F$2:$F$151,A153)*V153*SUM(P153:Q153)/1000))</f>
        <v>70.194444444444429</v>
      </c>
      <c r="X153" s="62" t="s">
        <v>7</v>
      </c>
      <c r="Z153" s="16">
        <f>IF($O153="","",INDEX(Ranges!$O$7:$T$156,A153,L153+1)/O153)</f>
        <v>1.7811704834605597</v>
      </c>
      <c r="AA153" s="16">
        <f>IF(O153="","",INDEX(Ranges!$U$7:$Z$156,A153,L153+1)/O153)</f>
        <v>18.659881255301102</v>
      </c>
      <c r="AB153" s="16">
        <f>IF($B153="","",IF($B153="""","""",INDEX(Ranges!$O$7:$T$156,B153,L153+1)/$O153))</f>
        <v>2.8413910093299402</v>
      </c>
      <c r="AC153" s="16">
        <f>IF($B153="","",IF($B153="""","""",INDEX(Ranges!$U$7:$Z$156,$B153,$L153+1)/$O153))</f>
        <v>30.470737913486005</v>
      </c>
      <c r="AD153" t="s">
        <v>720</v>
      </c>
      <c r="AE153" t="str">
        <f t="shared" si="17"/>
        <v>Jump over pits, monsters, deep water and short objects</v>
      </c>
      <c r="AF153" t="str">
        <f t="shared" si="14"/>
        <v>Jump over pits, monsters, deep water and short objects</v>
      </c>
    </row>
    <row r="154" spans="1:32">
      <c r="A154" s="26">
        <v>24</v>
      </c>
      <c r="B154" s="26">
        <v>40</v>
      </c>
      <c r="C154" s="30" t="s">
        <v>419</v>
      </c>
      <c r="D154" s="30" t="s">
        <v>760</v>
      </c>
      <c r="E154">
        <v>1</v>
      </c>
      <c r="F154" t="str">
        <f t="shared" si="7"/>
        <v>(Leap)</v>
      </c>
      <c r="G154" t="s">
        <v>419</v>
      </c>
      <c r="I154" t="b">
        <v>1</v>
      </c>
      <c r="J154" t="b">
        <v>0</v>
      </c>
      <c r="K154" t="b">
        <v>0</v>
      </c>
      <c r="L154" s="26">
        <v>3</v>
      </c>
      <c r="M154" s="77" t="str">
        <f ca="1">IF(ISBLANK($L154),"",INDIRECT("'Avatars'!"&amp;ADDRESS(ROW(Avatars!$A$2)+$L154,COLUMN(Avatars!$A$2))))</f>
        <v>Hunter</v>
      </c>
      <c r="N154" s="6" t="s">
        <v>241</v>
      </c>
      <c r="O154" s="63">
        <f>IF($N154="""",O153,IF(ISBLANK($N154),"",$N154*AVERAGE(INDEX(Ranges!$O$7:$T$156,A154,L154+1),INDEX(Ranges!$U$7:$Z$156,A154,L154+1))))</f>
        <v>15.72</v>
      </c>
      <c r="Q154" s="63">
        <v>500</v>
      </c>
      <c r="U154" s="41" t="str">
        <f t="shared" si="19"/>
        <v/>
      </c>
      <c r="V154" s="6">
        <v>2.5</v>
      </c>
      <c r="W154" s="91">
        <f>IF(ISBLANK(V154),"",IF(V154="""",W153,INDEX(Damage!$F$2:$F$151,A154)*V154*SUM(P154:Q154)/1000))</f>
        <v>151.04166666666666</v>
      </c>
      <c r="X154" s="62" t="s">
        <v>7</v>
      </c>
      <c r="Z154" s="16">
        <f>IF($O154="","",INDEX(Ranges!$O$7:$T$156,A154,L154+1)/O154)</f>
        <v>3.8592027141645455</v>
      </c>
      <c r="AA154" s="16">
        <f>IF(O154="","",INDEX(Ranges!$U$7:$Z$156,A154,L154+1)/O154)</f>
        <v>31.488549618320608</v>
      </c>
      <c r="AB154" s="16">
        <f>IF($B154="","",IF($B154="""","""",INDEX(Ranges!$O$7:$T$156,B154,L154+1)/$O154))</f>
        <v>6.234096692111958</v>
      </c>
      <c r="AC154" s="16">
        <f>IF($B154="","",IF($B154="""","""",INDEX(Ranges!$U$7:$Z$156,$B154,$L154+1)/$O154))</f>
        <v>50.402883799830363</v>
      </c>
      <c r="AD154" t="s">
        <v>720</v>
      </c>
      <c r="AE154" t="str">
        <f t="shared" si="17"/>
        <v>Jump over pits, monsters, deep water and short objects</v>
      </c>
      <c r="AF154" t="str">
        <f t="shared" si="14"/>
        <v>Jump over pits, monsters, deep water and short objects</v>
      </c>
    </row>
    <row r="155" spans="1:32">
      <c r="A155" s="26">
        <v>25</v>
      </c>
      <c r="B155" s="26">
        <v>40</v>
      </c>
      <c r="C155" s="30" t="s">
        <v>419</v>
      </c>
      <c r="D155" s="30" t="s">
        <v>760</v>
      </c>
      <c r="E155">
        <v>1</v>
      </c>
      <c r="F155" t="str">
        <f t="shared" si="7"/>
        <v>(Leap)</v>
      </c>
      <c r="G155" t="s">
        <v>419</v>
      </c>
      <c r="I155" t="b">
        <v>1</v>
      </c>
      <c r="J155" t="b">
        <v>0</v>
      </c>
      <c r="K155" t="b">
        <v>0</v>
      </c>
      <c r="L155" s="26">
        <v>5</v>
      </c>
      <c r="M155" s="77" t="str">
        <f ca="1">IF(ISBLANK($L155),"",INDIRECT("'Avatars'!"&amp;ADDRESS(ROW(Avatars!$A$2)+$L155,COLUMN(Avatars!$A$2))))</f>
        <v>Warrior</v>
      </c>
      <c r="N155" s="6" t="s">
        <v>241</v>
      </c>
      <c r="O155" s="63">
        <f>IF($N155="""",O154,IF(ISBLANK($N155),"",$N155*AVERAGE(INDEX(Ranges!$O$7:$T$156,A155,L155+1),INDEX(Ranges!$U$7:$Z$156,A155,L155+1))))</f>
        <v>15.72</v>
      </c>
      <c r="Q155" s="63">
        <v>400</v>
      </c>
      <c r="U155" s="41" t="str">
        <f t="shared" si="19"/>
        <v/>
      </c>
      <c r="V155" s="6">
        <v>2.5</v>
      </c>
      <c r="W155" s="91">
        <f>IF(ISBLANK(V155),"",IF(V155="""",W154,INDEX(Damage!$F$2:$F$151,A155)*V155*SUM(P155:Q155)/1000))</f>
        <v>125.4871794871795</v>
      </c>
      <c r="X155" s="62" t="s">
        <v>7</v>
      </c>
      <c r="Z155" s="16">
        <f>IF($O155="","",INDEX(Ranges!$O$7:$T$156,A155,L155+1)/O155)</f>
        <v>2.9474130619168784</v>
      </c>
      <c r="AA155" s="16">
        <f>IF(O155="","",INDEX(Ranges!$U$7:$Z$156,A155,L155+1)/O155)</f>
        <v>31.403731976251059</v>
      </c>
      <c r="AB155" s="16">
        <f>IF($B155="","",IF($B155="""","""",INDEX(Ranges!$O$7:$T$156,B155,L155+1)/$O155))</f>
        <v>4.5377438507209495</v>
      </c>
      <c r="AC155" s="16">
        <f>IF($B155="","",IF($B155="""","""",INDEX(Ranges!$U$7:$Z$156,$B155,$L155+1)/$O155))</f>
        <v>48.706530958439352</v>
      </c>
      <c r="AD155" t="s">
        <v>720</v>
      </c>
      <c r="AE155" t="str">
        <f t="shared" si="17"/>
        <v>Jump over pits, monsters, deep water and short objects</v>
      </c>
      <c r="AF155" t="str">
        <f t="shared" si="14"/>
        <v>Jump over pits, monsters, deep water and short objects</v>
      </c>
    </row>
    <row r="156" spans="1:32">
      <c r="A156" s="26">
        <v>41</v>
      </c>
      <c r="B156" s="26">
        <v>80</v>
      </c>
      <c r="C156" s="30" t="s">
        <v>419</v>
      </c>
      <c r="D156" s="30" t="s">
        <v>760</v>
      </c>
      <c r="E156">
        <v>2</v>
      </c>
      <c r="F156" t="str">
        <f t="shared" si="7"/>
        <v>(Leap)</v>
      </c>
      <c r="G156" t="s">
        <v>419</v>
      </c>
      <c r="I156" t="b">
        <v>1</v>
      </c>
      <c r="J156" t="b">
        <v>0</v>
      </c>
      <c r="K156" t="b">
        <v>0</v>
      </c>
      <c r="L156" s="26">
        <v>3</v>
      </c>
      <c r="M156" s="77" t="str">
        <f ca="1">IF(ISBLANK($L156),"",INDIRECT("'Avatars'!"&amp;ADDRESS(ROW(Avatars!$A$2)+$L156,COLUMN(Avatars!$A$2))))</f>
        <v>Hunter</v>
      </c>
      <c r="N156" s="6" t="s">
        <v>241</v>
      </c>
      <c r="O156" s="63">
        <f>IF($N156="""",O155,IF(ISBLANK($N156),"",$N156*AVERAGE(INDEX(Ranges!$O$7:$T$156,A156,L156+1),INDEX(Ranges!$U$7:$Z$156,A156,L156+1))))</f>
        <v>15.72</v>
      </c>
      <c r="Q156" s="63">
        <v>400</v>
      </c>
      <c r="U156" s="41" t="str">
        <f t="shared" si="19"/>
        <v/>
      </c>
      <c r="V156" s="6">
        <v>3</v>
      </c>
      <c r="W156" s="91">
        <f>IF(ISBLANK(V156),"",IF(V156="""",W155,INDEX(Damage!$F$2:$F$151,A156)*V156*SUM(P156:Q156)/1000))</f>
        <v>255.00756013745703</v>
      </c>
      <c r="X156" s="62" t="s">
        <v>7</v>
      </c>
      <c r="Z156" s="16">
        <f>IF($O156="","",INDEX(Ranges!$O$7:$T$156,A156,L156+1)/O156)</f>
        <v>6.3825275657336711</v>
      </c>
      <c r="AA156" s="16">
        <f>IF(O156="","",INDEX(Ranges!$U$7:$Z$156,A156,L156+1)/O156)</f>
        <v>53.032230703986421</v>
      </c>
      <c r="AB156" s="16">
        <f>IF($B156="","",IF($B156="""","""",INDEX(Ranges!$O$7:$T$156,B156,L156+1)/$O156))</f>
        <v>12.17133163698049</v>
      </c>
      <c r="AC156" s="16">
        <f>IF($B156="","",IF($B156="""","""",INDEX(Ranges!$U$7:$Z$156,$B156,$L156+1)/$O156))</f>
        <v>110.92027141645463</v>
      </c>
      <c r="AD156" t="s">
        <v>720</v>
      </c>
      <c r="AE156" t="str">
        <f t="shared" si="17"/>
        <v>Jump over pits, monsters, deep water and short objects</v>
      </c>
      <c r="AF156" t="str">
        <f t="shared" si="14"/>
        <v>Jump over pits, monsters, deep water and short objects</v>
      </c>
    </row>
    <row r="157" spans="1:32">
      <c r="A157" s="26">
        <v>41</v>
      </c>
      <c r="B157" s="26">
        <v>80</v>
      </c>
      <c r="C157" s="30" t="s">
        <v>419</v>
      </c>
      <c r="D157" s="30" t="s">
        <v>760</v>
      </c>
      <c r="E157">
        <v>2</v>
      </c>
      <c r="F157" t="str">
        <f t="shared" si="7"/>
        <v>(Leap)</v>
      </c>
      <c r="G157" t="s">
        <v>419</v>
      </c>
      <c r="I157" t="b">
        <v>1</v>
      </c>
      <c r="J157" t="b">
        <v>0</v>
      </c>
      <c r="K157" t="b">
        <v>0</v>
      </c>
      <c r="L157" s="26">
        <v>5</v>
      </c>
      <c r="M157" s="77" t="str">
        <f ca="1">IF(ISBLANK($L157),"",INDIRECT("'Avatars'!"&amp;ADDRESS(ROW(Avatars!$A$2)+$L157,COLUMN(Avatars!$A$2))))</f>
        <v>Warrior</v>
      </c>
      <c r="N157" s="6" t="s">
        <v>241</v>
      </c>
      <c r="O157" s="65">
        <f>IF($N157="""",O156,IF(ISBLANK($N157),"",$N157*AVERAGE(INDEX(Ranges!$O$7:$T$156,A157,L157+1),INDEX(Ranges!$U$7:$Z$156,A157,L157+1))))</f>
        <v>15.72</v>
      </c>
      <c r="Q157" s="63">
        <v>300</v>
      </c>
      <c r="U157" s="41" t="str">
        <f t="shared" si="19"/>
        <v/>
      </c>
      <c r="V157" s="6">
        <v>3</v>
      </c>
      <c r="W157" s="91">
        <f>IF(ISBLANK(V157),"",IF(V157="""",W156,INDEX(Damage!$F$2:$F$151,A157)*V157*SUM(P157:Q157)/1000))</f>
        <v>191.2556701030928</v>
      </c>
      <c r="X157" s="62" t="s">
        <v>7</v>
      </c>
      <c r="Z157" s="16">
        <f>IF($O157="","",INDEX(Ranges!$O$7:$T$156,A157,L157+1)/O157)</f>
        <v>4.6437659033078882</v>
      </c>
      <c r="AA157" s="16">
        <f>IF(O157="","",INDEX(Ranges!$U$7:$Z$156,A157,L157+1)/O157)</f>
        <v>51.293469041560648</v>
      </c>
      <c r="AB157" s="16">
        <f>IF($B157="","",IF($B157="""","""",INDEX(Ranges!$O$7:$T$156,B157,L157+1)/$O157))</f>
        <v>8.778625954198473</v>
      </c>
      <c r="AC157" s="16">
        <f>IF($B157="","",IF($B157="""","""",INDEX(Ranges!$U$7:$Z$156,$B157,$L157+1)/$O157))</f>
        <v>107.52756573367259</v>
      </c>
      <c r="AD157" t="s">
        <v>720</v>
      </c>
      <c r="AE157" t="str">
        <f t="shared" si="17"/>
        <v>Jump over pits, monsters, deep water and short objects</v>
      </c>
      <c r="AF157" t="str">
        <f t="shared" si="14"/>
        <v>Jump over pits, monsters, deep water and short objects</v>
      </c>
    </row>
    <row r="158" spans="1:32">
      <c r="A158" s="62">
        <v>8</v>
      </c>
      <c r="B158" s="62">
        <v>12</v>
      </c>
      <c r="C158" s="30" t="s">
        <v>366</v>
      </c>
      <c r="D158" s="30" t="s">
        <v>760</v>
      </c>
      <c r="E158">
        <v>0</v>
      </c>
      <c r="F158" t="str">
        <f t="shared" si="7"/>
        <v>Spin Attack</v>
      </c>
      <c r="G158" t="s">
        <v>366</v>
      </c>
      <c r="H158" t="s">
        <v>535</v>
      </c>
      <c r="I158" t="b">
        <v>0</v>
      </c>
      <c r="J158" t="b">
        <v>0</v>
      </c>
      <c r="K158" t="b">
        <v>0</v>
      </c>
      <c r="L158" s="62">
        <v>5</v>
      </c>
      <c r="M158" s="77" t="str">
        <f ca="1">IF(ISBLANK($L158),"",INDIRECT("'Avatars'!"&amp;ADDRESS(ROW(Avatars!$A$2)+$L158,COLUMN(Avatars!$A$2))))</f>
        <v>Warrior</v>
      </c>
      <c r="N158" s="6">
        <v>0.08</v>
      </c>
      <c r="O158" s="65">
        <f>IF($N158="""",O157,IF(ISBLANK($N158),"",$N158*AVERAGE(INDEX(Ranges!$O$7:$T$156,A158,L158+1),INDEX(Ranges!$U$7:$Z$156,A158,L158+1))))</f>
        <v>7.8933333333333335</v>
      </c>
      <c r="P158" s="63">
        <v>250</v>
      </c>
      <c r="Q158" s="75">
        <v>0</v>
      </c>
      <c r="R158" s="63">
        <v>8</v>
      </c>
      <c r="S158" s="63"/>
      <c r="T158" s="63"/>
      <c r="U158" s="41"/>
      <c r="V158" s="6">
        <v>1</v>
      </c>
      <c r="W158" s="91">
        <f>IF(ISBLANK(V158),"",IF(V158="""",W157,INDEX(Damage!$F$2:$F$151,A158)*V158*SUM(P158:Q158)/1000))</f>
        <v>10.408154121863801</v>
      </c>
      <c r="X158" s="62" t="s">
        <v>6</v>
      </c>
      <c r="Z158" s="16">
        <f>IF($O158="","",INDEX(Ranges!$O$7:$T$156,A158,L158+1)/O158)</f>
        <v>2.2804054054054053</v>
      </c>
      <c r="AA158" s="16">
        <f>IF(O158="","",INDEX(Ranges!$U$7:$Z$156,A158,L158+1)/O158)</f>
        <v>22.719594594594597</v>
      </c>
      <c r="AB158" s="16">
        <f>IF($B158="","",IF($B158="""","""",INDEX(Ranges!$O$7:$T$156,B158,L158+1)/$O158))</f>
        <v>3.1249999999999996</v>
      </c>
      <c r="AC158" s="16">
        <f>IF($B158="","",IF($B158="""","""",INDEX(Ranges!$U$7:$Z$156,$B158,$L158+1)/$O158))</f>
        <v>31.798986486486484</v>
      </c>
      <c r="AD158" t="s">
        <v>721</v>
      </c>
      <c r="AE158" t="str">
        <f t="shared" si="17"/>
        <v>Hit nearby enemies with your current melee weapon</v>
      </c>
      <c r="AF158" t="str">
        <f t="shared" si="14"/>
        <v>Hit nearby enemies with your current melee weapon</v>
      </c>
    </row>
    <row r="159" spans="1:32">
      <c r="A159" s="26">
        <v>12</v>
      </c>
      <c r="B159" s="26">
        <v>20</v>
      </c>
      <c r="C159" s="30" t="s">
        <v>536</v>
      </c>
      <c r="D159" s="30" t="s">
        <v>760</v>
      </c>
      <c r="E159">
        <v>0</v>
      </c>
      <c r="F159" t="str">
        <f t="shared" si="7"/>
        <v>Whirlwind Attack</v>
      </c>
      <c r="G159" t="s">
        <v>366</v>
      </c>
      <c r="H159" t="s">
        <v>535</v>
      </c>
      <c r="I159" t="b">
        <v>0</v>
      </c>
      <c r="J159" t="b">
        <v>0</v>
      </c>
      <c r="K159" t="b">
        <v>0</v>
      </c>
      <c r="L159" s="26">
        <v>5</v>
      </c>
      <c r="M159" s="77" t="str">
        <f ca="1">IF(ISBLANK($L159),"",INDIRECT("'Avatars'!"&amp;ADDRESS(ROW(Avatars!$A$2)+$L159,COLUMN(Avatars!$A$2))))</f>
        <v>Warrior</v>
      </c>
      <c r="N159" s="6">
        <v>0.05</v>
      </c>
      <c r="O159" s="65">
        <f>IF($N159="""",O158,IF(ISBLANK($N159),"",$N159*AVERAGE(INDEX(Ranges!$O$7:$T$156,A159,L159+1),INDEX(Ranges!$U$7:$Z$156,A159,L159+1))))</f>
        <v>6.8916666666666675</v>
      </c>
      <c r="Q159" s="75">
        <v>0</v>
      </c>
      <c r="R159" s="9">
        <v>8</v>
      </c>
      <c r="U159" s="41" t="str">
        <f t="shared" si="19"/>
        <v/>
      </c>
      <c r="V159" s="6">
        <v>1</v>
      </c>
      <c r="W159" s="91">
        <f>IF(ISBLANK(V159),"",IF(V159="""",W158,INDEX(Damage!$F$2:$F$151,A159)*V159*SUM(P159:Q159)/1000))</f>
        <v>0</v>
      </c>
      <c r="X159" s="62" t="s">
        <v>6</v>
      </c>
      <c r="Z159" s="16">
        <f>IF($O159="","",INDEX(Ranges!$O$7:$T$156,A159,L159+1)/O159)</f>
        <v>3.5792019347037476</v>
      </c>
      <c r="AA159" s="16">
        <f>IF(O159="","",INDEX(Ranges!$U$7:$Z$156,A159,L159+1)/O159)</f>
        <v>36.420798065296246</v>
      </c>
      <c r="AB159" s="16">
        <f>IF($B159="","",IF($B159="""","""",INDEX(Ranges!$O$7:$T$156,B159,L159+1)/$O159))</f>
        <v>5.5139056831922604</v>
      </c>
      <c r="AC159" s="16">
        <f>IF($B159="","",IF($B159="""","""",INDEX(Ranges!$U$7:$Z$156,$B159,$L159+1)/$O159))</f>
        <v>57.218863361547754</v>
      </c>
      <c r="AD159" t="s">
        <v>721</v>
      </c>
      <c r="AE159" t="str">
        <f t="shared" si="17"/>
        <v>Hit nearby enemies with your current melee weapon</v>
      </c>
      <c r="AF159" t="str">
        <f t="shared" si="14"/>
        <v>Hit nearby enemies with your current melee weapon</v>
      </c>
    </row>
    <row r="160" spans="1:32">
      <c r="A160" s="26">
        <v>21</v>
      </c>
      <c r="B160" s="26">
        <v>40</v>
      </c>
      <c r="C160" s="30" t="s">
        <v>536</v>
      </c>
      <c r="D160" s="30" t="s">
        <v>760</v>
      </c>
      <c r="E160">
        <v>1</v>
      </c>
      <c r="F160" t="str">
        <f t="shared" si="7"/>
        <v>(Whirlwind Attack)</v>
      </c>
      <c r="G160" t="s">
        <v>366</v>
      </c>
      <c r="H160" t="s">
        <v>535</v>
      </c>
      <c r="I160" t="b">
        <v>0</v>
      </c>
      <c r="J160" t="b">
        <v>0</v>
      </c>
      <c r="K160" t="b">
        <v>0</v>
      </c>
      <c r="L160" s="62">
        <v>5</v>
      </c>
      <c r="M160" s="77" t="str">
        <f ca="1">IF(ISBLANK($L160),"",INDIRECT("'Avatars'!"&amp;ADDRESS(ROW(Avatars!$A$2)+$L160,COLUMN(Avatars!$A$2))))</f>
        <v>Warrior</v>
      </c>
      <c r="N160" s="6" t="s">
        <v>241</v>
      </c>
      <c r="O160" s="65">
        <f>IF($N160="""",O159,IF(ISBLANK($N160),"",$N160*AVERAGE(INDEX(Ranges!$O$7:$T$156,A160,L160+1),INDEX(Ranges!$U$7:$Z$156,A160,L160+1))))</f>
        <v>6.8916666666666675</v>
      </c>
      <c r="Q160" s="75">
        <v>0</v>
      </c>
      <c r="R160" s="9">
        <v>8</v>
      </c>
      <c r="U160" s="41" t="str">
        <f t="shared" si="19"/>
        <v/>
      </c>
      <c r="V160" s="6">
        <v>1</v>
      </c>
      <c r="W160" s="91">
        <f>IF(ISBLANK(V160),"",IF(V160="""",W159,INDEX(Damage!$F$2:$F$151,A160)*V160*SUM(P160:Q160)/1000))</f>
        <v>0</v>
      </c>
      <c r="X160" s="62" t="s">
        <v>6</v>
      </c>
      <c r="Z160" s="16">
        <f>IF($O160="","",INDEX(Ranges!$O$7:$T$156,A160,L160+1)/O160)</f>
        <v>5.755743651753324</v>
      </c>
      <c r="AA160" s="16">
        <f>IF(O160="","",INDEX(Ranges!$U$7:$Z$156,A160,L160+1)/O160)</f>
        <v>59.347037484885121</v>
      </c>
      <c r="AB160" s="16">
        <f>IF($B160="","",IF($B160="""","""",INDEX(Ranges!$O$7:$T$156,B160,L160+1)/$O160))</f>
        <v>10.350665054413541</v>
      </c>
      <c r="AC160" s="16">
        <f>IF($B160="","",IF($B160="""","""",INDEX(Ranges!$U$7:$Z$156,$B160,$L160+1)/$O160))</f>
        <v>111.10036275695282</v>
      </c>
      <c r="AD160" t="s">
        <v>721</v>
      </c>
      <c r="AE160" t="str">
        <f t="shared" si="17"/>
        <v>Hit nearby enemies with your current melee weapon</v>
      </c>
      <c r="AF160" t="str">
        <f t="shared" si="14"/>
        <v>Hit nearby enemies with your current melee weapon</v>
      </c>
    </row>
    <row r="161" spans="1:32">
      <c r="A161" s="26">
        <v>41</v>
      </c>
      <c r="B161" s="26">
        <v>60</v>
      </c>
      <c r="C161" s="30" t="s">
        <v>537</v>
      </c>
      <c r="D161" s="30" t="s">
        <v>758</v>
      </c>
      <c r="E161">
        <v>0</v>
      </c>
      <c r="F161" t="str">
        <f t="shared" si="7"/>
        <v>Vortex Attack</v>
      </c>
      <c r="G161" t="s">
        <v>366</v>
      </c>
      <c r="H161" t="s">
        <v>535</v>
      </c>
      <c r="I161" t="b">
        <v>0</v>
      </c>
      <c r="J161" t="b">
        <v>0</v>
      </c>
      <c r="K161" t="b">
        <v>0</v>
      </c>
      <c r="L161" s="62">
        <v>5</v>
      </c>
      <c r="M161" s="77" t="str">
        <f ca="1">IF(ISBLANK($L161),"",INDIRECT("'Avatars'!"&amp;ADDRESS(ROW(Avatars!$A$2)+$L161,COLUMN(Avatars!$A$2))))</f>
        <v>Warrior</v>
      </c>
      <c r="N161" s="6">
        <v>0.05</v>
      </c>
      <c r="O161" s="65">
        <f>IF($N161="""",O160,IF(ISBLANK($N161),"",$N161*AVERAGE(INDEX(Ranges!$O$7:$T$156,A161,L161+1),INDEX(Ranges!$U$7:$Z$156,A161,L161+1))))</f>
        <v>21.983333333333334</v>
      </c>
      <c r="Q161" s="75">
        <v>0</v>
      </c>
      <c r="R161" s="9">
        <v>8</v>
      </c>
      <c r="U161" s="41" t="str">
        <f t="shared" si="19"/>
        <v/>
      </c>
      <c r="V161" s="6">
        <v>1</v>
      </c>
      <c r="W161" s="91">
        <f>IF(ISBLANK(V161),"",IF(V161="""",W160,INDEX(Damage!$F$2:$F$151,A161)*V161*SUM(P161:Q161)/1000))</f>
        <v>0</v>
      </c>
      <c r="X161" s="62" t="s">
        <v>7</v>
      </c>
      <c r="Z161" s="16">
        <f>IF($O161="","",INDEX(Ranges!$O$7:$T$156,A161,L161+1)/O161)</f>
        <v>3.3206974981046247</v>
      </c>
      <c r="AA161" s="16">
        <f>IF(O161="","",INDEX(Ranges!$U$7:$Z$156,A161,L161+1)/O161)</f>
        <v>36.679302501895378</v>
      </c>
      <c r="AB161" s="16">
        <f>IF($B161="","",IF($B161="""","""",INDEX(Ranges!$O$7:$T$156,B161,L161+1)/$O161))</f>
        <v>4.7611827141774068</v>
      </c>
      <c r="AC161" s="16">
        <f>IF($B161="","",IF($B161="""","""",INDEX(Ranges!$U$7:$Z$156,$B161,$L161+1)/$O161))</f>
        <v>54.086429112964368</v>
      </c>
      <c r="AD161" t="s">
        <v>721</v>
      </c>
      <c r="AE161" t="str">
        <f t="shared" si="17"/>
        <v>Hit nearby enemies with your current melee weapon</v>
      </c>
      <c r="AF161" t="str">
        <f t="shared" si="14"/>
        <v>Hit nearby enemies with your current melee weapon</v>
      </c>
    </row>
    <row r="162" spans="1:32">
      <c r="A162" s="26">
        <v>61</v>
      </c>
      <c r="B162" s="26">
        <v>80</v>
      </c>
      <c r="C162" s="30" t="s">
        <v>537</v>
      </c>
      <c r="D162" s="30" t="s">
        <v>758</v>
      </c>
      <c r="E162">
        <v>1</v>
      </c>
      <c r="F162" t="str">
        <f t="shared" si="7"/>
        <v>(Vortex Attack)</v>
      </c>
      <c r="G162" t="s">
        <v>366</v>
      </c>
      <c r="H162" t="s">
        <v>535</v>
      </c>
      <c r="I162" t="b">
        <v>0</v>
      </c>
      <c r="J162" t="b">
        <v>0</v>
      </c>
      <c r="K162" t="b">
        <v>0</v>
      </c>
      <c r="L162" s="62">
        <v>5</v>
      </c>
      <c r="M162" s="77" t="str">
        <f ca="1">IF(ISBLANK($L162),"",INDIRECT("'Avatars'!"&amp;ADDRESS(ROW(Avatars!$A$2)+$L162,COLUMN(Avatars!$A$2))))</f>
        <v>Warrior</v>
      </c>
      <c r="N162" s="6" t="s">
        <v>241</v>
      </c>
      <c r="O162" s="65">
        <f>IF($N162="""",O161,IF(ISBLANK($N162),"",$N162*AVERAGE(INDEX(Ranges!$O$7:$T$156,A162,L162+1),INDEX(Ranges!$U$7:$Z$156,A162,L162+1))))</f>
        <v>21.983333333333334</v>
      </c>
      <c r="Q162" s="75">
        <v>0</v>
      </c>
      <c r="R162" s="9">
        <v>8</v>
      </c>
      <c r="U162" s="41" t="str">
        <f t="shared" si="19"/>
        <v/>
      </c>
      <c r="V162" s="6">
        <v>1</v>
      </c>
      <c r="W162" s="91">
        <f>IF(ISBLANK(V162),"",IF(V162="""",W161,INDEX(Damage!$F$2:$F$151,A162)*V162*SUM(P162:Q162)/1000))</f>
        <v>0</v>
      </c>
      <c r="X162" s="62" t="s">
        <v>7</v>
      </c>
      <c r="Z162" s="16">
        <f>IF($O162="","",INDEX(Ranges!$O$7:$T$156,A162,L162+1)/O162)</f>
        <v>4.8369977255496588</v>
      </c>
      <c r="AA162" s="16">
        <f>IF(O162="","",INDEX(Ranges!$U$7:$Z$156,A162,L162+1)/O162)</f>
        <v>54.753601213040184</v>
      </c>
      <c r="AB162" s="16">
        <f>IF($B162="","",IF($B162="""","""",INDEX(Ranges!$O$7:$T$156,B162,L162+1)/$O162))</f>
        <v>6.2774829416224414</v>
      </c>
      <c r="AC162" s="16">
        <f>IF($B162="","",IF($B162="""","""",INDEX(Ranges!$U$7:$Z$156,$B162,$L162+1)/$O162))</f>
        <v>76.891584533737671</v>
      </c>
      <c r="AD162" t="s">
        <v>721</v>
      </c>
      <c r="AE162" t="str">
        <f t="shared" si="17"/>
        <v>Hit nearby enemies with your current melee weapon</v>
      </c>
      <c r="AF162" t="str">
        <f t="shared" si="14"/>
        <v>Hit nearby enemies with your current melee weapon</v>
      </c>
    </row>
    <row r="163" spans="1:32">
      <c r="A163" s="26">
        <v>81</v>
      </c>
      <c r="B163" s="26">
        <v>150</v>
      </c>
      <c r="C163" s="30" t="s">
        <v>537</v>
      </c>
      <c r="D163" s="30" t="s">
        <v>758</v>
      </c>
      <c r="E163">
        <v>2</v>
      </c>
      <c r="F163" t="str">
        <f t="shared" si="7"/>
        <v>(Vortex Attack)</v>
      </c>
      <c r="G163" t="s">
        <v>366</v>
      </c>
      <c r="H163" t="s">
        <v>535</v>
      </c>
      <c r="I163" t="b">
        <v>0</v>
      </c>
      <c r="J163" t="b">
        <v>0</v>
      </c>
      <c r="K163" t="b">
        <v>0</v>
      </c>
      <c r="L163" s="62">
        <v>5</v>
      </c>
      <c r="M163" s="77" t="str">
        <f ca="1">IF(ISBLANK($L163),"",INDIRECT("'Avatars'!"&amp;ADDRESS(ROW(Avatars!$A$2)+$L163,COLUMN(Avatars!$A$2))))</f>
        <v>Warrior</v>
      </c>
      <c r="N163" s="6" t="s">
        <v>241</v>
      </c>
      <c r="O163" s="65">
        <f>IF($N163="""",O162,IF(ISBLANK($N163),"",$N163*AVERAGE(INDEX(Ranges!$O$7:$T$156,A163,L163+1),INDEX(Ranges!$U$7:$Z$156,A163,L163+1))))</f>
        <v>21.983333333333334</v>
      </c>
      <c r="Q163" s="75">
        <v>0</v>
      </c>
      <c r="R163" s="9">
        <v>8</v>
      </c>
      <c r="U163" s="41" t="str">
        <f t="shared" si="19"/>
        <v/>
      </c>
      <c r="V163" s="6">
        <v>1</v>
      </c>
      <c r="W163" s="91">
        <f>IF(ISBLANK(V163),"",IF(V163="""",W162,INDEX(Damage!$F$2:$F$151,A163)*V163*SUM(P163:Q163)/1000))</f>
        <v>0</v>
      </c>
      <c r="X163" s="62" t="s">
        <v>7</v>
      </c>
      <c r="Z163" s="16">
        <f>IF($O163="","",INDEX(Ranges!$O$7:$T$156,A163,L163+1)/O163)</f>
        <v>6.3532979529946925</v>
      </c>
      <c r="AA163" s="16">
        <f>IF(O163="","",INDEX(Ranges!$U$7:$Z$156,A163,L163+1)/O163)</f>
        <v>77.558756633813488</v>
      </c>
      <c r="AB163" s="16">
        <f>IF($B163="","",IF($B163="""","""",INDEX(Ranges!$O$7:$T$156,B163,L163+1)/$O163))</f>
        <v>11.58453373768006</v>
      </c>
      <c r="AC163" s="16">
        <f>IF($B163="","",IF($B163="""","""",INDEX(Ranges!$U$7:$Z$156,$B163,$L163+1)/$O163))</f>
        <v>123.59363153904472</v>
      </c>
      <c r="AD163" t="s">
        <v>721</v>
      </c>
      <c r="AE163" t="str">
        <f t="shared" si="17"/>
        <v>Hit nearby enemies with your current melee weapon</v>
      </c>
      <c r="AF163" t="str">
        <f t="shared" si="14"/>
        <v>Hit nearby enemies with your current melee weapon</v>
      </c>
    </row>
    <row r="164" spans="1:32">
      <c r="M164" s="77" t="str">
        <f ca="1">IF(ISBLANK($L164),"",INDIRECT("'Avatars'!"&amp;ADDRESS(ROW(Avatars!$A$2)+$L164,COLUMN(Avatars!$A$2))))</f>
        <v/>
      </c>
      <c r="O164" s="63" t="str">
        <f>IF($N164="""",O163,IF(ISBLANK($N164),"",$N164*AVERAGE(INDEX(Ranges!$O$7:$T$156,A164,L164+1),INDEX(Ranges!$U$7:$Z$156,A164,L164+1))))</f>
        <v/>
      </c>
      <c r="U164" s="41" t="str">
        <f t="shared" si="19"/>
        <v/>
      </c>
      <c r="W164" s="91" t="str">
        <f>IF(ISBLANK(V164),"",IF(V164="""",W163,INDEX(Damage!$F$2:$F$151,A164)*V164*SUM(P164:Q164)/1000))</f>
        <v/>
      </c>
      <c r="Z164" s="16" t="str">
        <f>IF($O164="","",INDEX(Ranges!$O$7:$T$156,A164,L164+1)/O164)</f>
        <v/>
      </c>
      <c r="AA164" s="16" t="str">
        <f>IF(O164="","",INDEX(Ranges!$U$7:$Z$156,A164,L164+1)/O164)</f>
        <v/>
      </c>
      <c r="AB164" s="16" t="str">
        <f>IF($B164="","",IF($B164="""","""",INDEX(Ranges!$O$7:$T$156,B164,L164+1)/$O164))</f>
        <v/>
      </c>
      <c r="AC164" s="16" t="str">
        <f>IF($B164="","",IF($B164="""","""",INDEX(Ranges!$U$7:$Z$156,$B164,$L164+1)/$O164))</f>
        <v/>
      </c>
    </row>
    <row r="165" spans="1:32">
      <c r="M165" s="77" t="str">
        <f ca="1">IF(ISBLANK($L165),"",INDIRECT("'Avatars'!"&amp;ADDRESS(ROW(Avatars!$A$2)+$L165,COLUMN(Avatars!$A$2))))</f>
        <v/>
      </c>
      <c r="O165" s="63" t="str">
        <f>IF($N165="""",O164,IF(ISBLANK($N165),"",$N165*AVERAGE(INDEX(Ranges!$O$7:$T$156,A165,L165+1),INDEX(Ranges!$U$7:$Z$156,A165,L165+1))))</f>
        <v/>
      </c>
      <c r="U165" s="41" t="str">
        <f t="shared" si="19"/>
        <v/>
      </c>
      <c r="W165" s="91" t="str">
        <f>IF(ISBLANK(V165),"",IF(V165="""",W164,INDEX(Damage!$F$2:$F$151,A165)*V165*SUM(P165:Q165)/1000))</f>
        <v/>
      </c>
      <c r="Z165" s="16" t="str">
        <f>IF($O165="","",INDEX(Ranges!$O$7:$T$156,A165,L165+1)/O165)</f>
        <v/>
      </c>
      <c r="AA165" s="16" t="str">
        <f>IF(O165="","",INDEX(Ranges!$U$7:$Z$156,A165,L165+1)/O165)</f>
        <v/>
      </c>
      <c r="AB165" s="16" t="str">
        <f>IF($B165="","",IF($B165="""","""",INDEX(Ranges!$O$7:$T$156,B165,L165+1)/$O165))</f>
        <v/>
      </c>
      <c r="AC165" s="16" t="str">
        <f>IF($B165="","",IF($B165="""","""",INDEX(Ranges!$U$7:$Z$156,$B165,$L165+1)/$O165))</f>
        <v/>
      </c>
    </row>
    <row r="166" spans="1:32">
      <c r="M166" s="77" t="str">
        <f ca="1">IF(ISBLANK($L166),"",INDIRECT("'Avatars'!"&amp;ADDRESS(ROW(Avatars!$A$2)+$L166,COLUMN(Avatars!$A$2))))</f>
        <v/>
      </c>
      <c r="O166" s="63" t="str">
        <f>IF($N166="""",O165,IF(ISBLANK($N166),"",$N166*AVERAGE(INDEX(Ranges!$O$7:$T$156,A166,L166+1),INDEX(Ranges!$U$7:$Z$156,A166,L166+1))))</f>
        <v/>
      </c>
      <c r="U166" s="41" t="str">
        <f t="shared" si="19"/>
        <v/>
      </c>
      <c r="W166" s="91" t="str">
        <f>IF(ISBLANK(V166),"",IF(V166="""",W165,INDEX(Damage!$F$2:$F$151,A166)*V166*SUM(P166:Q166)/1000))</f>
        <v/>
      </c>
      <c r="Z166" s="16" t="str">
        <f>IF($O166="","",INDEX(Ranges!$O$7:$T$156,A166,L166+1)/O166)</f>
        <v/>
      </c>
      <c r="AA166" s="16" t="str">
        <f>IF(O166="","",INDEX(Ranges!$U$7:$Z$156,A166,L166+1)/O166)</f>
        <v/>
      </c>
      <c r="AB166" s="16" t="str">
        <f>IF($B166="","",IF($B166="""","""",INDEX(Ranges!$O$7:$T$156,B166,L166+1)/$O166))</f>
        <v/>
      </c>
      <c r="AC166" s="16" t="str">
        <f>IF($B166="","",IF($B166="""","""",INDEX(Ranges!$U$7:$Z$156,$B166,$L166+1)/$O166))</f>
        <v/>
      </c>
    </row>
    <row r="167" spans="1:32">
      <c r="M167" s="77" t="str">
        <f ca="1">IF(ISBLANK($L167),"",INDIRECT("'Avatars'!"&amp;ADDRESS(ROW(Avatars!$A$2)+$L167,COLUMN(Avatars!$A$2))))</f>
        <v/>
      </c>
      <c r="O167" s="63" t="str">
        <f>IF($N167="""",O166,IF(ISBLANK($N167),"",$N167*AVERAGE(INDEX(Ranges!$O$7:$T$156,A167,L167+1),INDEX(Ranges!$U$7:$Z$156,A167,L167+1))))</f>
        <v/>
      </c>
      <c r="U167" s="41" t="str">
        <f t="shared" si="19"/>
        <v/>
      </c>
      <c r="W167" s="91" t="str">
        <f>IF(ISBLANK(V167),"",IF(V167="""",W166,INDEX(Damage!$F$2:$F$151,A167)*V167*SUM(P167:Q167)/1000))</f>
        <v/>
      </c>
      <c r="Z167" s="16" t="str">
        <f>IF($O167="","",INDEX(Ranges!$O$7:$T$156,A167,L167+1)/O167)</f>
        <v/>
      </c>
      <c r="AA167" s="16" t="str">
        <f>IF(O167="","",INDEX(Ranges!$U$7:$Z$156,A167,L167+1)/O167)</f>
        <v/>
      </c>
      <c r="AB167" s="16" t="str">
        <f>IF($B167="","",IF($B167="""","""",INDEX(Ranges!$O$7:$T$156,B167,L167+1)/$O167))</f>
        <v/>
      </c>
      <c r="AC167" s="16" t="str">
        <f>IF($B167="","",IF($B167="""","""",INDEX(Ranges!$U$7:$Z$156,$B167,$L167+1)/$O167))</f>
        <v/>
      </c>
    </row>
    <row r="168" spans="1:32">
      <c r="M168" s="77" t="str">
        <f ca="1">IF(ISBLANK($L168),"",INDIRECT("'Avatars'!"&amp;ADDRESS(ROW(Avatars!$A$2)+$L168,COLUMN(Avatars!$A$2))))</f>
        <v/>
      </c>
      <c r="O168" s="63" t="str">
        <f>IF($N168="""",O167,IF(ISBLANK($N168),"",$N168*AVERAGE(INDEX(Ranges!$O$7:$T$156,A168,L168+1),INDEX(Ranges!$U$7:$Z$156,A168,L168+1))))</f>
        <v/>
      </c>
      <c r="U168" s="41" t="str">
        <f t="shared" si="19"/>
        <v/>
      </c>
      <c r="W168" s="91" t="str">
        <f>IF(ISBLANK(V168),"",IF(V168="""",W167,INDEX(Damage!$F$2:$F$151,A168)*V168*SUM(P168:Q168)/1000))</f>
        <v/>
      </c>
      <c r="Z168" s="16" t="str">
        <f>IF($O168="","",INDEX(Ranges!$O$7:$T$156,A168,L168+1)/O168)</f>
        <v/>
      </c>
      <c r="AA168" s="16" t="str">
        <f>IF(O168="","",INDEX(Ranges!$U$7:$Z$156,A168,L168+1)/O168)</f>
        <v/>
      </c>
      <c r="AB168" s="16" t="str">
        <f>IF($B168="","",IF($B168="""","""",INDEX(Ranges!$O$7:$T$156,B168,L168+1)/$O168))</f>
        <v/>
      </c>
      <c r="AC168" s="16" t="str">
        <f>IF($B168="","",IF($B168="""","""",INDEX(Ranges!$U$7:$Z$156,$B168,$L168+1)/$O168))</f>
        <v/>
      </c>
    </row>
    <row r="169" spans="1:32">
      <c r="M169" s="77" t="str">
        <f ca="1">IF(ISBLANK($L169),"",INDIRECT("'Avatars'!"&amp;ADDRESS(ROW(Avatars!$A$2)+$L169,COLUMN(Avatars!$A$2))))</f>
        <v/>
      </c>
      <c r="O169" s="63" t="str">
        <f>IF($N169="""",O168,IF(ISBLANK($N169),"",$N169*AVERAGE(INDEX(Ranges!$O$7:$T$156,A169,L169+1),INDEX(Ranges!$U$7:$Z$156,A169,L169+1))))</f>
        <v/>
      </c>
      <c r="U169" s="41" t="str">
        <f t="shared" si="19"/>
        <v/>
      </c>
      <c r="W169" s="91" t="str">
        <f>IF(ISBLANK(V169),"",IF(V169="""",W168,INDEX(Damage!$F$2:$F$151,A169)*V169*SUM(P169:Q169)/1000))</f>
        <v/>
      </c>
      <c r="Z169" s="16" t="str">
        <f>IF($O169="","",INDEX(Ranges!$O$7:$T$156,A169,L169+1)/O169)</f>
        <v/>
      </c>
      <c r="AA169" s="16" t="str">
        <f>IF(O169="","",INDEX(Ranges!$U$7:$Z$156,A169,L169+1)/O169)</f>
        <v/>
      </c>
      <c r="AB169" s="16" t="str">
        <f>IF($B169="","",IF($B169="""","""",INDEX(Ranges!$O$7:$T$156,B169,L169+1)/$O169))</f>
        <v/>
      </c>
      <c r="AC169" s="16" t="str">
        <f>IF($B169="","",IF($B169="""","""",INDEX(Ranges!$U$7:$Z$156,$B169,$L169+1)/$O169))</f>
        <v/>
      </c>
    </row>
    <row r="170" spans="1:32">
      <c r="M170" s="77" t="str">
        <f ca="1">IF(ISBLANK($L170),"",INDIRECT("'Avatars'!"&amp;ADDRESS(ROW(Avatars!$A$2)+$L170,COLUMN(Avatars!$A$2))))</f>
        <v/>
      </c>
      <c r="O170" s="63" t="str">
        <f>IF($N170="""",O169,IF(ISBLANK($N170),"",$N170*AVERAGE(INDEX(Ranges!$O$7:$T$156,A170,L170+1),INDEX(Ranges!$U$7:$Z$156,A170,L170+1))))</f>
        <v/>
      </c>
      <c r="U170" s="41" t="str">
        <f t="shared" si="19"/>
        <v/>
      </c>
      <c r="W170" s="91" t="str">
        <f>IF(ISBLANK(V170),"",IF(V170="""",W169,INDEX(Damage!$F$2:$F$151,A170)*V170*SUM(P170:Q170)/1000))</f>
        <v/>
      </c>
      <c r="Z170" s="16" t="str">
        <f>IF($O170="","",INDEX(Ranges!$O$7:$T$156,A170,L170+1)/O170)</f>
        <v/>
      </c>
      <c r="AA170" s="16" t="str">
        <f>IF(O170="","",INDEX(Ranges!$U$7:$Z$156,A170,L170+1)/O170)</f>
        <v/>
      </c>
      <c r="AB170" s="16" t="str">
        <f>IF($B170="","",IF($B170="""","""",INDEX(Ranges!$O$7:$T$156,B170,L170+1)/$O170))</f>
        <v/>
      </c>
      <c r="AC170" s="16" t="str">
        <f>IF($B170="","",IF($B170="""","""",INDEX(Ranges!$U$7:$Z$156,$B170,$L170+1)/$O170))</f>
        <v/>
      </c>
    </row>
    <row r="171" spans="1:32">
      <c r="M171" s="77" t="str">
        <f ca="1">IF(ISBLANK($L171),"",INDIRECT("'Avatars'!"&amp;ADDRESS(ROW(Avatars!$A$2)+$L171,COLUMN(Avatars!$A$2))))</f>
        <v/>
      </c>
      <c r="O171" s="63" t="str">
        <f>IF($N171="""",O170,IF(ISBLANK($N171),"",$N171*AVERAGE(INDEX(Ranges!$O$7:$T$156,A171,L171+1),INDEX(Ranges!$U$7:$Z$156,A171,L171+1))))</f>
        <v/>
      </c>
      <c r="U171" s="41" t="str">
        <f t="shared" si="19"/>
        <v/>
      </c>
      <c r="W171" s="91" t="str">
        <f>IF(ISBLANK(V171),"",IF(V171="""",W170,INDEX(Damage!$F$2:$F$151,A171)*V171*SUM(P171:Q171)/1000))</f>
        <v/>
      </c>
      <c r="Z171" s="16" t="str">
        <f>IF($O171="","",INDEX(Ranges!$O$7:$T$156,A171,L171+1)/O171)</f>
        <v/>
      </c>
      <c r="AA171" s="16" t="str">
        <f>IF(O171="","",INDEX(Ranges!$U$7:$Z$156,A171,L171+1)/O171)</f>
        <v/>
      </c>
      <c r="AB171" s="16" t="str">
        <f>IF($B171="","",IF($B171="""","""",INDEX(Ranges!$O$7:$T$156,B171,L171+1)/$O171))</f>
        <v/>
      </c>
      <c r="AC171" s="16" t="str">
        <f>IF($B171="","",IF($B171="""","""",INDEX(Ranges!$U$7:$Z$156,$B171,$L171+1)/$O171))</f>
        <v/>
      </c>
    </row>
    <row r="172" spans="1:32">
      <c r="M172" s="77" t="str">
        <f ca="1">IF(ISBLANK($L172),"",INDIRECT("'Avatars'!"&amp;ADDRESS(ROW(Avatars!$A$2)+$L172,COLUMN(Avatars!$A$2))))</f>
        <v/>
      </c>
      <c r="O172" s="63" t="str">
        <f>IF($N172="""",O171,IF(ISBLANK($N172),"",$N172*AVERAGE(INDEX(Ranges!$O$7:$T$156,A172,L172+1),INDEX(Ranges!$U$7:$Z$156,A172,L172+1))))</f>
        <v/>
      </c>
      <c r="U172" s="41" t="str">
        <f t="shared" si="19"/>
        <v/>
      </c>
      <c r="W172" s="91" t="str">
        <f>IF(ISBLANK(V172),"",IF(V172="""",W171,INDEX(Damage!$F$2:$F$151,A172)*V172*SUM(P172:Q172)/1000))</f>
        <v/>
      </c>
      <c r="Z172" s="16" t="str">
        <f>IF($O172="","",INDEX(Ranges!$O$7:$T$156,A172,L172+1)/O172)</f>
        <v/>
      </c>
      <c r="AA172" s="16" t="str">
        <f>IF(O172="","",INDEX(Ranges!$U$7:$Z$156,A172,L172+1)/O172)</f>
        <v/>
      </c>
      <c r="AB172" s="16" t="str">
        <f>IF($B172="","",IF($B172="""","""",INDEX(Ranges!$O$7:$T$156,B172,L172+1)/$O172))</f>
        <v/>
      </c>
      <c r="AC172" s="16" t="str">
        <f>IF($B172="","",IF($B172="""","""",INDEX(Ranges!$U$7:$Z$156,$B172,$L172+1)/$O172))</f>
        <v/>
      </c>
    </row>
    <row r="173" spans="1:32">
      <c r="M173" s="77" t="str">
        <f ca="1">IF(ISBLANK($L173),"",INDIRECT("'Avatars'!"&amp;ADDRESS(ROW(Avatars!$A$2)+$L173,COLUMN(Avatars!$A$2))))</f>
        <v/>
      </c>
      <c r="O173" s="63" t="str">
        <f>IF($N173="""",O172,IF(ISBLANK($N173),"",$N173*AVERAGE(INDEX(Ranges!$O$7:$T$156,A173,L173+1),INDEX(Ranges!$U$7:$Z$156,A173,L173+1))))</f>
        <v/>
      </c>
      <c r="U173" s="41" t="str">
        <f t="shared" si="19"/>
        <v/>
      </c>
      <c r="W173" s="91" t="str">
        <f>IF(ISBLANK(V173),"",IF(V173="""",W172,INDEX(Damage!$F$2:$F$151,A173)*V173*SUM(P173:Q173)/1000))</f>
        <v/>
      </c>
      <c r="Z173" s="16" t="str">
        <f>IF($O173="","",INDEX(Ranges!$O$7:$T$156,A173,L173+1)/O173)</f>
        <v/>
      </c>
      <c r="AA173" s="16" t="str">
        <f>IF(O173="","",INDEX(Ranges!$U$7:$Z$156,A173,L173+1)/O173)</f>
        <v/>
      </c>
      <c r="AB173" s="16" t="str">
        <f>IF($B173="","",IF($B173="""","""",INDEX(Ranges!$O$7:$T$156,B173,L173+1)/$O173))</f>
        <v/>
      </c>
      <c r="AC173" s="16" t="str">
        <f>IF($B173="","",IF($B173="""","""",INDEX(Ranges!$U$7:$Z$156,$B173,$L173+1)/$O173))</f>
        <v/>
      </c>
    </row>
    <row r="174" spans="1:32">
      <c r="M174" s="77" t="str">
        <f ca="1">IF(ISBLANK($L174),"",INDIRECT("'Avatars'!"&amp;ADDRESS(ROW(Avatars!$A$2)+$L174,COLUMN(Avatars!$A$2))))</f>
        <v/>
      </c>
      <c r="O174" s="63" t="str">
        <f>IF($N174="""",O173,IF(ISBLANK($N174),"",$N174*AVERAGE(INDEX(Ranges!$O$7:$T$156,A174,L174+1),INDEX(Ranges!$U$7:$Z$156,A174,L174+1))))</f>
        <v/>
      </c>
      <c r="U174" s="41" t="str">
        <f t="shared" si="19"/>
        <v/>
      </c>
      <c r="W174" s="91" t="str">
        <f>IF(ISBLANK(V174),"",IF(V174="""",W173,INDEX(Damage!$F$2:$F$151,A174)*V174*SUM(P174:Q174)/1000))</f>
        <v/>
      </c>
      <c r="Z174" s="16" t="str">
        <f>IF($O174="","",INDEX(Ranges!$O$7:$T$156,A174,L174+1)/O174)</f>
        <v/>
      </c>
      <c r="AA174" s="16" t="str">
        <f>IF(O174="","",INDEX(Ranges!$U$7:$Z$156,A174,L174+1)/O174)</f>
        <v/>
      </c>
      <c r="AB174" s="16" t="str">
        <f>IF($B174="","",IF($B174="""","""",INDEX(Ranges!$O$7:$T$156,B174,L174+1)/$O174))</f>
        <v/>
      </c>
      <c r="AC174" s="16" t="str">
        <f>IF($B174="","",IF($B174="""","""",INDEX(Ranges!$U$7:$Z$156,$B174,$L174+1)/$O174))</f>
        <v/>
      </c>
    </row>
    <row r="175" spans="1:32">
      <c r="M175" s="77" t="str">
        <f ca="1">IF(ISBLANK($L175),"",INDIRECT("'Avatars'!"&amp;ADDRESS(ROW(Avatars!$A$2)+$L175,COLUMN(Avatars!$A$2))))</f>
        <v/>
      </c>
      <c r="O175" s="63" t="str">
        <f>IF($N175="""",O174,IF(ISBLANK($N175),"",$N175*AVERAGE(INDEX(Ranges!$O$7:$T$156,A175,L175+1),INDEX(Ranges!$U$7:$Z$156,A175,L175+1))))</f>
        <v/>
      </c>
      <c r="U175" s="41" t="str">
        <f t="shared" si="19"/>
        <v/>
      </c>
      <c r="W175" s="91" t="str">
        <f>IF(ISBLANK(V175),"",IF(V175="""",W174,INDEX(Damage!$F$2:$F$151,A175)*V175*SUM(P175:Q175)/1000))</f>
        <v/>
      </c>
      <c r="Z175" s="16" t="str">
        <f>IF($O175="","",INDEX(Ranges!$O$7:$T$156,A175,L175+1)/O175)</f>
        <v/>
      </c>
      <c r="AA175" s="16" t="str">
        <f>IF(O175="","",INDEX(Ranges!$U$7:$Z$156,A175,L175+1)/O175)</f>
        <v/>
      </c>
      <c r="AB175" s="16" t="str">
        <f>IF($B175="","",IF($B175="""","""",INDEX(Ranges!$O$7:$T$156,B175,L175+1)/$O175))</f>
        <v/>
      </c>
      <c r="AC175" s="16" t="str">
        <f>IF($B175="","",IF($B175="""","""",INDEX(Ranges!$U$7:$Z$156,$B175,$L175+1)/$O175))</f>
        <v/>
      </c>
    </row>
    <row r="176" spans="1:32">
      <c r="M176" s="77" t="str">
        <f ca="1">IF(ISBLANK($L176),"",INDIRECT("'Avatars'!"&amp;ADDRESS(ROW(Avatars!$A$2)+$L176,COLUMN(Avatars!$A$2))))</f>
        <v/>
      </c>
      <c r="O176" s="63" t="str">
        <f>IF($N176="""",O175,IF(ISBLANK($N176),"",$N176*AVERAGE(INDEX(Ranges!$O$7:$T$156,A176,L176+1),INDEX(Ranges!$U$7:$Z$156,A176,L176+1))))</f>
        <v/>
      </c>
      <c r="U176" s="41" t="str">
        <f t="shared" si="19"/>
        <v/>
      </c>
      <c r="W176" s="91" t="str">
        <f>IF(ISBLANK(V176),"",IF(V176="""",W175,INDEX(Damage!$F$2:$F$151,A176)*V176*SUM(P176:Q176)/1000))</f>
        <v/>
      </c>
      <c r="Z176" s="16" t="str">
        <f>IF($O176="","",INDEX(Ranges!$O$7:$T$156,A176,L176+1)/O176)</f>
        <v/>
      </c>
      <c r="AA176" s="16" t="str">
        <f>IF(O176="","",INDEX(Ranges!$U$7:$Z$156,A176,L176+1)/O176)</f>
        <v/>
      </c>
      <c r="AB176" s="16" t="str">
        <f>IF($B176="","",IF($B176="""","""",INDEX(Ranges!$O$7:$T$156,B176,L176+1)/$O176))</f>
        <v/>
      </c>
      <c r="AC176" s="16" t="str">
        <f>IF($B176="","",IF($B176="""","""",INDEX(Ranges!$U$7:$Z$156,$B176,$L176+1)/$O176))</f>
        <v/>
      </c>
    </row>
    <row r="177" spans="13:29">
      <c r="M177" s="77" t="str">
        <f ca="1">IF(ISBLANK($L177),"",INDIRECT("'Avatars'!"&amp;ADDRESS(ROW(Avatars!$A$2)+$L177,COLUMN(Avatars!$A$2))))</f>
        <v/>
      </c>
      <c r="O177" s="63" t="str">
        <f>IF($N177="""",O176,IF(ISBLANK($N177),"",$N177*AVERAGE(INDEX(Ranges!$O$7:$T$156,A177,L177+1),INDEX(Ranges!$U$7:$Z$156,A177,L177+1))))</f>
        <v/>
      </c>
      <c r="U177" s="41" t="str">
        <f t="shared" si="19"/>
        <v/>
      </c>
      <c r="W177" s="91" t="str">
        <f>IF(ISBLANK(V177),"",IF(V177="""",W176,INDEX(Damage!$F$2:$F$151,A177)*V177*SUM(P177:Q177)/1000))</f>
        <v/>
      </c>
      <c r="Z177" s="16" t="str">
        <f>IF($O177="","",INDEX(Ranges!$O$7:$T$156,A177,L177+1)/O177)</f>
        <v/>
      </c>
      <c r="AA177" s="16" t="str">
        <f>IF(O177="","",INDEX(Ranges!$U$7:$Z$156,A177,L177+1)/O177)</f>
        <v/>
      </c>
      <c r="AB177" s="16" t="str">
        <f>IF($B177="","",IF($B177="""","""",INDEX(Ranges!$O$7:$T$156,B177,L177+1)/$O177))</f>
        <v/>
      </c>
      <c r="AC177" s="16" t="str">
        <f>IF($B177="","",IF($B177="""","""",INDEX(Ranges!$U$7:$Z$156,$B177,$L177+1)/$O177))</f>
        <v/>
      </c>
    </row>
    <row r="178" spans="13:29">
      <c r="M178" s="77" t="str">
        <f ca="1">IF(ISBLANK($L178),"",INDIRECT("'Avatars'!"&amp;ADDRESS(ROW(Avatars!$A$2)+$L178,COLUMN(Avatars!$A$2))))</f>
        <v/>
      </c>
      <c r="O178" s="63" t="str">
        <f>IF($N178="""",O177,IF(ISBLANK($N178),"",$N178*AVERAGE(INDEX(Ranges!$O$7:$T$156,A178,L178+1),INDEX(Ranges!$U$7:$Z$156,A178,L178+1))))</f>
        <v/>
      </c>
      <c r="U178" s="41" t="str">
        <f t="shared" si="19"/>
        <v/>
      </c>
      <c r="W178" s="91" t="str">
        <f>IF(ISBLANK(V178),"",IF(V178="""",W177,INDEX(Damage!$F$2:$F$151,A178)*V178*SUM(P178:Q178)/1000))</f>
        <v/>
      </c>
      <c r="Z178" s="16" t="str">
        <f>IF($O178="","",INDEX(Ranges!$O$7:$T$156,A178,L178+1)/O178)</f>
        <v/>
      </c>
      <c r="AA178" s="16" t="str">
        <f>IF(O178="","",INDEX(Ranges!$U$7:$Z$156,A178,L178+1)/O178)</f>
        <v/>
      </c>
      <c r="AB178" s="16" t="str">
        <f>IF($B178="","",IF($B178="""","""",INDEX(Ranges!$O$7:$T$156,B178,L178+1)/$O178))</f>
        <v/>
      </c>
      <c r="AC178" s="16" t="str">
        <f>IF($B178="","",IF($B178="""","""",INDEX(Ranges!$U$7:$Z$156,$B178,$L178+1)/$O178))</f>
        <v/>
      </c>
    </row>
    <row r="179" spans="13:29">
      <c r="M179" s="77" t="str">
        <f ca="1">IF(ISBLANK($L179),"",INDIRECT("'Avatars'!"&amp;ADDRESS(ROW(Avatars!$A$2)+$L179,COLUMN(Avatars!$A$2))))</f>
        <v/>
      </c>
      <c r="O179" s="63" t="str">
        <f>IF($N179="""",O178,IF(ISBLANK($N179),"",$N179*AVERAGE(INDEX(Ranges!$O$7:$T$156,A179,L179+1),INDEX(Ranges!$U$7:$Z$156,A179,L179+1))))</f>
        <v/>
      </c>
      <c r="U179" s="41" t="str">
        <f t="shared" si="19"/>
        <v/>
      </c>
      <c r="W179" s="91" t="str">
        <f>IF(ISBLANK(V179),"",IF(V179="""",W178,INDEX(Damage!$F$2:$F$151,A179)*V179*SUM(P179:Q179)/1000))</f>
        <v/>
      </c>
      <c r="Z179" s="16" t="str">
        <f>IF($O179="","",INDEX(Ranges!$O$7:$T$156,A179,L179+1)/O179)</f>
        <v/>
      </c>
      <c r="AA179" s="16" t="str">
        <f>IF(O179="","",INDEX(Ranges!$U$7:$Z$156,A179,L179+1)/O179)</f>
        <v/>
      </c>
      <c r="AB179" s="16" t="str">
        <f>IF($B179="","",IF($B179="""","""",INDEX(Ranges!$O$7:$T$156,B179,L179+1)/$O179))</f>
        <v/>
      </c>
      <c r="AC179" s="16" t="str">
        <f>IF($B179="","",IF($B179="""","""",INDEX(Ranges!$U$7:$Z$156,$B179,$L179+1)/$O179))</f>
        <v/>
      </c>
    </row>
    <row r="180" spans="13:29">
      <c r="M180" s="77" t="str">
        <f ca="1">IF(ISBLANK($L180),"",INDIRECT("'Avatars'!"&amp;ADDRESS(ROW(Avatars!$A$2)+$L180,COLUMN(Avatars!$A$2))))</f>
        <v/>
      </c>
      <c r="O180" s="63" t="str">
        <f>IF($N180="""",O179,IF(ISBLANK($N180),"",$N180*AVERAGE(INDEX(Ranges!$O$7:$T$156,A180,L180+1),INDEX(Ranges!$U$7:$Z$156,A180,L180+1))))</f>
        <v/>
      </c>
      <c r="U180" s="41" t="str">
        <f t="shared" si="19"/>
        <v/>
      </c>
      <c r="W180" s="91" t="str">
        <f>IF(ISBLANK(V180),"",IF(V180="""",W179,INDEX(Damage!$F$2:$F$151,A180)*V180*SUM(P180:Q180)/1000))</f>
        <v/>
      </c>
      <c r="Z180" s="16" t="str">
        <f>IF($O180="","",INDEX(Ranges!$O$7:$T$156,A180,L180+1)/O180)</f>
        <v/>
      </c>
      <c r="AA180" s="16" t="str">
        <f>IF(O180="","",INDEX(Ranges!$U$7:$Z$156,A180,L180+1)/O180)</f>
        <v/>
      </c>
      <c r="AB180" s="16" t="str">
        <f>IF($B180="","",IF($B180="""","""",INDEX(Ranges!$O$7:$T$156,B180,L180+1)/$O180))</f>
        <v/>
      </c>
      <c r="AC180" s="16" t="str">
        <f>IF($B180="","",IF($B180="""","""",INDEX(Ranges!$U$7:$Z$156,$B180,$L180+1)/$O180))</f>
        <v/>
      </c>
    </row>
    <row r="181" spans="13:29">
      <c r="M181" s="77" t="str">
        <f ca="1">IF(ISBLANK($L181),"",INDIRECT("'Avatars'!"&amp;ADDRESS(ROW(Avatars!$A$2)+$L181,COLUMN(Avatars!$A$2))))</f>
        <v/>
      </c>
      <c r="O181" s="63" t="str">
        <f>IF($N181="""",O180,IF(ISBLANK($N181),"",$N181*AVERAGE(INDEX(Ranges!$O$7:$T$156,A181,L181+1),INDEX(Ranges!$U$7:$Z$156,A181,L181+1))))</f>
        <v/>
      </c>
      <c r="U181" s="41" t="str">
        <f t="shared" si="19"/>
        <v/>
      </c>
      <c r="W181" s="91" t="str">
        <f>IF(ISBLANK(V181),"",IF(V181="""",W180,INDEX(Damage!$F$2:$F$151,A181)*V181*SUM(P181:Q181)/1000))</f>
        <v/>
      </c>
      <c r="Z181" s="16" t="str">
        <f>IF($O181="","",INDEX(Ranges!$O$7:$T$156,A181,L181+1)/O181)</f>
        <v/>
      </c>
      <c r="AA181" s="16" t="str">
        <f>IF(O181="","",INDEX(Ranges!$U$7:$Z$156,A181,L181+1)/O181)</f>
        <v/>
      </c>
      <c r="AB181" s="16" t="str">
        <f>IF($B181="","",IF($B181="""","""",INDEX(Ranges!$O$7:$T$156,B181,L181+1)/$O181))</f>
        <v/>
      </c>
      <c r="AC181" s="16" t="str">
        <f>IF($B181="","",IF($B181="""","""",INDEX(Ranges!$U$7:$Z$156,$B181,$L181+1)/$O181))</f>
        <v/>
      </c>
    </row>
    <row r="182" spans="13:29">
      <c r="M182" s="77" t="str">
        <f ca="1">IF(ISBLANK($L182),"",INDIRECT("'Avatars'!"&amp;ADDRESS(ROW(Avatars!$A$2)+$L182,COLUMN(Avatars!$A$2))))</f>
        <v/>
      </c>
      <c r="O182" s="63" t="str">
        <f>IF($N182="""",O181,IF(ISBLANK($N182),"",$N182*AVERAGE(INDEX(Ranges!$O$7:$T$156,A182,L182+1),INDEX(Ranges!$U$7:$Z$156,A182,L182+1))))</f>
        <v/>
      </c>
      <c r="U182" s="41" t="str">
        <f t="shared" si="19"/>
        <v/>
      </c>
      <c r="W182" s="91" t="str">
        <f>IF(ISBLANK(V182),"",IF(V182="""",W181,INDEX(Damage!$F$2:$F$151,A182)*V182*SUM(P182:Q182)/1000))</f>
        <v/>
      </c>
      <c r="Z182" s="16" t="str">
        <f>IF($O182="","",INDEX(Ranges!$O$7:$T$156,A182,L182+1)/O182)</f>
        <v/>
      </c>
      <c r="AA182" s="16" t="str">
        <f>IF(O182="","",INDEX(Ranges!$U$7:$Z$156,A182,L182+1)/O182)</f>
        <v/>
      </c>
      <c r="AB182" s="16" t="str">
        <f>IF($B182="","",IF($B182="""","""",INDEX(Ranges!$O$7:$T$156,B182,L182+1)/$O182))</f>
        <v/>
      </c>
      <c r="AC182" s="16" t="str">
        <f>IF($B182="","",IF($B182="""","""",INDEX(Ranges!$U$7:$Z$156,$B182,$L182+1)/$O182))</f>
        <v/>
      </c>
    </row>
    <row r="183" spans="13:29">
      <c r="M183" s="77" t="str">
        <f ca="1">IF(ISBLANK($L183),"",INDIRECT("'Avatars'!"&amp;ADDRESS(ROW(Avatars!$A$2)+$L183,COLUMN(Avatars!$A$2))))</f>
        <v/>
      </c>
      <c r="O183" s="63" t="str">
        <f>IF($N183="""",O182,IF(ISBLANK($N183),"",$N183*AVERAGE(INDEX(Ranges!$O$7:$T$156,A183,L183+1),INDEX(Ranges!$U$7:$Z$156,A183,L183+1))))</f>
        <v/>
      </c>
      <c r="W183" s="91" t="str">
        <f>IF(ISBLANK(V183),"",IF(V183="""",W182,INDEX(Damage!$F$2:$F$151,A183)*V183*SUM(P183:Q183)/1000))</f>
        <v/>
      </c>
      <c r="Z183" s="16" t="str">
        <f>IF($O183="","",INDEX(Ranges!$O$7:$T$156,A183,L183+1)/O183)</f>
        <v/>
      </c>
      <c r="AA183" s="16" t="str">
        <f>IF(O183="","",INDEX(Ranges!$U$7:$Z$156,A183,L183+1)/O183)</f>
        <v/>
      </c>
      <c r="AB183" s="16" t="str">
        <f>IF($B183="","",IF($B183="""","""",INDEX(Ranges!$O$7:$T$156,B183,L183+1)/$O183))</f>
        <v/>
      </c>
      <c r="AC183" s="16" t="str">
        <f>IF($B183="","",IF($B183="""","""",INDEX(Ranges!$U$7:$Z$156,$B183,$L183+1)/$O183))</f>
        <v/>
      </c>
    </row>
    <row r="184" spans="13:29">
      <c r="M184" s="77" t="str">
        <f ca="1">IF(ISBLANK($L184),"",INDIRECT("'Avatars'!"&amp;ADDRESS(ROW(Avatars!$A$2)+$L184,COLUMN(Avatars!$A$2))))</f>
        <v/>
      </c>
      <c r="O184" s="63" t="str">
        <f>IF($N184="""",O183,IF(ISBLANK($N184),"",$N184*AVERAGE(INDEX(Ranges!$O$7:$T$156,A184,L184+1),INDEX(Ranges!$U$7:$Z$156,A184,L184+1))))</f>
        <v/>
      </c>
      <c r="W184" s="91" t="str">
        <f>IF(ISBLANK(V184),"",IF(V184="""",W183,INDEX(Damage!$F$2:$F$151,A184)*V184*SUM(P184:Q184)/1000))</f>
        <v/>
      </c>
      <c r="Z184" s="16" t="str">
        <f>IF($O184="","",INDEX(Ranges!$O$7:$T$156,A184,L184+1)/O184)</f>
        <v/>
      </c>
      <c r="AA184" s="16" t="str">
        <f>IF(O184="","",INDEX(Ranges!$U$7:$Z$156,A184,L184+1)/O184)</f>
        <v/>
      </c>
      <c r="AB184" s="16" t="str">
        <f>IF($B184="","",IF($B184="""","""",INDEX(Ranges!$O$7:$T$156,B184,L184+1)/$O184))</f>
        <v/>
      </c>
      <c r="AC184" s="16" t="str">
        <f>IF($B184="","",IF($B184="""","""",INDEX(Ranges!$U$7:$Z$156,$B184,$L184+1)/$O184))</f>
        <v/>
      </c>
    </row>
    <row r="185" spans="13:29">
      <c r="M185" s="77" t="str">
        <f ca="1">IF(ISBLANK($L185),"",INDIRECT("'Avatars'!"&amp;ADDRESS(ROW(Avatars!$A$2)+$L185,COLUMN(Avatars!$A$2))))</f>
        <v/>
      </c>
      <c r="O185" s="63" t="str">
        <f>IF($N185="""",O184,IF(ISBLANK($N185),"",$N185*AVERAGE(INDEX(Ranges!$O$7:$T$156,A185,L185+1),INDEX(Ranges!$U$7:$Z$156,A185,L185+1))))</f>
        <v/>
      </c>
      <c r="W185" s="91" t="str">
        <f>IF(ISBLANK(V185),"",IF(V185="""",W184,INDEX(Damage!$F$2:$F$151,A185)*V185*SUM(P185:Q185)/1000))</f>
        <v/>
      </c>
      <c r="Z185" s="16" t="str">
        <f>IF($O185="","",INDEX(Ranges!$O$7:$T$156,A185,L185+1)/O185)</f>
        <v/>
      </c>
      <c r="AA185" s="16" t="str">
        <f>IF(O185="","",INDEX(Ranges!$U$7:$Z$156,A185,L185+1)/O185)</f>
        <v/>
      </c>
      <c r="AB185" s="16" t="str">
        <f>IF($B185="","",IF($B185="""","""",INDEX(Ranges!$O$7:$T$156,B185,L185+1)/$O185))</f>
        <v/>
      </c>
      <c r="AC185" s="16" t="str">
        <f>IF($B185="","",IF($B185="""","""",INDEX(Ranges!$U$7:$Z$156,$B185,$L185+1)/$O185))</f>
        <v/>
      </c>
    </row>
    <row r="186" spans="13:29">
      <c r="M186" s="77" t="str">
        <f ca="1">IF(ISBLANK($L186),"",INDIRECT("'Avatars'!"&amp;ADDRESS(ROW(Avatars!$A$2)+$L186,COLUMN(Avatars!$A$2))))</f>
        <v/>
      </c>
      <c r="O186" s="63" t="str">
        <f>IF($N186="""",O185,IF(ISBLANK($N186),"",$N186*AVERAGE(INDEX(Ranges!$O$7:$T$156,A186,L186+1),INDEX(Ranges!$U$7:$Z$156,A186,L186+1))))</f>
        <v/>
      </c>
      <c r="W186" s="91" t="str">
        <f>IF(ISBLANK(V186),"",IF(V186="""",W185,INDEX(Damage!$F$2:$F$151,A186)*V186*SUM(P186:Q186)/1000))</f>
        <v/>
      </c>
      <c r="Z186" s="16" t="str">
        <f>IF($O186="","",INDEX(Ranges!$O$7:$T$156,A186,L186+1)/O186)</f>
        <v/>
      </c>
      <c r="AA186" s="16" t="str">
        <f>IF(O186="","",INDEX(Ranges!$U$7:$Z$156,A186,L186+1)/O186)</f>
        <v/>
      </c>
      <c r="AB186" s="16" t="str">
        <f>IF($B186="","",IF($B186="""","""",INDEX(Ranges!$O$7:$T$156,B186,L186+1)/$O186))</f>
        <v/>
      </c>
      <c r="AC186" s="16" t="str">
        <f>IF($B186="","",IF($B186="""","""",INDEX(Ranges!$U$7:$Z$156,$B186,$L186+1)/$O186))</f>
        <v/>
      </c>
    </row>
    <row r="187" spans="13:29">
      <c r="M187" s="77" t="str">
        <f ca="1">IF(ISBLANK($L187),"",INDIRECT("'Avatars'!"&amp;ADDRESS(ROW(Avatars!$A$2)+$L187,COLUMN(Avatars!$A$2))))</f>
        <v/>
      </c>
      <c r="O187" s="63" t="str">
        <f>IF($N187="""",O186,IF(ISBLANK($N187),"",$N187*AVERAGE(INDEX(Ranges!$O$7:$T$156,A187,L187+1),INDEX(Ranges!$U$7:$Z$156,A187,L187+1))))</f>
        <v/>
      </c>
      <c r="W187" s="91" t="str">
        <f>IF(ISBLANK(V187),"",IF(V187="""",W186,INDEX(Damage!$F$2:$F$151,A187)*V187*SUM(P187:Q187)/1000))</f>
        <v/>
      </c>
      <c r="Z187" s="16" t="str">
        <f>IF($O187="","",INDEX(Ranges!$O$7:$T$156,A187,L187+1)/O187)</f>
        <v/>
      </c>
      <c r="AA187" s="16" t="str">
        <f>IF(O187="","",INDEX(Ranges!$U$7:$Z$156,A187,L187+1)/O187)</f>
        <v/>
      </c>
      <c r="AB187" s="16" t="str">
        <f>IF($B187="","",IF($B187="""","""",INDEX(Ranges!$O$7:$T$156,B187,L187+1)/$O187))</f>
        <v/>
      </c>
      <c r="AC187" s="16" t="str">
        <f>IF($B187="","",IF($B187="""","""",INDEX(Ranges!$U$7:$Z$156,$B187,$L187+1)/$O187))</f>
        <v/>
      </c>
    </row>
    <row r="188" spans="13:29">
      <c r="M188" s="77" t="str">
        <f ca="1">IF(ISBLANK($L188),"",INDIRECT("'Avatars'!"&amp;ADDRESS(ROW(Avatars!$A$2)+$L188,COLUMN(Avatars!$A$2))))</f>
        <v/>
      </c>
      <c r="O188" s="63" t="str">
        <f>IF($N188="""",O187,IF(ISBLANK($N188),"",$N188*AVERAGE(INDEX(Ranges!$O$7:$T$156,A188,L188+1),INDEX(Ranges!$U$7:$Z$156,A188,L188+1))))</f>
        <v/>
      </c>
      <c r="W188" s="91" t="str">
        <f>IF(ISBLANK(V188),"",IF(V188="""",W187,INDEX(Damage!$F$2:$F$151,A188)*V188*SUM(P188:Q188)/1000))</f>
        <v/>
      </c>
      <c r="Z188" s="16" t="str">
        <f>IF($O188="","",INDEX(Ranges!$O$7:$T$156,A188,L188+1)/O188)</f>
        <v/>
      </c>
      <c r="AA188" s="16" t="str">
        <f>IF(O188="","",INDEX(Ranges!$U$7:$Z$156,A188,L188+1)/O188)</f>
        <v/>
      </c>
      <c r="AB188" s="16" t="str">
        <f>IF($B188="","",IF($B188="""","""",INDEX(Ranges!$O$7:$T$156,B188,L188+1)/$O188))</f>
        <v/>
      </c>
      <c r="AC188" s="16" t="str">
        <f>IF($B188="","",IF($B188="""","""",INDEX(Ranges!$U$7:$Z$156,$B188,$L188+1)/$O188))</f>
        <v/>
      </c>
    </row>
    <row r="189" spans="13:29">
      <c r="M189" s="77" t="str">
        <f ca="1">IF(ISBLANK($L189),"",INDIRECT("'Avatars'!"&amp;ADDRESS(ROW(Avatars!$A$2)+$L189,COLUMN(Avatars!$A$2))))</f>
        <v/>
      </c>
      <c r="O189" s="63" t="str">
        <f>IF($N189="""",O188,IF(ISBLANK($N189),"",$N189*AVERAGE(INDEX(Ranges!$O$7:$T$156,A189,L189+1),INDEX(Ranges!$U$7:$Z$156,A189,L189+1))))</f>
        <v/>
      </c>
      <c r="W189" s="91" t="str">
        <f>IF(ISBLANK(V189),"",IF(V189="""",W188,INDEX(Damage!$F$2:$F$151,A189)*V189*SUM(P189:Q189)/1000))</f>
        <v/>
      </c>
      <c r="Z189" s="16" t="str">
        <f>IF($O189="","",INDEX(Ranges!$O$7:$T$156,A189,L189+1)/O189)</f>
        <v/>
      </c>
      <c r="AA189" s="16" t="str">
        <f>IF(O189="","",INDEX(Ranges!$U$7:$Z$156,A189,L189+1)/O189)</f>
        <v/>
      </c>
      <c r="AB189" s="16" t="str">
        <f>IF($B189="","",IF($B189="""","""",INDEX(Ranges!$O$7:$T$156,B189,L189+1)/$O189))</f>
        <v/>
      </c>
      <c r="AC189" s="16" t="str">
        <f>IF($B189="","",IF($B189="""","""",INDEX(Ranges!$U$7:$Z$156,$B189,$L189+1)/$O189))</f>
        <v/>
      </c>
    </row>
    <row r="190" spans="13:29">
      <c r="M190" s="77" t="str">
        <f ca="1">IF(ISBLANK($L190),"",INDIRECT("'Avatars'!"&amp;ADDRESS(ROW(Avatars!$A$2)+$L190,COLUMN(Avatars!$A$2))))</f>
        <v/>
      </c>
      <c r="O190" s="63" t="str">
        <f>IF($N190="""",O189,IF(ISBLANK($N190),"",$N190*AVERAGE(INDEX(Ranges!$O$7:$T$156,A190,L190+1),INDEX(Ranges!$U$7:$Z$156,A190,L190+1))))</f>
        <v/>
      </c>
      <c r="W190" s="91" t="str">
        <f>IF(ISBLANK(V190),"",IF(V190="""",W189,INDEX(Damage!$F$2:$F$151,A190)*V190*SUM(P190:Q190)/1000))</f>
        <v/>
      </c>
      <c r="Z190" s="16" t="str">
        <f>IF($O190="","",INDEX(Ranges!$O$7:$T$156,A190,L190+1)/O190)</f>
        <v/>
      </c>
      <c r="AA190" s="16" t="str">
        <f>IF(O190="","",INDEX(Ranges!$U$7:$Z$156,A190,L190+1)/O190)</f>
        <v/>
      </c>
      <c r="AB190" s="16" t="str">
        <f>IF($B190="","",IF($B190="""","""",INDEX(Ranges!$O$7:$T$156,B190,L190+1)/$O190))</f>
        <v/>
      </c>
      <c r="AC190" s="16" t="str">
        <f>IF($B190="","",IF($B190="""","""",INDEX(Ranges!$U$7:$Z$156,$B190,$L190+1)/$O190))</f>
        <v/>
      </c>
    </row>
    <row r="191" spans="13:29">
      <c r="M191" s="77" t="str">
        <f ca="1">IF(ISBLANK($L191),"",INDIRECT("'Avatars'!"&amp;ADDRESS(ROW(Avatars!$A$2)+$L191,COLUMN(Avatars!$A$2))))</f>
        <v/>
      </c>
      <c r="O191" s="63" t="str">
        <f>IF($N191="""",O190,IF(ISBLANK($N191),"",$N191*AVERAGE(INDEX(Ranges!$O$7:$T$156,A191,L191+1),INDEX(Ranges!$U$7:$Z$156,A191,L191+1))))</f>
        <v/>
      </c>
      <c r="W191" s="91" t="str">
        <f>IF(ISBLANK(V191),"",IF(V191="""",W190,INDEX(Damage!$F$2:$F$151,A191)*V191*SUM(P191:Q191)/1000))</f>
        <v/>
      </c>
      <c r="Z191" s="16" t="str">
        <f>IF($O191="","",INDEX(Ranges!$O$7:$T$156,A191,L191+1)/O191)</f>
        <v/>
      </c>
      <c r="AA191" s="16" t="str">
        <f>IF(O191="","",INDEX(Ranges!$U$7:$Z$156,A191,L191+1)/O191)</f>
        <v/>
      </c>
      <c r="AB191" s="16" t="str">
        <f>IF($B191="","",IF($B191="""","""",INDEX(Ranges!$O$7:$T$156,B191,L191+1)/$O191))</f>
        <v/>
      </c>
      <c r="AC191" s="16" t="str">
        <f>IF($B191="","",IF($B191="""","""",INDEX(Ranges!$U$7:$Z$156,$B191,$L191+1)/$O191))</f>
        <v/>
      </c>
    </row>
    <row r="192" spans="13:29">
      <c r="M192" s="77" t="str">
        <f ca="1">IF(ISBLANK($L192),"",INDIRECT("'Avatars'!"&amp;ADDRESS(ROW(Avatars!$A$2)+$L192,COLUMN(Avatars!$A$2))))</f>
        <v/>
      </c>
      <c r="O192" s="63" t="str">
        <f>IF($N192="""",O191,IF(ISBLANK($N192),"",$N192*AVERAGE(INDEX(Ranges!$O$7:$T$156,A192,L192+1),INDEX(Ranges!$U$7:$Z$156,A192,L192+1))))</f>
        <v/>
      </c>
      <c r="W192" s="91" t="str">
        <f>IF(ISBLANK(V192),"",IF(V192="""",W191,INDEX(Damage!$F$2:$F$151,A192)*V192*SUM(P192:Q192)/1000))</f>
        <v/>
      </c>
      <c r="Z192" s="16" t="str">
        <f>IF($O192="","",INDEX(Ranges!$O$7:$T$156,A192,L192+1)/O192)</f>
        <v/>
      </c>
      <c r="AA192" s="16" t="str">
        <f>IF(O192="","",INDEX(Ranges!$U$7:$Z$156,A192,L192+1)/O192)</f>
        <v/>
      </c>
      <c r="AB192" s="16" t="str">
        <f>IF($B192="","",IF($B192="""","""",INDEX(Ranges!$O$7:$T$156,B192,L192+1)/$O192))</f>
        <v/>
      </c>
      <c r="AC192" s="16" t="str">
        <f>IF($B192="","",IF($B192="""","""",INDEX(Ranges!$U$7:$Z$156,$B192,$L192+1)/$O192))</f>
        <v/>
      </c>
    </row>
    <row r="193" spans="13:29">
      <c r="M193" s="77" t="str">
        <f ca="1">IF(ISBLANK($L193),"",INDIRECT("'Avatars'!"&amp;ADDRESS(ROW(Avatars!$A$2)+$L193,COLUMN(Avatars!$A$2))))</f>
        <v/>
      </c>
      <c r="O193" s="63" t="str">
        <f>IF($N193="""",O192,IF(ISBLANK($N193),"",$N193*AVERAGE(INDEX(Ranges!$O$7:$T$156,A193,L193+1),INDEX(Ranges!$U$7:$Z$156,A193,L193+1))))</f>
        <v/>
      </c>
      <c r="W193" s="91" t="str">
        <f>IF(ISBLANK(V193),"",IF(V193="""",W192,INDEX(Damage!$F$2:$F$151,A193)*V193*SUM(P193:Q193)/1000))</f>
        <v/>
      </c>
      <c r="Z193" s="16" t="str">
        <f>IF($O193="","",INDEX(Ranges!$O$7:$T$156,A193,L193+1)/O193)</f>
        <v/>
      </c>
      <c r="AA193" s="16" t="str">
        <f>IF(O193="","",INDEX(Ranges!$U$7:$Z$156,A193,L193+1)/O193)</f>
        <v/>
      </c>
      <c r="AB193" s="16" t="str">
        <f>IF($B193="","",IF($B193="""","""",INDEX(Ranges!$O$7:$T$156,B193,L193+1)/$O193))</f>
        <v/>
      </c>
      <c r="AC193" s="16" t="str">
        <f>IF($B193="","",IF($B193="""","""",INDEX(Ranges!$U$7:$Z$156,$B193,$L193+1)/$O193))</f>
        <v/>
      </c>
    </row>
    <row r="194" spans="13:29">
      <c r="M194" s="77" t="str">
        <f ca="1">IF(ISBLANK($L194),"",INDIRECT("'Avatars'!"&amp;ADDRESS(ROW(Avatars!$A$2)+$L194,COLUMN(Avatars!$A$2))))</f>
        <v/>
      </c>
      <c r="O194" s="63" t="str">
        <f>IF($N194="""",O193,IF(ISBLANK($N194),"",$N194*AVERAGE(INDEX(Ranges!$O$7:$T$156,A194,L194+1),INDEX(Ranges!$U$7:$Z$156,A194,L194+1))))</f>
        <v/>
      </c>
      <c r="W194" s="91" t="str">
        <f>IF(ISBLANK(V194),"",IF(V194="""",W193,INDEX(Damage!$F$2:$F$151,A194)*V194*SUM(P194:Q194)/1000))</f>
        <v/>
      </c>
      <c r="Z194" s="16" t="str">
        <f>IF($O194="","",INDEX(Ranges!$O$7:$T$156,A194,L194+1)/O194)</f>
        <v/>
      </c>
      <c r="AA194" s="16" t="str">
        <f>IF(O194="","",INDEX(Ranges!$U$7:$Z$156,A194,L194+1)/O194)</f>
        <v/>
      </c>
      <c r="AB194" s="16" t="str">
        <f>IF($B194="","",IF($B194="""","""",INDEX(Ranges!$O$7:$T$156,B194,L194+1)/$O194))</f>
        <v/>
      </c>
      <c r="AC194" s="16" t="str">
        <f>IF($B194="","",IF($B194="""","""",INDEX(Ranges!$U$7:$Z$156,$B194,$L194+1)/$O194))</f>
        <v/>
      </c>
    </row>
    <row r="195" spans="13:29">
      <c r="M195" s="77" t="str">
        <f ca="1">IF(ISBLANK($L195),"",INDIRECT("'Avatars'!"&amp;ADDRESS(ROW(Avatars!$A$2)+$L195,COLUMN(Avatars!$A$2))))</f>
        <v/>
      </c>
      <c r="O195" s="63" t="str">
        <f>IF($N195="""",O194,IF(ISBLANK($N195),"",$N195*AVERAGE(INDEX(Ranges!$O$7:$T$156,A195,L195+1),INDEX(Ranges!$U$7:$Z$156,A195,L195+1))))</f>
        <v/>
      </c>
      <c r="W195" s="91" t="str">
        <f>IF(ISBLANK(V195),"",IF(V195="""",W194,INDEX(Damage!$F$2:$F$151,A195)*V195*SUM(P195:Q195)/1000))</f>
        <v/>
      </c>
      <c r="Z195" s="16" t="str">
        <f>IF($O195="","",INDEX(Ranges!$O$7:$T$156,A195,L195+1)/O195)</f>
        <v/>
      </c>
      <c r="AA195" s="16" t="str">
        <f>IF(O195="","",INDEX(Ranges!$U$7:$Z$156,A195,L195+1)/O195)</f>
        <v/>
      </c>
      <c r="AB195" s="16" t="str">
        <f>IF($B195="","",IF($B195="""","""",INDEX(Ranges!$O$7:$T$156,B195,L195+1)/$O195))</f>
        <v/>
      </c>
      <c r="AC195" s="16" t="str">
        <f>IF($B195="","",IF($B195="""","""",INDEX(Ranges!$U$7:$Z$156,$B195,$L195+1)/$O195))</f>
        <v/>
      </c>
    </row>
    <row r="196" spans="13:29">
      <c r="M196" s="77" t="str">
        <f ca="1">IF(ISBLANK($L196),"",INDIRECT("'Avatars'!"&amp;ADDRESS(ROW(Avatars!$A$2)+$L196,COLUMN(Avatars!$A$2))))</f>
        <v/>
      </c>
      <c r="O196" s="63" t="str">
        <f>IF($N196="""",O195,IF(ISBLANK($N196),"",$N196*AVERAGE(INDEX(Ranges!$O$7:$T$156,A196,L196+1),INDEX(Ranges!$U$7:$Z$156,A196,L196+1))))</f>
        <v/>
      </c>
      <c r="W196" s="91" t="str">
        <f>IF(ISBLANK(V196),"",IF(V196="""",W195,INDEX(Damage!$F$2:$F$151,A196)*V196*SUM(P196:Q196)/1000))</f>
        <v/>
      </c>
      <c r="Z196" s="16" t="str">
        <f>IF($O196="","",INDEX(Ranges!$O$7:$T$156,A196,L196+1)/O196)</f>
        <v/>
      </c>
      <c r="AA196" s="16" t="str">
        <f>IF(O196="","",INDEX(Ranges!$U$7:$Z$156,A196,L196+1)/O196)</f>
        <v/>
      </c>
      <c r="AB196" s="16" t="str">
        <f>IF($B196="","",IF($B196="""","""",INDEX(Ranges!$O$7:$T$156,B196,L196+1)/$O196))</f>
        <v/>
      </c>
      <c r="AC196" s="16" t="str">
        <f>IF($B196="","",IF($B196="""","""",INDEX(Ranges!$U$7:$Z$156,$B196,$L196+1)/$O196))</f>
        <v/>
      </c>
    </row>
    <row r="197" spans="13:29">
      <c r="M197" s="77" t="str">
        <f ca="1">IF(ISBLANK($L197),"",INDIRECT("'Avatars'!"&amp;ADDRESS(ROW(Avatars!$A$2)+$L197,COLUMN(Avatars!$A$2))))</f>
        <v/>
      </c>
      <c r="O197" s="63" t="str">
        <f>IF($N197="""",O196,IF(ISBLANK($N197),"",$N197*AVERAGE(INDEX(Ranges!$O$7:$T$156,A197,L197+1),INDEX(Ranges!$U$7:$Z$156,A197,L197+1))))</f>
        <v/>
      </c>
      <c r="W197" s="91" t="str">
        <f>IF(ISBLANK(V197),"",IF(V197="""",W196,INDEX(Damage!$F$2:$F$151,A197)*V197*SUM(P197:Q197)/1000))</f>
        <v/>
      </c>
      <c r="Z197" s="16" t="str">
        <f>IF($O197="","",INDEX(Ranges!$O$7:$T$156,A197,L197+1)/O197)</f>
        <v/>
      </c>
      <c r="AA197" s="16" t="str">
        <f>IF(O197="","",INDEX(Ranges!$U$7:$Z$156,A197,L197+1)/O197)</f>
        <v/>
      </c>
      <c r="AB197" s="16" t="str">
        <f>IF($B197="","",IF($B197="""","""",INDEX(Ranges!$O$7:$T$156,B197,L197+1)/$O197))</f>
        <v/>
      </c>
      <c r="AC197" s="16" t="str">
        <f>IF($B197="","",IF($B197="""","""",INDEX(Ranges!$U$7:$Z$156,$B197,$L197+1)/$O197))</f>
        <v/>
      </c>
    </row>
    <row r="198" spans="13:29">
      <c r="M198" s="77" t="str">
        <f ca="1">IF(ISBLANK($L198),"",INDIRECT("'Avatars'!"&amp;ADDRESS(ROW(Avatars!$A$2)+$L198,COLUMN(Avatars!$A$2))))</f>
        <v/>
      </c>
      <c r="O198" s="63" t="str">
        <f>IF($N198="""",O197,IF(ISBLANK($N198),"",$N198*AVERAGE(INDEX(Ranges!$O$7:$T$156,A198,L198+1),INDEX(Ranges!$U$7:$Z$156,A198,L198+1))))</f>
        <v/>
      </c>
      <c r="W198" s="91" t="str">
        <f>IF(ISBLANK(V198),"",IF(V198="""",W197,INDEX(Damage!$F$2:$F$151,A198)*V198*SUM(P198:Q198)/1000))</f>
        <v/>
      </c>
      <c r="Z198" s="16" t="str">
        <f>IF($O198="","",INDEX(Ranges!$O$7:$T$156,A198,L198+1)/O198)</f>
        <v/>
      </c>
      <c r="AA198" s="16" t="str">
        <f>IF(O198="","",INDEX(Ranges!$U$7:$Z$156,A198,L198+1)/O198)</f>
        <v/>
      </c>
      <c r="AB198" s="16" t="str">
        <f>IF($B198="","",IF($B198="""","""",INDEX(Ranges!$O$7:$T$156,B198,L198+1)/$O198))</f>
        <v/>
      </c>
      <c r="AC198" s="16" t="str">
        <f>IF($B198="","",IF($B198="""","""",INDEX(Ranges!$U$7:$Z$156,$B198,$L198+1)/$O198))</f>
        <v/>
      </c>
    </row>
    <row r="199" spans="13:29">
      <c r="M199" s="77" t="str">
        <f ca="1">IF(ISBLANK($L199),"",INDIRECT("'Avatars'!"&amp;ADDRESS(ROW(Avatars!$A$2)+$L199,COLUMN(Avatars!$A$2))))</f>
        <v/>
      </c>
      <c r="O199" s="63" t="str">
        <f>IF($N199="""",O198,IF(ISBLANK($N199),"",$N199*AVERAGE(INDEX(Ranges!$O$7:$T$156,A199,L199+1),INDEX(Ranges!$U$7:$Z$156,A199,L199+1))))</f>
        <v/>
      </c>
      <c r="W199" s="91" t="str">
        <f>IF(ISBLANK(V199),"",IF(V199="""",W198,INDEX(Damage!$F$2:$F$151,A199)*V199*SUM(P199:Q199)/1000))</f>
        <v/>
      </c>
      <c r="Z199" s="16" t="str">
        <f>IF($O199="","",INDEX(Ranges!$O$7:$T$156,A199,L199+1)/O199)</f>
        <v/>
      </c>
      <c r="AA199" s="16" t="str">
        <f>IF(O199="","",INDEX(Ranges!$U$7:$Z$156,A199,L199+1)/O199)</f>
        <v/>
      </c>
      <c r="AB199" s="16" t="str">
        <f>IF($B199="","",IF($B199="""","""",INDEX(Ranges!$O$7:$T$156,B199,L199+1)/$O199))</f>
        <v/>
      </c>
      <c r="AC199" s="16" t="str">
        <f>IF($B199="","",IF($B199="""","""",INDEX(Ranges!$U$7:$Z$156,$B199,$L199+1)/$O199))</f>
        <v/>
      </c>
    </row>
    <row r="200" spans="13:29">
      <c r="M200" s="77" t="str">
        <f ca="1">IF(ISBLANK($L200),"",INDIRECT("'Avatars'!"&amp;ADDRESS(ROW(Avatars!$A$2)+$L200,COLUMN(Avatars!$A$2))))</f>
        <v/>
      </c>
      <c r="O200" s="63" t="str">
        <f>IF($N200="""",O199,IF(ISBLANK($N200),"",$N200*AVERAGE(INDEX(Ranges!$O$7:$T$156,A200,L200+1),INDEX(Ranges!$U$7:$Z$156,A200,L200+1))))</f>
        <v/>
      </c>
      <c r="W200" s="91" t="str">
        <f>IF(ISBLANK(V200),"",IF(V200="""",W199,INDEX(Damage!$F$2:$F$151,A200)*V200*SUM(P200:Q200)/1000))</f>
        <v/>
      </c>
      <c r="Z200" s="16" t="str">
        <f>IF($O200="","",INDEX(Ranges!$O$7:$T$156,A200,L200+1)/O200)</f>
        <v/>
      </c>
      <c r="AA200" s="16" t="str">
        <f>IF(O200="","",INDEX(Ranges!$U$7:$Z$156,A200,L200+1)/O200)</f>
        <v/>
      </c>
      <c r="AB200" s="16" t="str">
        <f>IF($B200="","",IF($B200="""","""",INDEX(Ranges!$O$7:$T$156,B200,L200+1)/$O200))</f>
        <v/>
      </c>
      <c r="AC200" s="16" t="str">
        <f>IF($B200="","",IF($B200="""","""",INDEX(Ranges!$U$7:$Z$156,$B200,$L200+1)/$O200))</f>
        <v/>
      </c>
    </row>
    <row r="201" spans="13:29">
      <c r="M201" s="77" t="str">
        <f ca="1">IF(ISBLANK($L201),"",INDIRECT("'Avatars'!"&amp;ADDRESS(ROW(Avatars!$A$2)+$L201,COLUMN(Avatars!$A$2))))</f>
        <v/>
      </c>
      <c r="O201" s="63" t="str">
        <f>IF($N201="""",O200,IF(ISBLANK($N201),"",$N201*AVERAGE(INDEX(Ranges!$O$7:$T$156,A201,L201+1),INDEX(Ranges!$U$7:$Z$156,A201,L201+1))))</f>
        <v/>
      </c>
      <c r="W201" s="91" t="str">
        <f>IF(ISBLANK(V201),"",IF(V201="""",W200,INDEX(Damage!$F$2:$F$151,A201)*V201*SUM(P201:Q201)/1000))</f>
        <v/>
      </c>
      <c r="Z201" s="16" t="str">
        <f>IF($O201="","",INDEX(Ranges!$O$7:$T$156,A201,L201+1)/O201)</f>
        <v/>
      </c>
      <c r="AA201" s="16" t="str">
        <f>IF(O201="","",INDEX(Ranges!$U$7:$Z$156,A201,L201+1)/O201)</f>
        <v/>
      </c>
      <c r="AB201" s="16" t="str">
        <f>IF($B201="","",IF($B201="""","""",INDEX(Ranges!$O$7:$T$156,B201,L201+1)/$O201))</f>
        <v/>
      </c>
      <c r="AC201" s="16" t="str">
        <f>IF($B201="","",IF($B201="""","""",INDEX(Ranges!$U$7:$Z$156,$B201,$L201+1)/$O201))</f>
        <v/>
      </c>
    </row>
    <row r="202" spans="13:29">
      <c r="M202" s="77" t="str">
        <f ca="1">IF(ISBLANK($L202),"",INDIRECT("'Avatars'!"&amp;ADDRESS(ROW(Avatars!$A$2)+$L202,COLUMN(Avatars!$A$2))))</f>
        <v/>
      </c>
      <c r="O202" s="63" t="str">
        <f>IF($N202="""",O201,IF(ISBLANK($N202),"",$N202*AVERAGE(INDEX(Ranges!$O$7:$T$156,A202,L202+1),INDEX(Ranges!$U$7:$Z$156,A202,L202+1))))</f>
        <v/>
      </c>
      <c r="W202" s="91" t="str">
        <f>IF(ISBLANK(V202),"",IF(V202="""",W201,INDEX(Damage!$F$2:$F$151,A202)*V202*SUM(P202:Q202)/1000))</f>
        <v/>
      </c>
      <c r="Z202" s="16" t="str">
        <f>IF($O202="","",INDEX(Ranges!$O$7:$T$156,A202,L202+1)/O202)</f>
        <v/>
      </c>
      <c r="AA202" s="16" t="str">
        <f>IF(O202="","",INDEX(Ranges!$U$7:$Z$156,A202,L202+1)/O202)</f>
        <v/>
      </c>
      <c r="AB202" s="16" t="str">
        <f>IF($B202="","",IF($B202="""","""",INDEX(Ranges!$O$7:$T$156,B202,L202+1)/$O202))</f>
        <v/>
      </c>
      <c r="AC202" s="16" t="str">
        <f>IF($B202="","",IF($B202="""","""",INDEX(Ranges!$U$7:$Z$156,$B202,$L202+1)/$O202))</f>
        <v/>
      </c>
    </row>
    <row r="203" spans="13:29">
      <c r="M203" s="77" t="str">
        <f ca="1">IF(ISBLANK($L203),"",INDIRECT("'Avatars'!"&amp;ADDRESS(ROW(Avatars!$A$2)+$L203,COLUMN(Avatars!$A$2))))</f>
        <v/>
      </c>
      <c r="O203" s="63" t="str">
        <f>IF($N203="""",O202,IF(ISBLANK($N203),"",$N203*AVERAGE(INDEX(Ranges!$O$7:$T$156,A203,L203+1),INDEX(Ranges!$U$7:$Z$156,A203,L203+1))))</f>
        <v/>
      </c>
      <c r="W203" s="91" t="str">
        <f>IF(ISBLANK(V203),"",IF(V203="""",W202,INDEX(Damage!$F$2:$F$151,A203)*V203*SUM(P203:Q203)/1000))</f>
        <v/>
      </c>
      <c r="Z203" s="16" t="str">
        <f>IF($O203="","",INDEX(Ranges!$O$7:$T$156,A203,L203+1)/O203)</f>
        <v/>
      </c>
      <c r="AA203" s="16" t="str">
        <f>IF(O203="","",INDEX(Ranges!$U$7:$Z$156,A203,L203+1)/O203)</f>
        <v/>
      </c>
      <c r="AB203" s="16" t="str">
        <f>IF($B203="","",IF($B203="""","""",INDEX(Ranges!$O$7:$T$156,B203,L203+1)/$O203))</f>
        <v/>
      </c>
      <c r="AC203" s="16" t="str">
        <f>IF($B203="","",IF($B203="""","""",INDEX(Ranges!$U$7:$Z$156,$B203,$L203+1)/$O203))</f>
        <v/>
      </c>
    </row>
    <row r="204" spans="13:29">
      <c r="M204" s="77" t="str">
        <f ca="1">IF(ISBLANK($L204),"",INDIRECT("'Avatars'!"&amp;ADDRESS(ROW(Avatars!$A$2)+$L204,COLUMN(Avatars!$A$2))))</f>
        <v/>
      </c>
      <c r="O204" s="63" t="str">
        <f>IF($N204="""",O203,IF(ISBLANK($N204),"",$N204*AVERAGE(INDEX(Ranges!$O$7:$T$156,A204,L204+1),INDEX(Ranges!$U$7:$Z$156,A204,L204+1))))</f>
        <v/>
      </c>
      <c r="W204" s="91" t="str">
        <f>IF(ISBLANK(V204),"",IF(V204="""",W203,INDEX(Damage!$F$2:$F$151,A204)*V204*SUM(P204:Q204)/1000))</f>
        <v/>
      </c>
      <c r="Z204" s="16" t="str">
        <f>IF($O204="","",INDEX(Ranges!$O$7:$T$156,A204,L204+1)/O204)</f>
        <v/>
      </c>
      <c r="AA204" s="16" t="str">
        <f>IF(O204="","",INDEX(Ranges!$U$7:$Z$156,A204,L204+1)/O204)</f>
        <v/>
      </c>
      <c r="AB204" s="16" t="str">
        <f>IF($B204="","",IF($B204="""","""",INDEX(Ranges!$O$7:$T$156,B204,L204+1)/$O204))</f>
        <v/>
      </c>
      <c r="AC204" s="16" t="str">
        <f>IF($B204="","",IF($B204="""","""",INDEX(Ranges!$U$7:$Z$156,$B204,$L204+1)/$O204))</f>
        <v/>
      </c>
    </row>
    <row r="205" spans="13:29">
      <c r="M205" s="77" t="str">
        <f ca="1">IF(ISBLANK($L205),"",INDIRECT("'Avatars'!"&amp;ADDRESS(ROW(Avatars!$A$2)+$L205,COLUMN(Avatars!$A$2))))</f>
        <v/>
      </c>
      <c r="O205" s="63" t="str">
        <f>IF($N205="""",O204,IF(ISBLANK($N205),"",$N205*AVERAGE(INDEX(Ranges!$O$7:$T$156,A205,L205+1),INDEX(Ranges!$U$7:$Z$156,A205,L205+1))))</f>
        <v/>
      </c>
      <c r="W205" s="91" t="str">
        <f>IF(ISBLANK(V205),"",IF(V205="""",W204,INDEX(Damage!$F$2:$F$151,A205)*V205*SUM(P205:Q205)/1000))</f>
        <v/>
      </c>
      <c r="Z205" s="16" t="str">
        <f>IF($O205="","",INDEX(Ranges!$O$7:$T$156,A205,L205+1)/O205)</f>
        <v/>
      </c>
      <c r="AA205" s="16" t="str">
        <f>IF(O205="","",INDEX(Ranges!$U$7:$Z$156,A205,L205+1)/O205)</f>
        <v/>
      </c>
      <c r="AB205" s="16" t="str">
        <f>IF($B205="","",IF($B205="""","""",INDEX(Ranges!$O$7:$T$156,B205,L205+1)/$O205))</f>
        <v/>
      </c>
      <c r="AC205" s="16" t="str">
        <f>IF($B205="","",IF($B205="""","""",INDEX(Ranges!$U$7:$Z$156,$B205,$L205+1)/$O205))</f>
        <v/>
      </c>
    </row>
    <row r="206" spans="13:29">
      <c r="M206" s="77" t="str">
        <f ca="1">IF(ISBLANK($L206),"",INDIRECT("'Avatars'!"&amp;ADDRESS(ROW(Avatars!$A$2)+$L206,COLUMN(Avatars!$A$2))))</f>
        <v/>
      </c>
      <c r="O206" s="63" t="str">
        <f>IF($N206="""",O205,IF(ISBLANK($N206),"",$N206*AVERAGE(INDEX(Ranges!$O$7:$T$156,A206,L206+1),INDEX(Ranges!$U$7:$Z$156,A206,L206+1))))</f>
        <v/>
      </c>
      <c r="W206" s="91" t="str">
        <f>IF(ISBLANK(V206),"",IF(V206="""",W205,INDEX(Damage!$F$2:$F$151,A206)*V206*SUM(P206:Q206)/1000))</f>
        <v/>
      </c>
      <c r="Z206" s="16" t="str">
        <f>IF($O206="","",INDEX(Ranges!$O$7:$T$156,A206,L206+1)/O206)</f>
        <v/>
      </c>
      <c r="AA206" s="16" t="str">
        <f>IF(O206="","",INDEX(Ranges!$U$7:$Z$156,A206,L206+1)/O206)</f>
        <v/>
      </c>
      <c r="AB206" s="16" t="str">
        <f>IF($B206="","",IF($B206="""","""",INDEX(Ranges!$O$7:$T$156,B206,L206+1)/$O206))</f>
        <v/>
      </c>
      <c r="AC206" s="16" t="str">
        <f>IF($B206="","",IF($B206="""","""",INDEX(Ranges!$U$7:$Z$156,$B206,$L206+1)/$O206))</f>
        <v/>
      </c>
    </row>
    <row r="207" spans="13:29">
      <c r="M207" s="77" t="str">
        <f ca="1">IF(ISBLANK($L207),"",INDIRECT("'Avatars'!"&amp;ADDRESS(ROW(Avatars!$A$2)+$L207,COLUMN(Avatars!$A$2))))</f>
        <v/>
      </c>
      <c r="O207" s="63" t="str">
        <f>IF($N207="""",O206,IF(ISBLANK($N207),"",$N207*AVERAGE(INDEX(Ranges!$O$7:$T$156,A207,L207+1),INDEX(Ranges!$U$7:$Z$156,A207,L207+1))))</f>
        <v/>
      </c>
      <c r="W207" s="91" t="str">
        <f>IF(ISBLANK(V207),"",IF(V207="""",W206,INDEX(Damage!$F$2:$F$151,A207)*V207*SUM(P207:Q207)/1000))</f>
        <v/>
      </c>
      <c r="Z207" s="16" t="str">
        <f>IF($O207="","",INDEX(Ranges!$O$7:$T$156,A207,L207+1)/O207)</f>
        <v/>
      </c>
      <c r="AA207" s="16" t="str">
        <f>IF(O207="","",INDEX(Ranges!$U$7:$Z$156,A207,L207+1)/O207)</f>
        <v/>
      </c>
      <c r="AB207" s="16" t="str">
        <f>IF($B207="","",IF($B207="""","""",INDEX(Ranges!$O$7:$T$156,B207,L207+1)/$O207))</f>
        <v/>
      </c>
      <c r="AC207" s="16" t="str">
        <f>IF($B207="","",IF($B207="""","""",INDEX(Ranges!$U$7:$Z$156,$B207,$L207+1)/$O207))</f>
        <v/>
      </c>
    </row>
    <row r="208" spans="13:29">
      <c r="M208" s="77" t="str">
        <f ca="1">IF(ISBLANK($L208),"",INDIRECT("'Avatars'!"&amp;ADDRESS(ROW(Avatars!$A$2)+$L208,COLUMN(Avatars!$A$2))))</f>
        <v/>
      </c>
      <c r="O208" s="63" t="str">
        <f>IF($N208="""",O207,IF(ISBLANK($N208),"",$N208*AVERAGE(INDEX(Ranges!$O$7:$T$156,A208,L208+1),INDEX(Ranges!$U$7:$Z$156,A208,L208+1))))</f>
        <v/>
      </c>
      <c r="W208" s="91" t="str">
        <f>IF(ISBLANK(V208),"",IF(V208="""",W207,INDEX(Damage!$F$2:$F$151,A208)*V208*SUM(P208:Q208)/1000))</f>
        <v/>
      </c>
      <c r="Z208" s="16" t="str">
        <f>IF($O208="","",INDEX(Ranges!$O$7:$T$156,A208,L208+1)/O208)</f>
        <v/>
      </c>
      <c r="AA208" s="16" t="str">
        <f>IF(O208="","",INDEX(Ranges!$U$7:$Z$156,A208,L208+1)/O208)</f>
        <v/>
      </c>
      <c r="AB208" s="16" t="str">
        <f>IF($B208="","",IF($B208="""","""",INDEX(Ranges!$O$7:$T$156,B208,L208+1)/$O208))</f>
        <v/>
      </c>
      <c r="AC208" s="16" t="str">
        <f>IF($B208="","",IF($B208="""","""",INDEX(Ranges!$U$7:$Z$156,$B208,$L208+1)/$O208))</f>
        <v/>
      </c>
    </row>
    <row r="209" spans="13:29">
      <c r="M209" s="77" t="str">
        <f ca="1">IF(ISBLANK($L209),"",INDIRECT("'Avatars'!"&amp;ADDRESS(ROW(Avatars!$A$2)+$L209,COLUMN(Avatars!$A$2))))</f>
        <v/>
      </c>
      <c r="O209" s="63" t="str">
        <f>IF($N209="""",O208,IF(ISBLANK($N209),"",$N209*AVERAGE(INDEX(Ranges!$O$7:$T$156,A209,L209+1),INDEX(Ranges!$U$7:$Z$156,A209,L209+1))))</f>
        <v/>
      </c>
      <c r="W209" s="91" t="str">
        <f>IF(ISBLANK(V209),"",IF(V209="""",W208,INDEX(Damage!$F$2:$F$151,A209)*V209*SUM(P209:Q209)/1000))</f>
        <v/>
      </c>
      <c r="Z209" s="16" t="str">
        <f>IF($O209="","",INDEX(Ranges!$O$7:$T$156,A209,L209+1)/O209)</f>
        <v/>
      </c>
      <c r="AA209" s="16" t="str">
        <f>IF(O209="","",INDEX(Ranges!$U$7:$Z$156,A209,L209+1)/O209)</f>
        <v/>
      </c>
      <c r="AB209" s="16" t="str">
        <f>IF($B209="","",IF($B209="""","""",INDEX(Ranges!$O$7:$T$156,B209,L209+1)/$O209))</f>
        <v/>
      </c>
      <c r="AC209" s="16" t="str">
        <f>IF($B209="","",IF($B209="""","""",INDEX(Ranges!$U$7:$Z$156,$B209,$L209+1)/$O209))</f>
        <v/>
      </c>
    </row>
    <row r="210" spans="13:29">
      <c r="M210" s="77" t="str">
        <f ca="1">IF(ISBLANK($L210),"",INDIRECT("'Avatars'!"&amp;ADDRESS(ROW(Avatars!$A$2)+$L210,COLUMN(Avatars!$A$2))))</f>
        <v/>
      </c>
      <c r="O210" s="63" t="str">
        <f>IF($N210="""",O209,IF(ISBLANK($N210),"",$N210*AVERAGE(INDEX(Ranges!$O$7:$T$156,A210,L210+1),INDEX(Ranges!$U$7:$Z$156,A210,L210+1))))</f>
        <v/>
      </c>
      <c r="W210" s="91" t="str">
        <f>IF(ISBLANK(V210),"",IF(V210="""",W209,INDEX(Damage!$F$2:$F$151,A210)*V210*SUM(P210:Q210)/1000))</f>
        <v/>
      </c>
      <c r="Z210" s="16" t="str">
        <f>IF($O210="","",INDEX(Ranges!$O$7:$T$156,A210,L210+1)/O210)</f>
        <v/>
      </c>
      <c r="AA210" s="16" t="str">
        <f>IF(O210="","",INDEX(Ranges!$U$7:$Z$156,A210,L210+1)/O210)</f>
        <v/>
      </c>
      <c r="AB210" s="16" t="str">
        <f>IF($B210="","",IF($B210="""","""",INDEX(Ranges!$O$7:$T$156,B210,L210+1)/$O210))</f>
        <v/>
      </c>
      <c r="AC210" s="16" t="str">
        <f>IF($B210="","",IF($B210="""","""",INDEX(Ranges!$U$7:$Z$156,$B210,$L210+1)/$O210))</f>
        <v/>
      </c>
    </row>
    <row r="211" spans="13:29">
      <c r="M211" s="77" t="str">
        <f ca="1">IF(ISBLANK($L211),"",INDIRECT("'Avatars'!"&amp;ADDRESS(ROW(Avatars!$A$2)+$L211,COLUMN(Avatars!$A$2))))</f>
        <v/>
      </c>
      <c r="O211" s="63" t="str">
        <f>IF($N211="""",O210,IF(ISBLANK($N211),"",$N211*AVERAGE(INDEX(Ranges!$O$7:$T$156,A211,L211+1),INDEX(Ranges!$U$7:$Z$156,A211,L211+1))))</f>
        <v/>
      </c>
      <c r="W211" s="91" t="str">
        <f>IF(ISBLANK(V211),"",IF(V211="""",W210,INDEX(Damage!$F$2:$F$151,A211)*V211*SUM(P211:Q211)/1000))</f>
        <v/>
      </c>
      <c r="Z211" s="16" t="str">
        <f>IF($O211="","",INDEX(Ranges!$O$7:$T$156,A211,L211+1)/O211)</f>
        <v/>
      </c>
      <c r="AA211" s="16" t="str">
        <f>IF(O211="","",INDEX(Ranges!$U$7:$Z$156,A211,L211+1)/O211)</f>
        <v/>
      </c>
      <c r="AB211" s="16" t="str">
        <f>IF($B211="","",IF($B211="""","""",INDEX(Ranges!$O$7:$T$156,B211,L211+1)/$O211))</f>
        <v/>
      </c>
      <c r="AC211" s="16" t="str">
        <f>IF($B211="","",IF($B211="""","""",INDEX(Ranges!$U$7:$Z$156,$B211,$L211+1)/$O211))</f>
        <v/>
      </c>
    </row>
    <row r="212" spans="13:29">
      <c r="M212" s="77" t="str">
        <f ca="1">IF(ISBLANK($L212),"",INDIRECT("'Avatars'!"&amp;ADDRESS(ROW(Avatars!$A$2)+$L212,COLUMN(Avatars!$A$2))))</f>
        <v/>
      </c>
      <c r="O212" s="63" t="str">
        <f>IF($N212="""",O211,IF(ISBLANK($N212),"",$N212*AVERAGE(INDEX(Ranges!$O$7:$T$156,A212,L212+1),INDEX(Ranges!$U$7:$Z$156,A212,L212+1))))</f>
        <v/>
      </c>
      <c r="W212" s="91" t="str">
        <f>IF(ISBLANK(V212),"",IF(V212="""",W211,INDEX(Damage!$F$2:$F$151,A212)*V212*SUM(P212:Q212)/1000))</f>
        <v/>
      </c>
      <c r="Z212" s="16" t="str">
        <f>IF($O212="","",INDEX(Ranges!$O$7:$T$156,A212,L212+1)/O212)</f>
        <v/>
      </c>
      <c r="AA212" s="16" t="str">
        <f>IF(O212="","",INDEX(Ranges!$U$7:$Z$156,A212,L212+1)/O212)</f>
        <v/>
      </c>
      <c r="AB212" s="16" t="str">
        <f>IF($B212="","",IF($B212="""","""",INDEX(Ranges!$O$7:$T$156,B212,L212+1)/$O212))</f>
        <v/>
      </c>
      <c r="AC212" s="16" t="str">
        <f>IF($B212="","",IF($B212="""","""",INDEX(Ranges!$U$7:$Z$156,$B212,$L212+1)/$O212))</f>
        <v/>
      </c>
    </row>
    <row r="213" spans="13:29">
      <c r="M213" s="77" t="str">
        <f ca="1">IF(ISBLANK($L213),"",INDIRECT("'Avatars'!"&amp;ADDRESS(ROW(Avatars!$A$2)+$L213,COLUMN(Avatars!$A$2))))</f>
        <v/>
      </c>
      <c r="O213" s="63" t="str">
        <f>IF($N213="""",O212,IF(ISBLANK($N213),"",$N213*AVERAGE(INDEX(Ranges!$O$7:$T$156,A213,L213+1),INDEX(Ranges!$U$7:$Z$156,A213,L213+1))))</f>
        <v/>
      </c>
      <c r="W213" s="91" t="str">
        <f>IF(ISBLANK(V213),"",IF(V213="""",W212,INDEX(Damage!$F$2:$F$151,A213)*V213*SUM(P213:Q213)/1000))</f>
        <v/>
      </c>
      <c r="Z213" s="16" t="str">
        <f>IF($O213="","",INDEX(Ranges!$O$7:$T$156,A213,L213+1)/O213)</f>
        <v/>
      </c>
      <c r="AA213" s="16" t="str">
        <f>IF(O213="","",INDEX(Ranges!$U$7:$Z$156,A213,L213+1)/O213)</f>
        <v/>
      </c>
      <c r="AB213" s="16" t="str">
        <f>IF($B213="","",IF($B213="""","""",INDEX(Ranges!$O$7:$T$156,B213,L213+1)/$O213))</f>
        <v/>
      </c>
      <c r="AC213" s="16" t="str">
        <f>IF($B213="","",IF($B213="""","""",INDEX(Ranges!$U$7:$Z$156,$B213,$L213+1)/$O213))</f>
        <v/>
      </c>
    </row>
    <row r="214" spans="13:29">
      <c r="M214" s="77" t="str">
        <f ca="1">IF(ISBLANK($L214),"",INDIRECT("'Avatars'!"&amp;ADDRESS(ROW(Avatars!$A$2)+$L214,COLUMN(Avatars!$A$2))))</f>
        <v/>
      </c>
      <c r="O214" s="63" t="str">
        <f>IF($N214="""",O213,IF(ISBLANK($N214),"",$N214*AVERAGE(INDEX(Ranges!$O$7:$T$156,A214,L214+1),INDEX(Ranges!$U$7:$Z$156,A214,L214+1))))</f>
        <v/>
      </c>
      <c r="W214" s="91" t="str">
        <f>IF(ISBLANK(V214),"",IF(V214="""",W213,INDEX(Damage!$F$2:$F$151,A214)*V214*SUM(P214:Q214)/1000))</f>
        <v/>
      </c>
      <c r="Z214" s="16" t="str">
        <f>IF($O214="","",INDEX(Ranges!$O$7:$T$156,A214,L214+1)/O214)</f>
        <v/>
      </c>
      <c r="AA214" s="16" t="str">
        <f>IF(O214="","",INDEX(Ranges!$U$7:$Z$156,A214,L214+1)/O214)</f>
        <v/>
      </c>
      <c r="AB214" s="16" t="str">
        <f>IF($B214="","",IF($B214="""","""",INDEX(Ranges!$O$7:$T$156,B214,L214+1)/$O214))</f>
        <v/>
      </c>
      <c r="AC214" s="16" t="str">
        <f>IF($B214="","",IF($B214="""","""",INDEX(Ranges!$U$7:$Z$156,$B214,$L214+1)/$O214))</f>
        <v/>
      </c>
    </row>
    <row r="215" spans="13:29">
      <c r="M215" s="77" t="str">
        <f ca="1">IF(ISBLANK($L215),"",INDIRECT("'Avatars'!"&amp;ADDRESS(ROW(Avatars!$A$2)+$L215,COLUMN(Avatars!$A$2))))</f>
        <v/>
      </c>
      <c r="O215" s="63" t="str">
        <f>IF($N215="""",O214,IF(ISBLANK($N215),"",$N215*AVERAGE(INDEX(Ranges!$O$7:$T$156,A215,L215+1),INDEX(Ranges!$U$7:$Z$156,A215,L215+1))))</f>
        <v/>
      </c>
      <c r="W215" s="91" t="str">
        <f>IF(ISBLANK(V215),"",IF(V215="""",W214,INDEX(Damage!$F$2:$F$151,A215)*V215*SUM(P215:Q215)/1000))</f>
        <v/>
      </c>
      <c r="Z215" s="16" t="str">
        <f>IF($O215="","",INDEX(Ranges!$O$7:$T$156,A215,L215+1)/O215)</f>
        <v/>
      </c>
      <c r="AA215" s="16" t="str">
        <f>IF(O215="","",INDEX(Ranges!$U$7:$Z$156,A215,L215+1)/O215)</f>
        <v/>
      </c>
      <c r="AB215" s="16" t="str">
        <f>IF($B215="","",IF($B215="""","""",INDEX(Ranges!$O$7:$T$156,B215,L215+1)/$O215))</f>
        <v/>
      </c>
      <c r="AC215" s="16" t="str">
        <f>IF($B215="","",IF($B215="""","""",INDEX(Ranges!$U$7:$Z$156,$B215,$L215+1)/$O215))</f>
        <v/>
      </c>
    </row>
    <row r="216" spans="13:29">
      <c r="M216" s="77" t="str">
        <f ca="1">IF(ISBLANK($L216),"",INDIRECT("'Avatars'!"&amp;ADDRESS(ROW(Avatars!$A$2)+$L216,COLUMN(Avatars!$A$2))))</f>
        <v/>
      </c>
      <c r="O216" s="63" t="str">
        <f>IF($N216="""",O215,IF(ISBLANK($N216),"",$N216*AVERAGE(INDEX(Ranges!$O$7:$T$156,A216,L216+1),INDEX(Ranges!$U$7:$Z$156,A216,L216+1))))</f>
        <v/>
      </c>
      <c r="W216" s="91" t="str">
        <f>IF(ISBLANK(V216),"",IF(V216="""",W215,INDEX(Damage!$F$2:$F$151,A216)*V216*SUM(P216:Q216)/1000))</f>
        <v/>
      </c>
      <c r="Z216" s="16" t="str">
        <f>IF($O216="","",INDEX(Ranges!$O$7:$T$156,A216,L216+1)/O216)</f>
        <v/>
      </c>
      <c r="AA216" s="16" t="str">
        <f>IF(O216="","",INDEX(Ranges!$U$7:$Z$156,A216,L216+1)/O216)</f>
        <v/>
      </c>
      <c r="AB216" s="16" t="str">
        <f>IF($B216="","",IF($B216="""","""",INDEX(Ranges!$O$7:$T$156,B216,L216+1)/$O216))</f>
        <v/>
      </c>
      <c r="AC216" s="16" t="str">
        <f>IF($B216="","",IF($B216="""","""",INDEX(Ranges!$U$7:$Z$156,$B216,$L216+1)/$O216))</f>
        <v/>
      </c>
    </row>
    <row r="217" spans="13:29">
      <c r="M217" s="77" t="str">
        <f ca="1">IF(ISBLANK($L217),"",INDIRECT("'Avatars'!"&amp;ADDRESS(ROW(Avatars!$A$2)+$L217,COLUMN(Avatars!$A$2))))</f>
        <v/>
      </c>
      <c r="O217" s="63" t="str">
        <f>IF($N217="""",O216,IF(ISBLANK($N217),"",$N217*AVERAGE(INDEX(Ranges!$O$7:$T$156,A217,L217+1),INDEX(Ranges!$U$7:$Z$156,A217,L217+1))))</f>
        <v/>
      </c>
      <c r="W217" s="91" t="str">
        <f>IF(ISBLANK(V217),"",IF(V217="""",W216,INDEX(Damage!$F$2:$F$151,A217)*V217*SUM(P217:Q217)/1000))</f>
        <v/>
      </c>
      <c r="Z217" s="16" t="str">
        <f>IF($O217="","",INDEX(Ranges!$O$7:$T$156,A217,L217+1)/O217)</f>
        <v/>
      </c>
      <c r="AA217" s="16" t="str">
        <f>IF(O217="","",INDEX(Ranges!$U$7:$Z$156,A217,L217+1)/O217)</f>
        <v/>
      </c>
      <c r="AB217" s="16" t="str">
        <f>IF($B217="","",IF($B217="""","""",INDEX(Ranges!$O$7:$T$156,B217,L217+1)/$O217))</f>
        <v/>
      </c>
      <c r="AC217" s="16" t="str">
        <f>IF($B217="","",IF($B217="""","""",INDEX(Ranges!$U$7:$Z$156,$B217,$L217+1)/$O217))</f>
        <v/>
      </c>
    </row>
    <row r="218" spans="13:29">
      <c r="M218" s="77" t="str">
        <f ca="1">IF(ISBLANK($L218),"",INDIRECT("'Avatars'!"&amp;ADDRESS(ROW(Avatars!$A$2)+$L218,COLUMN(Avatars!$A$2))))</f>
        <v/>
      </c>
      <c r="O218" s="63" t="str">
        <f>IF($N218="""",O217,IF(ISBLANK($N218),"",$N218*AVERAGE(INDEX(Ranges!$O$7:$T$156,A218,L218+1),INDEX(Ranges!$U$7:$Z$156,A218,L218+1))))</f>
        <v/>
      </c>
      <c r="W218" s="91" t="str">
        <f>IF(ISBLANK(V218),"",IF(V218="""",W217,INDEX(Damage!$F$2:$F$151,A218)*V218*SUM(P218:Q218)/1000))</f>
        <v/>
      </c>
      <c r="Z218" s="16" t="str">
        <f>IF($O218="","",INDEX(Ranges!$O$7:$T$156,A218,L218+1)/O218)</f>
        <v/>
      </c>
      <c r="AA218" s="16" t="str">
        <f>IF(O218="","",INDEX(Ranges!$U$7:$Z$156,A218,L218+1)/O218)</f>
        <v/>
      </c>
      <c r="AB218" s="16" t="str">
        <f>IF($B218="","",IF($B218="""","""",INDEX(Ranges!$O$7:$T$156,B218,L218+1)/$O218))</f>
        <v/>
      </c>
      <c r="AC218" s="16" t="str">
        <f>IF($B218="","",IF($B218="""","""",INDEX(Ranges!$U$7:$Z$156,$B218,$L218+1)/$O218))</f>
        <v/>
      </c>
    </row>
    <row r="219" spans="13:29">
      <c r="M219" s="77" t="str">
        <f ca="1">IF(ISBLANK($L219),"",INDIRECT("'Avatars'!"&amp;ADDRESS(ROW(Avatars!$A$2)+$L219,COLUMN(Avatars!$A$2))))</f>
        <v/>
      </c>
      <c r="W219" s="91" t="str">
        <f>IF(ISBLANK(V219),"",IF(V219="""",W218,INDEX(Damage!$F$2:$F$151,A219)*V219*SUM(P219:Q219)/1000))</f>
        <v/>
      </c>
      <c r="Z219" s="16" t="str">
        <f>IF($O219="","",INDEX(Ranges!$O$7:$T$156,A219,L219+1)/O219)</f>
        <v/>
      </c>
      <c r="AA219" s="16" t="str">
        <f>IF(O219="","",INDEX(Ranges!$U$7:$Z$156,A219,L219+1)/O219)</f>
        <v/>
      </c>
      <c r="AB219" s="16" t="str">
        <f>IF($B219="","",IF($B219="""","""",INDEX(Ranges!$O$7:$T$156,B219,L219+1)/$O219))</f>
        <v/>
      </c>
      <c r="AC219" s="16" t="str">
        <f>IF($B219="","",IF($B219="""","""",INDEX(Ranges!$U$7:$Z$156,$B219,$L219+1)/$O219))</f>
        <v/>
      </c>
    </row>
    <row r="220" spans="13:29">
      <c r="M220" s="77" t="str">
        <f ca="1">IF(ISBLANK($L220),"",INDIRECT("'Avatars'!"&amp;ADDRESS(ROW(Avatars!$A$2)+$L220,COLUMN(Avatars!$A$2))))</f>
        <v/>
      </c>
      <c r="W220" s="91" t="str">
        <f>IF(ISBLANK(V220),"",IF(V220="""",W219,INDEX(Damage!$F$2:$F$151,A220)*V220*SUM(P220:Q220)/1000))</f>
        <v/>
      </c>
      <c r="Z220" s="16" t="str">
        <f>IF($O220="","",INDEX(Ranges!$O$7:$T$156,A220,L220+1)/O220)</f>
        <v/>
      </c>
      <c r="AA220" s="16" t="str">
        <f>IF(O220="","",INDEX(Ranges!$U$7:$Z$156,A220,L220+1)/O220)</f>
        <v/>
      </c>
      <c r="AB220" s="16" t="str">
        <f>IF($B220="","",IF($B220="""","""",INDEX(Ranges!$O$7:$T$156,B220,L220+1)/$O220))</f>
        <v/>
      </c>
      <c r="AC220" s="16" t="str">
        <f>IF($B220="","",IF($B220="""","""",INDEX(Ranges!$U$7:$Z$156,$B220,$L220+1)/$O220))</f>
        <v/>
      </c>
    </row>
    <row r="221" spans="13:29">
      <c r="M221" s="77" t="str">
        <f ca="1">IF(ISBLANK($L221),"",INDIRECT("'Avatars'!"&amp;ADDRESS(ROW(Avatars!$A$2)+$L221,COLUMN(Avatars!$A$2))))</f>
        <v/>
      </c>
      <c r="W221" s="91" t="str">
        <f>IF(ISBLANK(V221),"",IF(V221="""",W220,INDEX(Damage!$F$2:$F$151,A221)*V221*SUM(P221:Q221)/1000))</f>
        <v/>
      </c>
      <c r="Z221" s="16" t="str">
        <f>IF($O221="","",INDEX(Ranges!$O$7:$T$156,A221,L221+1)/O221)</f>
        <v/>
      </c>
      <c r="AA221" s="16" t="str">
        <f>IF(O221="","",INDEX(Ranges!$U$7:$Z$156,A221,L221+1)/O221)</f>
        <v/>
      </c>
      <c r="AB221" s="16" t="str">
        <f>IF($B221="","",IF($B221="""","""",INDEX(Ranges!$O$7:$T$156,B221,L221+1)/$O221))</f>
        <v/>
      </c>
      <c r="AC221" s="16" t="str">
        <f>IF($B221="","",IF($B221="""","""",INDEX(Ranges!$U$7:$Z$156,$B221,$L221+1)/$O221))</f>
        <v/>
      </c>
    </row>
    <row r="222" spans="13:29">
      <c r="M222" s="77" t="str">
        <f ca="1">IF(ISBLANK($L222),"",INDIRECT("'Avatars'!"&amp;ADDRESS(ROW(Avatars!$A$2)+$L222,COLUMN(Avatars!$A$2))))</f>
        <v/>
      </c>
      <c r="W222" s="91" t="str">
        <f>IF(ISBLANK(V222),"",IF(V222="""",W221,INDEX(Damage!$F$2:$F$151,A222)*V222*SUM(P222:Q222)/1000))</f>
        <v/>
      </c>
      <c r="Z222" s="16" t="str">
        <f>IF($O222="","",INDEX(Ranges!$O$7:$T$156,A222,L222+1)/O222)</f>
        <v/>
      </c>
      <c r="AA222" s="16" t="str">
        <f>IF(O222="","",INDEX(Ranges!$U$7:$Z$156,A222,L222+1)/O222)</f>
        <v/>
      </c>
      <c r="AB222" s="16" t="str">
        <f>IF($B222="","",IF($B222="""","""",INDEX(Ranges!$O$7:$T$156,B222,L222+1)/$O222))</f>
        <v/>
      </c>
      <c r="AC222" s="16" t="str">
        <f>IF($B222="","",IF($B222="""","""",INDEX(Ranges!$U$7:$Z$156,$B222,$L222+1)/$O222))</f>
        <v/>
      </c>
    </row>
    <row r="223" spans="13:29">
      <c r="M223" s="77" t="str">
        <f ca="1">IF(ISBLANK($L223),"",INDIRECT("'Avatars'!"&amp;ADDRESS(ROW(Avatars!$A$2)+$L223,COLUMN(Avatars!$A$2))))</f>
        <v/>
      </c>
      <c r="W223" s="91" t="str">
        <f>IF(ISBLANK(V223),"",IF(V223="""",W222,INDEX(Damage!$F$2:$F$151,A223)*V223*SUM(P223:Q223)/1000))</f>
        <v/>
      </c>
      <c r="Z223" s="16" t="str">
        <f>IF($O223="","",INDEX(Ranges!$O$7:$T$156,A223,L223+1)/O223)</f>
        <v/>
      </c>
      <c r="AA223" s="16" t="str">
        <f>IF(O223="","",INDEX(Ranges!$U$7:$Z$156,A223,L223+1)/O223)</f>
        <v/>
      </c>
      <c r="AB223" s="16" t="str">
        <f>IF($B223="","",IF($B223="""","""",INDEX(Ranges!$O$7:$T$156,B223,L223+1)/$O223))</f>
        <v/>
      </c>
      <c r="AC223" s="16" t="str">
        <f>IF($B223="","",IF($B223="""","""",INDEX(Ranges!$U$7:$Z$156,$B223,$L223+1)/$O223))</f>
        <v/>
      </c>
    </row>
    <row r="224" spans="13:29">
      <c r="M224" s="77" t="str">
        <f ca="1">IF(ISBLANK($L224),"",INDIRECT("'Avatars'!"&amp;ADDRESS(ROW(Avatars!$A$2)+$L224,COLUMN(Avatars!$A$2))))</f>
        <v/>
      </c>
      <c r="W224" s="91" t="str">
        <f>IF(ISBLANK(V224),"",IF(V224="""",W223,INDEX(Damage!$F$2:$F$151,A224)*V224*SUM(P224:Q224)/1000))</f>
        <v/>
      </c>
      <c r="Z224" s="16" t="str">
        <f>IF($O224="","",INDEX(Ranges!$O$7:$T$156,A224,L224+1)/O224)</f>
        <v/>
      </c>
      <c r="AA224" s="16" t="str">
        <f>IF(O224="","",INDEX(Ranges!$U$7:$Z$156,A224,L224+1)/O224)</f>
        <v/>
      </c>
      <c r="AB224" s="16" t="str">
        <f>IF($B224="","",IF($B224="""","""",INDEX(Ranges!$O$7:$T$156,B224,L224+1)/$O224))</f>
        <v/>
      </c>
      <c r="AC224" s="16" t="str">
        <f>IF($B224="","",IF($B224="""","""",INDEX(Ranges!$U$7:$Z$156,$B224,$L224+1)/$O224))</f>
        <v/>
      </c>
    </row>
    <row r="225" spans="13:29">
      <c r="M225" s="77" t="str">
        <f ca="1">IF(ISBLANK($L225),"",INDIRECT("'Avatars'!"&amp;ADDRESS(ROW(Avatars!$A$2)+$L225,COLUMN(Avatars!$A$2))))</f>
        <v/>
      </c>
      <c r="W225" s="91" t="str">
        <f>IF(ISBLANK(V225),"",IF(V225="""",W224,INDEX(Damage!$F$2:$F$151,A225)*V225*SUM(P225:Q225)/1000))</f>
        <v/>
      </c>
      <c r="Z225" s="16" t="str">
        <f>IF($O225="","",INDEX(Ranges!$O$7:$T$156,A225,L225+1)/O225)</f>
        <v/>
      </c>
      <c r="AA225" s="16" t="str">
        <f>IF(O225="","",INDEX(Ranges!$U$7:$Z$156,A225,L225+1)/O225)</f>
        <v/>
      </c>
      <c r="AB225" s="16" t="str">
        <f>IF($B225="","",IF($B225="""","""",INDEX(Ranges!$O$7:$T$156,B225,L225+1)/$O225))</f>
        <v/>
      </c>
      <c r="AC225" s="16" t="str">
        <f>IF($B225="","",IF($B225="""","""",INDEX(Ranges!$U$7:$Z$156,$B225,$L225+1)/$O225))</f>
        <v/>
      </c>
    </row>
    <row r="226" spans="13:29">
      <c r="M226" s="77" t="str">
        <f ca="1">IF(ISBLANK($L226),"",INDIRECT("'Avatars'!"&amp;ADDRESS(ROW(Avatars!$A$2)+$L226,COLUMN(Avatars!$A$2))))</f>
        <v/>
      </c>
      <c r="W226" s="91" t="str">
        <f>IF(ISBLANK(V226),"",IF(V226="""",W225,INDEX(Damage!$F$2:$F$151,A226)*V226*SUM(P226:Q226)/1000))</f>
        <v/>
      </c>
      <c r="Z226" s="16" t="str">
        <f>IF($O226="","",INDEX(Ranges!$O$7:$T$156,A226,L226+1)/O226)</f>
        <v/>
      </c>
      <c r="AA226" s="16" t="str">
        <f>IF(O226="","",INDEX(Ranges!$U$7:$Z$156,A226,L226+1)/O226)</f>
        <v/>
      </c>
      <c r="AB226" s="16" t="str">
        <f>IF($B226="","",IF($B226="""","""",INDEX(Ranges!$O$7:$T$156,B226,L226+1)/$O226))</f>
        <v/>
      </c>
      <c r="AC226" s="16" t="str">
        <f>IF($B226="","",IF($B226="""","""",INDEX(Ranges!$U$7:$Z$156,$B226,$L226+1)/$O226))</f>
        <v/>
      </c>
    </row>
    <row r="227" spans="13:29">
      <c r="M227" s="77" t="str">
        <f ca="1">IF(ISBLANK($L227),"",INDIRECT("'Avatars'!"&amp;ADDRESS(ROW(Avatars!$A$2)+$L227,COLUMN(Avatars!$A$2))))</f>
        <v/>
      </c>
      <c r="W227" s="91" t="str">
        <f>IF(ISBLANK(V227),"",IF(V227="""",W226,INDEX(Damage!$F$2:$F$151,A227)*V227*SUM(P227:Q227)/1000))</f>
        <v/>
      </c>
      <c r="Z227" s="16" t="str">
        <f>IF($O227="","",INDEX(Ranges!$O$7:$T$156,A227,L227+1)/O227)</f>
        <v/>
      </c>
      <c r="AA227" s="16" t="str">
        <f>IF(O227="","",INDEX(Ranges!$U$7:$Z$156,A227,L227+1)/O227)</f>
        <v/>
      </c>
      <c r="AB227" s="16" t="str">
        <f>IF($B227="","",IF($B227="""","""",INDEX(Ranges!$O$7:$T$156,B227,L227+1)/$O227))</f>
        <v/>
      </c>
      <c r="AC227" s="16" t="str">
        <f>IF($B227="","",IF($B227="""","""",INDEX(Ranges!$U$7:$Z$156,$B227,$L227+1)/$O227))</f>
        <v/>
      </c>
    </row>
    <row r="228" spans="13:29">
      <c r="M228" s="77" t="str">
        <f ca="1">IF(ISBLANK($L228),"",INDIRECT("'Avatars'!"&amp;ADDRESS(ROW(Avatars!$A$2)+$L228,COLUMN(Avatars!$A$2))))</f>
        <v/>
      </c>
      <c r="W228" s="91" t="str">
        <f>IF(ISBLANK(V228),"",IF(V228="""",W227,INDEX(Damage!$F$2:$F$151,A228)*V228*SUM(P228:Q228)/1000))</f>
        <v/>
      </c>
      <c r="Z228" s="16" t="str">
        <f>IF($O228="","",INDEX(Ranges!$O$7:$T$156,A228,L228+1)/O228)</f>
        <v/>
      </c>
      <c r="AA228" s="16" t="str">
        <f>IF(O228="","",INDEX(Ranges!$U$7:$Z$156,A228,L228+1)/O228)</f>
        <v/>
      </c>
      <c r="AB228" s="16" t="str">
        <f>IF($B228="","",IF($B228="""","""",INDEX(Ranges!$O$7:$T$156,B228,L228+1)/$O228))</f>
        <v/>
      </c>
      <c r="AC228" s="16" t="str">
        <f>IF($B228="","",IF($B228="""","""",INDEX(Ranges!$U$7:$Z$156,$B228,$L228+1)/$O228))</f>
        <v/>
      </c>
    </row>
    <row r="229" spans="13:29">
      <c r="M229" s="77" t="str">
        <f ca="1">IF(ISBLANK($L229),"",INDIRECT("'Avatars'!"&amp;ADDRESS(ROW(Avatars!$A$2)+$L229,COLUMN(Avatars!$A$2))))</f>
        <v/>
      </c>
      <c r="W229" s="91" t="str">
        <f>IF(ISBLANK(V229),"",IF(V229="""",W228,INDEX(Damage!$F$2:$F$151,A229)*V229*SUM(P229:Q229)/1000))</f>
        <v/>
      </c>
      <c r="Z229" s="16" t="str">
        <f>IF($O229="","",INDEX(Ranges!$O$7:$T$156,A229,L229+1)/O229)</f>
        <v/>
      </c>
      <c r="AA229" s="16" t="str">
        <f>IF(O229="","",INDEX(Ranges!$U$7:$Z$156,A229,L229+1)/O229)</f>
        <v/>
      </c>
      <c r="AB229" s="16" t="str">
        <f>IF($B229="","",IF($B229="""","""",INDEX(Ranges!$O$7:$T$156,B229,L229+1)/$O229))</f>
        <v/>
      </c>
      <c r="AC229" s="16" t="str">
        <f>IF($B229="","",IF($B229="""","""",INDEX(Ranges!$U$7:$Z$156,$B229,$L229+1)/$O229))</f>
        <v/>
      </c>
    </row>
    <row r="230" spans="13:29">
      <c r="M230" s="77" t="str">
        <f ca="1">IF(ISBLANK($L230),"",INDIRECT("'Avatars'!"&amp;ADDRESS(ROW(Avatars!$A$2)+$L230,COLUMN(Avatars!$A$2))))</f>
        <v/>
      </c>
      <c r="W230" s="91" t="str">
        <f>IF(ISBLANK(V230),"",IF(V230="""",W229,INDEX(Damage!$F$2:$F$151,A230)*V230*SUM(P230:Q230)/1000))</f>
        <v/>
      </c>
      <c r="Z230" s="16" t="str">
        <f>IF($O230="","",INDEX(Ranges!$O$7:$T$156,A230,L230+1)/O230)</f>
        <v/>
      </c>
      <c r="AA230" s="16" t="str">
        <f>IF(O230="","",INDEX(Ranges!$U$7:$Z$156,A230,L230+1)/O230)</f>
        <v/>
      </c>
      <c r="AB230" s="16" t="str">
        <f>IF($B230="","",IF($B230="""","""",INDEX(Ranges!$O$7:$T$156,B230,L230+1)/$O230))</f>
        <v/>
      </c>
      <c r="AC230" s="16" t="str">
        <f>IF($B230="","",IF($B230="""","""",INDEX(Ranges!$U$7:$Z$156,$B230,$L230+1)/$O230))</f>
        <v/>
      </c>
    </row>
    <row r="231" spans="13:29">
      <c r="M231" s="77" t="str">
        <f ca="1">IF(ISBLANK($L231),"",INDIRECT("'Avatars'!"&amp;ADDRESS(ROW(Avatars!$A$2)+$L231,COLUMN(Avatars!$A$2))))</f>
        <v/>
      </c>
      <c r="W231" s="91" t="str">
        <f>IF(ISBLANK(V231),"",IF(V231="""",W230,INDEX(Damage!$F$2:$F$151,A231)*V231*SUM(P231:Q231)/1000))</f>
        <v/>
      </c>
      <c r="Z231" s="16" t="str">
        <f>IF($O231="","",INDEX(Ranges!$O$7:$T$156,A231,L231+1)/O231)</f>
        <v/>
      </c>
      <c r="AA231" s="16" t="str">
        <f>IF(O231="","",INDEX(Ranges!$U$7:$Z$156,A231,L231+1)/O231)</f>
        <v/>
      </c>
      <c r="AB231" s="16" t="str">
        <f>IF($B231="","",IF($B231="""","""",INDEX(Ranges!$O$7:$T$156,B231,L231+1)/$O231))</f>
        <v/>
      </c>
      <c r="AC231" s="16" t="str">
        <f>IF($B231="","",IF($B231="""","""",INDEX(Ranges!$U$7:$Z$156,$B231,$L231+1)/$O231))</f>
        <v/>
      </c>
    </row>
    <row r="232" spans="13:29">
      <c r="M232" s="77" t="str">
        <f ca="1">IF(ISBLANK($L232),"",INDIRECT("'Avatars'!"&amp;ADDRESS(ROW(Avatars!$A$2)+$L232,COLUMN(Avatars!$A$2))))</f>
        <v/>
      </c>
      <c r="W232" s="91" t="str">
        <f>IF(ISBLANK(V232),"",IF(V232="""",W231,INDEX(Damage!$F$2:$F$151,A232)*V232*SUM(P232:Q232)/1000))</f>
        <v/>
      </c>
      <c r="Z232" s="16" t="str">
        <f>IF($O232="","",INDEX(Ranges!$O$7:$T$156,A232,L232+1)/O232)</f>
        <v/>
      </c>
      <c r="AA232" s="16" t="str">
        <f>IF(O232="","",INDEX(Ranges!$U$7:$Z$156,A232,L232+1)/O232)</f>
        <v/>
      </c>
      <c r="AB232" s="16" t="str">
        <f>IF($B232="","",IF($B232="""","""",INDEX(Ranges!$O$7:$T$156,B232,L232+1)/$O232))</f>
        <v/>
      </c>
      <c r="AC232" s="16" t="str">
        <f>IF($B232="","",IF($B232="""","""",INDEX(Ranges!$U$7:$Z$156,$B232,$L232+1)/$O232))</f>
        <v/>
      </c>
    </row>
    <row r="233" spans="13:29">
      <c r="M233" s="77" t="str">
        <f ca="1">IF(ISBLANK($L233),"",INDIRECT("'Avatars'!"&amp;ADDRESS(ROW(Avatars!$A$2)+$L233,COLUMN(Avatars!$A$2))))</f>
        <v/>
      </c>
      <c r="W233" s="91" t="str">
        <f>IF(ISBLANK(V233),"",IF(V233="""",W232,INDEX(Damage!$F$2:$F$151,A233)*V233*SUM(P233:Q233)/1000))</f>
        <v/>
      </c>
      <c r="Z233" s="16" t="str">
        <f>IF($O233="","",INDEX(Ranges!$O$7:$T$156,A233,L233+1)/O233)</f>
        <v/>
      </c>
      <c r="AA233" s="16" t="str">
        <f>IF(O233="","",INDEX(Ranges!$U$7:$Z$156,A233,L233+1)/O233)</f>
        <v/>
      </c>
      <c r="AB233" s="16" t="str">
        <f>IF($B233="","",IF($B233="""","""",INDEX(Ranges!$O$7:$T$156,B233,L233+1)/$O233))</f>
        <v/>
      </c>
      <c r="AC233" s="16" t="str">
        <f>IF($B233="","",IF($B233="""","""",INDEX(Ranges!$U$7:$Z$156,$B233,$L233+1)/$O233))</f>
        <v/>
      </c>
    </row>
    <row r="234" spans="13:29">
      <c r="M234" s="77" t="str">
        <f ca="1">IF(ISBLANK($L234),"",INDIRECT("'Avatars'!"&amp;ADDRESS(ROW(Avatars!$A$2)+$L234,COLUMN(Avatars!$A$2))))</f>
        <v/>
      </c>
      <c r="W234" s="91" t="str">
        <f>IF(ISBLANK(V234),"",IF(V234="""",W233,INDEX(Damage!$F$2:$F$151,A234)*V234*SUM(P234:Q234)/1000))</f>
        <v/>
      </c>
      <c r="Z234" s="16" t="str">
        <f>IF($O234="","",INDEX(Ranges!$O$7:$T$156,A234,L234+1)/O234)</f>
        <v/>
      </c>
      <c r="AA234" s="16" t="str">
        <f>IF(O234="","",INDEX(Ranges!$U$7:$Z$156,A234,L234+1)/O234)</f>
        <v/>
      </c>
      <c r="AB234" s="16" t="str">
        <f>IF($B234="","",IF($B234="""","""",INDEX(Ranges!$O$7:$T$156,B234,L234+1)/$O234))</f>
        <v/>
      </c>
      <c r="AC234" s="16" t="str">
        <f>IF($B234="","",IF($B234="""","""",INDEX(Ranges!$U$7:$Z$156,$B234,$L234+1)/$O234))</f>
        <v/>
      </c>
    </row>
  </sheetData>
  <conditionalFormatting sqref="AB147:AC234 E147:E1048576 Z152:AC234 AF1 O129:O218 A1:C124 E123:E129 M123:M234 D1:D123 W130:W234 Q124:Q134 E1:AD124 A125:AD214">
    <cfRule type="expression" dxfId="9" priority="7">
      <formula>INDEX($L$1:$L$247,ROW())=$AE$1</formula>
    </cfRule>
  </conditionalFormatting>
  <conditionalFormatting sqref="V129:V163">
    <cfRule type="expression" dxfId="8" priority="3">
      <formula>INDEX($L$1:$L$243,ROW())=$AE$1</formula>
    </cfRule>
  </conditionalFormatting>
  <conditionalFormatting sqref="D124">
    <cfRule type="expression" dxfId="7" priority="1">
      <formula>INDEX($L$1:$L$247,ROW())=$AE$1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6"/>
  <dimension ref="A1:T153"/>
  <sheetViews>
    <sheetView workbookViewId="0">
      <pane ySplit="1" topLeftCell="A7" activePane="bottomLeft" state="frozen"/>
      <selection pane="bottomLeft" activeCell="H26" sqref="H26"/>
    </sheetView>
  </sheetViews>
  <sheetFormatPr defaultRowHeight="15"/>
  <cols>
    <col min="1" max="1" width="9.140625" style="10"/>
    <col min="2" max="2" width="22.42578125" hidden="1" customWidth="1"/>
    <col min="3" max="7" width="9.140625" hidden="1" customWidth="1"/>
    <col min="8" max="8" width="19.7109375" bestFit="1" customWidth="1"/>
    <col min="9" max="9" width="23.28515625" customWidth="1"/>
    <col min="10" max="10" width="24.5703125" customWidth="1"/>
    <col min="11" max="11" width="28.140625" customWidth="1"/>
    <col min="12" max="12" width="15.140625" customWidth="1"/>
    <col min="13" max="13" width="10.7109375" hidden="1" customWidth="1"/>
    <col min="14" max="15" width="8.85546875" hidden="1" customWidth="1"/>
    <col min="16" max="16" width="29" hidden="1" customWidth="1"/>
    <col min="17" max="19" width="0" hidden="1" customWidth="1"/>
    <col min="20" max="20" width="28.140625" bestFit="1" customWidth="1"/>
  </cols>
  <sheetData>
    <row r="1" spans="1:20">
      <c r="A1" s="10">
        <v>5</v>
      </c>
      <c r="H1" s="10" t="str">
        <f>INDEX(Avatars!A2:A7,$A$1+1)</f>
        <v>Warrior</v>
      </c>
      <c r="I1" t="str">
        <f>INDEX(Avatars!M2:M7,$A$1+1)</f>
        <v>gets damage buffs and offsensive abilities sooner than the paladin, but doesn't get as many abilities and mostly lacks group spells</v>
      </c>
      <c r="T1" s="10">
        <v>8</v>
      </c>
    </row>
    <row r="2" spans="1:20">
      <c r="A2" s="106" t="s">
        <v>205</v>
      </c>
      <c r="B2" s="107"/>
      <c r="C2" s="107"/>
      <c r="D2" s="107"/>
      <c r="E2" s="107"/>
      <c r="F2" s="107"/>
      <c r="G2" s="107"/>
      <c r="H2" s="107"/>
      <c r="I2" s="108"/>
      <c r="N2" t="str">
        <f>INDEX($M$4:$M$154,T$1)</f>
        <v>Fury, Attack Run, Spin Attack</v>
      </c>
      <c r="T2" s="52" t="s">
        <v>310</v>
      </c>
    </row>
    <row r="3" spans="1:20">
      <c r="A3" s="10" t="s">
        <v>53</v>
      </c>
      <c r="T3" s="10" t="s">
        <v>309</v>
      </c>
    </row>
    <row r="4" spans="1:20">
      <c r="A4" s="10">
        <v>1</v>
      </c>
      <c r="B4">
        <f t="array" ref="B4">SMALL(IF(Spells!$A$1:$A$275=$A4,IF(Spells!$L$1:$L$275=$A$1,ROW(Spells!$A$1:$A$275))),COLUMN(A:A))</f>
        <v>126</v>
      </c>
      <c r="C4" t="e">
        <f t="array" ref="C4">SMALL(IF(Spells!$A$1:$A$275=$A4,IF(Spells!$L$1:$L$275=$A$1,ROW(Spells!$A$1:$A$275))),COLUMN(B:B))</f>
        <v>#NUM!</v>
      </c>
      <c r="D4" t="e">
        <f t="array" ref="D4">SMALL(IF(Spells!$A$1:$A$275=$A4,IF(Spells!$L$1:$L$275=$A$1,ROW(Spells!$A$1:$A$275))),COLUMN(C:C))</f>
        <v>#NUM!</v>
      </c>
      <c r="E4" t="e">
        <f t="array" ref="E4">SMALL(IF(Spells!$A$1:$A$275=$A4,IF(Spells!$L$1:$L$275=$A$1,ROW(Spells!$A$1:$A$275))),COLUMN(D:D))</f>
        <v>#NUM!</v>
      </c>
      <c r="F4" t="e">
        <f t="array" ref="F4">SMALL(IF(Spells!$A$1:$A$275=$A4,IF(Spells!$L$1:$L$275=$A$1,ROW(Spells!$A$1:$A$275))),COLUMN(E:E))</f>
        <v>#NUM!</v>
      </c>
      <c r="G4" t="e">
        <f t="array" ref="G4">SMALL(IF(Spells!$A$1:$A$275=$A4,IF(Spells!$L$1:$L$275=$A$1,ROW(Spells!$A$1:$A$275))),COLUMN(F:F))</f>
        <v>#NUM!</v>
      </c>
      <c r="H4" t="str">
        <f>IF(ISERR(B4),"",INDEX(Spells!$F$1:$F$275,B4))</f>
        <v>Fury</v>
      </c>
      <c r="I4" t="str">
        <f>IF(ISERR(C4),"",INDEX(Spells!$F$1:$F$275,C4))</f>
        <v/>
      </c>
      <c r="J4" t="str">
        <f>IF(ISERR(D4),"",INDEX(Spells!$F$1:$F$275,D4))</f>
        <v/>
      </c>
      <c r="K4" t="str">
        <f>IF(ISERR(E4),"",INDEX(Spells!$F$1:$F$275,E4))</f>
        <v/>
      </c>
      <c r="L4" t="str">
        <f>IF(ISERR(F4),"",INDEX(Spells!$F$1:$F$275,F4))</f>
        <v/>
      </c>
      <c r="M4" t="str">
        <f t="shared" ref="M4:M67" si="0">IF(M3="","",M3&amp;IF(H4="","",", "))&amp;IF(H4="","",H4&amp;IF(I4="","",", "))&amp;IF(I4="","",I4&amp;IF(J4="","",", "))&amp;IF(J4="","",J4&amp;IF(K4="","",", "))&amp;IF(K4="","",K4&amp;IF(L4="","",", "))</f>
        <v>Fury</v>
      </c>
      <c r="N4">
        <f>FIND(",",N2,1)</f>
        <v>5</v>
      </c>
      <c r="O4">
        <f t="shared" ref="O4:O67" si="1">IF(ISERR(N4),LEN($N$2),N4)-IF(ISERR(N3),LEN($N$2),N3)</f>
        <v>5</v>
      </c>
      <c r="P4" t="str">
        <f t="shared" ref="P4:P30" si="2">TRIM(RIGHT(LEFT(N$2,IF(ISERR(N4),LEN($N$2),N4-1)),IF(O4&lt;IF(ISERR(N4),0,N4),O4-2,O4)))</f>
        <v>Fury</v>
      </c>
      <c r="Q4">
        <f>COUNTIF($P$4:P$155,"=("&amp;P4&amp;")")</f>
        <v>0</v>
      </c>
      <c r="R4" t="str">
        <f>IF(ISERR(FIND("(",P4)),P4&amp;IF(Q4&gt;0," ("&amp;ROMAN(Q4)&amp;")",""),"")</f>
        <v>Fury</v>
      </c>
      <c r="S4" t="str">
        <f t="array" ref="S4">INDEX($R$4:$R$155,SMALL(IF($R$4:$R$155&lt;&gt;"",ROW($R$4:$R$155)-3),ROW()-3))</f>
        <v>Fury</v>
      </c>
      <c r="T4" t="str">
        <f>IF(ISERR(S4),"",S4)</f>
        <v>Fury</v>
      </c>
    </row>
    <row r="5" spans="1:20">
      <c r="A5" s="10">
        <v>2</v>
      </c>
      <c r="B5" t="e">
        <f t="array" ref="B5">SMALL(IF(Spells!$A$1:$A$275=$A5,IF(Spells!$L$1:$L$275=$A$1,ROW(Spells!$A$1:$A$275))),COLUMN(A:A))</f>
        <v>#NUM!</v>
      </c>
      <c r="C5" t="e">
        <f t="array" ref="C5">SMALL(IF(Spells!$A$1:$A$275=$A5,IF(Spells!$L$1:$L$275=$A$1,ROW(Spells!$A$1:$A$275))),COLUMN(B:B))</f>
        <v>#NUM!</v>
      </c>
      <c r="D5" t="e">
        <f t="array" ref="D5">SMALL(IF(Spells!$A$1:$A$275=$A5,IF(Spells!$L$1:$L$275=$A$1,ROW(Spells!$A$1:$A$275))),COLUMN(C:C))</f>
        <v>#NUM!</v>
      </c>
      <c r="E5" t="e">
        <f t="array" ref="E5">SMALL(IF(Spells!$A$1:$A$275=$A5,IF(Spells!$L$1:$L$275=$A$1,ROW(Spells!$A$1:$A$275))),COLUMN(D:D))</f>
        <v>#NUM!</v>
      </c>
      <c r="F5" t="e">
        <f t="array" ref="F5">SMALL(IF(Spells!$A$1:$A$275=$A5,IF(Spells!$L$1:$L$275=$A$1,ROW(Spells!$A$1:$A$275))),COLUMN(E:E))</f>
        <v>#NUM!</v>
      </c>
      <c r="G5" t="e">
        <f t="array" ref="G5">SMALL(IF(Spells!$A$1:$A$275=$A5,IF(Spells!$L$1:$L$275=$A$1,ROW(Spells!$A$1:$A$275))),COLUMN(F:F))</f>
        <v>#NUM!</v>
      </c>
      <c r="H5" t="str">
        <f>IF(ISERR(B5),"",INDEX(Spells!$F$1:$F$275,B5))</f>
        <v/>
      </c>
      <c r="I5" t="str">
        <f>IF(ISERR(C5),"",INDEX(Spells!$F$1:$F$275,C5))</f>
        <v/>
      </c>
      <c r="J5" t="str">
        <f>IF(ISERR(D5),"",INDEX(Spells!$F$1:$F$275,D5))</f>
        <v/>
      </c>
      <c r="K5" t="str">
        <f>IF(ISERR(E5),"",INDEX(Spells!$F$1:$F$275,E5))</f>
        <v/>
      </c>
      <c r="L5" t="str">
        <f>IF(ISERR(F5),"",INDEX(Spells!$F$1:$F$275,F5))</f>
        <v/>
      </c>
      <c r="M5" t="str">
        <f t="shared" si="0"/>
        <v>Fury</v>
      </c>
      <c r="N5">
        <f t="shared" ref="N5:N36" si="3">FIND(",",INDEX($M$4:$M$154,T$1),N4+1)</f>
        <v>17</v>
      </c>
      <c r="O5">
        <f t="shared" si="1"/>
        <v>12</v>
      </c>
      <c r="P5" t="str">
        <f t="shared" si="2"/>
        <v>Attack Run</v>
      </c>
      <c r="Q5">
        <f>COUNTIF($P$4:P$155,"=("&amp;P5&amp;")")</f>
        <v>0</v>
      </c>
      <c r="R5" t="str">
        <f t="shared" ref="R5:R30" si="4">IF(ISERR(FIND("(",P5)),P5&amp;IF(Q5&gt;0," ("&amp;ROMAN(Q5)&amp;")",""),"")</f>
        <v>Attack Run</v>
      </c>
      <c r="S5" t="str">
        <f t="array" ref="S5">INDEX($R$4:$R$155,SMALL(IF($R$4:$R$155&lt;&gt;"",ROW($R$4:$R$155)-3),ROW()-3))</f>
        <v>Attack Run</v>
      </c>
      <c r="T5" t="str">
        <f t="shared" ref="T5:T153" si="5">IF(ISERR(S5),"",S5)</f>
        <v>Attack Run</v>
      </c>
    </row>
    <row r="6" spans="1:20">
      <c r="A6" s="10">
        <v>3</v>
      </c>
      <c r="B6" t="e">
        <f t="array" ref="B6">SMALL(IF(Spells!$A$1:$A$275=$A6,IF(Spells!$L$1:$L$275=$A$1,ROW(Spells!$A$1:$A$275))),COLUMN(A:A))</f>
        <v>#NUM!</v>
      </c>
      <c r="C6" t="e">
        <f t="array" ref="C6">SMALL(IF(Spells!$A$1:$A$275=$A6,IF(Spells!$L$1:$L$275=$A$1,ROW(Spells!$A$1:$A$275))),COLUMN(B:B))</f>
        <v>#NUM!</v>
      </c>
      <c r="D6" t="e">
        <f t="array" ref="D6">SMALL(IF(Spells!$A$1:$A$275=$A6,IF(Spells!$L$1:$L$275=$A$1,ROW(Spells!$A$1:$A$275))),COLUMN(C:C))</f>
        <v>#NUM!</v>
      </c>
      <c r="E6" t="e">
        <f t="array" ref="E6">SMALL(IF(Spells!$A$1:$A$275=$A6,IF(Spells!$L$1:$L$275=$A$1,ROW(Spells!$A$1:$A$275))),COLUMN(D:D))</f>
        <v>#NUM!</v>
      </c>
      <c r="F6" t="e">
        <f t="array" ref="F6">SMALL(IF(Spells!$A$1:$A$275=$A6,IF(Spells!$L$1:$L$275=$A$1,ROW(Spells!$A$1:$A$275))),COLUMN(E:E))</f>
        <v>#NUM!</v>
      </c>
      <c r="G6" t="e">
        <f t="array" ref="G6">SMALL(IF(Spells!$A$1:$A$275=$A6,IF(Spells!$L$1:$L$275=$A$1,ROW(Spells!$A$1:$A$275))),COLUMN(F:F))</f>
        <v>#NUM!</v>
      </c>
      <c r="H6" t="str">
        <f>IF(ISERR(B6),"",INDEX(Spells!$F$1:$F$275,B6))</f>
        <v/>
      </c>
      <c r="I6" t="str">
        <f>IF(ISERR(C6),"",INDEX(Spells!$F$1:$F$275,C6))</f>
        <v/>
      </c>
      <c r="J6" t="str">
        <f>IF(ISERR(D6),"",INDEX(Spells!$F$1:$F$275,D6))</f>
        <v/>
      </c>
      <c r="K6" t="str">
        <f>IF(ISERR(E6),"",INDEX(Spells!$F$1:$F$275,E6))</f>
        <v/>
      </c>
      <c r="L6" t="str">
        <f>IF(ISERR(F6),"",INDEX(Spells!$F$1:$F$275,F6))</f>
        <v/>
      </c>
      <c r="M6" t="str">
        <f t="shared" si="0"/>
        <v>Fury</v>
      </c>
      <c r="N6" t="e">
        <f t="shared" si="3"/>
        <v>#VALUE!</v>
      </c>
      <c r="O6">
        <f t="shared" si="1"/>
        <v>12</v>
      </c>
      <c r="P6" t="str">
        <f t="shared" si="2"/>
        <v>Spin Attack</v>
      </c>
      <c r="Q6">
        <f>COUNTIF($P$4:P$155,"=("&amp;P6&amp;")")</f>
        <v>0</v>
      </c>
      <c r="R6" t="str">
        <f t="shared" si="4"/>
        <v>Spin Attack</v>
      </c>
      <c r="S6" t="str">
        <f t="array" ref="S6">INDEX($R$4:$R$155,SMALL(IF($R$4:$R$155&lt;&gt;"",ROW($R$4:$R$155)-3),ROW()-3))</f>
        <v>Spin Attack</v>
      </c>
      <c r="T6" t="str">
        <f t="shared" si="5"/>
        <v>Spin Attack</v>
      </c>
    </row>
    <row r="7" spans="1:20">
      <c r="A7" s="10">
        <v>4</v>
      </c>
      <c r="B7" t="e">
        <f t="array" ref="B7">SMALL(IF(Spells!$A$1:$A$275=$A7,IF(Spells!$L$1:$L$275=$A$1,ROW(Spells!$A$1:$A$275))),COLUMN(A:A))</f>
        <v>#NUM!</v>
      </c>
      <c r="C7" t="e">
        <f t="array" ref="C7">SMALL(IF(Spells!$A$1:$A$275=$A7,IF(Spells!$L$1:$L$275=$A$1,ROW(Spells!$A$1:$A$275))),COLUMN(B:B))</f>
        <v>#NUM!</v>
      </c>
      <c r="D7" t="e">
        <f t="array" ref="D7">SMALL(IF(Spells!$A$1:$A$275=$A7,IF(Spells!$L$1:$L$275=$A$1,ROW(Spells!$A$1:$A$275))),COLUMN(C:C))</f>
        <v>#NUM!</v>
      </c>
      <c r="E7" t="e">
        <f t="array" ref="E7">SMALL(IF(Spells!$A$1:$A$275=$A7,IF(Spells!$L$1:$L$275=$A$1,ROW(Spells!$A$1:$A$275))),COLUMN(D:D))</f>
        <v>#NUM!</v>
      </c>
      <c r="F7" t="e">
        <f t="array" ref="F7">SMALL(IF(Spells!$A$1:$A$275=$A7,IF(Spells!$L$1:$L$275=$A$1,ROW(Spells!$A$1:$A$275))),COLUMN(E:E))</f>
        <v>#NUM!</v>
      </c>
      <c r="G7" t="e">
        <f t="array" ref="G7">SMALL(IF(Spells!$A$1:$A$275=$A7,IF(Spells!$L$1:$L$275=$A$1,ROW(Spells!$A$1:$A$275))),COLUMN(F:F))</f>
        <v>#NUM!</v>
      </c>
      <c r="H7" t="str">
        <f>IF(ISERR(B7),"",INDEX(Spells!$F$1:$F$275,B7))</f>
        <v/>
      </c>
      <c r="I7" t="str">
        <f>IF(ISERR(C7),"",INDEX(Spells!$F$1:$F$275,C7))</f>
        <v/>
      </c>
      <c r="J7" t="str">
        <f>IF(ISERR(D7),"",INDEX(Spells!$F$1:$F$275,D7))</f>
        <v/>
      </c>
      <c r="K7" t="str">
        <f>IF(ISERR(E7),"",INDEX(Spells!$F$1:$F$275,E7))</f>
        <v/>
      </c>
      <c r="L7" t="str">
        <f>IF(ISERR(F7),"",INDEX(Spells!$F$1:$F$275,F7))</f>
        <v/>
      </c>
      <c r="M7" t="str">
        <f t="shared" si="0"/>
        <v>Fury</v>
      </c>
      <c r="N7" t="e">
        <f t="shared" si="3"/>
        <v>#VALUE!</v>
      </c>
      <c r="O7">
        <f>IF(ISERR(N7),LEN($N$2),N7)-IF(ISERR(N6),LEN($N$2),N6)</f>
        <v>0</v>
      </c>
      <c r="P7" t="str">
        <f t="shared" si="2"/>
        <v/>
      </c>
      <c r="Q7">
        <f>COUNTIF($P$4:P$155,"=("&amp;P7&amp;")")</f>
        <v>0</v>
      </c>
      <c r="R7" t="str">
        <f t="shared" si="4"/>
        <v/>
      </c>
      <c r="S7" t="e">
        <f t="array" ref="S7">INDEX($R$4:$R$155,SMALL(IF($R$4:$R$155&lt;&gt;"",ROW($R$4:$R$155)-3),ROW()-3))</f>
        <v>#NUM!</v>
      </c>
      <c r="T7" t="str">
        <f t="shared" si="5"/>
        <v/>
      </c>
    </row>
    <row r="8" spans="1:20">
      <c r="A8" s="10">
        <v>5</v>
      </c>
      <c r="B8" t="e">
        <f t="array" ref="B8">SMALL(IF(Spells!$A$1:$A$275=$A8,IF(Spells!$L$1:$L$275=$A$1,ROW(Spells!$A$1:$A$275))),COLUMN(A:A))</f>
        <v>#NUM!</v>
      </c>
      <c r="C8" t="e">
        <f t="array" ref="C8">SMALL(IF(Spells!$A$1:$A$275=$A8,IF(Spells!$L$1:$L$275=$A$1,ROW(Spells!$A$1:$A$275))),COLUMN(B:B))</f>
        <v>#NUM!</v>
      </c>
      <c r="D8" t="e">
        <f t="array" ref="D8">SMALL(IF(Spells!$A$1:$A$275=$A8,IF(Spells!$L$1:$L$275=$A$1,ROW(Spells!$A$1:$A$275))),COLUMN(C:C))</f>
        <v>#NUM!</v>
      </c>
      <c r="E8" t="e">
        <f t="array" ref="E8">SMALL(IF(Spells!$A$1:$A$275=$A8,IF(Spells!$L$1:$L$275=$A$1,ROW(Spells!$A$1:$A$275))),COLUMN(D:D))</f>
        <v>#NUM!</v>
      </c>
      <c r="F8" t="e">
        <f t="array" ref="F8">SMALL(IF(Spells!$A$1:$A$275=$A8,IF(Spells!$L$1:$L$275=$A$1,ROW(Spells!$A$1:$A$275))),COLUMN(E:E))</f>
        <v>#NUM!</v>
      </c>
      <c r="G8" t="e">
        <f t="array" ref="G8">SMALL(IF(Spells!$A$1:$A$275=$A8,IF(Spells!$L$1:$L$275=$A$1,ROW(Spells!$A$1:$A$275))),COLUMN(F:F))</f>
        <v>#NUM!</v>
      </c>
      <c r="H8" t="str">
        <f>IF(ISERR(B8),"",INDEX(Spells!$F$1:$F$275,B8))</f>
        <v/>
      </c>
      <c r="I8" t="str">
        <f>IF(ISERR(C8),"",INDEX(Spells!$F$1:$F$275,C8))</f>
        <v/>
      </c>
      <c r="J8" t="str">
        <f>IF(ISERR(D8),"",INDEX(Spells!$F$1:$F$275,D8))</f>
        <v/>
      </c>
      <c r="K8" t="str">
        <f>IF(ISERR(E8),"",INDEX(Spells!$F$1:$F$275,E8))</f>
        <v/>
      </c>
      <c r="L8" t="str">
        <f>IF(ISERR(F8),"",INDEX(Spells!$F$1:$F$275,F8))</f>
        <v/>
      </c>
      <c r="M8" t="str">
        <f t="shared" si="0"/>
        <v>Fury</v>
      </c>
      <c r="N8" t="e">
        <f t="shared" si="3"/>
        <v>#VALUE!</v>
      </c>
      <c r="O8">
        <f t="shared" si="1"/>
        <v>0</v>
      </c>
      <c r="P8" t="str">
        <f t="shared" si="2"/>
        <v/>
      </c>
      <c r="Q8">
        <f>COUNTIF($P$4:P$155,"=("&amp;P8&amp;")")</f>
        <v>0</v>
      </c>
      <c r="R8" t="str">
        <f t="shared" si="4"/>
        <v/>
      </c>
      <c r="S8" t="e">
        <f t="array" ref="S8">INDEX($R$4:$R$155,SMALL(IF($R$4:$R$155&lt;&gt;"",ROW($R$4:$R$155)-3),ROW()-3))</f>
        <v>#NUM!</v>
      </c>
      <c r="T8" t="str">
        <f t="shared" si="5"/>
        <v/>
      </c>
    </row>
    <row r="9" spans="1:20">
      <c r="A9" s="10">
        <v>6</v>
      </c>
      <c r="B9" t="e">
        <f t="array" ref="B9">SMALL(IF(Spells!$A$1:$A$275=$A9,IF(Spells!$L$1:$L$275=$A$1,ROW(Spells!$A$1:$A$275))),COLUMN(A:A))</f>
        <v>#NUM!</v>
      </c>
      <c r="C9" t="e">
        <f t="array" ref="C9">SMALL(IF(Spells!$A$1:$A$275=$A9,IF(Spells!$L$1:$L$275=$A$1,ROW(Spells!$A$1:$A$275))),COLUMN(B:B))</f>
        <v>#NUM!</v>
      </c>
      <c r="D9" t="e">
        <f t="array" ref="D9">SMALL(IF(Spells!$A$1:$A$275=$A9,IF(Spells!$L$1:$L$275=$A$1,ROW(Spells!$A$1:$A$275))),COLUMN(C:C))</f>
        <v>#NUM!</v>
      </c>
      <c r="E9" t="e">
        <f t="array" ref="E9">SMALL(IF(Spells!$A$1:$A$275=$A9,IF(Spells!$L$1:$L$275=$A$1,ROW(Spells!$A$1:$A$275))),COLUMN(D:D))</f>
        <v>#NUM!</v>
      </c>
      <c r="F9" t="e">
        <f t="array" ref="F9">SMALL(IF(Spells!$A$1:$A$275=$A9,IF(Spells!$L$1:$L$275=$A$1,ROW(Spells!$A$1:$A$275))),COLUMN(E:E))</f>
        <v>#NUM!</v>
      </c>
      <c r="G9" t="e">
        <f t="array" ref="G9">SMALL(IF(Spells!$A$1:$A$275=$A9,IF(Spells!$L$1:$L$275=$A$1,ROW(Spells!$A$1:$A$275))),COLUMN(F:F))</f>
        <v>#NUM!</v>
      </c>
      <c r="H9" t="str">
        <f>IF(ISERR(B9),"",INDEX(Spells!$F$1:$F$275,B9))</f>
        <v/>
      </c>
      <c r="I9" t="str">
        <f>IF(ISERR(C9),"",INDEX(Spells!$F$1:$F$275,C9))</f>
        <v/>
      </c>
      <c r="J9" t="str">
        <f>IF(ISERR(D9),"",INDEX(Spells!$F$1:$F$275,D9))</f>
        <v/>
      </c>
      <c r="K9" t="str">
        <f>IF(ISERR(E9),"",INDEX(Spells!$F$1:$F$275,E9))</f>
        <v/>
      </c>
      <c r="L9" t="str">
        <f>IF(ISERR(F9),"",INDEX(Spells!$F$1:$F$275,F9))</f>
        <v/>
      </c>
      <c r="M9" t="str">
        <f>IF(M8="","",M8&amp;IF(H9="","",", "))&amp;IF(H9="","",H9&amp;IF(I9="","",", "))&amp;IF(I9="","",I9&amp;IF(J9="","",", "))&amp;IF(J9="","",J9&amp;IF(K9="","",", "))&amp;IF(K9="","",K9&amp;IF(L9="","",", "))</f>
        <v>Fury</v>
      </c>
      <c r="N9" t="e">
        <f t="shared" si="3"/>
        <v>#VALUE!</v>
      </c>
      <c r="O9">
        <f t="shared" si="1"/>
        <v>0</v>
      </c>
      <c r="P9" t="str">
        <f t="shared" si="2"/>
        <v/>
      </c>
      <c r="Q9">
        <f>COUNTIF($P$4:P$155,"=("&amp;P9&amp;")")</f>
        <v>0</v>
      </c>
      <c r="R9" t="str">
        <f t="shared" si="4"/>
        <v/>
      </c>
      <c r="S9" t="e">
        <f t="array" ref="S9">INDEX($R$4:$R$155,SMALL(IF($R$4:$R$155&lt;&gt;"",ROW($R$4:$R$155)-3),ROW()-3))</f>
        <v>#NUM!</v>
      </c>
      <c r="T9" t="str">
        <f t="shared" si="5"/>
        <v/>
      </c>
    </row>
    <row r="10" spans="1:20">
      <c r="A10" s="10">
        <v>7</v>
      </c>
      <c r="B10">
        <f t="array" ref="B10">SMALL(IF(Spells!$A$1:$A$275=$A10,IF(Spells!$L$1:$L$275=$A$1,ROW(Spells!$A$1:$A$275))),COLUMN(A:A))</f>
        <v>144</v>
      </c>
      <c r="C10" t="e">
        <f t="array" ref="C10">SMALL(IF(Spells!$A$1:$A$275=$A10,IF(Spells!$L$1:$L$275=$A$1,ROW(Spells!$A$1:$A$275))),COLUMN(B:B))</f>
        <v>#NUM!</v>
      </c>
      <c r="D10" t="e">
        <f t="array" ref="D10">SMALL(IF(Spells!$A$1:$A$275=$A10,IF(Spells!$L$1:$L$275=$A$1,ROW(Spells!$A$1:$A$275))),COLUMN(C:C))</f>
        <v>#NUM!</v>
      </c>
      <c r="E10" t="e">
        <f t="array" ref="E10">SMALL(IF(Spells!$A$1:$A$275=$A10,IF(Spells!$L$1:$L$275=$A$1,ROW(Spells!$A$1:$A$275))),COLUMN(D:D))</f>
        <v>#NUM!</v>
      </c>
      <c r="F10" t="e">
        <f t="array" ref="F10">SMALL(IF(Spells!$A$1:$A$275=$A10,IF(Spells!$L$1:$L$275=$A$1,ROW(Spells!$A$1:$A$275))),COLUMN(E:E))</f>
        <v>#NUM!</v>
      </c>
      <c r="G10" t="e">
        <f t="array" ref="G10">SMALL(IF(Spells!$A$1:$A$275=$A10,IF(Spells!$L$1:$L$275=$A$1,ROW(Spells!$A$1:$A$275))),COLUMN(F:F))</f>
        <v>#NUM!</v>
      </c>
      <c r="H10" t="str">
        <f>IF(ISERR(B10),"",INDEX(Spells!$F$1:$F$275,B10))</f>
        <v>Attack Run</v>
      </c>
      <c r="I10" t="str">
        <f>IF(ISERR(C10),"",INDEX(Spells!$F$1:$F$275,C10))</f>
        <v/>
      </c>
      <c r="J10" t="str">
        <f>IF(ISERR(D10),"",INDEX(Spells!$F$1:$F$275,D10))</f>
        <v/>
      </c>
      <c r="K10" t="str">
        <f>IF(ISERR(E10),"",INDEX(Spells!$F$1:$F$275,E10))</f>
        <v/>
      </c>
      <c r="L10" t="str">
        <f>IF(ISERR(F10),"",INDEX(Spells!$F$1:$F$275,F10))</f>
        <v/>
      </c>
      <c r="M10" t="str">
        <f t="shared" si="0"/>
        <v>Fury, Attack Run</v>
      </c>
      <c r="N10" t="e">
        <f t="shared" si="3"/>
        <v>#VALUE!</v>
      </c>
      <c r="O10">
        <f t="shared" si="1"/>
        <v>0</v>
      </c>
      <c r="P10" t="str">
        <f t="shared" si="2"/>
        <v/>
      </c>
      <c r="Q10">
        <f>COUNTIF($P$4:P$155,"=("&amp;P10&amp;")")</f>
        <v>0</v>
      </c>
      <c r="R10" t="str">
        <f t="shared" si="4"/>
        <v/>
      </c>
      <c r="S10" t="e">
        <f t="array" ref="S10">INDEX($R$4:$R$155,SMALL(IF($R$4:$R$155&lt;&gt;"",ROW($R$4:$R$155)-3),ROW()-3))</f>
        <v>#NUM!</v>
      </c>
      <c r="T10" t="str">
        <f t="shared" si="5"/>
        <v/>
      </c>
    </row>
    <row r="11" spans="1:20">
      <c r="A11" s="10">
        <v>8</v>
      </c>
      <c r="B11">
        <f t="array" ref="B11">SMALL(IF(Spells!$A$1:$A$275=$A11,IF(Spells!$L$1:$L$275=$A$1,ROW(Spells!$A$1:$A$275))),COLUMN(A:A))</f>
        <v>158</v>
      </c>
      <c r="C11" t="e">
        <f t="array" ref="C11">SMALL(IF(Spells!$A$1:$A$275=$A11,IF(Spells!$L$1:$L$275=$A$1,ROW(Spells!$A$1:$A$275))),COLUMN(B:B))</f>
        <v>#NUM!</v>
      </c>
      <c r="D11" t="e">
        <f t="array" ref="D11">SMALL(IF(Spells!$A$1:$A$275=$A11,IF(Spells!$L$1:$L$275=$A$1,ROW(Spells!$A$1:$A$275))),COLUMN(C:C))</f>
        <v>#NUM!</v>
      </c>
      <c r="E11" t="e">
        <f t="array" ref="E11">SMALL(IF(Spells!$A$1:$A$275=$A11,IF(Spells!$L$1:$L$275=$A$1,ROW(Spells!$A$1:$A$275))),COLUMN(D:D))</f>
        <v>#NUM!</v>
      </c>
      <c r="F11" t="e">
        <f t="array" ref="F11">SMALL(IF(Spells!$A$1:$A$275=$A11,IF(Spells!$L$1:$L$275=$A$1,ROW(Spells!$A$1:$A$275))),COLUMN(E:E))</f>
        <v>#NUM!</v>
      </c>
      <c r="G11" t="e">
        <f t="array" ref="G11">SMALL(IF(Spells!$A$1:$A$275=$A11,IF(Spells!$L$1:$L$275=$A$1,ROW(Spells!$A$1:$A$275))),COLUMN(F:F))</f>
        <v>#NUM!</v>
      </c>
      <c r="H11" t="str">
        <f>IF(ISERR(B11),"",INDEX(Spells!$F$1:$F$275,B11))</f>
        <v>Spin Attack</v>
      </c>
      <c r="I11" t="str">
        <f>IF(ISERR(C11),"",INDEX(Spells!$F$1:$F$275,C11))</f>
        <v/>
      </c>
      <c r="J11" t="str">
        <f>IF(ISERR(D11),"",INDEX(Spells!$F$1:$F$275,D11))</f>
        <v/>
      </c>
      <c r="K11" t="str">
        <f>IF(ISERR(E11),"",INDEX(Spells!$F$1:$F$275,E11))</f>
        <v/>
      </c>
      <c r="L11" t="str">
        <f>IF(ISERR(F11),"",INDEX(Spells!$F$1:$F$275,F11))</f>
        <v/>
      </c>
      <c r="M11" t="str">
        <f t="shared" si="0"/>
        <v>Fury, Attack Run, Spin Attack</v>
      </c>
      <c r="N11" t="e">
        <f t="shared" si="3"/>
        <v>#VALUE!</v>
      </c>
      <c r="O11">
        <f t="shared" si="1"/>
        <v>0</v>
      </c>
      <c r="P11" t="str">
        <f t="shared" si="2"/>
        <v/>
      </c>
      <c r="Q11">
        <f>COUNTIF($P$4:P$155,"=("&amp;P11&amp;")")</f>
        <v>0</v>
      </c>
      <c r="R11" t="str">
        <f t="shared" si="4"/>
        <v/>
      </c>
      <c r="S11" t="e">
        <f t="array" ref="S11">INDEX($R$4:$R$155,SMALL(IF($R$4:$R$155&lt;&gt;"",ROW($R$4:$R$155)-3),ROW()-3))</f>
        <v>#NUM!</v>
      </c>
      <c r="T11" t="str">
        <f t="shared" si="5"/>
        <v/>
      </c>
    </row>
    <row r="12" spans="1:20">
      <c r="A12" s="10">
        <v>9</v>
      </c>
      <c r="B12">
        <f t="array" ref="B12">SMALL(IF(Spells!$A$1:$A$275=$A12,IF(Spells!$L$1:$L$275=$A$1,ROW(Spells!$A$1:$A$275))),COLUMN(A:A))</f>
        <v>28</v>
      </c>
      <c r="C12" t="e">
        <f t="array" ref="C12">SMALL(IF(Spells!$A$1:$A$275=$A12,IF(Spells!$L$1:$L$275=$A$1,ROW(Spells!$A$1:$A$275))),COLUMN(B:B))</f>
        <v>#NUM!</v>
      </c>
      <c r="D12" t="e">
        <f t="array" ref="D12">SMALL(IF(Spells!$A$1:$A$275=$A12,IF(Spells!$L$1:$L$275=$A$1,ROW(Spells!$A$1:$A$275))),COLUMN(C:C))</f>
        <v>#NUM!</v>
      </c>
      <c r="E12" t="e">
        <f t="array" ref="E12">SMALL(IF(Spells!$A$1:$A$275=$A12,IF(Spells!$L$1:$L$275=$A$1,ROW(Spells!$A$1:$A$275))),COLUMN(D:D))</f>
        <v>#NUM!</v>
      </c>
      <c r="F12" t="e">
        <f t="array" ref="F12">SMALL(IF(Spells!$A$1:$A$275=$A12,IF(Spells!$L$1:$L$275=$A$1,ROW(Spells!$A$1:$A$275))),COLUMN(E:E))</f>
        <v>#NUM!</v>
      </c>
      <c r="G12" t="e">
        <f t="array" ref="G12">SMALL(IF(Spells!$A$1:$A$275=$A12,IF(Spells!$L$1:$L$275=$A$1,ROW(Spells!$A$1:$A$275))),COLUMN(F:F))</f>
        <v>#NUM!</v>
      </c>
      <c r="H12" t="str">
        <f>IF(ISERR(B12),"",INDEX(Spells!$F$1:$F$275,B12))</f>
        <v>Se Mederi</v>
      </c>
      <c r="I12" t="str">
        <f>IF(ISERR(C12),"",INDEX(Spells!$F$1:$F$275,C12))</f>
        <v/>
      </c>
      <c r="J12" t="str">
        <f>IF(ISERR(D12),"",INDEX(Spells!$F$1:$F$275,D12))</f>
        <v/>
      </c>
      <c r="K12" t="str">
        <f>IF(ISERR(E12),"",INDEX(Spells!$F$1:$F$275,E12))</f>
        <v/>
      </c>
      <c r="L12" t="str">
        <f>IF(ISERR(F12),"",INDEX(Spells!$F$1:$F$275,F12))</f>
        <v/>
      </c>
      <c r="M12" t="str">
        <f t="shared" si="0"/>
        <v>Fury, Attack Run, Spin Attack, Se Mederi</v>
      </c>
      <c r="N12" t="e">
        <f t="shared" si="3"/>
        <v>#VALUE!</v>
      </c>
      <c r="O12">
        <f t="shared" si="1"/>
        <v>0</v>
      </c>
      <c r="P12" t="str">
        <f t="shared" si="2"/>
        <v/>
      </c>
      <c r="Q12">
        <f>COUNTIF($P$4:P$155,"=("&amp;P12&amp;")")</f>
        <v>0</v>
      </c>
      <c r="R12" t="str">
        <f t="shared" si="4"/>
        <v/>
      </c>
      <c r="S12" t="e">
        <f t="array" ref="S12">INDEX($R$4:$R$155,SMALL(IF($R$4:$R$155&lt;&gt;"",ROW($R$4:$R$155)-3),ROW()-3))</f>
        <v>#NUM!</v>
      </c>
      <c r="T12" t="str">
        <f t="shared" si="5"/>
        <v/>
      </c>
    </row>
    <row r="13" spans="1:20">
      <c r="A13" s="10">
        <v>10</v>
      </c>
      <c r="B13" t="e">
        <f t="array" ref="B13">SMALL(IF(Spells!$A$1:$A$275=$A13,IF(Spells!$L$1:$L$275=$A$1,ROW(Spells!$A$1:$A$275))),COLUMN(A:A))</f>
        <v>#NUM!</v>
      </c>
      <c r="C13" t="e">
        <f t="array" ref="C13">SMALL(IF(Spells!$A$1:$A$275=$A13,IF(Spells!$L$1:$L$275=$A$1,ROW(Spells!$A$1:$A$275))),COLUMN(B:B))</f>
        <v>#NUM!</v>
      </c>
      <c r="D13" t="e">
        <f t="array" ref="D13">SMALL(IF(Spells!$A$1:$A$275=$A13,IF(Spells!$L$1:$L$275=$A$1,ROW(Spells!$A$1:$A$275))),COLUMN(C:C))</f>
        <v>#NUM!</v>
      </c>
      <c r="E13" t="e">
        <f t="array" ref="E13">SMALL(IF(Spells!$A$1:$A$275=$A13,IF(Spells!$L$1:$L$275=$A$1,ROW(Spells!$A$1:$A$275))),COLUMN(D:D))</f>
        <v>#NUM!</v>
      </c>
      <c r="F13" t="e">
        <f t="array" ref="F13">SMALL(IF(Spells!$A$1:$A$275=$A13,IF(Spells!$L$1:$L$275=$A$1,ROW(Spells!$A$1:$A$275))),COLUMN(E:E))</f>
        <v>#NUM!</v>
      </c>
      <c r="G13" t="e">
        <f t="array" ref="G13">SMALL(IF(Spells!$A$1:$A$275=$A13,IF(Spells!$L$1:$L$275=$A$1,ROW(Spells!$A$1:$A$275))),COLUMN(F:F))</f>
        <v>#NUM!</v>
      </c>
      <c r="H13" t="str">
        <f>IF(ISERR(B13),"",INDEX(Spells!$F$1:$F$275,B13))</f>
        <v/>
      </c>
      <c r="I13" t="str">
        <f>IF(ISERR(C13),"",INDEX(Spells!$F$1:$F$275,C13))</f>
        <v/>
      </c>
      <c r="J13" t="str">
        <f>IF(ISERR(D13),"",INDEX(Spells!$F$1:$F$275,D13))</f>
        <v/>
      </c>
      <c r="K13" t="str">
        <f>IF(ISERR(E13),"",INDEX(Spells!$F$1:$F$275,E13))</f>
        <v/>
      </c>
      <c r="L13" t="str">
        <f>IF(ISERR(F13),"",INDEX(Spells!$F$1:$F$275,F13))</f>
        <v/>
      </c>
      <c r="M13" t="str">
        <f t="shared" si="0"/>
        <v>Fury, Attack Run, Spin Attack, Se Mederi</v>
      </c>
      <c r="N13" t="e">
        <f t="shared" si="3"/>
        <v>#VALUE!</v>
      </c>
      <c r="O13">
        <f t="shared" si="1"/>
        <v>0</v>
      </c>
      <c r="P13" t="str">
        <f>TRIM(RIGHT(LEFT(N$2,IF(ISERR(N13),LEN($N$2),N13-1)),IF(O13&lt;IF(ISERR(N13),0,N13),O13-2,O13)))</f>
        <v/>
      </c>
      <c r="Q13">
        <f>COUNTIF($P$4:P$155,"=("&amp;P13&amp;")")</f>
        <v>0</v>
      </c>
      <c r="R13" t="str">
        <f t="shared" si="4"/>
        <v/>
      </c>
      <c r="S13" t="e">
        <f t="array" ref="S13">INDEX($R$4:$R$155,SMALL(IF($R$4:$R$155&lt;&gt;"",ROW($R$4:$R$155)-3),ROW()-3))</f>
        <v>#NUM!</v>
      </c>
      <c r="T13" t="str">
        <f t="shared" si="5"/>
        <v/>
      </c>
    </row>
    <row r="14" spans="1:20">
      <c r="A14" s="10">
        <v>11</v>
      </c>
      <c r="B14" t="e">
        <f t="array" ref="B14">SMALL(IF(Spells!$A$1:$A$275=$A14,IF(Spells!$L$1:$L$275=$A$1,ROW(Spells!$A$1:$A$275))),COLUMN(A:A))</f>
        <v>#NUM!</v>
      </c>
      <c r="C14" t="e">
        <f t="array" ref="C14">SMALL(IF(Spells!$A$1:$A$275=$A14,IF(Spells!$L$1:$L$275=$A$1,ROW(Spells!$A$1:$A$275))),COLUMN(B:B))</f>
        <v>#NUM!</v>
      </c>
      <c r="D14" t="e">
        <f t="array" ref="D14">SMALL(IF(Spells!$A$1:$A$275=$A14,IF(Spells!$L$1:$L$275=$A$1,ROW(Spells!$A$1:$A$275))),COLUMN(C:C))</f>
        <v>#NUM!</v>
      </c>
      <c r="E14" t="e">
        <f t="array" ref="E14">SMALL(IF(Spells!$A$1:$A$275=$A14,IF(Spells!$L$1:$L$275=$A$1,ROW(Spells!$A$1:$A$275))),COLUMN(D:D))</f>
        <v>#NUM!</v>
      </c>
      <c r="F14" t="e">
        <f t="array" ref="F14">SMALL(IF(Spells!$A$1:$A$275=$A14,IF(Spells!$L$1:$L$275=$A$1,ROW(Spells!$A$1:$A$275))),COLUMN(E:E))</f>
        <v>#NUM!</v>
      </c>
      <c r="G14" t="e">
        <f t="array" ref="G14">SMALL(IF(Spells!$A$1:$A$275=$A14,IF(Spells!$L$1:$L$275=$A$1,ROW(Spells!$A$1:$A$275))),COLUMN(F:F))</f>
        <v>#NUM!</v>
      </c>
      <c r="H14" t="str">
        <f>IF(ISERR(B14),"",INDEX(Spells!$F$1:$F$275,B14))</f>
        <v/>
      </c>
      <c r="I14" t="str">
        <f>IF(ISERR(C14),"",INDEX(Spells!$F$1:$F$275,C14))</f>
        <v/>
      </c>
      <c r="J14" t="str">
        <f>IF(ISERR(D14),"",INDEX(Spells!$F$1:$F$275,D14))</f>
        <v/>
      </c>
      <c r="K14" t="str">
        <f>IF(ISERR(E14),"",INDEX(Spells!$F$1:$F$275,E14))</f>
        <v/>
      </c>
      <c r="L14" t="str">
        <f>IF(ISERR(F14),"",INDEX(Spells!$F$1:$F$275,F14))</f>
        <v/>
      </c>
      <c r="M14" t="str">
        <f t="shared" si="0"/>
        <v>Fury, Attack Run, Spin Attack, Se Mederi</v>
      </c>
      <c r="N14" t="e">
        <f t="shared" si="3"/>
        <v>#VALUE!</v>
      </c>
      <c r="O14">
        <f t="shared" si="1"/>
        <v>0</v>
      </c>
      <c r="P14" t="str">
        <f t="shared" si="2"/>
        <v/>
      </c>
      <c r="Q14">
        <f>COUNTIF($P$4:P$155,"=("&amp;P14&amp;")")</f>
        <v>0</v>
      </c>
      <c r="R14" t="str">
        <f t="shared" si="4"/>
        <v/>
      </c>
      <c r="S14" t="e">
        <f t="array" ref="S14">INDEX($R$4:$R$155,SMALL(IF($R$4:$R$155&lt;&gt;"",ROW($R$4:$R$155)-3),ROW()-3))</f>
        <v>#NUM!</v>
      </c>
      <c r="T14" t="str">
        <f t="shared" si="5"/>
        <v/>
      </c>
    </row>
    <row r="15" spans="1:20">
      <c r="A15" s="10">
        <v>12</v>
      </c>
      <c r="B15">
        <f t="array" ref="B15">SMALL(IF(Spells!$A$1:$A$275=$A15,IF(Spells!$L$1:$L$275=$A$1,ROW(Spells!$A$1:$A$275))),COLUMN(A:A))</f>
        <v>159</v>
      </c>
      <c r="C15" t="e">
        <f t="array" ref="C15">SMALL(IF(Spells!$A$1:$A$275=$A15,IF(Spells!$L$1:$L$275=$A$1,ROW(Spells!$A$1:$A$275))),COLUMN(B:B))</f>
        <v>#NUM!</v>
      </c>
      <c r="D15" t="e">
        <f t="array" ref="D15">SMALL(IF(Spells!$A$1:$A$275=$A15,IF(Spells!$L$1:$L$275=$A$1,ROW(Spells!$A$1:$A$275))),COLUMN(C:C))</f>
        <v>#NUM!</v>
      </c>
      <c r="E15" t="e">
        <f t="array" ref="E15">SMALL(IF(Spells!$A$1:$A$275=$A15,IF(Spells!$L$1:$L$275=$A$1,ROW(Spells!$A$1:$A$275))),COLUMN(D:D))</f>
        <v>#NUM!</v>
      </c>
      <c r="F15" t="e">
        <f t="array" ref="F15">SMALL(IF(Spells!$A$1:$A$275=$A15,IF(Spells!$L$1:$L$275=$A$1,ROW(Spells!$A$1:$A$275))),COLUMN(E:E))</f>
        <v>#NUM!</v>
      </c>
      <c r="G15" t="e">
        <f t="array" ref="G15">SMALL(IF(Spells!$A$1:$A$275=$A15,IF(Spells!$L$1:$L$275=$A$1,ROW(Spells!$A$1:$A$275))),COLUMN(F:F))</f>
        <v>#NUM!</v>
      </c>
      <c r="H15" t="str">
        <f>IF(ISERR(B15),"",INDEX(Spells!$F$1:$F$275,B15))</f>
        <v>Whirlwind Attack</v>
      </c>
      <c r="I15" t="str">
        <f>IF(ISERR(C15),"",INDEX(Spells!$F$1:$F$275,C15))</f>
        <v/>
      </c>
      <c r="J15" t="str">
        <f>IF(ISERR(D15),"",INDEX(Spells!$F$1:$F$275,D15))</f>
        <v/>
      </c>
      <c r="K15" t="str">
        <f>IF(ISERR(E15),"",INDEX(Spells!$F$1:$F$275,E15))</f>
        <v/>
      </c>
      <c r="L15" t="str">
        <f>IF(ISERR(F15),"",INDEX(Spells!$F$1:$F$275,F15))</f>
        <v/>
      </c>
      <c r="M15" t="str">
        <f t="shared" si="0"/>
        <v>Fury, Attack Run, Spin Attack, Se Mederi, Whirlwind Attack</v>
      </c>
      <c r="N15" t="e">
        <f t="shared" si="3"/>
        <v>#VALUE!</v>
      </c>
      <c r="O15">
        <f t="shared" si="1"/>
        <v>0</v>
      </c>
      <c r="P15" t="str">
        <f t="shared" si="2"/>
        <v/>
      </c>
      <c r="Q15">
        <f>COUNTIF($P$4:P$155,"=("&amp;P15&amp;")")</f>
        <v>0</v>
      </c>
      <c r="R15" t="str">
        <f t="shared" si="4"/>
        <v/>
      </c>
      <c r="S15" t="e">
        <f t="array" ref="S15">INDEX($R$4:$R$155,SMALL(IF($R$4:$R$155&lt;&gt;"",ROW($R$4:$R$155)-3),ROW()-3))</f>
        <v>#NUM!</v>
      </c>
      <c r="T15" t="str">
        <f t="shared" si="5"/>
        <v/>
      </c>
    </row>
    <row r="16" spans="1:20">
      <c r="A16" s="10">
        <v>13</v>
      </c>
      <c r="B16" t="e">
        <f t="array" ref="B16">SMALL(IF(Spells!$A$1:$A$275=$A16,IF(Spells!$L$1:$L$275=$A$1,ROW(Spells!$A$1:$A$275))),COLUMN(A:A))</f>
        <v>#NUM!</v>
      </c>
      <c r="C16" t="e">
        <f t="array" ref="C16">SMALL(IF(Spells!$A$1:$A$275=$A16,IF(Spells!$L$1:$L$275=$A$1,ROW(Spells!$A$1:$A$275))),COLUMN(B:B))</f>
        <v>#NUM!</v>
      </c>
      <c r="D16" t="e">
        <f t="array" ref="D16">SMALL(IF(Spells!$A$1:$A$275=$A16,IF(Spells!$L$1:$L$275=$A$1,ROW(Spells!$A$1:$A$275))),COLUMN(C:C))</f>
        <v>#NUM!</v>
      </c>
      <c r="E16" t="e">
        <f t="array" ref="E16">SMALL(IF(Spells!$A$1:$A$275=$A16,IF(Spells!$L$1:$L$275=$A$1,ROW(Spells!$A$1:$A$275))),COLUMN(D:D))</f>
        <v>#NUM!</v>
      </c>
      <c r="F16" t="e">
        <f t="array" ref="F16">SMALL(IF(Spells!$A$1:$A$275=$A16,IF(Spells!$L$1:$L$275=$A$1,ROW(Spells!$A$1:$A$275))),COLUMN(E:E))</f>
        <v>#NUM!</v>
      </c>
      <c r="G16" t="e">
        <f t="array" ref="G16">SMALL(IF(Spells!$A$1:$A$275=$A16,IF(Spells!$L$1:$L$275=$A$1,ROW(Spells!$A$1:$A$275))),COLUMN(F:F))</f>
        <v>#NUM!</v>
      </c>
      <c r="H16" t="str">
        <f>IF(ISERR(B16),"",INDEX(Spells!$F$1:$F$275,B16))</f>
        <v/>
      </c>
      <c r="I16" t="str">
        <f>IF(ISERR(C16),"",INDEX(Spells!$F$1:$F$275,C16))</f>
        <v/>
      </c>
      <c r="J16" t="str">
        <f>IF(ISERR(D16),"",INDEX(Spells!$F$1:$F$275,D16))</f>
        <v/>
      </c>
      <c r="K16" t="str">
        <f>IF(ISERR(E16),"",INDEX(Spells!$F$1:$F$275,E16))</f>
        <v/>
      </c>
      <c r="L16" t="str">
        <f>IF(ISERR(F16),"",INDEX(Spells!$F$1:$F$275,F16))</f>
        <v/>
      </c>
      <c r="M16" t="str">
        <f t="shared" si="0"/>
        <v>Fury, Attack Run, Spin Attack, Se Mederi, Whirlwind Attack</v>
      </c>
      <c r="N16" t="e">
        <f t="shared" si="3"/>
        <v>#VALUE!</v>
      </c>
      <c r="O16">
        <f t="shared" si="1"/>
        <v>0</v>
      </c>
      <c r="P16" t="str">
        <f t="shared" si="2"/>
        <v/>
      </c>
      <c r="Q16">
        <f>COUNTIF($P$4:P$155,"=("&amp;P16&amp;")")</f>
        <v>0</v>
      </c>
      <c r="R16" t="str">
        <f t="shared" si="4"/>
        <v/>
      </c>
      <c r="S16" t="e">
        <f t="array" ref="S16">INDEX($R$4:$R$155,SMALL(IF($R$4:$R$155&lt;&gt;"",ROW($R$4:$R$155)-3),ROW()-3))</f>
        <v>#NUM!</v>
      </c>
      <c r="T16" t="str">
        <f t="shared" si="5"/>
        <v/>
      </c>
    </row>
    <row r="17" spans="1:20">
      <c r="A17" s="10">
        <v>14</v>
      </c>
      <c r="B17">
        <f t="array" ref="B17">SMALL(IF(Spells!$A$1:$A$275=$A17,IF(Spells!$L$1:$L$275=$A$1,ROW(Spells!$A$1:$A$275))),COLUMN(A:A))</f>
        <v>101</v>
      </c>
      <c r="C17">
        <f t="array" ref="C17">SMALL(IF(Spells!$A$1:$A$275=$A17,IF(Spells!$L$1:$L$275=$A$1,ROW(Spells!$A$1:$A$275))),COLUMN(B:B))</f>
        <v>153</v>
      </c>
      <c r="D17" t="e">
        <f t="array" ref="D17">SMALL(IF(Spells!$A$1:$A$275=$A17,IF(Spells!$L$1:$L$275=$A$1,ROW(Spells!$A$1:$A$275))),COLUMN(C:C))</f>
        <v>#NUM!</v>
      </c>
      <c r="E17" t="e">
        <f t="array" ref="E17">SMALL(IF(Spells!$A$1:$A$275=$A17,IF(Spells!$L$1:$L$275=$A$1,ROW(Spells!$A$1:$A$275))),COLUMN(D:D))</f>
        <v>#NUM!</v>
      </c>
      <c r="F17" t="e">
        <f t="array" ref="F17">SMALL(IF(Spells!$A$1:$A$275=$A17,IF(Spells!$L$1:$L$275=$A$1,ROW(Spells!$A$1:$A$275))),COLUMN(E:E))</f>
        <v>#NUM!</v>
      </c>
      <c r="G17" t="e">
        <f t="array" ref="G17">SMALL(IF(Spells!$A$1:$A$275=$A17,IF(Spells!$L$1:$L$275=$A$1,ROW(Spells!$A$1:$A$275))),COLUMN(F:F))</f>
        <v>#NUM!</v>
      </c>
      <c r="H17" t="str">
        <f>IF(ISERR(B17),"",INDEX(Spells!$F$1:$F$275,B17))</f>
        <v>Reditus Doma</v>
      </c>
      <c r="I17" t="str">
        <f>IF(ISERR(C17),"",INDEX(Spells!$F$1:$F$275,C17))</f>
        <v>Leap</v>
      </c>
      <c r="J17" t="str">
        <f>IF(ISERR(D17),"",INDEX(Spells!$F$1:$F$275,D17))</f>
        <v/>
      </c>
      <c r="K17" t="str">
        <f>IF(ISERR(E17),"",INDEX(Spells!$F$1:$F$275,E17))</f>
        <v/>
      </c>
      <c r="L17" t="str">
        <f>IF(ISERR(F17),"",INDEX(Spells!$F$1:$F$275,F17))</f>
        <v/>
      </c>
      <c r="M17" t="str">
        <f t="shared" si="0"/>
        <v>Fury, Attack Run, Spin Attack, Se Mederi, Whirlwind Attack, Reditus Doma, Leap</v>
      </c>
      <c r="N17" t="e">
        <f t="shared" si="3"/>
        <v>#VALUE!</v>
      </c>
      <c r="O17">
        <f t="shared" si="1"/>
        <v>0</v>
      </c>
      <c r="P17" t="str">
        <f t="shared" si="2"/>
        <v/>
      </c>
      <c r="Q17">
        <f>COUNTIF($P$4:P$155,"=("&amp;P17&amp;")")</f>
        <v>0</v>
      </c>
      <c r="R17" t="str">
        <f t="shared" si="4"/>
        <v/>
      </c>
      <c r="S17" t="e">
        <f t="array" ref="S17">INDEX($R$4:$R$155,SMALL(IF($R$4:$R$155&lt;&gt;"",ROW($R$4:$R$155)-3),ROW()-3))</f>
        <v>#NUM!</v>
      </c>
      <c r="T17" t="str">
        <f t="shared" si="5"/>
        <v/>
      </c>
    </row>
    <row r="18" spans="1:20">
      <c r="A18" s="10">
        <v>15</v>
      </c>
      <c r="B18" t="e">
        <f t="array" ref="B18">SMALL(IF(Spells!$A$1:$A$275=$A18,IF(Spells!$L$1:$L$275=$A$1,ROW(Spells!$A$1:$A$275))),COLUMN(A:A))</f>
        <v>#NUM!</v>
      </c>
      <c r="C18" t="e">
        <f t="array" ref="C18">SMALL(IF(Spells!$A$1:$A$275=$A18,IF(Spells!$L$1:$L$275=$A$1,ROW(Spells!$A$1:$A$275))),COLUMN(B:B))</f>
        <v>#NUM!</v>
      </c>
      <c r="D18" t="e">
        <f t="array" ref="D18">SMALL(IF(Spells!$A$1:$A$275=$A18,IF(Spells!$L$1:$L$275=$A$1,ROW(Spells!$A$1:$A$275))),COLUMN(C:C))</f>
        <v>#NUM!</v>
      </c>
      <c r="E18" t="e">
        <f t="array" ref="E18">SMALL(IF(Spells!$A$1:$A$275=$A18,IF(Spells!$L$1:$L$275=$A$1,ROW(Spells!$A$1:$A$275))),COLUMN(D:D))</f>
        <v>#NUM!</v>
      </c>
      <c r="F18" t="e">
        <f t="array" ref="F18">SMALL(IF(Spells!$A$1:$A$275=$A18,IF(Spells!$L$1:$L$275=$A$1,ROW(Spells!$A$1:$A$275))),COLUMN(E:E))</f>
        <v>#NUM!</v>
      </c>
      <c r="G18" t="e">
        <f t="array" ref="G18">SMALL(IF(Spells!$A$1:$A$275=$A18,IF(Spells!$L$1:$L$275=$A$1,ROW(Spells!$A$1:$A$275))),COLUMN(F:F))</f>
        <v>#NUM!</v>
      </c>
      <c r="H18" t="str">
        <f>IF(ISERR(B18),"",INDEX(Spells!$F$1:$F$275,B18))</f>
        <v/>
      </c>
      <c r="I18" t="str">
        <f>IF(ISERR(C18),"",INDEX(Spells!$F$1:$F$275,C18))</f>
        <v/>
      </c>
      <c r="J18" t="str">
        <f>IF(ISERR(D18),"",INDEX(Spells!$F$1:$F$275,D18))</f>
        <v/>
      </c>
      <c r="K18" t="str">
        <f>IF(ISERR(E18),"",INDEX(Spells!$F$1:$F$275,E18))</f>
        <v/>
      </c>
      <c r="L18" t="str">
        <f>IF(ISERR(F18),"",INDEX(Spells!$F$1:$F$275,F18))</f>
        <v/>
      </c>
      <c r="M18" t="str">
        <f t="shared" si="0"/>
        <v>Fury, Attack Run, Spin Attack, Se Mederi, Whirlwind Attack, Reditus Doma, Leap</v>
      </c>
      <c r="N18" t="e">
        <f t="shared" si="3"/>
        <v>#VALUE!</v>
      </c>
      <c r="O18">
        <f t="shared" si="1"/>
        <v>0</v>
      </c>
      <c r="P18" t="str">
        <f t="shared" si="2"/>
        <v/>
      </c>
      <c r="Q18">
        <f>COUNTIF($P$4:P$155,"=("&amp;P18&amp;")")</f>
        <v>0</v>
      </c>
      <c r="R18" t="str">
        <f t="shared" si="4"/>
        <v/>
      </c>
      <c r="S18" t="e">
        <f t="array" ref="S18">INDEX($R$4:$R$155,SMALL(IF($R$4:$R$155&lt;&gt;"",ROW($R$4:$R$155)-3),ROW()-3))</f>
        <v>#NUM!</v>
      </c>
      <c r="T18" t="str">
        <f t="shared" si="5"/>
        <v/>
      </c>
    </row>
    <row r="19" spans="1:20">
      <c r="A19" s="10">
        <v>16</v>
      </c>
      <c r="B19" t="e">
        <f t="array" ref="B19">SMALL(IF(Spells!$A$1:$A$275=$A19,IF(Spells!$L$1:$L$275=$A$1,ROW(Spells!$A$1:$A$275))),COLUMN(A:A))</f>
        <v>#NUM!</v>
      </c>
      <c r="C19" t="e">
        <f t="array" ref="C19">SMALL(IF(Spells!$A$1:$A$275=$A19,IF(Spells!$L$1:$L$275=$A$1,ROW(Spells!$A$1:$A$275))),COLUMN(B:B))</f>
        <v>#NUM!</v>
      </c>
      <c r="D19" t="e">
        <f t="array" ref="D19">SMALL(IF(Spells!$A$1:$A$275=$A19,IF(Spells!$L$1:$L$275=$A$1,ROW(Spells!$A$1:$A$275))),COLUMN(C:C))</f>
        <v>#NUM!</v>
      </c>
      <c r="E19" t="e">
        <f t="array" ref="E19">SMALL(IF(Spells!$A$1:$A$275=$A19,IF(Spells!$L$1:$L$275=$A$1,ROW(Spells!$A$1:$A$275))),COLUMN(D:D))</f>
        <v>#NUM!</v>
      </c>
      <c r="F19" t="e">
        <f t="array" ref="F19">SMALL(IF(Spells!$A$1:$A$275=$A19,IF(Spells!$L$1:$L$275=$A$1,ROW(Spells!$A$1:$A$275))),COLUMN(E:E))</f>
        <v>#NUM!</v>
      </c>
      <c r="G19" t="e">
        <f t="array" ref="G19">SMALL(IF(Spells!$A$1:$A$275=$A19,IF(Spells!$L$1:$L$275=$A$1,ROW(Spells!$A$1:$A$275))),COLUMN(F:F))</f>
        <v>#NUM!</v>
      </c>
      <c r="H19" t="str">
        <f>IF(ISERR(B19),"",INDEX(Spells!$F$1:$F$275,B19))</f>
        <v/>
      </c>
      <c r="I19" t="str">
        <f>IF(ISERR(C19),"",INDEX(Spells!$F$1:$F$275,C19))</f>
        <v/>
      </c>
      <c r="J19" t="str">
        <f>IF(ISERR(D19),"",INDEX(Spells!$F$1:$F$275,D19))</f>
        <v/>
      </c>
      <c r="K19" t="str">
        <f>IF(ISERR(E19),"",INDEX(Spells!$F$1:$F$275,E19))</f>
        <v/>
      </c>
      <c r="L19" t="str">
        <f>IF(ISERR(F19),"",INDEX(Spells!$F$1:$F$275,F19))</f>
        <v/>
      </c>
      <c r="M19" t="str">
        <f t="shared" si="0"/>
        <v>Fury, Attack Run, Spin Attack, Se Mederi, Whirlwind Attack, Reditus Doma, Leap</v>
      </c>
      <c r="N19" t="e">
        <f t="shared" si="3"/>
        <v>#VALUE!</v>
      </c>
      <c r="O19">
        <f t="shared" si="1"/>
        <v>0</v>
      </c>
      <c r="P19" t="str">
        <f t="shared" si="2"/>
        <v/>
      </c>
      <c r="Q19">
        <f>COUNTIF($P$4:P$155,"=("&amp;P19&amp;")")</f>
        <v>0</v>
      </c>
      <c r="R19" t="str">
        <f t="shared" si="4"/>
        <v/>
      </c>
      <c r="S19" t="e">
        <f t="array" ref="S19">INDEX($R$4:$R$155,SMALL(IF($R$4:$R$155&lt;&gt;"",ROW($R$4:$R$155)-3),ROW()-3))</f>
        <v>#NUM!</v>
      </c>
      <c r="T19" t="str">
        <f t="shared" si="5"/>
        <v/>
      </c>
    </row>
    <row r="20" spans="1:20">
      <c r="A20" s="10">
        <v>17</v>
      </c>
      <c r="B20" t="e">
        <f t="array" ref="B20">SMALL(IF(Spells!$A$1:$A$275=$A20,IF(Spells!$L$1:$L$275=$A$1,ROW(Spells!$A$1:$A$275))),COLUMN(A:A))</f>
        <v>#NUM!</v>
      </c>
      <c r="C20" t="e">
        <f t="array" ref="C20">SMALL(IF(Spells!$A$1:$A$275=$A20,IF(Spells!$L$1:$L$275=$A$1,ROW(Spells!$A$1:$A$275))),COLUMN(B:B))</f>
        <v>#NUM!</v>
      </c>
      <c r="D20" t="e">
        <f t="array" ref="D20">SMALL(IF(Spells!$A$1:$A$275=$A20,IF(Spells!$L$1:$L$275=$A$1,ROW(Spells!$A$1:$A$275))),COLUMN(C:C))</f>
        <v>#NUM!</v>
      </c>
      <c r="E20" t="e">
        <f t="array" ref="E20">SMALL(IF(Spells!$A$1:$A$275=$A20,IF(Spells!$L$1:$L$275=$A$1,ROW(Spells!$A$1:$A$275))),COLUMN(D:D))</f>
        <v>#NUM!</v>
      </c>
      <c r="F20" t="e">
        <f t="array" ref="F20">SMALL(IF(Spells!$A$1:$A$275=$A20,IF(Spells!$L$1:$L$275=$A$1,ROW(Spells!$A$1:$A$275))),COLUMN(E:E))</f>
        <v>#NUM!</v>
      </c>
      <c r="G20" t="e">
        <f t="array" ref="G20">SMALL(IF(Spells!$A$1:$A$275=$A20,IF(Spells!$L$1:$L$275=$A$1,ROW(Spells!$A$1:$A$275))),COLUMN(F:F))</f>
        <v>#NUM!</v>
      </c>
      <c r="H20" t="str">
        <f>IF(ISERR(B20),"",INDEX(Spells!$F$1:$F$275,B20))</f>
        <v/>
      </c>
      <c r="I20" t="str">
        <f>IF(ISERR(C20),"",INDEX(Spells!$F$1:$F$275,C20))</f>
        <v/>
      </c>
      <c r="J20" t="str">
        <f>IF(ISERR(D20),"",INDEX(Spells!$F$1:$F$275,D20))</f>
        <v/>
      </c>
      <c r="K20" t="str">
        <f>IF(ISERR(E20),"",INDEX(Spells!$F$1:$F$275,E20))</f>
        <v/>
      </c>
      <c r="L20" t="str">
        <f>IF(ISERR(F20),"",INDEX(Spells!$F$1:$F$275,F20))</f>
        <v/>
      </c>
      <c r="M20" t="str">
        <f t="shared" si="0"/>
        <v>Fury, Attack Run, Spin Attack, Se Mederi, Whirlwind Attack, Reditus Doma, Leap</v>
      </c>
      <c r="N20" t="e">
        <f t="shared" si="3"/>
        <v>#VALUE!</v>
      </c>
      <c r="O20">
        <f t="shared" si="1"/>
        <v>0</v>
      </c>
      <c r="P20" t="str">
        <f t="shared" si="2"/>
        <v/>
      </c>
      <c r="Q20">
        <f>COUNTIF($P$4:P$155,"=("&amp;P20&amp;")")</f>
        <v>0</v>
      </c>
      <c r="R20" t="str">
        <f t="shared" si="4"/>
        <v/>
      </c>
      <c r="S20" t="e">
        <f t="array" ref="S20">INDEX($R$4:$R$155,SMALL(IF($R$4:$R$155&lt;&gt;"",ROW($R$4:$R$155)-3),ROW()-3))</f>
        <v>#NUM!</v>
      </c>
      <c r="T20" t="str">
        <f t="shared" si="5"/>
        <v/>
      </c>
    </row>
    <row r="21" spans="1:20">
      <c r="A21" s="10">
        <v>18</v>
      </c>
      <c r="B21">
        <f t="array" ref="B21">SMALL(IF(Spells!$A$1:$A$275=$A21,IF(Spells!$L$1:$L$275=$A$1,ROW(Spells!$A$1:$A$275))),COLUMN(A:A))</f>
        <v>127</v>
      </c>
      <c r="C21" t="e">
        <f t="array" ref="C21">SMALL(IF(Spells!$A$1:$A$275=$A21,IF(Spells!$L$1:$L$275=$A$1,ROW(Spells!$A$1:$A$275))),COLUMN(B:B))</f>
        <v>#NUM!</v>
      </c>
      <c r="D21" t="e">
        <f t="array" ref="D21">SMALL(IF(Spells!$A$1:$A$275=$A21,IF(Spells!$L$1:$L$275=$A$1,ROW(Spells!$A$1:$A$275))),COLUMN(C:C))</f>
        <v>#NUM!</v>
      </c>
      <c r="E21" t="e">
        <f t="array" ref="E21">SMALL(IF(Spells!$A$1:$A$275=$A21,IF(Spells!$L$1:$L$275=$A$1,ROW(Spells!$A$1:$A$275))),COLUMN(D:D))</f>
        <v>#NUM!</v>
      </c>
      <c r="F21" t="e">
        <f t="array" ref="F21">SMALL(IF(Spells!$A$1:$A$275=$A21,IF(Spells!$L$1:$L$275=$A$1,ROW(Spells!$A$1:$A$275))),COLUMN(E:E))</f>
        <v>#NUM!</v>
      </c>
      <c r="G21" t="e">
        <f t="array" ref="G21">SMALL(IF(Spells!$A$1:$A$275=$A21,IF(Spells!$L$1:$L$275=$A$1,ROW(Spells!$A$1:$A$275))),COLUMN(F:F))</f>
        <v>#NUM!</v>
      </c>
      <c r="H21" t="str">
        <f>IF(ISERR(B21),"",INDEX(Spells!$F$1:$F$275,B21))</f>
        <v>Wrath</v>
      </c>
      <c r="I21" t="str">
        <f>IF(ISERR(C21),"",INDEX(Spells!$F$1:$F$275,C21))</f>
        <v/>
      </c>
      <c r="J21" t="str">
        <f>IF(ISERR(D21),"",INDEX(Spells!$F$1:$F$275,D21))</f>
        <v/>
      </c>
      <c r="K21" t="str">
        <f>IF(ISERR(E21),"",INDEX(Spells!$F$1:$F$275,E21))</f>
        <v/>
      </c>
      <c r="L21" t="str">
        <f>IF(ISERR(F21),"",INDEX(Spells!$F$1:$F$275,F21))</f>
        <v/>
      </c>
      <c r="M21" t="str">
        <f t="shared" si="0"/>
        <v>Fury, Attack Run, Spin Attack, Se Mederi, Whirlwind Attack, Reditus Doma, Leap, Wrath</v>
      </c>
      <c r="N21" t="e">
        <f t="shared" si="3"/>
        <v>#VALUE!</v>
      </c>
      <c r="O21">
        <f t="shared" si="1"/>
        <v>0</v>
      </c>
      <c r="P21" t="str">
        <f t="shared" si="2"/>
        <v/>
      </c>
      <c r="Q21">
        <f>COUNTIF($P$4:P$155,"=("&amp;P21&amp;")")</f>
        <v>0</v>
      </c>
      <c r="R21" t="str">
        <f t="shared" si="4"/>
        <v/>
      </c>
      <c r="S21" t="e">
        <f t="array" ref="S21">INDEX($R$4:$R$155,SMALL(IF($R$4:$R$155&lt;&gt;"",ROW($R$4:$R$155)-3),ROW()-3))</f>
        <v>#NUM!</v>
      </c>
      <c r="T21" t="str">
        <f t="shared" si="5"/>
        <v/>
      </c>
    </row>
    <row r="22" spans="1:20">
      <c r="A22" s="10">
        <v>19</v>
      </c>
      <c r="B22" t="e">
        <f t="array" ref="B22">SMALL(IF(Spells!$A$1:$A$275=$A22,IF(Spells!$L$1:$L$275=$A$1,ROW(Spells!$A$1:$A$275))),COLUMN(A:A))</f>
        <v>#NUM!</v>
      </c>
      <c r="C22" t="e">
        <f t="array" ref="C22">SMALL(IF(Spells!$A$1:$A$275=$A22,IF(Spells!$L$1:$L$275=$A$1,ROW(Spells!$A$1:$A$275))),COLUMN(B:B))</f>
        <v>#NUM!</v>
      </c>
      <c r="D22" t="e">
        <f t="array" ref="D22">SMALL(IF(Spells!$A$1:$A$275=$A22,IF(Spells!$L$1:$L$275=$A$1,ROW(Spells!$A$1:$A$275))),COLUMN(C:C))</f>
        <v>#NUM!</v>
      </c>
      <c r="E22" t="e">
        <f t="array" ref="E22">SMALL(IF(Spells!$A$1:$A$275=$A22,IF(Spells!$L$1:$L$275=$A$1,ROW(Spells!$A$1:$A$275))),COLUMN(D:D))</f>
        <v>#NUM!</v>
      </c>
      <c r="F22" t="e">
        <f t="array" ref="F22">SMALL(IF(Spells!$A$1:$A$275=$A22,IF(Spells!$L$1:$L$275=$A$1,ROW(Spells!$A$1:$A$275))),COLUMN(E:E))</f>
        <v>#NUM!</v>
      </c>
      <c r="G22" t="e">
        <f t="array" ref="G22">SMALL(IF(Spells!$A$1:$A$275=$A22,IF(Spells!$L$1:$L$275=$A$1,ROW(Spells!$A$1:$A$275))),COLUMN(F:F))</f>
        <v>#NUM!</v>
      </c>
      <c r="H22" t="str">
        <f>IF(ISERR(B22),"",INDEX(Spells!$F$1:$F$275,B22))</f>
        <v/>
      </c>
      <c r="I22" t="str">
        <f>IF(ISERR(C22),"",INDEX(Spells!$F$1:$F$275,C22))</f>
        <v/>
      </c>
      <c r="J22" t="str">
        <f>IF(ISERR(D22),"",INDEX(Spells!$F$1:$F$275,D22))</f>
        <v/>
      </c>
      <c r="K22" t="str">
        <f>IF(ISERR(E22),"",INDEX(Spells!$F$1:$F$275,E22))</f>
        <v/>
      </c>
      <c r="L22" t="str">
        <f>IF(ISERR(F22),"",INDEX(Spells!$F$1:$F$275,F22))</f>
        <v/>
      </c>
      <c r="M22" t="str">
        <f t="shared" si="0"/>
        <v>Fury, Attack Run, Spin Attack, Se Mederi, Whirlwind Attack, Reditus Doma, Leap, Wrath</v>
      </c>
      <c r="N22" t="e">
        <f t="shared" si="3"/>
        <v>#VALUE!</v>
      </c>
      <c r="O22">
        <f t="shared" si="1"/>
        <v>0</v>
      </c>
      <c r="P22" t="str">
        <f t="shared" si="2"/>
        <v/>
      </c>
      <c r="Q22">
        <f>COUNTIF($P$4:P$155,"=("&amp;P22&amp;")")</f>
        <v>0</v>
      </c>
      <c r="R22" t="str">
        <f t="shared" si="4"/>
        <v/>
      </c>
      <c r="S22" t="e">
        <f t="array" ref="S22">INDEX($R$4:$R$155,SMALL(IF($R$4:$R$155&lt;&gt;"",ROW($R$4:$R$155)-3),ROW()-3))</f>
        <v>#NUM!</v>
      </c>
      <c r="T22" t="str">
        <f t="shared" si="5"/>
        <v/>
      </c>
    </row>
    <row r="23" spans="1:20">
      <c r="A23" s="10">
        <v>20</v>
      </c>
      <c r="B23" t="e">
        <f t="array" ref="B23">SMALL(IF(Spells!$A$1:$A$275=$A23,IF(Spells!$L$1:$L$275=$A$1,ROW(Spells!$A$1:$A$275))),COLUMN(A:A))</f>
        <v>#NUM!</v>
      </c>
      <c r="C23" t="e">
        <f t="array" ref="C23">SMALL(IF(Spells!$A$1:$A$275=$A23,IF(Spells!$L$1:$L$275=$A$1,ROW(Spells!$A$1:$A$275))),COLUMN(B:B))</f>
        <v>#NUM!</v>
      </c>
      <c r="D23" t="e">
        <f t="array" ref="D23">SMALL(IF(Spells!$A$1:$A$275=$A23,IF(Spells!$L$1:$L$275=$A$1,ROW(Spells!$A$1:$A$275))),COLUMN(C:C))</f>
        <v>#NUM!</v>
      </c>
      <c r="E23" t="e">
        <f t="array" ref="E23">SMALL(IF(Spells!$A$1:$A$275=$A23,IF(Spells!$L$1:$L$275=$A$1,ROW(Spells!$A$1:$A$275))),COLUMN(D:D))</f>
        <v>#NUM!</v>
      </c>
      <c r="F23" t="e">
        <f t="array" ref="F23">SMALL(IF(Spells!$A$1:$A$275=$A23,IF(Spells!$L$1:$L$275=$A$1,ROW(Spells!$A$1:$A$275))),COLUMN(E:E))</f>
        <v>#NUM!</v>
      </c>
      <c r="G23" t="e">
        <f t="array" ref="G23">SMALL(IF(Spells!$A$1:$A$275=$A23,IF(Spells!$L$1:$L$275=$A$1,ROW(Spells!$A$1:$A$275))),COLUMN(F:F))</f>
        <v>#NUM!</v>
      </c>
      <c r="H23" t="str">
        <f>IF(ISERR(B23),"",INDEX(Spells!$F$1:$F$275,B23))</f>
        <v/>
      </c>
      <c r="I23" t="str">
        <f>IF(ISERR(C23),"",INDEX(Spells!$F$1:$F$275,C23))</f>
        <v/>
      </c>
      <c r="J23" t="str">
        <f>IF(ISERR(D23),"",INDEX(Spells!$F$1:$F$275,D23))</f>
        <v/>
      </c>
      <c r="K23" t="str">
        <f>IF(ISERR(E23),"",INDEX(Spells!$F$1:$F$275,E23))</f>
        <v/>
      </c>
      <c r="L23" t="str">
        <f>IF(ISERR(F23),"",INDEX(Spells!$F$1:$F$275,F23))</f>
        <v/>
      </c>
      <c r="M23" t="str">
        <f t="shared" si="0"/>
        <v>Fury, Attack Run, Spin Attack, Se Mederi, Whirlwind Attack, Reditus Doma, Leap, Wrath</v>
      </c>
      <c r="N23" t="e">
        <f t="shared" si="3"/>
        <v>#VALUE!</v>
      </c>
      <c r="O23">
        <f t="shared" si="1"/>
        <v>0</v>
      </c>
      <c r="P23" t="str">
        <f t="shared" si="2"/>
        <v/>
      </c>
      <c r="Q23">
        <f>COUNTIF($P$4:P$155,"=("&amp;P23&amp;")")</f>
        <v>0</v>
      </c>
      <c r="R23" t="str">
        <f t="shared" si="4"/>
        <v/>
      </c>
      <c r="S23" t="e">
        <f t="array" ref="S23">INDEX($R$4:$R$155,SMALL(IF($R$4:$R$155&lt;&gt;"",ROW($R$4:$R$155)-3),ROW()-3))</f>
        <v>#NUM!</v>
      </c>
      <c r="T23" t="str">
        <f t="shared" si="5"/>
        <v/>
      </c>
    </row>
    <row r="24" spans="1:20">
      <c r="A24" s="10">
        <v>21</v>
      </c>
      <c r="B24">
        <f t="array" ref="B24">SMALL(IF(Spells!$A$1:$A$275=$A24,IF(Spells!$L$1:$L$275=$A$1,ROW(Spells!$A$1:$A$275))),COLUMN(A:A))</f>
        <v>34</v>
      </c>
      <c r="C24">
        <f t="array" ref="C24">SMALL(IF(Spells!$A$1:$A$275=$A24,IF(Spells!$L$1:$L$275=$A$1,ROW(Spells!$A$1:$A$275))),COLUMN(B:B))</f>
        <v>40</v>
      </c>
      <c r="D24">
        <f t="array" ref="D24">SMALL(IF(Spells!$A$1:$A$275=$A24,IF(Spells!$L$1:$L$275=$A$1,ROW(Spells!$A$1:$A$275))),COLUMN(C:C))</f>
        <v>160</v>
      </c>
      <c r="E24" t="e">
        <f t="array" ref="E24">SMALL(IF(Spells!$A$1:$A$275=$A24,IF(Spells!$L$1:$L$275=$A$1,ROW(Spells!$A$1:$A$275))),COLUMN(D:D))</f>
        <v>#NUM!</v>
      </c>
      <c r="F24" t="e">
        <f t="array" ref="F24">SMALL(IF(Spells!$A$1:$A$275=$A24,IF(Spells!$L$1:$L$275=$A$1,ROW(Spells!$A$1:$A$275))),COLUMN(E:E))</f>
        <v>#NUM!</v>
      </c>
      <c r="G24" t="e">
        <f t="array" ref="G24">SMALL(IF(Spells!$A$1:$A$275=$A24,IF(Spells!$L$1:$L$275=$A$1,ROW(Spells!$A$1:$A$275))),COLUMN(F:F))</f>
        <v>#NUM!</v>
      </c>
      <c r="H24" t="str">
        <f>IF(ISERR(B24),"",INDEX(Spells!$F$1:$F$275,B24))</f>
        <v>Mederi</v>
      </c>
      <c r="I24" t="str">
        <f>IF(ISERR(C24),"",INDEX(Spells!$F$1:$F$275,C24))</f>
        <v>Se Vis Mederi</v>
      </c>
      <c r="J24" t="str">
        <f>IF(ISERR(D24),"",INDEX(Spells!$F$1:$F$275,D24))</f>
        <v>(Whirlwind Attack)</v>
      </c>
      <c r="K24" t="str">
        <f>IF(ISERR(E24),"",INDEX(Spells!$F$1:$F$275,E24))</f>
        <v/>
      </c>
      <c r="L24" t="str">
        <f>IF(ISERR(F24),"",INDEX(Spells!$F$1:$F$275,F24))</f>
        <v/>
      </c>
      <c r="M24" t="str">
        <f t="shared" si="0"/>
        <v>Fury, Attack Run, Spin Attack, Se Mederi, Whirlwind Attack, Reditus Doma, Leap, Wrath, Mederi, Se Vis Mederi, (Whirlwind Attack)</v>
      </c>
      <c r="N24" t="e">
        <f t="shared" si="3"/>
        <v>#VALUE!</v>
      </c>
      <c r="O24">
        <f t="shared" si="1"/>
        <v>0</v>
      </c>
      <c r="P24" t="str">
        <f t="shared" si="2"/>
        <v/>
      </c>
      <c r="Q24">
        <f>COUNTIF($P$4:P$155,"=("&amp;P24&amp;")")</f>
        <v>0</v>
      </c>
      <c r="R24" t="str">
        <f t="shared" si="4"/>
        <v/>
      </c>
      <c r="S24" t="e">
        <f t="array" ref="S24">INDEX($R$4:$R$155,SMALL(IF($R$4:$R$155&lt;&gt;"",ROW($R$4:$R$155)-3),ROW()-3))</f>
        <v>#NUM!</v>
      </c>
      <c r="T24" t="str">
        <f t="shared" si="5"/>
        <v/>
      </c>
    </row>
    <row r="25" spans="1:20">
      <c r="A25" s="10">
        <v>22</v>
      </c>
      <c r="B25" t="e">
        <f t="array" ref="B25">SMALL(IF(Spells!$A$1:$A$275=$A25,IF(Spells!$L$1:$L$275=$A$1,ROW(Spells!$A$1:$A$275))),COLUMN(A:A))</f>
        <v>#NUM!</v>
      </c>
      <c r="C25" t="e">
        <f t="array" ref="C25">SMALL(IF(Spells!$A$1:$A$275=$A25,IF(Spells!$L$1:$L$275=$A$1,ROW(Spells!$A$1:$A$275))),COLUMN(B:B))</f>
        <v>#NUM!</v>
      </c>
      <c r="D25" t="e">
        <f t="array" ref="D25">SMALL(IF(Spells!$A$1:$A$275=$A25,IF(Spells!$L$1:$L$275=$A$1,ROW(Spells!$A$1:$A$275))),COLUMN(C:C))</f>
        <v>#NUM!</v>
      </c>
      <c r="E25" t="e">
        <f t="array" ref="E25">SMALL(IF(Spells!$A$1:$A$275=$A25,IF(Spells!$L$1:$L$275=$A$1,ROW(Spells!$A$1:$A$275))),COLUMN(D:D))</f>
        <v>#NUM!</v>
      </c>
      <c r="F25" t="e">
        <f t="array" ref="F25">SMALL(IF(Spells!$A$1:$A$275=$A25,IF(Spells!$L$1:$L$275=$A$1,ROW(Spells!$A$1:$A$275))),COLUMN(E:E))</f>
        <v>#NUM!</v>
      </c>
      <c r="G25" t="e">
        <f t="array" ref="G25">SMALL(IF(Spells!$A$1:$A$275=$A25,IF(Spells!$L$1:$L$275=$A$1,ROW(Spells!$A$1:$A$275))),COLUMN(F:F))</f>
        <v>#NUM!</v>
      </c>
      <c r="H25" t="str">
        <f>IF(ISERR(B25),"",INDEX(Spells!$F$1:$F$275,B25))</f>
        <v/>
      </c>
      <c r="I25" t="str">
        <f>IF(ISERR(C25),"",INDEX(Spells!$F$1:$F$275,C25))</f>
        <v/>
      </c>
      <c r="J25" t="str">
        <f>IF(ISERR(D25),"",INDEX(Spells!$F$1:$F$275,D25))</f>
        <v/>
      </c>
      <c r="K25" t="str">
        <f>IF(ISERR(E25),"",INDEX(Spells!$F$1:$F$275,E25))</f>
        <v/>
      </c>
      <c r="L25" t="str">
        <f>IF(ISERR(F25),"",INDEX(Spells!$F$1:$F$275,F25))</f>
        <v/>
      </c>
      <c r="M25" t="str">
        <f t="shared" si="0"/>
        <v>Fury, Attack Run, Spin Attack, Se Mederi, Whirlwind Attack, Reditus Doma, Leap, Wrath, Mederi, Se Vis Mederi, (Whirlwind Attack)</v>
      </c>
      <c r="N25" t="e">
        <f t="shared" si="3"/>
        <v>#VALUE!</v>
      </c>
      <c r="O25">
        <f t="shared" si="1"/>
        <v>0</v>
      </c>
      <c r="P25" t="str">
        <f t="shared" si="2"/>
        <v/>
      </c>
      <c r="Q25">
        <f>COUNTIF($P$4:P$155,"=("&amp;P25&amp;")")</f>
        <v>0</v>
      </c>
      <c r="R25" t="str">
        <f t="shared" si="4"/>
        <v/>
      </c>
      <c r="S25" t="e">
        <f t="array" ref="S25">INDEX($R$4:$R$155,SMALL(IF($R$4:$R$155&lt;&gt;"",ROW($R$4:$R$155)-3),ROW()-3))</f>
        <v>#NUM!</v>
      </c>
      <c r="T25" t="str">
        <f t="shared" si="5"/>
        <v/>
      </c>
    </row>
    <row r="26" spans="1:20">
      <c r="A26" s="10">
        <v>23</v>
      </c>
      <c r="B26" t="e">
        <f t="array" ref="B26">SMALL(IF(Spells!$A$1:$A$275=$A26,IF(Spells!$L$1:$L$275=$A$1,ROW(Spells!$A$1:$A$275))),COLUMN(A:A))</f>
        <v>#NUM!</v>
      </c>
      <c r="C26" t="e">
        <f t="array" ref="C26">SMALL(IF(Spells!$A$1:$A$275=$A26,IF(Spells!$L$1:$L$275=$A$1,ROW(Spells!$A$1:$A$275))),COLUMN(B:B))</f>
        <v>#NUM!</v>
      </c>
      <c r="D26" t="e">
        <f t="array" ref="D26">SMALL(IF(Spells!$A$1:$A$275=$A26,IF(Spells!$L$1:$L$275=$A$1,ROW(Spells!$A$1:$A$275))),COLUMN(C:C))</f>
        <v>#NUM!</v>
      </c>
      <c r="E26" t="e">
        <f t="array" ref="E26">SMALL(IF(Spells!$A$1:$A$275=$A26,IF(Spells!$L$1:$L$275=$A$1,ROW(Spells!$A$1:$A$275))),COLUMN(D:D))</f>
        <v>#NUM!</v>
      </c>
      <c r="F26" t="e">
        <f t="array" ref="F26">SMALL(IF(Spells!$A$1:$A$275=$A26,IF(Spells!$L$1:$L$275=$A$1,ROW(Spells!$A$1:$A$275))),COLUMN(E:E))</f>
        <v>#NUM!</v>
      </c>
      <c r="G26" t="e">
        <f t="array" ref="G26">SMALL(IF(Spells!$A$1:$A$275=$A26,IF(Spells!$L$1:$L$275=$A$1,ROW(Spells!$A$1:$A$275))),COLUMN(F:F))</f>
        <v>#NUM!</v>
      </c>
      <c r="H26" t="str">
        <f>IF(ISERR(B26),"",INDEX(Spells!$F$1:$F$275,B26))</f>
        <v/>
      </c>
      <c r="I26" t="str">
        <f>IF(ISERR(C26),"",INDEX(Spells!$F$1:$F$275,C26))</f>
        <v/>
      </c>
      <c r="J26" t="str">
        <f>IF(ISERR(D26),"",INDEX(Spells!$F$1:$F$275,D26))</f>
        <v/>
      </c>
      <c r="K26" t="str">
        <f>IF(ISERR(E26),"",INDEX(Spells!$F$1:$F$275,E26))</f>
        <v/>
      </c>
      <c r="L26" t="str">
        <f>IF(ISERR(F26),"",INDEX(Spells!$F$1:$F$275,F26))</f>
        <v/>
      </c>
      <c r="M26" t="str">
        <f t="shared" si="0"/>
        <v>Fury, Attack Run, Spin Attack, Se Mederi, Whirlwind Attack, Reditus Doma, Leap, Wrath, Mederi, Se Vis Mederi, (Whirlwind Attack)</v>
      </c>
      <c r="N26" t="e">
        <f t="shared" si="3"/>
        <v>#VALUE!</v>
      </c>
      <c r="O26">
        <f t="shared" si="1"/>
        <v>0</v>
      </c>
      <c r="P26" t="str">
        <f t="shared" si="2"/>
        <v/>
      </c>
      <c r="Q26">
        <f>COUNTIF($P$4:P$155,"=("&amp;P26&amp;")")</f>
        <v>0</v>
      </c>
      <c r="R26" t="str">
        <f t="shared" si="4"/>
        <v/>
      </c>
      <c r="S26" t="e">
        <f t="array" ref="S26">INDEX($R$4:$R$155,SMALL(IF($R$4:$R$155&lt;&gt;"",ROW($R$4:$R$155)-3),ROW()-3))</f>
        <v>#NUM!</v>
      </c>
      <c r="T26" t="str">
        <f t="shared" si="5"/>
        <v/>
      </c>
    </row>
    <row r="27" spans="1:20">
      <c r="A27" s="10">
        <v>24</v>
      </c>
      <c r="B27" t="e">
        <f t="array" ref="B27">SMALL(IF(Spells!$A$1:$A$275=$A27,IF(Spells!$L$1:$L$275=$A$1,ROW(Spells!$A$1:$A$275))),COLUMN(A:A))</f>
        <v>#NUM!</v>
      </c>
      <c r="C27" t="e">
        <f t="array" ref="C27">SMALL(IF(Spells!$A$1:$A$275=$A27,IF(Spells!$L$1:$L$275=$A$1,ROW(Spells!$A$1:$A$275))),COLUMN(B:B))</f>
        <v>#NUM!</v>
      </c>
      <c r="D27" t="e">
        <f t="array" ref="D27">SMALL(IF(Spells!$A$1:$A$275=$A27,IF(Spells!$L$1:$L$275=$A$1,ROW(Spells!$A$1:$A$275))),COLUMN(C:C))</f>
        <v>#NUM!</v>
      </c>
      <c r="E27" t="e">
        <f t="array" ref="E27">SMALL(IF(Spells!$A$1:$A$275=$A27,IF(Spells!$L$1:$L$275=$A$1,ROW(Spells!$A$1:$A$275))),COLUMN(D:D))</f>
        <v>#NUM!</v>
      </c>
      <c r="F27" t="e">
        <f t="array" ref="F27">SMALL(IF(Spells!$A$1:$A$275=$A27,IF(Spells!$L$1:$L$275=$A$1,ROW(Spells!$A$1:$A$275))),COLUMN(E:E))</f>
        <v>#NUM!</v>
      </c>
      <c r="G27" t="e">
        <f t="array" ref="G27">SMALL(IF(Spells!$A$1:$A$275=$A27,IF(Spells!$L$1:$L$275=$A$1,ROW(Spells!$A$1:$A$275))),COLUMN(F:F))</f>
        <v>#NUM!</v>
      </c>
      <c r="H27" t="str">
        <f>IF(ISERR(B27),"",INDEX(Spells!$F$1:$F$275,B27))</f>
        <v/>
      </c>
      <c r="I27" t="str">
        <f>IF(ISERR(C27),"",INDEX(Spells!$F$1:$F$275,C27))</f>
        <v/>
      </c>
      <c r="J27" t="str">
        <f>IF(ISERR(D27),"",INDEX(Spells!$F$1:$F$275,D27))</f>
        <v/>
      </c>
      <c r="K27" t="str">
        <f>IF(ISERR(E27),"",INDEX(Spells!$F$1:$F$275,E27))</f>
        <v/>
      </c>
      <c r="L27" t="str">
        <f>IF(ISERR(F27),"",INDEX(Spells!$F$1:$F$275,F27))</f>
        <v/>
      </c>
      <c r="M27" t="str">
        <f t="shared" si="0"/>
        <v>Fury, Attack Run, Spin Attack, Se Mederi, Whirlwind Attack, Reditus Doma, Leap, Wrath, Mederi, Se Vis Mederi, (Whirlwind Attack)</v>
      </c>
      <c r="N27" t="e">
        <f t="shared" si="3"/>
        <v>#VALUE!</v>
      </c>
      <c r="O27">
        <f t="shared" si="1"/>
        <v>0</v>
      </c>
      <c r="P27" t="str">
        <f t="shared" si="2"/>
        <v/>
      </c>
      <c r="Q27">
        <f>COUNTIF($P$4:P$155,"=("&amp;P27&amp;")")</f>
        <v>0</v>
      </c>
      <c r="R27" t="str">
        <f t="shared" si="4"/>
        <v/>
      </c>
      <c r="S27" t="e">
        <f t="array" ref="S27">INDEX($R$4:$R$155,SMALL(IF($R$4:$R$155&lt;&gt;"",ROW($R$4:$R$155)-3),ROW()-3))</f>
        <v>#NUM!</v>
      </c>
      <c r="T27" t="str">
        <f t="shared" si="5"/>
        <v/>
      </c>
    </row>
    <row r="28" spans="1:20">
      <c r="A28" s="10">
        <v>25</v>
      </c>
      <c r="B28">
        <f t="array" ref="B28">SMALL(IF(Spells!$A$1:$A$275=$A28,IF(Spells!$L$1:$L$275=$A$1,ROW(Spells!$A$1:$A$275))),COLUMN(A:A))</f>
        <v>146</v>
      </c>
      <c r="C28">
        <f t="array" ref="C28">SMALL(IF(Spells!$A$1:$A$275=$A28,IF(Spells!$L$1:$L$275=$A$1,ROW(Spells!$A$1:$A$275))),COLUMN(B:B))</f>
        <v>155</v>
      </c>
      <c r="D28" t="e">
        <f t="array" ref="D28">SMALL(IF(Spells!$A$1:$A$275=$A28,IF(Spells!$L$1:$L$275=$A$1,ROW(Spells!$A$1:$A$275))),COLUMN(C:C))</f>
        <v>#NUM!</v>
      </c>
      <c r="E28" t="e">
        <f t="array" ref="E28">SMALL(IF(Spells!$A$1:$A$275=$A28,IF(Spells!$L$1:$L$275=$A$1,ROW(Spells!$A$1:$A$275))),COLUMN(D:D))</f>
        <v>#NUM!</v>
      </c>
      <c r="F28" t="e">
        <f t="array" ref="F28">SMALL(IF(Spells!$A$1:$A$275=$A28,IF(Spells!$L$1:$L$275=$A$1,ROW(Spells!$A$1:$A$275))),COLUMN(E:E))</f>
        <v>#NUM!</v>
      </c>
      <c r="G28" t="e">
        <f t="array" ref="G28">SMALL(IF(Spells!$A$1:$A$275=$A28,IF(Spells!$L$1:$L$275=$A$1,ROW(Spells!$A$1:$A$275))),COLUMN(F:F))</f>
        <v>#NUM!</v>
      </c>
      <c r="H28" t="str">
        <f>IF(ISERR(B28),"",INDEX(Spells!$F$1:$F$275,B28))</f>
        <v>(Attack Run)</v>
      </c>
      <c r="I28" t="str">
        <f>IF(ISERR(C28),"",INDEX(Spells!$F$1:$F$275,C28))</f>
        <v>(Leap)</v>
      </c>
      <c r="J28" t="str">
        <f>IF(ISERR(D28),"",INDEX(Spells!$F$1:$F$275,D28))</f>
        <v/>
      </c>
      <c r="K28" t="str">
        <f>IF(ISERR(E28),"",INDEX(Spells!$F$1:$F$275,E28))</f>
        <v/>
      </c>
      <c r="L28" t="str">
        <f>IF(ISERR(F28),"",INDEX(Spells!$F$1:$F$275,F28))</f>
        <v/>
      </c>
      <c r="M28" t="str">
        <f t="shared" si="0"/>
        <v>Fury, Attack Run, Spin Attack, Se Mederi, Whirlwind Attack, Reditus Doma, Leap, Wrath, Mederi, Se Vis Mederi, (Whirlwind Attack), (Attack Run), (Leap)</v>
      </c>
      <c r="N28" t="e">
        <f t="shared" si="3"/>
        <v>#VALUE!</v>
      </c>
      <c r="O28">
        <f t="shared" si="1"/>
        <v>0</v>
      </c>
      <c r="P28" t="str">
        <f t="shared" si="2"/>
        <v/>
      </c>
      <c r="Q28">
        <f>COUNTIF($P$4:P$155,"=("&amp;P28&amp;")")</f>
        <v>0</v>
      </c>
      <c r="R28" t="str">
        <f t="shared" si="4"/>
        <v/>
      </c>
      <c r="S28" t="e">
        <f t="array" ref="S28">INDEX($R$4:$R$155,SMALL(IF($R$4:$R$155&lt;&gt;"",ROW($R$4:$R$155)-3),ROW()-3))</f>
        <v>#NUM!</v>
      </c>
      <c r="T28" t="str">
        <f t="shared" si="5"/>
        <v/>
      </c>
    </row>
    <row r="29" spans="1:20">
      <c r="A29" s="10">
        <v>26</v>
      </c>
      <c r="B29" t="e">
        <f t="array" ref="B29">SMALL(IF(Spells!$A$1:$A$275=$A29,IF(Spells!$L$1:$L$275=$A$1,ROW(Spells!$A$1:$A$275))),COLUMN(A:A))</f>
        <v>#NUM!</v>
      </c>
      <c r="C29" t="e">
        <f t="array" ref="C29">SMALL(IF(Spells!$A$1:$A$275=$A29,IF(Spells!$L$1:$L$275=$A$1,ROW(Spells!$A$1:$A$275))),COLUMN(B:B))</f>
        <v>#NUM!</v>
      </c>
      <c r="D29" t="e">
        <f t="array" ref="D29">SMALL(IF(Spells!$A$1:$A$275=$A29,IF(Spells!$L$1:$L$275=$A$1,ROW(Spells!$A$1:$A$275))),COLUMN(C:C))</f>
        <v>#NUM!</v>
      </c>
      <c r="E29" t="e">
        <f t="array" ref="E29">SMALL(IF(Spells!$A$1:$A$275=$A29,IF(Spells!$L$1:$L$275=$A$1,ROW(Spells!$A$1:$A$275))),COLUMN(D:D))</f>
        <v>#NUM!</v>
      </c>
      <c r="F29" t="e">
        <f t="array" ref="F29">SMALL(IF(Spells!$A$1:$A$275=$A29,IF(Spells!$L$1:$L$275=$A$1,ROW(Spells!$A$1:$A$275))),COLUMN(E:E))</f>
        <v>#NUM!</v>
      </c>
      <c r="G29" t="e">
        <f t="array" ref="G29">SMALL(IF(Spells!$A$1:$A$275=$A29,IF(Spells!$L$1:$L$275=$A$1,ROW(Spells!$A$1:$A$275))),COLUMN(F:F))</f>
        <v>#NUM!</v>
      </c>
      <c r="H29" t="str">
        <f>IF(ISERR(B29),"",INDEX(Spells!$F$1:$F$275,B29))</f>
        <v/>
      </c>
      <c r="I29" t="str">
        <f>IF(ISERR(C29),"",INDEX(Spells!$F$1:$F$275,C29))</f>
        <v/>
      </c>
      <c r="J29" t="str">
        <f>IF(ISERR(D29),"",INDEX(Spells!$F$1:$F$275,D29))</f>
        <v/>
      </c>
      <c r="K29" t="str">
        <f>IF(ISERR(E29),"",INDEX(Spells!$F$1:$F$275,E29))</f>
        <v/>
      </c>
      <c r="L29" t="str">
        <f>IF(ISERR(F29),"",INDEX(Spells!$F$1:$F$275,F29))</f>
        <v/>
      </c>
      <c r="M29" t="str">
        <f t="shared" si="0"/>
        <v>Fury, Attack Run, Spin Attack, Se Mederi, Whirlwind Attack, Reditus Doma, Leap, Wrath, Mederi, Se Vis Mederi, (Whirlwind Attack), (Attack Run), (Leap)</v>
      </c>
      <c r="N29" t="e">
        <f t="shared" si="3"/>
        <v>#VALUE!</v>
      </c>
      <c r="O29">
        <f t="shared" si="1"/>
        <v>0</v>
      </c>
      <c r="P29" t="str">
        <f t="shared" si="2"/>
        <v/>
      </c>
      <c r="Q29">
        <f>COUNTIF($P$4:P$155,"=("&amp;P29&amp;")")</f>
        <v>0</v>
      </c>
      <c r="R29" t="str">
        <f t="shared" si="4"/>
        <v/>
      </c>
      <c r="S29" t="e">
        <f t="array" ref="S29">INDEX($R$4:$R$155,SMALL(IF($R$4:$R$155&lt;&gt;"",ROW($R$4:$R$155)-3),ROW()-3))</f>
        <v>#NUM!</v>
      </c>
      <c r="T29" t="str">
        <f t="shared" si="5"/>
        <v/>
      </c>
    </row>
    <row r="30" spans="1:20">
      <c r="A30" s="10">
        <v>27</v>
      </c>
      <c r="B30">
        <f t="array" ref="B30">SMALL(IF(Spells!$A$1:$A$275=$A30,IF(Spells!$L$1:$L$275=$A$1,ROW(Spells!$A$1:$A$275))),COLUMN(A:A))</f>
        <v>128</v>
      </c>
      <c r="C30" t="e">
        <f t="array" ref="C30">SMALL(IF(Spells!$A$1:$A$275=$A30,IF(Spells!$L$1:$L$275=$A$1,ROW(Spells!$A$1:$A$275))),COLUMN(B:B))</f>
        <v>#NUM!</v>
      </c>
      <c r="D30" t="e">
        <f t="array" ref="D30">SMALL(IF(Spells!$A$1:$A$275=$A30,IF(Spells!$L$1:$L$275=$A$1,ROW(Spells!$A$1:$A$275))),COLUMN(C:C))</f>
        <v>#NUM!</v>
      </c>
      <c r="E30" t="e">
        <f t="array" ref="E30">SMALL(IF(Spells!$A$1:$A$275=$A30,IF(Spells!$L$1:$L$275=$A$1,ROW(Spells!$A$1:$A$275))),COLUMN(D:D))</f>
        <v>#NUM!</v>
      </c>
      <c r="F30" t="e">
        <f t="array" ref="F30">SMALL(IF(Spells!$A$1:$A$275=$A30,IF(Spells!$L$1:$L$275=$A$1,ROW(Spells!$A$1:$A$275))),COLUMN(E:E))</f>
        <v>#NUM!</v>
      </c>
      <c r="G30" t="e">
        <f t="array" ref="G30">SMALL(IF(Spells!$A$1:$A$275=$A30,IF(Spells!$L$1:$L$275=$A$1,ROW(Spells!$A$1:$A$275))),COLUMN(F:F))</f>
        <v>#NUM!</v>
      </c>
      <c r="H30" t="str">
        <f>IF(ISERR(B30),"",INDEX(Spells!$F$1:$F$275,B30))</f>
        <v>Rage</v>
      </c>
      <c r="I30" t="str">
        <f>IF(ISERR(C30),"",INDEX(Spells!$F$1:$F$275,C30))</f>
        <v/>
      </c>
      <c r="J30" t="str">
        <f>IF(ISERR(D30),"",INDEX(Spells!$F$1:$F$275,D30))</f>
        <v/>
      </c>
      <c r="K30" t="str">
        <f>IF(ISERR(E30),"",INDEX(Spells!$F$1:$F$275,E30))</f>
        <v/>
      </c>
      <c r="L30" t="str">
        <f>IF(ISERR(F30),"",INDEX(Spells!$F$1:$F$275,F30))</f>
        <v/>
      </c>
      <c r="M30" t="str">
        <f t="shared" si="0"/>
        <v>Fury, Attack Run, Spin Attack, Se Mederi, Whirlwind Attack, Reditus Doma, Leap, Wrath, Mederi, Se Vis Mederi, (Whirlwind Attack), (Attack Run), (Leap), Rage</v>
      </c>
      <c r="N30" t="e">
        <f t="shared" si="3"/>
        <v>#VALUE!</v>
      </c>
      <c r="O30">
        <f t="shared" si="1"/>
        <v>0</v>
      </c>
      <c r="P30" t="str">
        <f t="shared" si="2"/>
        <v/>
      </c>
      <c r="Q30">
        <f>COUNTIF($P$4:P$155,"=("&amp;P30&amp;")")</f>
        <v>0</v>
      </c>
      <c r="R30" t="str">
        <f t="shared" si="4"/>
        <v/>
      </c>
      <c r="S30" t="e">
        <f t="array" ref="S30">INDEX($R$4:$R$155,SMALL(IF($R$4:$R$155&lt;&gt;"",ROW($R$4:$R$155)-3),ROW()-3))</f>
        <v>#NUM!</v>
      </c>
      <c r="T30" t="str">
        <f t="shared" si="5"/>
        <v/>
      </c>
    </row>
    <row r="31" spans="1:20">
      <c r="A31" s="10">
        <v>28</v>
      </c>
      <c r="B31" t="e">
        <f t="array" ref="B31">SMALL(IF(Spells!$A$1:$A$275=$A31,IF(Spells!$L$1:$L$275=$A$1,ROW(Spells!$A$1:$A$275))),COLUMN(A:A))</f>
        <v>#NUM!</v>
      </c>
      <c r="C31" t="e">
        <f t="array" ref="C31">SMALL(IF(Spells!$A$1:$A$275=$A31,IF(Spells!$L$1:$L$275=$A$1,ROW(Spells!$A$1:$A$275))),COLUMN(B:B))</f>
        <v>#NUM!</v>
      </c>
      <c r="D31" t="e">
        <f t="array" ref="D31">SMALL(IF(Spells!$A$1:$A$275=$A31,IF(Spells!$L$1:$L$275=$A$1,ROW(Spells!$A$1:$A$275))),COLUMN(C:C))</f>
        <v>#NUM!</v>
      </c>
      <c r="E31" t="e">
        <f t="array" ref="E31">SMALL(IF(Spells!$A$1:$A$275=$A31,IF(Spells!$L$1:$L$275=$A$1,ROW(Spells!$A$1:$A$275))),COLUMN(D:D))</f>
        <v>#NUM!</v>
      </c>
      <c r="F31" t="e">
        <f t="array" ref="F31">SMALL(IF(Spells!$A$1:$A$275=$A31,IF(Spells!$L$1:$L$275=$A$1,ROW(Spells!$A$1:$A$275))),COLUMN(E:E))</f>
        <v>#NUM!</v>
      </c>
      <c r="G31" t="e">
        <f t="array" ref="G31">SMALL(IF(Spells!$A$1:$A$275=$A31,IF(Spells!$L$1:$L$275=$A$1,ROW(Spells!$A$1:$A$275))),COLUMN(F:F))</f>
        <v>#NUM!</v>
      </c>
      <c r="H31" t="str">
        <f>IF(ISERR(B31),"",INDEX(Spells!$F$1:$F$275,B31))</f>
        <v/>
      </c>
      <c r="I31" t="str">
        <f>IF(ISERR(C31),"",INDEX(Spells!$F$1:$F$275,C31))</f>
        <v/>
      </c>
      <c r="J31" t="str">
        <f>IF(ISERR(D31),"",INDEX(Spells!$F$1:$F$275,D31))</f>
        <v/>
      </c>
      <c r="K31" t="str">
        <f>IF(ISERR(E31),"",INDEX(Spells!$F$1:$F$275,E31))</f>
        <v/>
      </c>
      <c r="L31" t="str">
        <f>IF(ISERR(F31),"",INDEX(Spells!$F$1:$F$275,F31))</f>
        <v/>
      </c>
      <c r="M31" t="str">
        <f t="shared" si="0"/>
        <v>Fury, Attack Run, Spin Attack, Se Mederi, Whirlwind Attack, Reditus Doma, Leap, Wrath, Mederi, Se Vis Mederi, (Whirlwind Attack), (Attack Run), (Leap), Rage</v>
      </c>
      <c r="N31" t="e">
        <f t="shared" si="3"/>
        <v>#VALUE!</v>
      </c>
      <c r="O31">
        <f t="shared" si="1"/>
        <v>0</v>
      </c>
      <c r="P31" t="str">
        <f t="shared" ref="P31:P38" si="6">TRIM(RIGHT(LEFT(N$2,IF(ISERR(N31),LEN($N$2),N31-1)),IF(O31&lt;IF(ISERR(N31),0,N31),O31-2,O31)))</f>
        <v/>
      </c>
      <c r="Q31">
        <f>COUNTIF($P$4:P$155,"=("&amp;P31&amp;")")</f>
        <v>0</v>
      </c>
      <c r="R31" t="str">
        <f t="shared" ref="R31:R38" si="7">IF(ISERR(FIND("(",P31)),P31&amp;IF(Q31&gt;0," ("&amp;ROMAN(Q31)&amp;")",""),"")</f>
        <v/>
      </c>
      <c r="S31" t="e">
        <f t="array" ref="S31">INDEX($R$4:$R$155,SMALL(IF($R$4:$R$155&lt;&gt;"",ROW($R$4:$R$155)-3),ROW()-3))</f>
        <v>#NUM!</v>
      </c>
      <c r="T31" t="str">
        <f t="shared" si="5"/>
        <v/>
      </c>
    </row>
    <row r="32" spans="1:20">
      <c r="A32" s="10">
        <v>29</v>
      </c>
      <c r="B32" t="e">
        <f t="array" ref="B32">SMALL(IF(Spells!$A$1:$A$275=$A32,IF(Spells!$L$1:$L$275=$A$1,ROW(Spells!$A$1:$A$275))),COLUMN(A:A))</f>
        <v>#NUM!</v>
      </c>
      <c r="C32" t="e">
        <f t="array" ref="C32">SMALL(IF(Spells!$A$1:$A$275=$A32,IF(Spells!$L$1:$L$275=$A$1,ROW(Spells!$A$1:$A$275))),COLUMN(B:B))</f>
        <v>#NUM!</v>
      </c>
      <c r="D32" t="e">
        <f t="array" ref="D32">SMALL(IF(Spells!$A$1:$A$275=$A32,IF(Spells!$L$1:$L$275=$A$1,ROW(Spells!$A$1:$A$275))),COLUMN(C:C))</f>
        <v>#NUM!</v>
      </c>
      <c r="E32" t="e">
        <f t="array" ref="E32">SMALL(IF(Spells!$A$1:$A$275=$A32,IF(Spells!$L$1:$L$275=$A$1,ROW(Spells!$A$1:$A$275))),COLUMN(D:D))</f>
        <v>#NUM!</v>
      </c>
      <c r="F32" t="e">
        <f t="array" ref="F32">SMALL(IF(Spells!$A$1:$A$275=$A32,IF(Spells!$L$1:$L$275=$A$1,ROW(Spells!$A$1:$A$275))),COLUMN(E:E))</f>
        <v>#NUM!</v>
      </c>
      <c r="G32" t="e">
        <f t="array" ref="G32">SMALL(IF(Spells!$A$1:$A$275=$A32,IF(Spells!$L$1:$L$275=$A$1,ROW(Spells!$A$1:$A$275))),COLUMN(F:F))</f>
        <v>#NUM!</v>
      </c>
      <c r="H32" t="str">
        <f>IF(ISERR(B32),"",INDEX(Spells!$F$1:$F$275,B32))</f>
        <v/>
      </c>
      <c r="I32" t="str">
        <f>IF(ISERR(C32),"",INDEX(Spells!$F$1:$F$275,C32))</f>
        <v/>
      </c>
      <c r="J32" t="str">
        <f>IF(ISERR(D32),"",INDEX(Spells!$F$1:$F$275,D32))</f>
        <v/>
      </c>
      <c r="K32" t="str">
        <f>IF(ISERR(E32),"",INDEX(Spells!$F$1:$F$275,E32))</f>
        <v/>
      </c>
      <c r="L32" t="str">
        <f>IF(ISERR(F32),"",INDEX(Spells!$F$1:$F$275,F32))</f>
        <v/>
      </c>
      <c r="M32" t="str">
        <f t="shared" si="0"/>
        <v>Fury, Attack Run, Spin Attack, Se Mederi, Whirlwind Attack, Reditus Doma, Leap, Wrath, Mederi, Se Vis Mederi, (Whirlwind Attack), (Attack Run), (Leap), Rage</v>
      </c>
      <c r="N32" t="e">
        <f t="shared" si="3"/>
        <v>#VALUE!</v>
      </c>
      <c r="O32">
        <f t="shared" si="1"/>
        <v>0</v>
      </c>
      <c r="P32" t="str">
        <f t="shared" si="6"/>
        <v/>
      </c>
      <c r="Q32">
        <f>COUNTIF($P$4:P$155,"=("&amp;P32&amp;")")</f>
        <v>0</v>
      </c>
      <c r="R32" t="str">
        <f t="shared" si="7"/>
        <v/>
      </c>
      <c r="S32" t="e">
        <f t="array" ref="S32">INDEX($R$4:$R$155,SMALL(IF($R$4:$R$155&lt;&gt;"",ROW($R$4:$R$155)-3),ROW()-3))</f>
        <v>#NUM!</v>
      </c>
      <c r="T32" t="str">
        <f t="shared" si="5"/>
        <v/>
      </c>
    </row>
    <row r="33" spans="1:20">
      <c r="A33" s="10">
        <v>30</v>
      </c>
      <c r="B33" t="e">
        <f t="array" ref="B33">SMALL(IF(Spells!$A$1:$A$275=$A33,IF(Spells!$L$1:$L$275=$A$1,ROW(Spells!$A$1:$A$275))),COLUMN(A:A))</f>
        <v>#NUM!</v>
      </c>
      <c r="C33" t="e">
        <f t="array" ref="C33">SMALL(IF(Spells!$A$1:$A$275=$A33,IF(Spells!$L$1:$L$275=$A$1,ROW(Spells!$A$1:$A$275))),COLUMN(B:B))</f>
        <v>#NUM!</v>
      </c>
      <c r="D33" t="e">
        <f t="array" ref="D33">SMALL(IF(Spells!$A$1:$A$275=$A33,IF(Spells!$L$1:$L$275=$A$1,ROW(Spells!$A$1:$A$275))),COLUMN(C:C))</f>
        <v>#NUM!</v>
      </c>
      <c r="E33" t="e">
        <f t="array" ref="E33">SMALL(IF(Spells!$A$1:$A$275=$A33,IF(Spells!$L$1:$L$275=$A$1,ROW(Spells!$A$1:$A$275))),COLUMN(D:D))</f>
        <v>#NUM!</v>
      </c>
      <c r="F33" t="e">
        <f t="array" ref="F33">SMALL(IF(Spells!$A$1:$A$275=$A33,IF(Spells!$L$1:$L$275=$A$1,ROW(Spells!$A$1:$A$275))),COLUMN(E:E))</f>
        <v>#NUM!</v>
      </c>
      <c r="G33" t="e">
        <f t="array" ref="G33">SMALL(IF(Spells!$A$1:$A$275=$A33,IF(Spells!$L$1:$L$275=$A$1,ROW(Spells!$A$1:$A$275))),COLUMN(F:F))</f>
        <v>#NUM!</v>
      </c>
      <c r="H33" t="str">
        <f>IF(ISERR(B33),"",INDEX(Spells!$F$1:$F$275,B33))</f>
        <v/>
      </c>
      <c r="I33" t="str">
        <f>IF(ISERR(C33),"",INDEX(Spells!$F$1:$F$275,C33))</f>
        <v/>
      </c>
      <c r="J33" t="str">
        <f>IF(ISERR(D33),"",INDEX(Spells!$F$1:$F$275,D33))</f>
        <v/>
      </c>
      <c r="K33" t="str">
        <f>IF(ISERR(E33),"",INDEX(Spells!$F$1:$F$275,E33))</f>
        <v/>
      </c>
      <c r="L33" t="str">
        <f>IF(ISERR(F33),"",INDEX(Spells!$F$1:$F$275,F33))</f>
        <v/>
      </c>
      <c r="M33" t="str">
        <f t="shared" si="0"/>
        <v>Fury, Attack Run, Spin Attack, Se Mederi, Whirlwind Attack, Reditus Doma, Leap, Wrath, Mederi, Se Vis Mederi, (Whirlwind Attack), (Attack Run), (Leap), Rage</v>
      </c>
      <c r="N33" t="e">
        <f t="shared" si="3"/>
        <v>#VALUE!</v>
      </c>
      <c r="O33">
        <f t="shared" si="1"/>
        <v>0</v>
      </c>
      <c r="P33" t="str">
        <f t="shared" si="6"/>
        <v/>
      </c>
      <c r="Q33">
        <f>COUNTIF($P$4:P$155,"=("&amp;P33&amp;")")</f>
        <v>0</v>
      </c>
      <c r="R33" t="str">
        <f t="shared" si="7"/>
        <v/>
      </c>
      <c r="S33" t="e">
        <f t="array" ref="S33">INDEX($R$4:$R$155,SMALL(IF($R$4:$R$155&lt;&gt;"",ROW($R$4:$R$155)-3),ROW()-3))</f>
        <v>#NUM!</v>
      </c>
      <c r="T33" t="str">
        <f t="shared" si="5"/>
        <v/>
      </c>
    </row>
    <row r="34" spans="1:20">
      <c r="A34" s="10">
        <v>31</v>
      </c>
      <c r="B34" t="e">
        <f t="array" ref="B34">SMALL(IF(Spells!$A$1:$A$275=$A34,IF(Spells!$L$1:$L$275=$A$1,ROW(Spells!$A$1:$A$275))),COLUMN(A:A))</f>
        <v>#NUM!</v>
      </c>
      <c r="C34" t="e">
        <f t="array" ref="C34">SMALL(IF(Spells!$A$1:$A$275=$A34,IF(Spells!$L$1:$L$275=$A$1,ROW(Spells!$A$1:$A$275))),COLUMN(B:B))</f>
        <v>#NUM!</v>
      </c>
      <c r="D34" t="e">
        <f t="array" ref="D34">SMALL(IF(Spells!$A$1:$A$275=$A34,IF(Spells!$L$1:$L$275=$A$1,ROW(Spells!$A$1:$A$275))),COLUMN(C:C))</f>
        <v>#NUM!</v>
      </c>
      <c r="E34" t="e">
        <f t="array" ref="E34">SMALL(IF(Spells!$A$1:$A$275=$A34,IF(Spells!$L$1:$L$275=$A$1,ROW(Spells!$A$1:$A$275))),COLUMN(D:D))</f>
        <v>#NUM!</v>
      </c>
      <c r="F34" t="e">
        <f t="array" ref="F34">SMALL(IF(Spells!$A$1:$A$275=$A34,IF(Spells!$L$1:$L$275=$A$1,ROW(Spells!$A$1:$A$275))),COLUMN(E:E))</f>
        <v>#NUM!</v>
      </c>
      <c r="G34" t="e">
        <f t="array" ref="G34">SMALL(IF(Spells!$A$1:$A$275=$A34,IF(Spells!$L$1:$L$275=$A$1,ROW(Spells!$A$1:$A$275))),COLUMN(F:F))</f>
        <v>#NUM!</v>
      </c>
      <c r="H34" t="str">
        <f>IF(ISERR(B34),"",INDEX(Spells!$F$1:$F$275,B34))</f>
        <v/>
      </c>
      <c r="I34" t="str">
        <f>IF(ISERR(C34),"",INDEX(Spells!$F$1:$F$275,C34))</f>
        <v/>
      </c>
      <c r="J34" t="str">
        <f>IF(ISERR(D34),"",INDEX(Spells!$F$1:$F$275,D34))</f>
        <v/>
      </c>
      <c r="K34" t="str">
        <f>IF(ISERR(E34),"",INDEX(Spells!$F$1:$F$275,E34))</f>
        <v/>
      </c>
      <c r="L34" t="str">
        <f>IF(ISERR(F34),"",INDEX(Spells!$F$1:$F$275,F34))</f>
        <v/>
      </c>
      <c r="M34" t="str">
        <f t="shared" si="0"/>
        <v>Fury, Attack Run, Spin Attack, Se Mederi, Whirlwind Attack, Reditus Doma, Leap, Wrath, Mederi, Se Vis Mederi, (Whirlwind Attack), (Attack Run), (Leap), Rage</v>
      </c>
      <c r="N34" t="e">
        <f t="shared" si="3"/>
        <v>#VALUE!</v>
      </c>
      <c r="O34">
        <f t="shared" si="1"/>
        <v>0</v>
      </c>
      <c r="P34" t="str">
        <f t="shared" si="6"/>
        <v/>
      </c>
      <c r="Q34">
        <f>COUNTIF($P$4:P$155,"=("&amp;P34&amp;")")</f>
        <v>0</v>
      </c>
      <c r="R34" t="str">
        <f t="shared" si="7"/>
        <v/>
      </c>
      <c r="S34" t="e">
        <f t="array" ref="S34">INDEX($R$4:$R$155,SMALL(IF($R$4:$R$155&lt;&gt;"",ROW($R$4:$R$155)-3),ROW()-3))</f>
        <v>#NUM!</v>
      </c>
      <c r="T34" t="str">
        <f t="shared" si="5"/>
        <v/>
      </c>
    </row>
    <row r="35" spans="1:20">
      <c r="A35" s="10">
        <v>32</v>
      </c>
      <c r="B35" t="e">
        <f t="array" ref="B35">SMALL(IF(Spells!$A$1:$A$275=$A35,IF(Spells!$L$1:$L$275=$A$1,ROW(Spells!$A$1:$A$275))),COLUMN(A:A))</f>
        <v>#NUM!</v>
      </c>
      <c r="C35" t="e">
        <f t="array" ref="C35">SMALL(IF(Spells!$A$1:$A$275=$A35,IF(Spells!$L$1:$L$275=$A$1,ROW(Spells!$A$1:$A$275))),COLUMN(B:B))</f>
        <v>#NUM!</v>
      </c>
      <c r="D35" t="e">
        <f t="array" ref="D35">SMALL(IF(Spells!$A$1:$A$275=$A35,IF(Spells!$L$1:$L$275=$A$1,ROW(Spells!$A$1:$A$275))),COLUMN(C:C))</f>
        <v>#NUM!</v>
      </c>
      <c r="E35" t="e">
        <f t="array" ref="E35">SMALL(IF(Spells!$A$1:$A$275=$A35,IF(Spells!$L$1:$L$275=$A$1,ROW(Spells!$A$1:$A$275))),COLUMN(D:D))</f>
        <v>#NUM!</v>
      </c>
      <c r="F35" t="e">
        <f t="array" ref="F35">SMALL(IF(Spells!$A$1:$A$275=$A35,IF(Spells!$L$1:$L$275=$A$1,ROW(Spells!$A$1:$A$275))),COLUMN(E:E))</f>
        <v>#NUM!</v>
      </c>
      <c r="G35" t="e">
        <f t="array" ref="G35">SMALL(IF(Spells!$A$1:$A$275=$A35,IF(Spells!$L$1:$L$275=$A$1,ROW(Spells!$A$1:$A$275))),COLUMN(F:F))</f>
        <v>#NUM!</v>
      </c>
      <c r="H35" t="str">
        <f>IF(ISERR(B35),"",INDEX(Spells!$F$1:$F$275,B35))</f>
        <v/>
      </c>
      <c r="I35" t="str">
        <f>IF(ISERR(C35),"",INDEX(Spells!$F$1:$F$275,C35))</f>
        <v/>
      </c>
      <c r="J35" t="str">
        <f>IF(ISERR(D35),"",INDEX(Spells!$F$1:$F$275,D35))</f>
        <v/>
      </c>
      <c r="K35" t="str">
        <f>IF(ISERR(E35),"",INDEX(Spells!$F$1:$F$275,E35))</f>
        <v/>
      </c>
      <c r="L35" t="str">
        <f>IF(ISERR(F35),"",INDEX(Spells!$F$1:$F$275,F35))</f>
        <v/>
      </c>
      <c r="M35" t="str">
        <f t="shared" si="0"/>
        <v>Fury, Attack Run, Spin Attack, Se Mederi, Whirlwind Attack, Reditus Doma, Leap, Wrath, Mederi, Se Vis Mederi, (Whirlwind Attack), (Attack Run), (Leap), Rage</v>
      </c>
      <c r="N35" t="e">
        <f t="shared" si="3"/>
        <v>#VALUE!</v>
      </c>
      <c r="O35">
        <f t="shared" si="1"/>
        <v>0</v>
      </c>
      <c r="P35" t="str">
        <f t="shared" si="6"/>
        <v/>
      </c>
      <c r="Q35">
        <f>COUNTIF($P$4:P$155,"=("&amp;P35&amp;")")</f>
        <v>0</v>
      </c>
      <c r="R35" t="str">
        <f t="shared" si="7"/>
        <v/>
      </c>
      <c r="S35" t="e">
        <f t="array" ref="S35">INDEX($R$4:$R$155,SMALL(IF($R$4:$R$155&lt;&gt;"",ROW($R$4:$R$155)-3),ROW()-3))</f>
        <v>#NUM!</v>
      </c>
      <c r="T35" t="str">
        <f t="shared" si="5"/>
        <v/>
      </c>
    </row>
    <row r="36" spans="1:20">
      <c r="A36" s="10">
        <v>33</v>
      </c>
      <c r="B36" t="e">
        <f t="array" ref="B36">SMALL(IF(Spells!$A$1:$A$275=$A36,IF(Spells!$L$1:$L$275=$A$1,ROW(Spells!$A$1:$A$275))),COLUMN(A:A))</f>
        <v>#NUM!</v>
      </c>
      <c r="C36" t="e">
        <f t="array" ref="C36">SMALL(IF(Spells!$A$1:$A$275=$A36,IF(Spells!$L$1:$L$275=$A$1,ROW(Spells!$A$1:$A$275))),COLUMN(B:B))</f>
        <v>#NUM!</v>
      </c>
      <c r="D36" t="e">
        <f t="array" ref="D36">SMALL(IF(Spells!$A$1:$A$275=$A36,IF(Spells!$L$1:$L$275=$A$1,ROW(Spells!$A$1:$A$275))),COLUMN(C:C))</f>
        <v>#NUM!</v>
      </c>
      <c r="E36" t="e">
        <f t="array" ref="E36">SMALL(IF(Spells!$A$1:$A$275=$A36,IF(Spells!$L$1:$L$275=$A$1,ROW(Spells!$A$1:$A$275))),COLUMN(D:D))</f>
        <v>#NUM!</v>
      </c>
      <c r="F36" t="e">
        <f t="array" ref="F36">SMALL(IF(Spells!$A$1:$A$275=$A36,IF(Spells!$L$1:$L$275=$A$1,ROW(Spells!$A$1:$A$275))),COLUMN(E:E))</f>
        <v>#NUM!</v>
      </c>
      <c r="G36" t="e">
        <f t="array" ref="G36">SMALL(IF(Spells!$A$1:$A$275=$A36,IF(Spells!$L$1:$L$275=$A$1,ROW(Spells!$A$1:$A$275))),COLUMN(F:F))</f>
        <v>#NUM!</v>
      </c>
      <c r="H36" t="str">
        <f>IF(ISERR(B36),"",INDEX(Spells!$F$1:$F$275,B36))</f>
        <v/>
      </c>
      <c r="I36" t="str">
        <f>IF(ISERR(C36),"",INDEX(Spells!$F$1:$F$275,C36))</f>
        <v/>
      </c>
      <c r="J36" t="str">
        <f>IF(ISERR(D36),"",INDEX(Spells!$F$1:$F$275,D36))</f>
        <v/>
      </c>
      <c r="K36" t="str">
        <f>IF(ISERR(E36),"",INDEX(Spells!$F$1:$F$275,E36))</f>
        <v/>
      </c>
      <c r="L36" t="str">
        <f>IF(ISERR(F36),"",INDEX(Spells!$F$1:$F$275,F36))</f>
        <v/>
      </c>
      <c r="M36" t="str">
        <f t="shared" si="0"/>
        <v>Fury, Attack Run, Spin Attack, Se Mederi, Whirlwind Attack, Reditus Doma, Leap, Wrath, Mederi, Se Vis Mederi, (Whirlwind Attack), (Attack Run), (Leap), Rage</v>
      </c>
      <c r="N36" t="e">
        <f t="shared" si="3"/>
        <v>#VALUE!</v>
      </c>
      <c r="O36">
        <f t="shared" si="1"/>
        <v>0</v>
      </c>
      <c r="P36" t="str">
        <f t="shared" si="6"/>
        <v/>
      </c>
      <c r="Q36">
        <f>COUNTIF($P$4:P$155,"=("&amp;P36&amp;")")</f>
        <v>0</v>
      </c>
      <c r="R36" t="str">
        <f t="shared" si="7"/>
        <v/>
      </c>
      <c r="S36" t="e">
        <f t="array" ref="S36">INDEX($R$4:$R$155,SMALL(IF($R$4:$R$155&lt;&gt;"",ROW($R$4:$R$155)-3),ROW()-3))</f>
        <v>#NUM!</v>
      </c>
      <c r="T36" t="str">
        <f t="shared" si="5"/>
        <v/>
      </c>
    </row>
    <row r="37" spans="1:20">
      <c r="A37" s="10">
        <v>34</v>
      </c>
      <c r="B37" t="e">
        <f t="array" ref="B37">SMALL(IF(Spells!$A$1:$A$275=$A37,IF(Spells!$L$1:$L$275=$A$1,ROW(Spells!$A$1:$A$275))),COLUMN(A:A))</f>
        <v>#NUM!</v>
      </c>
      <c r="C37" t="e">
        <f t="array" ref="C37">SMALL(IF(Spells!$A$1:$A$275=$A37,IF(Spells!$L$1:$L$275=$A$1,ROW(Spells!$A$1:$A$275))),COLUMN(B:B))</f>
        <v>#NUM!</v>
      </c>
      <c r="D37" t="e">
        <f t="array" ref="D37">SMALL(IF(Spells!$A$1:$A$275=$A37,IF(Spells!$L$1:$L$275=$A$1,ROW(Spells!$A$1:$A$275))),COLUMN(C:C))</f>
        <v>#NUM!</v>
      </c>
      <c r="E37" t="e">
        <f t="array" ref="E37">SMALL(IF(Spells!$A$1:$A$275=$A37,IF(Spells!$L$1:$L$275=$A$1,ROW(Spells!$A$1:$A$275))),COLUMN(D:D))</f>
        <v>#NUM!</v>
      </c>
      <c r="F37" t="e">
        <f t="array" ref="F37">SMALL(IF(Spells!$A$1:$A$275=$A37,IF(Spells!$L$1:$L$275=$A$1,ROW(Spells!$A$1:$A$275))),COLUMN(E:E))</f>
        <v>#NUM!</v>
      </c>
      <c r="G37" t="e">
        <f t="array" ref="G37">SMALL(IF(Spells!$A$1:$A$275=$A37,IF(Spells!$L$1:$L$275=$A$1,ROW(Spells!$A$1:$A$275))),COLUMN(F:F))</f>
        <v>#NUM!</v>
      </c>
      <c r="H37" t="str">
        <f>IF(ISERR(B37),"",INDEX(Spells!$F$1:$F$275,B37))</f>
        <v/>
      </c>
      <c r="I37" t="str">
        <f>IF(ISERR(C37),"",INDEX(Spells!$F$1:$F$275,C37))</f>
        <v/>
      </c>
      <c r="J37" t="str">
        <f>IF(ISERR(D37),"",INDEX(Spells!$F$1:$F$275,D37))</f>
        <v/>
      </c>
      <c r="K37" t="str">
        <f>IF(ISERR(E37),"",INDEX(Spells!$F$1:$F$275,E37))</f>
        <v/>
      </c>
      <c r="L37" t="str">
        <f>IF(ISERR(F37),"",INDEX(Spells!$F$1:$F$275,F37))</f>
        <v/>
      </c>
      <c r="M37" t="str">
        <f t="shared" si="0"/>
        <v>Fury, Attack Run, Spin Attack, Se Mederi, Whirlwind Attack, Reditus Doma, Leap, Wrath, Mederi, Se Vis Mederi, (Whirlwind Attack), (Attack Run), (Leap), Rage</v>
      </c>
      <c r="N37" t="e">
        <f t="shared" ref="N37:N68" si="8">FIND(",",INDEX($M$4:$M$154,T$1),N36+1)</f>
        <v>#VALUE!</v>
      </c>
      <c r="O37">
        <f t="shared" si="1"/>
        <v>0</v>
      </c>
      <c r="P37" t="str">
        <f t="shared" si="6"/>
        <v/>
      </c>
      <c r="Q37">
        <f>COUNTIF($P$4:P$155,"=("&amp;P37&amp;")")</f>
        <v>0</v>
      </c>
      <c r="R37" t="str">
        <f t="shared" si="7"/>
        <v/>
      </c>
      <c r="S37" t="e">
        <f t="array" ref="S37">INDEX($R$4:$R$155,SMALL(IF($R$4:$R$155&lt;&gt;"",ROW($R$4:$R$155)-3),ROW()-3))</f>
        <v>#NUM!</v>
      </c>
      <c r="T37" t="str">
        <f t="shared" si="5"/>
        <v/>
      </c>
    </row>
    <row r="38" spans="1:20">
      <c r="A38" s="10">
        <v>35</v>
      </c>
      <c r="B38" t="e">
        <f t="array" ref="B38">SMALL(IF(Spells!$A$1:$A$275=$A38,IF(Spells!$L$1:$L$275=$A$1,ROW(Spells!$A$1:$A$275))),COLUMN(A:A))</f>
        <v>#NUM!</v>
      </c>
      <c r="C38" t="e">
        <f t="array" ref="C38">SMALL(IF(Spells!$A$1:$A$275=$A38,IF(Spells!$L$1:$L$275=$A$1,ROW(Spells!$A$1:$A$275))),COLUMN(B:B))</f>
        <v>#NUM!</v>
      </c>
      <c r="D38" t="e">
        <f t="array" ref="D38">SMALL(IF(Spells!$A$1:$A$275=$A38,IF(Spells!$L$1:$L$275=$A$1,ROW(Spells!$A$1:$A$275))),COLUMN(C:C))</f>
        <v>#NUM!</v>
      </c>
      <c r="E38" t="e">
        <f t="array" ref="E38">SMALL(IF(Spells!$A$1:$A$275=$A38,IF(Spells!$L$1:$L$275=$A$1,ROW(Spells!$A$1:$A$275))),COLUMN(D:D))</f>
        <v>#NUM!</v>
      </c>
      <c r="F38" t="e">
        <f t="array" ref="F38">SMALL(IF(Spells!$A$1:$A$275=$A38,IF(Spells!$L$1:$L$275=$A$1,ROW(Spells!$A$1:$A$275))),COLUMN(E:E))</f>
        <v>#NUM!</v>
      </c>
      <c r="G38" t="e">
        <f t="array" ref="G38">SMALL(IF(Spells!$A$1:$A$275=$A38,IF(Spells!$L$1:$L$275=$A$1,ROW(Spells!$A$1:$A$275))),COLUMN(F:F))</f>
        <v>#NUM!</v>
      </c>
      <c r="H38" t="str">
        <f>IF(ISERR(B38),"",INDEX(Spells!$F$1:$F$275,B38))</f>
        <v/>
      </c>
      <c r="I38" t="str">
        <f>IF(ISERR(C38),"",INDEX(Spells!$F$1:$F$275,C38))</f>
        <v/>
      </c>
      <c r="J38" t="str">
        <f>IF(ISERR(D38),"",INDEX(Spells!$F$1:$F$275,D38))</f>
        <v/>
      </c>
      <c r="K38" t="str">
        <f>IF(ISERR(E38),"",INDEX(Spells!$F$1:$F$275,E38))</f>
        <v/>
      </c>
      <c r="L38" t="str">
        <f>IF(ISERR(F38),"",INDEX(Spells!$F$1:$F$275,F38))</f>
        <v/>
      </c>
      <c r="M38" t="str">
        <f t="shared" si="0"/>
        <v>Fury, Attack Run, Spin Attack, Se Mederi, Whirlwind Attack, Reditus Doma, Leap, Wrath, Mederi, Se Vis Mederi, (Whirlwind Attack), (Attack Run), (Leap), Rage</v>
      </c>
      <c r="N38" t="e">
        <f t="shared" si="8"/>
        <v>#VALUE!</v>
      </c>
      <c r="O38">
        <f t="shared" si="1"/>
        <v>0</v>
      </c>
      <c r="P38" t="str">
        <f t="shared" si="6"/>
        <v/>
      </c>
      <c r="Q38">
        <f>COUNTIF($P$4:P$155,"=("&amp;P38&amp;")")</f>
        <v>0</v>
      </c>
      <c r="R38" t="str">
        <f t="shared" si="7"/>
        <v/>
      </c>
      <c r="S38" t="e">
        <f t="array" ref="S38">INDEX($R$4:$R$155,SMALL(IF($R$4:$R$155&lt;&gt;"",ROW($R$4:$R$155)-3),ROW()-3))</f>
        <v>#NUM!</v>
      </c>
      <c r="T38" t="str">
        <f t="shared" si="5"/>
        <v/>
      </c>
    </row>
    <row r="39" spans="1:20">
      <c r="A39" s="10">
        <v>36</v>
      </c>
      <c r="B39" t="e">
        <f t="array" ref="B39">SMALL(IF(Spells!$A$1:$A$275=$A39,IF(Spells!$L$1:$L$275=$A$1,ROW(Spells!$A$1:$A$275))),COLUMN(A:A))</f>
        <v>#NUM!</v>
      </c>
      <c r="C39" t="e">
        <f t="array" ref="C39">SMALL(IF(Spells!$A$1:$A$275=$A39,IF(Spells!$L$1:$L$275=$A$1,ROW(Spells!$A$1:$A$275))),COLUMN(B:B))</f>
        <v>#NUM!</v>
      </c>
      <c r="D39" t="e">
        <f t="array" ref="D39">SMALL(IF(Spells!$A$1:$A$275=$A39,IF(Spells!$L$1:$L$275=$A$1,ROW(Spells!$A$1:$A$275))),COLUMN(C:C))</f>
        <v>#NUM!</v>
      </c>
      <c r="E39" t="e">
        <f t="array" ref="E39">SMALL(IF(Spells!$A$1:$A$275=$A39,IF(Spells!$L$1:$L$275=$A$1,ROW(Spells!$A$1:$A$275))),COLUMN(D:D))</f>
        <v>#NUM!</v>
      </c>
      <c r="F39" t="e">
        <f t="array" ref="F39">SMALL(IF(Spells!$A$1:$A$275=$A39,IF(Spells!$L$1:$L$275=$A$1,ROW(Spells!$A$1:$A$275))),COLUMN(E:E))</f>
        <v>#NUM!</v>
      </c>
      <c r="G39" t="e">
        <f t="array" ref="G39">SMALL(IF(Spells!$A$1:$A$275=$A39,IF(Spells!$L$1:$L$275=$A$1,ROW(Spells!$A$1:$A$275))),COLUMN(F:F))</f>
        <v>#NUM!</v>
      </c>
      <c r="H39" t="str">
        <f>IF(ISERR(B39),"",INDEX(Spells!$F$1:$F$275,B39))</f>
        <v/>
      </c>
      <c r="I39" t="str">
        <f>IF(ISERR(C39),"",INDEX(Spells!$F$1:$F$275,C39))</f>
        <v/>
      </c>
      <c r="J39" t="str">
        <f>IF(ISERR(D39),"",INDEX(Spells!$F$1:$F$275,D39))</f>
        <v/>
      </c>
      <c r="K39" t="str">
        <f>IF(ISERR(E39),"",INDEX(Spells!$F$1:$F$275,E39))</f>
        <v/>
      </c>
      <c r="L39" t="str">
        <f>IF(ISERR(F39),"",INDEX(Spells!$F$1:$F$275,F39))</f>
        <v/>
      </c>
      <c r="M39" t="str">
        <f t="shared" si="0"/>
        <v>Fury, Attack Run, Spin Attack, Se Mederi, Whirlwind Attack, Reditus Doma, Leap, Wrath, Mederi, Se Vis Mederi, (Whirlwind Attack), (Attack Run), (Leap), Rage</v>
      </c>
      <c r="N39" t="e">
        <f t="shared" si="8"/>
        <v>#VALUE!</v>
      </c>
      <c r="O39">
        <f t="shared" si="1"/>
        <v>0</v>
      </c>
      <c r="P39" t="str">
        <f t="shared" ref="P39:P102" si="9">TRIM(RIGHT(LEFT(N$2,IF(ISERR(N39),LEN($N$2),N39-1)),IF(O39&lt;IF(ISERR(N39),0,N39),O39-2,O39)))</f>
        <v/>
      </c>
      <c r="Q39">
        <f>COUNTIF($P$4:P$155,"=("&amp;P39&amp;")")</f>
        <v>0</v>
      </c>
      <c r="R39" t="str">
        <f t="shared" ref="R39:R102" si="10">IF(ISERR(FIND("(",P39)),P39&amp;IF(Q39&gt;0," ("&amp;ROMAN(Q39)&amp;")",""),"")</f>
        <v/>
      </c>
      <c r="S39" t="e">
        <f t="array" ref="S39">INDEX($R$4:$R$155,SMALL(IF($R$4:$R$155&lt;&gt;"",ROW($R$4:$R$155)-3),ROW()-3))</f>
        <v>#NUM!</v>
      </c>
      <c r="T39" t="str">
        <f t="shared" si="5"/>
        <v/>
      </c>
    </row>
    <row r="40" spans="1:20">
      <c r="A40" s="10">
        <v>37</v>
      </c>
      <c r="B40" t="e">
        <f t="array" ref="B40">SMALL(IF(Spells!$A$1:$A$275=$A40,IF(Spells!$L$1:$L$275=$A$1,ROW(Spells!$A$1:$A$275))),COLUMN(A:A))</f>
        <v>#NUM!</v>
      </c>
      <c r="C40" t="e">
        <f t="array" ref="C40">SMALL(IF(Spells!$A$1:$A$275=$A40,IF(Spells!$L$1:$L$275=$A$1,ROW(Spells!$A$1:$A$275))),COLUMN(B:B))</f>
        <v>#NUM!</v>
      </c>
      <c r="D40" t="e">
        <f t="array" ref="D40">SMALL(IF(Spells!$A$1:$A$275=$A40,IF(Spells!$L$1:$L$275=$A$1,ROW(Spells!$A$1:$A$275))),COLUMN(C:C))</f>
        <v>#NUM!</v>
      </c>
      <c r="E40" t="e">
        <f t="array" ref="E40">SMALL(IF(Spells!$A$1:$A$275=$A40,IF(Spells!$L$1:$L$275=$A$1,ROW(Spells!$A$1:$A$275))),COLUMN(D:D))</f>
        <v>#NUM!</v>
      </c>
      <c r="F40" t="e">
        <f t="array" ref="F40">SMALL(IF(Spells!$A$1:$A$275=$A40,IF(Spells!$L$1:$L$275=$A$1,ROW(Spells!$A$1:$A$275))),COLUMN(E:E))</f>
        <v>#NUM!</v>
      </c>
      <c r="G40" t="e">
        <f t="array" ref="G40">SMALL(IF(Spells!$A$1:$A$275=$A40,IF(Spells!$L$1:$L$275=$A$1,ROW(Spells!$A$1:$A$275))),COLUMN(F:F))</f>
        <v>#NUM!</v>
      </c>
      <c r="H40" t="str">
        <f>IF(ISERR(B40),"",INDEX(Spells!$F$1:$F$275,B40))</f>
        <v/>
      </c>
      <c r="I40" t="str">
        <f>IF(ISERR(C40),"",INDEX(Spells!$F$1:$F$275,C40))</f>
        <v/>
      </c>
      <c r="J40" t="str">
        <f>IF(ISERR(D40),"",INDEX(Spells!$F$1:$F$275,D40))</f>
        <v/>
      </c>
      <c r="K40" t="str">
        <f>IF(ISERR(E40),"",INDEX(Spells!$F$1:$F$275,E40))</f>
        <v/>
      </c>
      <c r="L40" t="str">
        <f>IF(ISERR(F40),"",INDEX(Spells!$F$1:$F$275,F40))</f>
        <v/>
      </c>
      <c r="M40" t="str">
        <f t="shared" si="0"/>
        <v>Fury, Attack Run, Spin Attack, Se Mederi, Whirlwind Attack, Reditus Doma, Leap, Wrath, Mederi, Se Vis Mederi, (Whirlwind Attack), (Attack Run), (Leap), Rage</v>
      </c>
      <c r="N40" t="e">
        <f t="shared" si="8"/>
        <v>#VALUE!</v>
      </c>
      <c r="O40">
        <f t="shared" si="1"/>
        <v>0</v>
      </c>
      <c r="P40" t="str">
        <f t="shared" si="9"/>
        <v/>
      </c>
      <c r="Q40">
        <f>COUNTIF($P$4:P$155,"=("&amp;P40&amp;")")</f>
        <v>0</v>
      </c>
      <c r="R40" t="str">
        <f t="shared" si="10"/>
        <v/>
      </c>
      <c r="S40" t="e">
        <f t="array" ref="S40">INDEX($R$4:$R$155,SMALL(IF($R$4:$R$155&lt;&gt;"",ROW($R$4:$R$155)-3),ROW()-3))</f>
        <v>#NUM!</v>
      </c>
      <c r="T40" t="str">
        <f t="shared" si="5"/>
        <v/>
      </c>
    </row>
    <row r="41" spans="1:20">
      <c r="A41" s="10">
        <v>38</v>
      </c>
      <c r="B41" t="e">
        <f t="array" ref="B41">SMALL(IF(Spells!$A$1:$A$275=$A41,IF(Spells!$L$1:$L$275=$A$1,ROW(Spells!$A$1:$A$275))),COLUMN(A:A))</f>
        <v>#NUM!</v>
      </c>
      <c r="C41" t="e">
        <f t="array" ref="C41">SMALL(IF(Spells!$A$1:$A$275=$A41,IF(Spells!$L$1:$L$275=$A$1,ROW(Spells!$A$1:$A$275))),COLUMN(B:B))</f>
        <v>#NUM!</v>
      </c>
      <c r="D41" t="e">
        <f t="array" ref="D41">SMALL(IF(Spells!$A$1:$A$275=$A41,IF(Spells!$L$1:$L$275=$A$1,ROW(Spells!$A$1:$A$275))),COLUMN(C:C))</f>
        <v>#NUM!</v>
      </c>
      <c r="E41" t="e">
        <f t="array" ref="E41">SMALL(IF(Spells!$A$1:$A$275=$A41,IF(Spells!$L$1:$L$275=$A$1,ROW(Spells!$A$1:$A$275))),COLUMN(D:D))</f>
        <v>#NUM!</v>
      </c>
      <c r="F41" t="e">
        <f t="array" ref="F41">SMALL(IF(Spells!$A$1:$A$275=$A41,IF(Spells!$L$1:$L$275=$A$1,ROW(Spells!$A$1:$A$275))),COLUMN(E:E))</f>
        <v>#NUM!</v>
      </c>
      <c r="G41" t="e">
        <f t="array" ref="G41">SMALL(IF(Spells!$A$1:$A$275=$A41,IF(Spells!$L$1:$L$275=$A$1,ROW(Spells!$A$1:$A$275))),COLUMN(F:F))</f>
        <v>#NUM!</v>
      </c>
      <c r="H41" t="str">
        <f>IF(ISERR(B41),"",INDEX(Spells!$F$1:$F$275,B41))</f>
        <v/>
      </c>
      <c r="I41" t="str">
        <f>IF(ISERR(C41),"",INDEX(Spells!$F$1:$F$275,C41))</f>
        <v/>
      </c>
      <c r="J41" t="str">
        <f>IF(ISERR(D41),"",INDEX(Spells!$F$1:$F$275,D41))</f>
        <v/>
      </c>
      <c r="K41" t="str">
        <f>IF(ISERR(E41),"",INDEX(Spells!$F$1:$F$275,E41))</f>
        <v/>
      </c>
      <c r="L41" t="str">
        <f>IF(ISERR(F41),"",INDEX(Spells!$F$1:$F$275,F41))</f>
        <v/>
      </c>
      <c r="M41" t="str">
        <f t="shared" si="0"/>
        <v>Fury, Attack Run, Spin Attack, Se Mederi, Whirlwind Attack, Reditus Doma, Leap, Wrath, Mederi, Se Vis Mederi, (Whirlwind Attack), (Attack Run), (Leap), Rage</v>
      </c>
      <c r="N41" t="e">
        <f t="shared" si="8"/>
        <v>#VALUE!</v>
      </c>
      <c r="O41">
        <f t="shared" si="1"/>
        <v>0</v>
      </c>
      <c r="P41" t="str">
        <f t="shared" si="9"/>
        <v/>
      </c>
      <c r="Q41">
        <f>COUNTIF($P$4:P$155,"=("&amp;P41&amp;")")</f>
        <v>0</v>
      </c>
      <c r="R41" t="str">
        <f t="shared" si="10"/>
        <v/>
      </c>
      <c r="S41" t="e">
        <f t="array" ref="S41">INDEX($R$4:$R$155,SMALL(IF($R$4:$R$155&lt;&gt;"",ROW($R$4:$R$155)-3),ROW()-3))</f>
        <v>#NUM!</v>
      </c>
      <c r="T41" t="str">
        <f t="shared" si="5"/>
        <v/>
      </c>
    </row>
    <row r="42" spans="1:20">
      <c r="A42" s="10">
        <v>39</v>
      </c>
      <c r="B42" t="e">
        <f t="array" ref="B42">SMALL(IF(Spells!$A$1:$A$275=$A42,IF(Spells!$L$1:$L$275=$A$1,ROW(Spells!$A$1:$A$275))),COLUMN(A:A))</f>
        <v>#NUM!</v>
      </c>
      <c r="C42" t="e">
        <f t="array" ref="C42">SMALL(IF(Spells!$A$1:$A$275=$A42,IF(Spells!$L$1:$L$275=$A$1,ROW(Spells!$A$1:$A$275))),COLUMN(B:B))</f>
        <v>#NUM!</v>
      </c>
      <c r="D42" t="e">
        <f t="array" ref="D42">SMALL(IF(Spells!$A$1:$A$275=$A42,IF(Spells!$L$1:$L$275=$A$1,ROW(Spells!$A$1:$A$275))),COLUMN(C:C))</f>
        <v>#NUM!</v>
      </c>
      <c r="E42" t="e">
        <f t="array" ref="E42">SMALL(IF(Spells!$A$1:$A$275=$A42,IF(Spells!$L$1:$L$275=$A$1,ROW(Spells!$A$1:$A$275))),COLUMN(D:D))</f>
        <v>#NUM!</v>
      </c>
      <c r="F42" t="e">
        <f t="array" ref="F42">SMALL(IF(Spells!$A$1:$A$275=$A42,IF(Spells!$L$1:$L$275=$A$1,ROW(Spells!$A$1:$A$275))),COLUMN(E:E))</f>
        <v>#NUM!</v>
      </c>
      <c r="G42" t="e">
        <f t="array" ref="G42">SMALL(IF(Spells!$A$1:$A$275=$A42,IF(Spells!$L$1:$L$275=$A$1,ROW(Spells!$A$1:$A$275))),COLUMN(F:F))</f>
        <v>#NUM!</v>
      </c>
      <c r="H42" t="str">
        <f>IF(ISERR(B42),"",INDEX(Spells!$F$1:$F$275,B42))</f>
        <v/>
      </c>
      <c r="I42" t="str">
        <f>IF(ISERR(C42),"",INDEX(Spells!$F$1:$F$275,C42))</f>
        <v/>
      </c>
      <c r="J42" t="str">
        <f>IF(ISERR(D42),"",INDEX(Spells!$F$1:$F$275,D42))</f>
        <v/>
      </c>
      <c r="K42" t="str">
        <f>IF(ISERR(E42),"",INDEX(Spells!$F$1:$F$275,E42))</f>
        <v/>
      </c>
      <c r="L42" t="str">
        <f>IF(ISERR(F42),"",INDEX(Spells!$F$1:$F$275,F42))</f>
        <v/>
      </c>
      <c r="M42" t="str">
        <f t="shared" si="0"/>
        <v>Fury, Attack Run, Spin Attack, Se Mederi, Whirlwind Attack, Reditus Doma, Leap, Wrath, Mederi, Se Vis Mederi, (Whirlwind Attack), (Attack Run), (Leap), Rage</v>
      </c>
      <c r="N42" t="e">
        <f t="shared" si="8"/>
        <v>#VALUE!</v>
      </c>
      <c r="O42">
        <f t="shared" si="1"/>
        <v>0</v>
      </c>
      <c r="P42" t="str">
        <f t="shared" si="9"/>
        <v/>
      </c>
      <c r="Q42">
        <f>COUNTIF($P$4:P$155,"=("&amp;P42&amp;")")</f>
        <v>0</v>
      </c>
      <c r="R42" t="str">
        <f t="shared" si="10"/>
        <v/>
      </c>
      <c r="S42" t="e">
        <f t="array" ref="S42">INDEX($R$4:$R$155,SMALL(IF($R$4:$R$155&lt;&gt;"",ROW($R$4:$R$155)-3),ROW()-3))</f>
        <v>#NUM!</v>
      </c>
      <c r="T42" t="str">
        <f t="shared" si="5"/>
        <v/>
      </c>
    </row>
    <row r="43" spans="1:20">
      <c r="A43" s="10">
        <v>40</v>
      </c>
      <c r="B43" t="e">
        <f t="array" ref="B43">SMALL(IF(Spells!$A$1:$A$275=$A43,IF(Spells!$L$1:$L$275=$A$1,ROW(Spells!$A$1:$A$275))),COLUMN(A:A))</f>
        <v>#NUM!</v>
      </c>
      <c r="C43" t="e">
        <f t="array" ref="C43">SMALL(IF(Spells!$A$1:$A$275=$A43,IF(Spells!$L$1:$L$275=$A$1,ROW(Spells!$A$1:$A$275))),COLUMN(B:B))</f>
        <v>#NUM!</v>
      </c>
      <c r="D43" t="e">
        <f t="array" ref="D43">SMALL(IF(Spells!$A$1:$A$275=$A43,IF(Spells!$L$1:$L$275=$A$1,ROW(Spells!$A$1:$A$275))),COLUMN(C:C))</f>
        <v>#NUM!</v>
      </c>
      <c r="E43" t="e">
        <f t="array" ref="E43">SMALL(IF(Spells!$A$1:$A$275=$A43,IF(Spells!$L$1:$L$275=$A$1,ROW(Spells!$A$1:$A$275))),COLUMN(D:D))</f>
        <v>#NUM!</v>
      </c>
      <c r="F43" t="e">
        <f t="array" ref="F43">SMALL(IF(Spells!$A$1:$A$275=$A43,IF(Spells!$L$1:$L$275=$A$1,ROW(Spells!$A$1:$A$275))),COLUMN(E:E))</f>
        <v>#NUM!</v>
      </c>
      <c r="G43" t="e">
        <f t="array" ref="G43">SMALL(IF(Spells!$A$1:$A$275=$A43,IF(Spells!$L$1:$L$275=$A$1,ROW(Spells!$A$1:$A$275))),COLUMN(F:F))</f>
        <v>#NUM!</v>
      </c>
      <c r="H43" t="str">
        <f>IF(ISERR(B43),"",INDEX(Spells!$F$1:$F$275,B43))</f>
        <v/>
      </c>
      <c r="I43" t="str">
        <f>IF(ISERR(C43),"",INDEX(Spells!$F$1:$F$275,C43))</f>
        <v/>
      </c>
      <c r="J43" t="str">
        <f>IF(ISERR(D43),"",INDEX(Spells!$F$1:$F$275,D43))</f>
        <v/>
      </c>
      <c r="K43" t="str">
        <f>IF(ISERR(E43),"",INDEX(Spells!$F$1:$F$275,E43))</f>
        <v/>
      </c>
      <c r="L43" t="str">
        <f>IF(ISERR(F43),"",INDEX(Spells!$F$1:$F$275,F43))</f>
        <v/>
      </c>
      <c r="M43" t="str">
        <f t="shared" si="0"/>
        <v>Fury, Attack Run, Spin Attack, Se Mederi, Whirlwind Attack, Reditus Doma, Leap, Wrath, Mederi, Se Vis Mederi, (Whirlwind Attack), (Attack Run), (Leap), Rage</v>
      </c>
      <c r="N43" t="e">
        <f t="shared" si="8"/>
        <v>#VALUE!</v>
      </c>
      <c r="O43">
        <f t="shared" si="1"/>
        <v>0</v>
      </c>
      <c r="P43" t="str">
        <f t="shared" si="9"/>
        <v/>
      </c>
      <c r="Q43">
        <f>COUNTIF($P$4:P$155,"=("&amp;P43&amp;")")</f>
        <v>0</v>
      </c>
      <c r="R43" t="str">
        <f t="shared" si="10"/>
        <v/>
      </c>
      <c r="S43" t="e">
        <f t="array" ref="S43">INDEX($R$4:$R$155,SMALL(IF($R$4:$R$155&lt;&gt;"",ROW($R$4:$R$155)-3),ROW()-3))</f>
        <v>#NUM!</v>
      </c>
      <c r="T43" t="str">
        <f t="shared" si="5"/>
        <v/>
      </c>
    </row>
    <row r="44" spans="1:20">
      <c r="A44" s="10">
        <v>41</v>
      </c>
      <c r="B44">
        <f t="array" ref="B44">SMALL(IF(Spells!$A$1:$A$275=$A44,IF(Spells!$L$1:$L$275=$A$1,ROW(Spells!$A$1:$A$275))),COLUMN(A:A))</f>
        <v>157</v>
      </c>
      <c r="C44">
        <f t="array" ref="C44">SMALL(IF(Spells!$A$1:$A$275=$A44,IF(Spells!$L$1:$L$275=$A$1,ROW(Spells!$A$1:$A$275))),COLUMN(B:B))</f>
        <v>161</v>
      </c>
      <c r="D44" t="e">
        <f t="array" ref="D44">SMALL(IF(Spells!$A$1:$A$275=$A44,IF(Spells!$L$1:$L$275=$A$1,ROW(Spells!$A$1:$A$275))),COLUMN(C:C))</f>
        <v>#NUM!</v>
      </c>
      <c r="E44" t="e">
        <f t="array" ref="E44">SMALL(IF(Spells!$A$1:$A$275=$A44,IF(Spells!$L$1:$L$275=$A$1,ROW(Spells!$A$1:$A$275))),COLUMN(D:D))</f>
        <v>#NUM!</v>
      </c>
      <c r="F44" t="e">
        <f t="array" ref="F44">SMALL(IF(Spells!$A$1:$A$275=$A44,IF(Spells!$L$1:$L$275=$A$1,ROW(Spells!$A$1:$A$275))),COLUMN(E:E))</f>
        <v>#NUM!</v>
      </c>
      <c r="G44" t="e">
        <f t="array" ref="G44">SMALL(IF(Spells!$A$1:$A$275=$A44,IF(Spells!$L$1:$L$275=$A$1,ROW(Spells!$A$1:$A$275))),COLUMN(F:F))</f>
        <v>#NUM!</v>
      </c>
      <c r="H44" t="str">
        <f>IF(ISERR(B44),"",INDEX(Spells!$F$1:$F$275,B44))</f>
        <v>(Leap)</v>
      </c>
      <c r="I44" t="str">
        <f>IF(ISERR(C44),"",INDEX(Spells!$F$1:$F$275,C44))</f>
        <v>Vortex Attack</v>
      </c>
      <c r="J44" t="str">
        <f>IF(ISERR(D44),"",INDEX(Spells!$F$1:$F$275,D44))</f>
        <v/>
      </c>
      <c r="K44" t="str">
        <f>IF(ISERR(E44),"",INDEX(Spells!$F$1:$F$275,E44))</f>
        <v/>
      </c>
      <c r="L44" t="str">
        <f>IF(ISERR(F44),"",INDEX(Spells!$F$1:$F$275,F44))</f>
        <v/>
      </c>
      <c r="M44" t="str">
        <f t="shared" si="0"/>
        <v>Fury, Attack Run, Spin Attack, Se Mederi, Whirlwind Attack, Reditus Doma, Leap, Wrath, Mederi, Se Vis Mederi, (Whirlwind Attack), (Attack Run), (Leap), Rage, (Leap), Vortex Attack</v>
      </c>
      <c r="N44" t="e">
        <f t="shared" si="8"/>
        <v>#VALUE!</v>
      </c>
      <c r="O44">
        <f t="shared" si="1"/>
        <v>0</v>
      </c>
      <c r="P44" t="str">
        <f t="shared" si="9"/>
        <v/>
      </c>
      <c r="Q44">
        <f>COUNTIF($P$4:P$155,"=("&amp;P44&amp;")")</f>
        <v>0</v>
      </c>
      <c r="R44" t="str">
        <f t="shared" si="10"/>
        <v/>
      </c>
      <c r="S44" t="e">
        <f t="array" ref="S44">INDEX($R$4:$R$155,SMALL(IF($R$4:$R$155&lt;&gt;"",ROW($R$4:$R$155)-3),ROW()-3))</f>
        <v>#NUM!</v>
      </c>
      <c r="T44" t="str">
        <f t="shared" si="5"/>
        <v/>
      </c>
    </row>
    <row r="45" spans="1:20">
      <c r="A45" s="10">
        <v>42</v>
      </c>
      <c r="B45" t="e">
        <f t="array" ref="B45">SMALL(IF(Spells!$A$1:$A$275=$A45,IF(Spells!$L$1:$L$275=$A$1,ROW(Spells!$A$1:$A$275))),COLUMN(A:A))</f>
        <v>#NUM!</v>
      </c>
      <c r="C45" t="e">
        <f t="array" ref="C45">SMALL(IF(Spells!$A$1:$A$275=$A45,IF(Spells!$L$1:$L$275=$A$1,ROW(Spells!$A$1:$A$275))),COLUMN(B:B))</f>
        <v>#NUM!</v>
      </c>
      <c r="D45" t="e">
        <f t="array" ref="D45">SMALL(IF(Spells!$A$1:$A$275=$A45,IF(Spells!$L$1:$L$275=$A$1,ROW(Spells!$A$1:$A$275))),COLUMN(C:C))</f>
        <v>#NUM!</v>
      </c>
      <c r="E45" t="e">
        <f t="array" ref="E45">SMALL(IF(Spells!$A$1:$A$275=$A45,IF(Spells!$L$1:$L$275=$A$1,ROW(Spells!$A$1:$A$275))),COLUMN(D:D))</f>
        <v>#NUM!</v>
      </c>
      <c r="F45" t="e">
        <f t="array" ref="F45">SMALL(IF(Spells!$A$1:$A$275=$A45,IF(Spells!$L$1:$L$275=$A$1,ROW(Spells!$A$1:$A$275))),COLUMN(E:E))</f>
        <v>#NUM!</v>
      </c>
      <c r="G45" t="e">
        <f t="array" ref="G45">SMALL(IF(Spells!$A$1:$A$275=$A45,IF(Spells!$L$1:$L$275=$A$1,ROW(Spells!$A$1:$A$275))),COLUMN(F:F))</f>
        <v>#NUM!</v>
      </c>
      <c r="H45" t="str">
        <f>IF(ISERR(B45),"",INDEX(Spells!$F$1:$F$275,B45))</f>
        <v/>
      </c>
      <c r="I45" t="str">
        <f>IF(ISERR(C45),"",INDEX(Spells!$F$1:$F$275,C45))</f>
        <v/>
      </c>
      <c r="J45" t="str">
        <f>IF(ISERR(D45),"",INDEX(Spells!$F$1:$F$275,D45))</f>
        <v/>
      </c>
      <c r="K45" t="str">
        <f>IF(ISERR(E45),"",INDEX(Spells!$F$1:$F$275,E45))</f>
        <v/>
      </c>
      <c r="L45" t="str">
        <f>IF(ISERR(F45),"",INDEX(Spells!$F$1:$F$275,F45))</f>
        <v/>
      </c>
      <c r="M45" t="str">
        <f t="shared" si="0"/>
        <v>Fury, Attack Run, Spin Attack, Se Mederi, Whirlwind Attack, Reditus Doma, Leap, Wrath, Mederi, Se Vis Mederi, (Whirlwind Attack), (Attack Run), (Leap), Rage, (Leap), Vortex Attack</v>
      </c>
      <c r="N45" t="e">
        <f t="shared" si="8"/>
        <v>#VALUE!</v>
      </c>
      <c r="O45">
        <f t="shared" si="1"/>
        <v>0</v>
      </c>
      <c r="P45" t="str">
        <f t="shared" si="9"/>
        <v/>
      </c>
      <c r="Q45">
        <f>COUNTIF($P$4:P$155,"=("&amp;P45&amp;")")</f>
        <v>0</v>
      </c>
      <c r="R45" t="str">
        <f t="shared" si="10"/>
        <v/>
      </c>
      <c r="S45" t="e">
        <f t="array" ref="S45">INDEX($R$4:$R$155,SMALL(IF($R$4:$R$155&lt;&gt;"",ROW($R$4:$R$155)-3),ROW()-3))</f>
        <v>#NUM!</v>
      </c>
      <c r="T45" t="str">
        <f t="shared" si="5"/>
        <v/>
      </c>
    </row>
    <row r="46" spans="1:20">
      <c r="A46" s="10">
        <v>43</v>
      </c>
      <c r="B46" t="e">
        <f t="array" ref="B46">SMALL(IF(Spells!$A$1:$A$275=$A46,IF(Spells!$L$1:$L$275=$A$1,ROW(Spells!$A$1:$A$275))),COLUMN(A:A))</f>
        <v>#NUM!</v>
      </c>
      <c r="C46" t="e">
        <f t="array" ref="C46">SMALL(IF(Spells!$A$1:$A$275=$A46,IF(Spells!$L$1:$L$275=$A$1,ROW(Spells!$A$1:$A$275))),COLUMN(B:B))</f>
        <v>#NUM!</v>
      </c>
      <c r="D46" t="e">
        <f t="array" ref="D46">SMALL(IF(Spells!$A$1:$A$275=$A46,IF(Spells!$L$1:$L$275=$A$1,ROW(Spells!$A$1:$A$275))),COLUMN(C:C))</f>
        <v>#NUM!</v>
      </c>
      <c r="E46" t="e">
        <f t="array" ref="E46">SMALL(IF(Spells!$A$1:$A$275=$A46,IF(Spells!$L$1:$L$275=$A$1,ROW(Spells!$A$1:$A$275))),COLUMN(D:D))</f>
        <v>#NUM!</v>
      </c>
      <c r="F46" t="e">
        <f t="array" ref="F46">SMALL(IF(Spells!$A$1:$A$275=$A46,IF(Spells!$L$1:$L$275=$A$1,ROW(Spells!$A$1:$A$275))),COLUMN(E:E))</f>
        <v>#NUM!</v>
      </c>
      <c r="G46" t="e">
        <f t="array" ref="G46">SMALL(IF(Spells!$A$1:$A$275=$A46,IF(Spells!$L$1:$L$275=$A$1,ROW(Spells!$A$1:$A$275))),COLUMN(F:F))</f>
        <v>#NUM!</v>
      </c>
      <c r="H46" t="str">
        <f>IF(ISERR(B46),"",INDEX(Spells!$F$1:$F$275,B46))</f>
        <v/>
      </c>
      <c r="I46" t="str">
        <f>IF(ISERR(C46),"",INDEX(Spells!$F$1:$F$275,C46))</f>
        <v/>
      </c>
      <c r="J46" t="str">
        <f>IF(ISERR(D46),"",INDEX(Spells!$F$1:$F$275,D46))</f>
        <v/>
      </c>
      <c r="K46" t="str">
        <f>IF(ISERR(E46),"",INDEX(Spells!$F$1:$F$275,E46))</f>
        <v/>
      </c>
      <c r="L46" t="str">
        <f>IF(ISERR(F46),"",INDEX(Spells!$F$1:$F$275,F46))</f>
        <v/>
      </c>
      <c r="M46" t="str">
        <f t="shared" si="0"/>
        <v>Fury, Attack Run, Spin Attack, Se Mederi, Whirlwind Attack, Reditus Doma, Leap, Wrath, Mederi, Se Vis Mederi, (Whirlwind Attack), (Attack Run), (Leap), Rage, (Leap), Vortex Attack</v>
      </c>
      <c r="N46" t="e">
        <f t="shared" si="8"/>
        <v>#VALUE!</v>
      </c>
      <c r="O46">
        <f t="shared" si="1"/>
        <v>0</v>
      </c>
      <c r="P46" t="str">
        <f t="shared" si="9"/>
        <v/>
      </c>
      <c r="Q46">
        <f>COUNTIF($P$4:P$155,"=("&amp;P46&amp;")")</f>
        <v>0</v>
      </c>
      <c r="R46" t="str">
        <f t="shared" si="10"/>
        <v/>
      </c>
      <c r="S46" t="e">
        <f t="array" ref="S46">INDEX($R$4:$R$155,SMALL(IF($R$4:$R$155&lt;&gt;"",ROW($R$4:$R$155)-3),ROW()-3))</f>
        <v>#NUM!</v>
      </c>
      <c r="T46" t="str">
        <f t="shared" si="5"/>
        <v/>
      </c>
    </row>
    <row r="47" spans="1:20">
      <c r="A47" s="10">
        <v>44</v>
      </c>
      <c r="B47" t="e">
        <f t="array" ref="B47">SMALL(IF(Spells!$A$1:$A$275=$A47,IF(Spells!$L$1:$L$275=$A$1,ROW(Spells!$A$1:$A$275))),COLUMN(A:A))</f>
        <v>#NUM!</v>
      </c>
      <c r="C47" t="e">
        <f t="array" ref="C47">SMALL(IF(Spells!$A$1:$A$275=$A47,IF(Spells!$L$1:$L$275=$A$1,ROW(Spells!$A$1:$A$275))),COLUMN(B:B))</f>
        <v>#NUM!</v>
      </c>
      <c r="D47" t="e">
        <f t="array" ref="D47">SMALL(IF(Spells!$A$1:$A$275=$A47,IF(Spells!$L$1:$L$275=$A$1,ROW(Spells!$A$1:$A$275))),COLUMN(C:C))</f>
        <v>#NUM!</v>
      </c>
      <c r="E47" t="e">
        <f t="array" ref="E47">SMALL(IF(Spells!$A$1:$A$275=$A47,IF(Spells!$L$1:$L$275=$A$1,ROW(Spells!$A$1:$A$275))),COLUMN(D:D))</f>
        <v>#NUM!</v>
      </c>
      <c r="F47" t="e">
        <f t="array" ref="F47">SMALL(IF(Spells!$A$1:$A$275=$A47,IF(Spells!$L$1:$L$275=$A$1,ROW(Spells!$A$1:$A$275))),COLUMN(E:E))</f>
        <v>#NUM!</v>
      </c>
      <c r="G47" t="e">
        <f t="array" ref="G47">SMALL(IF(Spells!$A$1:$A$275=$A47,IF(Spells!$L$1:$L$275=$A$1,ROW(Spells!$A$1:$A$275))),COLUMN(F:F))</f>
        <v>#NUM!</v>
      </c>
      <c r="H47" t="str">
        <f>IF(ISERR(B47),"",INDEX(Spells!$F$1:$F$275,B47))</f>
        <v/>
      </c>
      <c r="I47" t="str">
        <f>IF(ISERR(C47),"",INDEX(Spells!$F$1:$F$275,C47))</f>
        <v/>
      </c>
      <c r="J47" t="str">
        <f>IF(ISERR(D47),"",INDEX(Spells!$F$1:$F$275,D47))</f>
        <v/>
      </c>
      <c r="K47" t="str">
        <f>IF(ISERR(E47),"",INDEX(Spells!$F$1:$F$275,E47))</f>
        <v/>
      </c>
      <c r="L47" t="str">
        <f>IF(ISERR(F47),"",INDEX(Spells!$F$1:$F$275,F47))</f>
        <v/>
      </c>
      <c r="M47" t="str">
        <f t="shared" si="0"/>
        <v>Fury, Attack Run, Spin Attack, Se Mederi, Whirlwind Attack, Reditus Doma, Leap, Wrath, Mederi, Se Vis Mederi, (Whirlwind Attack), (Attack Run), (Leap), Rage, (Leap), Vortex Attack</v>
      </c>
      <c r="N47" t="e">
        <f t="shared" si="8"/>
        <v>#VALUE!</v>
      </c>
      <c r="O47">
        <f t="shared" si="1"/>
        <v>0</v>
      </c>
      <c r="P47" t="str">
        <f t="shared" si="9"/>
        <v/>
      </c>
      <c r="Q47">
        <f>COUNTIF($P$4:P$155,"=("&amp;P47&amp;")")</f>
        <v>0</v>
      </c>
      <c r="R47" t="str">
        <f t="shared" si="10"/>
        <v/>
      </c>
      <c r="S47" t="e">
        <f t="array" ref="S47">INDEX($R$4:$R$155,SMALL(IF($R$4:$R$155&lt;&gt;"",ROW($R$4:$R$155)-3),ROW()-3))</f>
        <v>#NUM!</v>
      </c>
      <c r="T47" t="str">
        <f t="shared" si="5"/>
        <v/>
      </c>
    </row>
    <row r="48" spans="1:20">
      <c r="A48" s="10">
        <v>45</v>
      </c>
      <c r="B48" t="e">
        <f t="array" ref="B48">SMALL(IF(Spells!$A$1:$A$275=$A48,IF(Spells!$L$1:$L$275=$A$1,ROW(Spells!$A$1:$A$275))),COLUMN(A:A))</f>
        <v>#NUM!</v>
      </c>
      <c r="C48" t="e">
        <f t="array" ref="C48">SMALL(IF(Spells!$A$1:$A$275=$A48,IF(Spells!$L$1:$L$275=$A$1,ROW(Spells!$A$1:$A$275))),COLUMN(B:B))</f>
        <v>#NUM!</v>
      </c>
      <c r="D48" t="e">
        <f t="array" ref="D48">SMALL(IF(Spells!$A$1:$A$275=$A48,IF(Spells!$L$1:$L$275=$A$1,ROW(Spells!$A$1:$A$275))),COLUMN(C:C))</f>
        <v>#NUM!</v>
      </c>
      <c r="E48" t="e">
        <f t="array" ref="E48">SMALL(IF(Spells!$A$1:$A$275=$A48,IF(Spells!$L$1:$L$275=$A$1,ROW(Spells!$A$1:$A$275))),COLUMN(D:D))</f>
        <v>#NUM!</v>
      </c>
      <c r="F48" t="e">
        <f t="array" ref="F48">SMALL(IF(Spells!$A$1:$A$275=$A48,IF(Spells!$L$1:$L$275=$A$1,ROW(Spells!$A$1:$A$275))),COLUMN(E:E))</f>
        <v>#NUM!</v>
      </c>
      <c r="G48" t="e">
        <f t="array" ref="G48">SMALL(IF(Spells!$A$1:$A$275=$A48,IF(Spells!$L$1:$L$275=$A$1,ROW(Spells!$A$1:$A$275))),COLUMN(F:F))</f>
        <v>#NUM!</v>
      </c>
      <c r="H48" t="str">
        <f>IF(ISERR(B48),"",INDEX(Spells!$F$1:$F$275,B48))</f>
        <v/>
      </c>
      <c r="I48" t="str">
        <f>IF(ISERR(C48),"",INDEX(Spells!$F$1:$F$275,C48))</f>
        <v/>
      </c>
      <c r="J48" t="str">
        <f>IF(ISERR(D48),"",INDEX(Spells!$F$1:$F$275,D48))</f>
        <v/>
      </c>
      <c r="K48" t="str">
        <f>IF(ISERR(E48),"",INDEX(Spells!$F$1:$F$275,E48))</f>
        <v/>
      </c>
      <c r="L48" t="str">
        <f>IF(ISERR(F48),"",INDEX(Spells!$F$1:$F$275,F48))</f>
        <v/>
      </c>
      <c r="M48" t="str">
        <f t="shared" si="0"/>
        <v>Fury, Attack Run, Spin Attack, Se Mederi, Whirlwind Attack, Reditus Doma, Leap, Wrath, Mederi, Se Vis Mederi, (Whirlwind Attack), (Attack Run), (Leap), Rage, (Leap), Vortex Attack</v>
      </c>
      <c r="N48" t="e">
        <f t="shared" si="8"/>
        <v>#VALUE!</v>
      </c>
      <c r="O48">
        <f t="shared" si="1"/>
        <v>0</v>
      </c>
      <c r="P48" t="str">
        <f t="shared" si="9"/>
        <v/>
      </c>
      <c r="Q48">
        <f>COUNTIF($P$4:P$155,"=("&amp;P48&amp;")")</f>
        <v>0</v>
      </c>
      <c r="R48" t="str">
        <f t="shared" si="10"/>
        <v/>
      </c>
      <c r="S48" t="e">
        <f t="array" ref="S48">INDEX($R$4:$R$155,SMALL(IF($R$4:$R$155&lt;&gt;"",ROW($R$4:$R$155)-3),ROW()-3))</f>
        <v>#NUM!</v>
      </c>
      <c r="T48" t="str">
        <f t="shared" si="5"/>
        <v/>
      </c>
    </row>
    <row r="49" spans="1:20">
      <c r="A49" s="10">
        <v>46</v>
      </c>
      <c r="B49" t="e">
        <f t="array" ref="B49">SMALL(IF(Spells!$A$1:$A$275=$A49,IF(Spells!$L$1:$L$275=$A$1,ROW(Spells!$A$1:$A$275))),COLUMN(A:A))</f>
        <v>#NUM!</v>
      </c>
      <c r="C49" t="e">
        <f t="array" ref="C49">SMALL(IF(Spells!$A$1:$A$275=$A49,IF(Spells!$L$1:$L$275=$A$1,ROW(Spells!$A$1:$A$275))),COLUMN(B:B))</f>
        <v>#NUM!</v>
      </c>
      <c r="D49" t="e">
        <f t="array" ref="D49">SMALL(IF(Spells!$A$1:$A$275=$A49,IF(Spells!$L$1:$L$275=$A$1,ROW(Spells!$A$1:$A$275))),COLUMN(C:C))</f>
        <v>#NUM!</v>
      </c>
      <c r="E49" t="e">
        <f t="array" ref="E49">SMALL(IF(Spells!$A$1:$A$275=$A49,IF(Spells!$L$1:$L$275=$A$1,ROW(Spells!$A$1:$A$275))),COLUMN(D:D))</f>
        <v>#NUM!</v>
      </c>
      <c r="F49" t="e">
        <f t="array" ref="F49">SMALL(IF(Spells!$A$1:$A$275=$A49,IF(Spells!$L$1:$L$275=$A$1,ROW(Spells!$A$1:$A$275))),COLUMN(E:E))</f>
        <v>#NUM!</v>
      </c>
      <c r="G49" t="e">
        <f t="array" ref="G49">SMALL(IF(Spells!$A$1:$A$275=$A49,IF(Spells!$L$1:$L$275=$A$1,ROW(Spells!$A$1:$A$275))),COLUMN(F:F))</f>
        <v>#NUM!</v>
      </c>
      <c r="H49" t="str">
        <f>IF(ISERR(B49),"",INDEX(Spells!$F$1:$F$275,B49))</f>
        <v/>
      </c>
      <c r="I49" t="str">
        <f>IF(ISERR(C49),"",INDEX(Spells!$F$1:$F$275,C49))</f>
        <v/>
      </c>
      <c r="J49" t="str">
        <f>IF(ISERR(D49),"",INDEX(Spells!$F$1:$F$275,D49))</f>
        <v/>
      </c>
      <c r="K49" t="str">
        <f>IF(ISERR(E49),"",INDEX(Spells!$F$1:$F$275,E49))</f>
        <v/>
      </c>
      <c r="L49" t="str">
        <f>IF(ISERR(F49),"",INDEX(Spells!$F$1:$F$275,F49))</f>
        <v/>
      </c>
      <c r="M49" t="str">
        <f t="shared" si="0"/>
        <v>Fury, Attack Run, Spin Attack, Se Mederi, Whirlwind Attack, Reditus Doma, Leap, Wrath, Mederi, Se Vis Mederi, (Whirlwind Attack), (Attack Run), (Leap), Rage, (Leap), Vortex Attack</v>
      </c>
      <c r="N49" t="e">
        <f t="shared" si="8"/>
        <v>#VALUE!</v>
      </c>
      <c r="O49">
        <f t="shared" si="1"/>
        <v>0</v>
      </c>
      <c r="P49" t="str">
        <f t="shared" si="9"/>
        <v/>
      </c>
      <c r="Q49">
        <f>COUNTIF($P$4:P$155,"=("&amp;P49&amp;")")</f>
        <v>0</v>
      </c>
      <c r="R49" t="str">
        <f t="shared" si="10"/>
        <v/>
      </c>
      <c r="S49" t="e">
        <f t="array" ref="S49">INDEX($R$4:$R$155,SMALL(IF($R$4:$R$155&lt;&gt;"",ROW($R$4:$R$155)-3),ROW()-3))</f>
        <v>#NUM!</v>
      </c>
      <c r="T49" t="str">
        <f t="shared" si="5"/>
        <v/>
      </c>
    </row>
    <row r="50" spans="1:20">
      <c r="A50" s="10">
        <v>47</v>
      </c>
      <c r="B50" t="e">
        <f t="array" ref="B50">SMALL(IF(Spells!$A$1:$A$275=$A50,IF(Spells!$L$1:$L$275=$A$1,ROW(Spells!$A$1:$A$275))),COLUMN(A:A))</f>
        <v>#NUM!</v>
      </c>
      <c r="C50" t="e">
        <f t="array" ref="C50">SMALL(IF(Spells!$A$1:$A$275=$A50,IF(Spells!$L$1:$L$275=$A$1,ROW(Spells!$A$1:$A$275))),COLUMN(B:B))</f>
        <v>#NUM!</v>
      </c>
      <c r="D50" t="e">
        <f t="array" ref="D50">SMALL(IF(Spells!$A$1:$A$275=$A50,IF(Spells!$L$1:$L$275=$A$1,ROW(Spells!$A$1:$A$275))),COLUMN(C:C))</f>
        <v>#NUM!</v>
      </c>
      <c r="E50" t="e">
        <f t="array" ref="E50">SMALL(IF(Spells!$A$1:$A$275=$A50,IF(Spells!$L$1:$L$275=$A$1,ROW(Spells!$A$1:$A$275))),COLUMN(D:D))</f>
        <v>#NUM!</v>
      </c>
      <c r="F50" t="e">
        <f t="array" ref="F50">SMALL(IF(Spells!$A$1:$A$275=$A50,IF(Spells!$L$1:$L$275=$A$1,ROW(Spells!$A$1:$A$275))),COLUMN(E:E))</f>
        <v>#NUM!</v>
      </c>
      <c r="G50" t="e">
        <f t="array" ref="G50">SMALL(IF(Spells!$A$1:$A$275=$A50,IF(Spells!$L$1:$L$275=$A$1,ROW(Spells!$A$1:$A$275))),COLUMN(F:F))</f>
        <v>#NUM!</v>
      </c>
      <c r="H50" t="str">
        <f>IF(ISERR(B50),"",INDEX(Spells!$F$1:$F$275,B50))</f>
        <v/>
      </c>
      <c r="I50" t="str">
        <f>IF(ISERR(C50),"",INDEX(Spells!$F$1:$F$275,C50))</f>
        <v/>
      </c>
      <c r="J50" t="str">
        <f>IF(ISERR(D50),"",INDEX(Spells!$F$1:$F$275,D50))</f>
        <v/>
      </c>
      <c r="K50" t="str">
        <f>IF(ISERR(E50),"",INDEX(Spells!$F$1:$F$275,E50))</f>
        <v/>
      </c>
      <c r="L50" t="str">
        <f>IF(ISERR(F50),"",INDEX(Spells!$F$1:$F$275,F50))</f>
        <v/>
      </c>
      <c r="M50" t="str">
        <f t="shared" si="0"/>
        <v>Fury, Attack Run, Spin Attack, Se Mederi, Whirlwind Attack, Reditus Doma, Leap, Wrath, Mederi, Se Vis Mederi, (Whirlwind Attack), (Attack Run), (Leap), Rage, (Leap), Vortex Attack</v>
      </c>
      <c r="N50" t="e">
        <f t="shared" si="8"/>
        <v>#VALUE!</v>
      </c>
      <c r="O50">
        <f t="shared" si="1"/>
        <v>0</v>
      </c>
      <c r="P50" t="str">
        <f t="shared" si="9"/>
        <v/>
      </c>
      <c r="Q50">
        <f>COUNTIF($P$4:P$155,"=("&amp;P50&amp;")")</f>
        <v>0</v>
      </c>
      <c r="R50" t="str">
        <f t="shared" si="10"/>
        <v/>
      </c>
      <c r="S50" t="e">
        <f t="array" ref="S50">INDEX($R$4:$R$155,SMALL(IF($R$4:$R$155&lt;&gt;"",ROW($R$4:$R$155)-3),ROW()-3))</f>
        <v>#NUM!</v>
      </c>
      <c r="T50" t="str">
        <f t="shared" si="5"/>
        <v/>
      </c>
    </row>
    <row r="51" spans="1:20">
      <c r="A51" s="10">
        <v>48</v>
      </c>
      <c r="B51" t="e">
        <f t="array" ref="B51">SMALL(IF(Spells!$A$1:$A$275=$A51,IF(Spells!$L$1:$L$275=$A$1,ROW(Spells!$A$1:$A$275))),COLUMN(A:A))</f>
        <v>#NUM!</v>
      </c>
      <c r="C51" t="e">
        <f t="array" ref="C51">SMALL(IF(Spells!$A$1:$A$275=$A51,IF(Spells!$L$1:$L$275=$A$1,ROW(Spells!$A$1:$A$275))),COLUMN(B:B))</f>
        <v>#NUM!</v>
      </c>
      <c r="D51" t="e">
        <f t="array" ref="D51">SMALL(IF(Spells!$A$1:$A$275=$A51,IF(Spells!$L$1:$L$275=$A$1,ROW(Spells!$A$1:$A$275))),COLUMN(C:C))</f>
        <v>#NUM!</v>
      </c>
      <c r="E51" t="e">
        <f t="array" ref="E51">SMALL(IF(Spells!$A$1:$A$275=$A51,IF(Spells!$L$1:$L$275=$A$1,ROW(Spells!$A$1:$A$275))),COLUMN(D:D))</f>
        <v>#NUM!</v>
      </c>
      <c r="F51" t="e">
        <f t="array" ref="F51">SMALL(IF(Spells!$A$1:$A$275=$A51,IF(Spells!$L$1:$L$275=$A$1,ROW(Spells!$A$1:$A$275))),COLUMN(E:E))</f>
        <v>#NUM!</v>
      </c>
      <c r="G51" t="e">
        <f t="array" ref="G51">SMALL(IF(Spells!$A$1:$A$275=$A51,IF(Spells!$L$1:$L$275=$A$1,ROW(Spells!$A$1:$A$275))),COLUMN(F:F))</f>
        <v>#NUM!</v>
      </c>
      <c r="H51" t="str">
        <f>IF(ISERR(B51),"",INDEX(Spells!$F$1:$F$275,B51))</f>
        <v/>
      </c>
      <c r="I51" t="str">
        <f>IF(ISERR(C51),"",INDEX(Spells!$F$1:$F$275,C51))</f>
        <v/>
      </c>
      <c r="J51" t="str">
        <f>IF(ISERR(D51),"",INDEX(Spells!$F$1:$F$275,D51))</f>
        <v/>
      </c>
      <c r="K51" t="str">
        <f>IF(ISERR(E51),"",INDEX(Spells!$F$1:$F$275,E51))</f>
        <v/>
      </c>
      <c r="L51" t="str">
        <f>IF(ISERR(F51),"",INDEX(Spells!$F$1:$F$275,F51))</f>
        <v/>
      </c>
      <c r="M51" t="str">
        <f t="shared" si="0"/>
        <v>Fury, Attack Run, Spin Attack, Se Mederi, Whirlwind Attack, Reditus Doma, Leap, Wrath, Mederi, Se Vis Mederi, (Whirlwind Attack), (Attack Run), (Leap), Rage, (Leap), Vortex Attack</v>
      </c>
      <c r="N51" t="e">
        <f t="shared" si="8"/>
        <v>#VALUE!</v>
      </c>
      <c r="O51">
        <f t="shared" si="1"/>
        <v>0</v>
      </c>
      <c r="P51" t="str">
        <f t="shared" si="9"/>
        <v/>
      </c>
      <c r="Q51">
        <f>COUNTIF($P$4:P$155,"=("&amp;P51&amp;")")</f>
        <v>0</v>
      </c>
      <c r="R51" t="str">
        <f t="shared" si="10"/>
        <v/>
      </c>
      <c r="S51" t="e">
        <f t="array" ref="S51">INDEX($R$4:$R$155,SMALL(IF($R$4:$R$155&lt;&gt;"",ROW($R$4:$R$155)-3),ROW()-3))</f>
        <v>#NUM!</v>
      </c>
      <c r="T51" t="str">
        <f t="shared" si="5"/>
        <v/>
      </c>
    </row>
    <row r="52" spans="1:20">
      <c r="A52" s="10">
        <v>49</v>
      </c>
      <c r="B52" t="e">
        <f t="array" ref="B52">SMALL(IF(Spells!$A$1:$A$275=$A52,IF(Spells!$L$1:$L$275=$A$1,ROW(Spells!$A$1:$A$275))),COLUMN(A:A))</f>
        <v>#NUM!</v>
      </c>
      <c r="C52" t="e">
        <f t="array" ref="C52">SMALL(IF(Spells!$A$1:$A$275=$A52,IF(Spells!$L$1:$L$275=$A$1,ROW(Spells!$A$1:$A$275))),COLUMN(B:B))</f>
        <v>#NUM!</v>
      </c>
      <c r="D52" t="e">
        <f t="array" ref="D52">SMALL(IF(Spells!$A$1:$A$275=$A52,IF(Spells!$L$1:$L$275=$A$1,ROW(Spells!$A$1:$A$275))),COLUMN(C:C))</f>
        <v>#NUM!</v>
      </c>
      <c r="E52" t="e">
        <f t="array" ref="E52">SMALL(IF(Spells!$A$1:$A$275=$A52,IF(Spells!$L$1:$L$275=$A$1,ROW(Spells!$A$1:$A$275))),COLUMN(D:D))</f>
        <v>#NUM!</v>
      </c>
      <c r="F52" t="e">
        <f t="array" ref="F52">SMALL(IF(Spells!$A$1:$A$275=$A52,IF(Spells!$L$1:$L$275=$A$1,ROW(Spells!$A$1:$A$275))),COLUMN(E:E))</f>
        <v>#NUM!</v>
      </c>
      <c r="G52" t="e">
        <f t="array" ref="G52">SMALL(IF(Spells!$A$1:$A$275=$A52,IF(Spells!$L$1:$L$275=$A$1,ROW(Spells!$A$1:$A$275))),COLUMN(F:F))</f>
        <v>#NUM!</v>
      </c>
      <c r="H52" t="str">
        <f>IF(ISERR(B52),"",INDEX(Spells!$F$1:$F$275,B52))</f>
        <v/>
      </c>
      <c r="I52" t="str">
        <f>IF(ISERR(C52),"",INDEX(Spells!$F$1:$F$275,C52))</f>
        <v/>
      </c>
      <c r="J52" t="str">
        <f>IF(ISERR(D52),"",INDEX(Spells!$F$1:$F$275,D52))</f>
        <v/>
      </c>
      <c r="K52" t="str">
        <f>IF(ISERR(E52),"",INDEX(Spells!$F$1:$F$275,E52))</f>
        <v/>
      </c>
      <c r="L52" t="str">
        <f>IF(ISERR(F52),"",INDEX(Spells!$F$1:$F$275,F52))</f>
        <v/>
      </c>
      <c r="M52" t="str">
        <f t="shared" si="0"/>
        <v>Fury, Attack Run, Spin Attack, Se Mederi, Whirlwind Attack, Reditus Doma, Leap, Wrath, Mederi, Se Vis Mederi, (Whirlwind Attack), (Attack Run), (Leap), Rage, (Leap), Vortex Attack</v>
      </c>
      <c r="N52" t="e">
        <f t="shared" si="8"/>
        <v>#VALUE!</v>
      </c>
      <c r="O52">
        <f t="shared" si="1"/>
        <v>0</v>
      </c>
      <c r="P52" t="str">
        <f t="shared" si="9"/>
        <v/>
      </c>
      <c r="Q52">
        <f>COUNTIF($P$4:P$155,"=("&amp;P52&amp;")")</f>
        <v>0</v>
      </c>
      <c r="R52" t="str">
        <f t="shared" si="10"/>
        <v/>
      </c>
      <c r="S52" t="e">
        <f t="array" ref="S52">INDEX($R$4:$R$155,SMALL(IF($R$4:$R$155&lt;&gt;"",ROW($R$4:$R$155)-3),ROW()-3))</f>
        <v>#NUM!</v>
      </c>
      <c r="T52" t="str">
        <f t="shared" si="5"/>
        <v/>
      </c>
    </row>
    <row r="53" spans="1:20">
      <c r="A53" s="10">
        <v>50</v>
      </c>
      <c r="B53" t="e">
        <f t="array" ref="B53">SMALL(IF(Spells!$A$1:$A$275=$A53,IF(Spells!$L$1:$L$275=$A$1,ROW(Spells!$A$1:$A$275))),COLUMN(A:A))</f>
        <v>#NUM!</v>
      </c>
      <c r="C53" t="e">
        <f t="array" ref="C53">SMALL(IF(Spells!$A$1:$A$275=$A53,IF(Spells!$L$1:$L$275=$A$1,ROW(Spells!$A$1:$A$275))),COLUMN(B:B))</f>
        <v>#NUM!</v>
      </c>
      <c r="D53" t="e">
        <f t="array" ref="D53">SMALL(IF(Spells!$A$1:$A$275=$A53,IF(Spells!$L$1:$L$275=$A$1,ROW(Spells!$A$1:$A$275))),COLUMN(C:C))</f>
        <v>#NUM!</v>
      </c>
      <c r="E53" t="e">
        <f t="array" ref="E53">SMALL(IF(Spells!$A$1:$A$275=$A53,IF(Spells!$L$1:$L$275=$A$1,ROW(Spells!$A$1:$A$275))),COLUMN(D:D))</f>
        <v>#NUM!</v>
      </c>
      <c r="F53" t="e">
        <f t="array" ref="F53">SMALL(IF(Spells!$A$1:$A$275=$A53,IF(Spells!$L$1:$L$275=$A$1,ROW(Spells!$A$1:$A$275))),COLUMN(E:E))</f>
        <v>#NUM!</v>
      </c>
      <c r="G53" t="e">
        <f t="array" ref="G53">SMALL(IF(Spells!$A$1:$A$275=$A53,IF(Spells!$L$1:$L$275=$A$1,ROW(Spells!$A$1:$A$275))),COLUMN(F:F))</f>
        <v>#NUM!</v>
      </c>
      <c r="H53" t="str">
        <f>IF(ISERR(B53),"",INDEX(Spells!$F$1:$F$275,B53))</f>
        <v/>
      </c>
      <c r="I53" t="str">
        <f>IF(ISERR(C53),"",INDEX(Spells!$F$1:$F$275,C53))</f>
        <v/>
      </c>
      <c r="J53" t="str">
        <f>IF(ISERR(D53),"",INDEX(Spells!$F$1:$F$275,D53))</f>
        <v/>
      </c>
      <c r="K53" t="str">
        <f>IF(ISERR(E53),"",INDEX(Spells!$F$1:$F$275,E53))</f>
        <v/>
      </c>
      <c r="L53" t="str">
        <f>IF(ISERR(F53),"",INDEX(Spells!$F$1:$F$275,F53))</f>
        <v/>
      </c>
      <c r="M53" t="str">
        <f t="shared" si="0"/>
        <v>Fury, Attack Run, Spin Attack, Se Mederi, Whirlwind Attack, Reditus Doma, Leap, Wrath, Mederi, Se Vis Mederi, (Whirlwind Attack), (Attack Run), (Leap), Rage, (Leap), Vortex Attack</v>
      </c>
      <c r="N53" t="e">
        <f t="shared" si="8"/>
        <v>#VALUE!</v>
      </c>
      <c r="O53">
        <f t="shared" si="1"/>
        <v>0</v>
      </c>
      <c r="P53" t="str">
        <f t="shared" si="9"/>
        <v/>
      </c>
      <c r="Q53">
        <f>COUNTIF($P$4:P$155,"=("&amp;P53&amp;")")</f>
        <v>0</v>
      </c>
      <c r="R53" t="str">
        <f t="shared" si="10"/>
        <v/>
      </c>
      <c r="S53" t="e">
        <f t="array" ref="S53">INDEX($R$4:$R$155,SMALL(IF($R$4:$R$155&lt;&gt;"",ROW($R$4:$R$155)-3),ROW()-3))</f>
        <v>#NUM!</v>
      </c>
      <c r="T53" t="str">
        <f t="shared" si="5"/>
        <v/>
      </c>
    </row>
    <row r="54" spans="1:20">
      <c r="A54" s="10">
        <v>51</v>
      </c>
      <c r="B54" t="e">
        <f t="array" ref="B54">SMALL(IF(Spells!$A$1:$A$275=$A54,IF(Spells!$L$1:$L$275=$A$1,ROW(Spells!$A$1:$A$275))),COLUMN(A:A))</f>
        <v>#NUM!</v>
      </c>
      <c r="C54" t="e">
        <f t="array" ref="C54">SMALL(IF(Spells!$A$1:$A$275=$A54,IF(Spells!$L$1:$L$275=$A$1,ROW(Spells!$A$1:$A$275))),COLUMN(B:B))</f>
        <v>#NUM!</v>
      </c>
      <c r="D54" t="e">
        <f t="array" ref="D54">SMALL(IF(Spells!$A$1:$A$275=$A54,IF(Spells!$L$1:$L$275=$A$1,ROW(Spells!$A$1:$A$275))),COLUMN(C:C))</f>
        <v>#NUM!</v>
      </c>
      <c r="E54" t="e">
        <f t="array" ref="E54">SMALL(IF(Spells!$A$1:$A$275=$A54,IF(Spells!$L$1:$L$275=$A$1,ROW(Spells!$A$1:$A$275))),COLUMN(D:D))</f>
        <v>#NUM!</v>
      </c>
      <c r="F54" t="e">
        <f t="array" ref="F54">SMALL(IF(Spells!$A$1:$A$275=$A54,IF(Spells!$L$1:$L$275=$A$1,ROW(Spells!$A$1:$A$275))),COLUMN(E:E))</f>
        <v>#NUM!</v>
      </c>
      <c r="G54" t="e">
        <f t="array" ref="G54">SMALL(IF(Spells!$A$1:$A$275=$A54,IF(Spells!$L$1:$L$275=$A$1,ROW(Spells!$A$1:$A$275))),COLUMN(F:F))</f>
        <v>#NUM!</v>
      </c>
      <c r="H54" t="str">
        <f>IF(ISERR(B54),"",INDEX(Spells!$F$1:$F$275,B54))</f>
        <v/>
      </c>
      <c r="I54" t="str">
        <f>IF(ISERR(C54),"",INDEX(Spells!$F$1:$F$275,C54))</f>
        <v/>
      </c>
      <c r="J54" t="str">
        <f>IF(ISERR(D54),"",INDEX(Spells!$F$1:$F$275,D54))</f>
        <v/>
      </c>
      <c r="K54" t="str">
        <f>IF(ISERR(E54),"",INDEX(Spells!$F$1:$F$275,E54))</f>
        <v/>
      </c>
      <c r="L54" t="str">
        <f>IF(ISERR(F54),"",INDEX(Spells!$F$1:$F$275,F54))</f>
        <v/>
      </c>
      <c r="M54" t="str">
        <f t="shared" si="0"/>
        <v>Fury, Attack Run, Spin Attack, Se Mederi, Whirlwind Attack, Reditus Doma, Leap, Wrath, Mederi, Se Vis Mederi, (Whirlwind Attack), (Attack Run), (Leap), Rage, (Leap), Vortex Attack</v>
      </c>
      <c r="N54" t="e">
        <f t="shared" si="8"/>
        <v>#VALUE!</v>
      </c>
      <c r="O54">
        <f t="shared" si="1"/>
        <v>0</v>
      </c>
      <c r="P54" t="str">
        <f t="shared" si="9"/>
        <v/>
      </c>
      <c r="Q54">
        <f>COUNTIF($P$4:P$155,"=("&amp;P54&amp;")")</f>
        <v>0</v>
      </c>
      <c r="R54" t="str">
        <f t="shared" si="10"/>
        <v/>
      </c>
      <c r="S54" t="e">
        <f t="array" ref="S54">INDEX($R$4:$R$155,SMALL(IF($R$4:$R$155&lt;&gt;"",ROW($R$4:$R$155)-3),ROW()-3))</f>
        <v>#NUM!</v>
      </c>
      <c r="T54" t="str">
        <f t="shared" si="5"/>
        <v/>
      </c>
    </row>
    <row r="55" spans="1:20">
      <c r="A55" s="10">
        <v>52</v>
      </c>
      <c r="B55" t="e">
        <f t="array" ref="B55">SMALL(IF(Spells!$A$1:$A$275=$A55,IF(Spells!$L$1:$L$275=$A$1,ROW(Spells!$A$1:$A$275))),COLUMN(A:A))</f>
        <v>#NUM!</v>
      </c>
      <c r="C55" t="e">
        <f t="array" ref="C55">SMALL(IF(Spells!$A$1:$A$275=$A55,IF(Spells!$L$1:$L$275=$A$1,ROW(Spells!$A$1:$A$275))),COLUMN(B:B))</f>
        <v>#NUM!</v>
      </c>
      <c r="D55" t="e">
        <f t="array" ref="D55">SMALL(IF(Spells!$A$1:$A$275=$A55,IF(Spells!$L$1:$L$275=$A$1,ROW(Spells!$A$1:$A$275))),COLUMN(C:C))</f>
        <v>#NUM!</v>
      </c>
      <c r="E55" t="e">
        <f t="array" ref="E55">SMALL(IF(Spells!$A$1:$A$275=$A55,IF(Spells!$L$1:$L$275=$A$1,ROW(Spells!$A$1:$A$275))),COLUMN(D:D))</f>
        <v>#NUM!</v>
      </c>
      <c r="F55" t="e">
        <f t="array" ref="F55">SMALL(IF(Spells!$A$1:$A$275=$A55,IF(Spells!$L$1:$L$275=$A$1,ROW(Spells!$A$1:$A$275))),COLUMN(E:E))</f>
        <v>#NUM!</v>
      </c>
      <c r="G55" t="e">
        <f t="array" ref="G55">SMALL(IF(Spells!$A$1:$A$275=$A55,IF(Spells!$L$1:$L$275=$A$1,ROW(Spells!$A$1:$A$275))),COLUMN(F:F))</f>
        <v>#NUM!</v>
      </c>
      <c r="H55" t="str">
        <f>IF(ISERR(B55),"",INDEX(Spells!$F$1:$F$275,B55))</f>
        <v/>
      </c>
      <c r="I55" t="str">
        <f>IF(ISERR(C55),"",INDEX(Spells!$F$1:$F$275,C55))</f>
        <v/>
      </c>
      <c r="J55" t="str">
        <f>IF(ISERR(D55),"",INDEX(Spells!$F$1:$F$275,D55))</f>
        <v/>
      </c>
      <c r="K55" t="str">
        <f>IF(ISERR(E55),"",INDEX(Spells!$F$1:$F$275,E55))</f>
        <v/>
      </c>
      <c r="L55" t="str">
        <f>IF(ISERR(F55),"",INDEX(Spells!$F$1:$F$275,F55))</f>
        <v/>
      </c>
      <c r="M55" t="str">
        <f t="shared" si="0"/>
        <v>Fury, Attack Run, Spin Attack, Se Mederi, Whirlwind Attack, Reditus Doma, Leap, Wrath, Mederi, Se Vis Mederi, (Whirlwind Attack), (Attack Run), (Leap), Rage, (Leap), Vortex Attack</v>
      </c>
      <c r="N55" t="e">
        <f t="shared" si="8"/>
        <v>#VALUE!</v>
      </c>
      <c r="O55">
        <f t="shared" si="1"/>
        <v>0</v>
      </c>
      <c r="P55" t="str">
        <f t="shared" si="9"/>
        <v/>
      </c>
      <c r="Q55">
        <f>COUNTIF($P$4:P$155,"=("&amp;P55&amp;")")</f>
        <v>0</v>
      </c>
      <c r="R55" t="str">
        <f t="shared" si="10"/>
        <v/>
      </c>
      <c r="S55" t="e">
        <f t="array" ref="S55">INDEX($R$4:$R$155,SMALL(IF($R$4:$R$155&lt;&gt;"",ROW($R$4:$R$155)-3),ROW()-3))</f>
        <v>#NUM!</v>
      </c>
      <c r="T55" t="str">
        <f t="shared" si="5"/>
        <v/>
      </c>
    </row>
    <row r="56" spans="1:20">
      <c r="A56" s="10">
        <v>53</v>
      </c>
      <c r="B56" t="e">
        <f t="array" ref="B56">SMALL(IF(Spells!$A$1:$A$275=$A56,IF(Spells!$L$1:$L$275=$A$1,ROW(Spells!$A$1:$A$275))),COLUMN(A:A))</f>
        <v>#NUM!</v>
      </c>
      <c r="C56" t="e">
        <f t="array" ref="C56">SMALL(IF(Spells!$A$1:$A$275=$A56,IF(Spells!$L$1:$L$275=$A$1,ROW(Spells!$A$1:$A$275))),COLUMN(B:B))</f>
        <v>#NUM!</v>
      </c>
      <c r="D56" t="e">
        <f t="array" ref="D56">SMALL(IF(Spells!$A$1:$A$275=$A56,IF(Spells!$L$1:$L$275=$A$1,ROW(Spells!$A$1:$A$275))),COLUMN(C:C))</f>
        <v>#NUM!</v>
      </c>
      <c r="E56" t="e">
        <f t="array" ref="E56">SMALL(IF(Spells!$A$1:$A$275=$A56,IF(Spells!$L$1:$L$275=$A$1,ROW(Spells!$A$1:$A$275))),COLUMN(D:D))</f>
        <v>#NUM!</v>
      </c>
      <c r="F56" t="e">
        <f t="array" ref="F56">SMALL(IF(Spells!$A$1:$A$275=$A56,IF(Spells!$L$1:$L$275=$A$1,ROW(Spells!$A$1:$A$275))),COLUMN(E:E))</f>
        <v>#NUM!</v>
      </c>
      <c r="G56" t="e">
        <f t="array" ref="G56">SMALL(IF(Spells!$A$1:$A$275=$A56,IF(Spells!$L$1:$L$275=$A$1,ROW(Spells!$A$1:$A$275))),COLUMN(F:F))</f>
        <v>#NUM!</v>
      </c>
      <c r="H56" t="str">
        <f>IF(ISERR(B56),"",INDEX(Spells!$F$1:$F$275,B56))</f>
        <v/>
      </c>
      <c r="I56" t="str">
        <f>IF(ISERR(C56),"",INDEX(Spells!$F$1:$F$275,C56))</f>
        <v/>
      </c>
      <c r="J56" t="str">
        <f>IF(ISERR(D56),"",INDEX(Spells!$F$1:$F$275,D56))</f>
        <v/>
      </c>
      <c r="K56" t="str">
        <f>IF(ISERR(E56),"",INDEX(Spells!$F$1:$F$275,E56))</f>
        <v/>
      </c>
      <c r="L56" t="str">
        <f>IF(ISERR(F56),"",INDEX(Spells!$F$1:$F$275,F56))</f>
        <v/>
      </c>
      <c r="M56" t="str">
        <f t="shared" si="0"/>
        <v>Fury, Attack Run, Spin Attack, Se Mederi, Whirlwind Attack, Reditus Doma, Leap, Wrath, Mederi, Se Vis Mederi, (Whirlwind Attack), (Attack Run), (Leap), Rage, (Leap), Vortex Attack</v>
      </c>
      <c r="N56" t="e">
        <f t="shared" si="8"/>
        <v>#VALUE!</v>
      </c>
      <c r="O56">
        <f t="shared" si="1"/>
        <v>0</v>
      </c>
      <c r="P56" t="str">
        <f t="shared" si="9"/>
        <v/>
      </c>
      <c r="Q56">
        <f>COUNTIF($P$4:P$155,"=("&amp;P56&amp;")")</f>
        <v>0</v>
      </c>
      <c r="R56" t="str">
        <f t="shared" si="10"/>
        <v/>
      </c>
      <c r="S56" t="e">
        <f t="array" ref="S56">INDEX($R$4:$R$155,SMALL(IF($R$4:$R$155&lt;&gt;"",ROW($R$4:$R$155)-3),ROW()-3))</f>
        <v>#NUM!</v>
      </c>
      <c r="T56" t="str">
        <f t="shared" si="5"/>
        <v/>
      </c>
    </row>
    <row r="57" spans="1:20">
      <c r="A57" s="10">
        <v>54</v>
      </c>
      <c r="B57" t="e">
        <f t="array" ref="B57">SMALL(IF(Spells!$A$1:$A$275=$A57,IF(Spells!$L$1:$L$275=$A$1,ROW(Spells!$A$1:$A$275))),COLUMN(A:A))</f>
        <v>#NUM!</v>
      </c>
      <c r="C57" t="e">
        <f t="array" ref="C57">SMALL(IF(Spells!$A$1:$A$275=$A57,IF(Spells!$L$1:$L$275=$A$1,ROW(Spells!$A$1:$A$275))),COLUMN(B:B))</f>
        <v>#NUM!</v>
      </c>
      <c r="D57" t="e">
        <f t="array" ref="D57">SMALL(IF(Spells!$A$1:$A$275=$A57,IF(Spells!$L$1:$L$275=$A$1,ROW(Spells!$A$1:$A$275))),COLUMN(C:C))</f>
        <v>#NUM!</v>
      </c>
      <c r="E57" t="e">
        <f t="array" ref="E57">SMALL(IF(Spells!$A$1:$A$275=$A57,IF(Spells!$L$1:$L$275=$A$1,ROW(Spells!$A$1:$A$275))),COLUMN(D:D))</f>
        <v>#NUM!</v>
      </c>
      <c r="F57" t="e">
        <f t="array" ref="F57">SMALL(IF(Spells!$A$1:$A$275=$A57,IF(Spells!$L$1:$L$275=$A$1,ROW(Spells!$A$1:$A$275))),COLUMN(E:E))</f>
        <v>#NUM!</v>
      </c>
      <c r="G57" t="e">
        <f t="array" ref="G57">SMALL(IF(Spells!$A$1:$A$275=$A57,IF(Spells!$L$1:$L$275=$A$1,ROW(Spells!$A$1:$A$275))),COLUMN(F:F))</f>
        <v>#NUM!</v>
      </c>
      <c r="H57" t="str">
        <f>IF(ISERR(B57),"",INDEX(Spells!$F$1:$F$275,B57))</f>
        <v/>
      </c>
      <c r="I57" t="str">
        <f>IF(ISERR(C57),"",INDEX(Spells!$F$1:$F$275,C57))</f>
        <v/>
      </c>
      <c r="J57" t="str">
        <f>IF(ISERR(D57),"",INDEX(Spells!$F$1:$F$275,D57))</f>
        <v/>
      </c>
      <c r="K57" t="str">
        <f>IF(ISERR(E57),"",INDEX(Spells!$F$1:$F$275,E57))</f>
        <v/>
      </c>
      <c r="L57" t="str">
        <f>IF(ISERR(F57),"",INDEX(Spells!$F$1:$F$275,F57))</f>
        <v/>
      </c>
      <c r="M57" t="str">
        <f t="shared" si="0"/>
        <v>Fury, Attack Run, Spin Attack, Se Mederi, Whirlwind Attack, Reditus Doma, Leap, Wrath, Mederi, Se Vis Mederi, (Whirlwind Attack), (Attack Run), (Leap), Rage, (Leap), Vortex Attack</v>
      </c>
      <c r="N57" t="e">
        <f t="shared" si="8"/>
        <v>#VALUE!</v>
      </c>
      <c r="O57">
        <f t="shared" si="1"/>
        <v>0</v>
      </c>
      <c r="P57" t="str">
        <f t="shared" si="9"/>
        <v/>
      </c>
      <c r="Q57">
        <f>COUNTIF($P$4:P$155,"=("&amp;P57&amp;")")</f>
        <v>0</v>
      </c>
      <c r="R57" t="str">
        <f t="shared" si="10"/>
        <v/>
      </c>
      <c r="S57" t="e">
        <f t="array" ref="S57">INDEX($R$4:$R$155,SMALL(IF($R$4:$R$155&lt;&gt;"",ROW($R$4:$R$155)-3),ROW()-3))</f>
        <v>#NUM!</v>
      </c>
      <c r="T57" t="str">
        <f t="shared" si="5"/>
        <v/>
      </c>
    </row>
    <row r="58" spans="1:20">
      <c r="A58" s="10">
        <v>55</v>
      </c>
      <c r="B58" t="e">
        <f t="array" ref="B58">SMALL(IF(Spells!$A$1:$A$275=$A58,IF(Spells!$L$1:$L$275=$A$1,ROW(Spells!$A$1:$A$275))),COLUMN(A:A))</f>
        <v>#NUM!</v>
      </c>
      <c r="C58" t="e">
        <f t="array" ref="C58">SMALL(IF(Spells!$A$1:$A$275=$A58,IF(Spells!$L$1:$L$275=$A$1,ROW(Spells!$A$1:$A$275))),COLUMN(B:B))</f>
        <v>#NUM!</v>
      </c>
      <c r="D58" t="e">
        <f t="array" ref="D58">SMALL(IF(Spells!$A$1:$A$275=$A58,IF(Spells!$L$1:$L$275=$A$1,ROW(Spells!$A$1:$A$275))),COLUMN(C:C))</f>
        <v>#NUM!</v>
      </c>
      <c r="E58" t="e">
        <f t="array" ref="E58">SMALL(IF(Spells!$A$1:$A$275=$A58,IF(Spells!$L$1:$L$275=$A$1,ROW(Spells!$A$1:$A$275))),COLUMN(D:D))</f>
        <v>#NUM!</v>
      </c>
      <c r="F58" t="e">
        <f t="array" ref="F58">SMALL(IF(Spells!$A$1:$A$275=$A58,IF(Spells!$L$1:$L$275=$A$1,ROW(Spells!$A$1:$A$275))),COLUMN(E:E))</f>
        <v>#NUM!</v>
      </c>
      <c r="G58" t="e">
        <f t="array" ref="G58">SMALL(IF(Spells!$A$1:$A$275=$A58,IF(Spells!$L$1:$L$275=$A$1,ROW(Spells!$A$1:$A$275))),COLUMN(F:F))</f>
        <v>#NUM!</v>
      </c>
      <c r="H58" t="str">
        <f>IF(ISERR(B58),"",INDEX(Spells!$F$1:$F$275,B58))</f>
        <v/>
      </c>
      <c r="I58" t="str">
        <f>IF(ISERR(C58),"",INDEX(Spells!$F$1:$F$275,C58))</f>
        <v/>
      </c>
      <c r="J58" t="str">
        <f>IF(ISERR(D58),"",INDEX(Spells!$F$1:$F$275,D58))</f>
        <v/>
      </c>
      <c r="K58" t="str">
        <f>IF(ISERR(E58),"",INDEX(Spells!$F$1:$F$275,E58))</f>
        <v/>
      </c>
      <c r="L58" t="str">
        <f>IF(ISERR(F58),"",INDEX(Spells!$F$1:$F$275,F58))</f>
        <v/>
      </c>
      <c r="M58" t="str">
        <f t="shared" si="0"/>
        <v>Fury, Attack Run, Spin Attack, Se Mederi, Whirlwind Attack, Reditus Doma, Leap, Wrath, Mederi, Se Vis Mederi, (Whirlwind Attack), (Attack Run), (Leap), Rage, (Leap), Vortex Attack</v>
      </c>
      <c r="N58" t="e">
        <f t="shared" si="8"/>
        <v>#VALUE!</v>
      </c>
      <c r="O58">
        <f t="shared" si="1"/>
        <v>0</v>
      </c>
      <c r="P58" t="str">
        <f t="shared" si="9"/>
        <v/>
      </c>
      <c r="Q58">
        <f>COUNTIF($P$4:P$155,"=("&amp;P58&amp;")")</f>
        <v>0</v>
      </c>
      <c r="R58" t="str">
        <f t="shared" si="10"/>
        <v/>
      </c>
      <c r="S58" t="e">
        <f t="array" ref="S58">INDEX($R$4:$R$155,SMALL(IF($R$4:$R$155&lt;&gt;"",ROW($R$4:$R$155)-3),ROW()-3))</f>
        <v>#NUM!</v>
      </c>
      <c r="T58" t="str">
        <f t="shared" si="5"/>
        <v/>
      </c>
    </row>
    <row r="59" spans="1:20">
      <c r="A59" s="10">
        <v>56</v>
      </c>
      <c r="B59" t="e">
        <f t="array" ref="B59">SMALL(IF(Spells!$A$1:$A$275=$A59,IF(Spells!$L$1:$L$275=$A$1,ROW(Spells!$A$1:$A$275))),COLUMN(A:A))</f>
        <v>#NUM!</v>
      </c>
      <c r="C59" t="e">
        <f t="array" ref="C59">SMALL(IF(Spells!$A$1:$A$275=$A59,IF(Spells!$L$1:$L$275=$A$1,ROW(Spells!$A$1:$A$275))),COLUMN(B:B))</f>
        <v>#NUM!</v>
      </c>
      <c r="D59" t="e">
        <f t="array" ref="D59">SMALL(IF(Spells!$A$1:$A$275=$A59,IF(Spells!$L$1:$L$275=$A$1,ROW(Spells!$A$1:$A$275))),COLUMN(C:C))</f>
        <v>#NUM!</v>
      </c>
      <c r="E59" t="e">
        <f t="array" ref="E59">SMALL(IF(Spells!$A$1:$A$275=$A59,IF(Spells!$L$1:$L$275=$A$1,ROW(Spells!$A$1:$A$275))),COLUMN(D:D))</f>
        <v>#NUM!</v>
      </c>
      <c r="F59" t="e">
        <f t="array" ref="F59">SMALL(IF(Spells!$A$1:$A$275=$A59,IF(Spells!$L$1:$L$275=$A$1,ROW(Spells!$A$1:$A$275))),COLUMN(E:E))</f>
        <v>#NUM!</v>
      </c>
      <c r="G59" t="e">
        <f t="array" ref="G59">SMALL(IF(Spells!$A$1:$A$275=$A59,IF(Spells!$L$1:$L$275=$A$1,ROW(Spells!$A$1:$A$275))),COLUMN(F:F))</f>
        <v>#NUM!</v>
      </c>
      <c r="H59" t="str">
        <f>IF(ISERR(B59),"",INDEX(Spells!$F$1:$F$275,B59))</f>
        <v/>
      </c>
      <c r="I59" t="str">
        <f>IF(ISERR(C59),"",INDEX(Spells!$F$1:$F$275,C59))</f>
        <v/>
      </c>
      <c r="J59" t="str">
        <f>IF(ISERR(D59),"",INDEX(Spells!$F$1:$F$275,D59))</f>
        <v/>
      </c>
      <c r="K59" t="str">
        <f>IF(ISERR(E59),"",INDEX(Spells!$F$1:$F$275,E59))</f>
        <v/>
      </c>
      <c r="L59" t="str">
        <f>IF(ISERR(F59),"",INDEX(Spells!$F$1:$F$275,F59))</f>
        <v/>
      </c>
      <c r="M59" t="str">
        <f t="shared" si="0"/>
        <v>Fury, Attack Run, Spin Attack, Se Mederi, Whirlwind Attack, Reditus Doma, Leap, Wrath, Mederi, Se Vis Mederi, (Whirlwind Attack), (Attack Run), (Leap), Rage, (Leap), Vortex Attack</v>
      </c>
      <c r="N59" t="e">
        <f t="shared" si="8"/>
        <v>#VALUE!</v>
      </c>
      <c r="O59">
        <f t="shared" si="1"/>
        <v>0</v>
      </c>
      <c r="P59" t="str">
        <f t="shared" si="9"/>
        <v/>
      </c>
      <c r="Q59">
        <f>COUNTIF($P$4:P$155,"=("&amp;P59&amp;")")</f>
        <v>0</v>
      </c>
      <c r="R59" t="str">
        <f t="shared" si="10"/>
        <v/>
      </c>
      <c r="S59" t="e">
        <f t="array" ref="S59">INDEX($R$4:$R$155,SMALL(IF($R$4:$R$155&lt;&gt;"",ROW($R$4:$R$155)-3),ROW()-3))</f>
        <v>#NUM!</v>
      </c>
      <c r="T59" t="str">
        <f t="shared" si="5"/>
        <v/>
      </c>
    </row>
    <row r="60" spans="1:20">
      <c r="A60" s="10">
        <v>57</v>
      </c>
      <c r="B60" t="e">
        <f t="array" ref="B60">SMALL(IF(Spells!$A$1:$A$275=$A60,IF(Spells!$L$1:$L$275=$A$1,ROW(Spells!$A$1:$A$275))),COLUMN(A:A))</f>
        <v>#NUM!</v>
      </c>
      <c r="C60" t="e">
        <f t="array" ref="C60">SMALL(IF(Spells!$A$1:$A$275=$A60,IF(Spells!$L$1:$L$275=$A$1,ROW(Spells!$A$1:$A$275))),COLUMN(B:B))</f>
        <v>#NUM!</v>
      </c>
      <c r="D60" t="e">
        <f t="array" ref="D60">SMALL(IF(Spells!$A$1:$A$275=$A60,IF(Spells!$L$1:$L$275=$A$1,ROW(Spells!$A$1:$A$275))),COLUMN(C:C))</f>
        <v>#NUM!</v>
      </c>
      <c r="E60" t="e">
        <f t="array" ref="E60">SMALL(IF(Spells!$A$1:$A$275=$A60,IF(Spells!$L$1:$L$275=$A$1,ROW(Spells!$A$1:$A$275))),COLUMN(D:D))</f>
        <v>#NUM!</v>
      </c>
      <c r="F60" t="e">
        <f t="array" ref="F60">SMALL(IF(Spells!$A$1:$A$275=$A60,IF(Spells!$L$1:$L$275=$A$1,ROW(Spells!$A$1:$A$275))),COLUMN(E:E))</f>
        <v>#NUM!</v>
      </c>
      <c r="G60" t="e">
        <f t="array" ref="G60">SMALL(IF(Spells!$A$1:$A$275=$A60,IF(Spells!$L$1:$L$275=$A$1,ROW(Spells!$A$1:$A$275))),COLUMN(F:F))</f>
        <v>#NUM!</v>
      </c>
      <c r="H60" t="str">
        <f>IF(ISERR(B60),"",INDEX(Spells!$F$1:$F$275,B60))</f>
        <v/>
      </c>
      <c r="I60" t="str">
        <f>IF(ISERR(C60),"",INDEX(Spells!$F$1:$F$275,C60))</f>
        <v/>
      </c>
      <c r="J60" t="str">
        <f>IF(ISERR(D60),"",INDEX(Spells!$F$1:$F$275,D60))</f>
        <v/>
      </c>
      <c r="K60" t="str">
        <f>IF(ISERR(E60),"",INDEX(Spells!$F$1:$F$275,E60))</f>
        <v/>
      </c>
      <c r="L60" t="str">
        <f>IF(ISERR(F60),"",INDEX(Spells!$F$1:$F$275,F60))</f>
        <v/>
      </c>
      <c r="M60" t="str">
        <f t="shared" si="0"/>
        <v>Fury, Attack Run, Spin Attack, Se Mederi, Whirlwind Attack, Reditus Doma, Leap, Wrath, Mederi, Se Vis Mederi, (Whirlwind Attack), (Attack Run), (Leap), Rage, (Leap), Vortex Attack</v>
      </c>
      <c r="N60" t="e">
        <f t="shared" si="8"/>
        <v>#VALUE!</v>
      </c>
      <c r="O60">
        <f t="shared" si="1"/>
        <v>0</v>
      </c>
      <c r="P60" t="str">
        <f t="shared" si="9"/>
        <v/>
      </c>
      <c r="Q60">
        <f>COUNTIF($P$4:P$155,"=("&amp;P60&amp;")")</f>
        <v>0</v>
      </c>
      <c r="R60" t="str">
        <f t="shared" si="10"/>
        <v/>
      </c>
      <c r="S60" t="e">
        <f t="array" ref="S60">INDEX($R$4:$R$155,SMALL(IF($R$4:$R$155&lt;&gt;"",ROW($R$4:$R$155)-3),ROW()-3))</f>
        <v>#NUM!</v>
      </c>
      <c r="T60" t="str">
        <f t="shared" si="5"/>
        <v/>
      </c>
    </row>
    <row r="61" spans="1:20">
      <c r="A61" s="10">
        <v>58</v>
      </c>
      <c r="B61" t="e">
        <f t="array" ref="B61">SMALL(IF(Spells!$A$1:$A$275=$A61,IF(Spells!$L$1:$L$275=$A$1,ROW(Spells!$A$1:$A$275))),COLUMN(A:A))</f>
        <v>#NUM!</v>
      </c>
      <c r="C61" t="e">
        <f t="array" ref="C61">SMALL(IF(Spells!$A$1:$A$275=$A61,IF(Spells!$L$1:$L$275=$A$1,ROW(Spells!$A$1:$A$275))),COLUMN(B:B))</f>
        <v>#NUM!</v>
      </c>
      <c r="D61" t="e">
        <f t="array" ref="D61">SMALL(IF(Spells!$A$1:$A$275=$A61,IF(Spells!$L$1:$L$275=$A$1,ROW(Spells!$A$1:$A$275))),COLUMN(C:C))</f>
        <v>#NUM!</v>
      </c>
      <c r="E61" t="e">
        <f t="array" ref="E61">SMALL(IF(Spells!$A$1:$A$275=$A61,IF(Spells!$L$1:$L$275=$A$1,ROW(Spells!$A$1:$A$275))),COLUMN(D:D))</f>
        <v>#NUM!</v>
      </c>
      <c r="F61" t="e">
        <f t="array" ref="F61">SMALL(IF(Spells!$A$1:$A$275=$A61,IF(Spells!$L$1:$L$275=$A$1,ROW(Spells!$A$1:$A$275))),COLUMN(E:E))</f>
        <v>#NUM!</v>
      </c>
      <c r="G61" t="e">
        <f t="array" ref="G61">SMALL(IF(Spells!$A$1:$A$275=$A61,IF(Spells!$L$1:$L$275=$A$1,ROW(Spells!$A$1:$A$275))),COLUMN(F:F))</f>
        <v>#NUM!</v>
      </c>
      <c r="H61" t="str">
        <f>IF(ISERR(B61),"",INDEX(Spells!$F$1:$F$275,B61))</f>
        <v/>
      </c>
      <c r="I61" t="str">
        <f>IF(ISERR(C61),"",INDEX(Spells!$F$1:$F$275,C61))</f>
        <v/>
      </c>
      <c r="J61" t="str">
        <f>IF(ISERR(D61),"",INDEX(Spells!$F$1:$F$275,D61))</f>
        <v/>
      </c>
      <c r="K61" t="str">
        <f>IF(ISERR(E61),"",INDEX(Spells!$F$1:$F$275,E61))</f>
        <v/>
      </c>
      <c r="L61" t="str">
        <f>IF(ISERR(F61),"",INDEX(Spells!$F$1:$F$275,F61))</f>
        <v/>
      </c>
      <c r="M61" t="str">
        <f t="shared" si="0"/>
        <v>Fury, Attack Run, Spin Attack, Se Mederi, Whirlwind Attack, Reditus Doma, Leap, Wrath, Mederi, Se Vis Mederi, (Whirlwind Attack), (Attack Run), (Leap), Rage, (Leap), Vortex Attack</v>
      </c>
      <c r="N61" t="e">
        <f t="shared" si="8"/>
        <v>#VALUE!</v>
      </c>
      <c r="O61">
        <f t="shared" si="1"/>
        <v>0</v>
      </c>
      <c r="P61" t="str">
        <f t="shared" si="9"/>
        <v/>
      </c>
      <c r="Q61">
        <f>COUNTIF($P$4:P$155,"=("&amp;P61&amp;")")</f>
        <v>0</v>
      </c>
      <c r="R61" t="str">
        <f t="shared" si="10"/>
        <v/>
      </c>
      <c r="S61" t="e">
        <f t="array" ref="S61">INDEX($R$4:$R$155,SMALL(IF($R$4:$R$155&lt;&gt;"",ROW($R$4:$R$155)-3),ROW()-3))</f>
        <v>#NUM!</v>
      </c>
      <c r="T61" t="str">
        <f t="shared" si="5"/>
        <v/>
      </c>
    </row>
    <row r="62" spans="1:20">
      <c r="A62" s="10">
        <v>59</v>
      </c>
      <c r="B62" t="e">
        <f t="array" ref="B62">SMALL(IF(Spells!$A$1:$A$275=$A62,IF(Spells!$L$1:$L$275=$A$1,ROW(Spells!$A$1:$A$275))),COLUMN(A:A))</f>
        <v>#NUM!</v>
      </c>
      <c r="C62" t="e">
        <f t="array" ref="C62">SMALL(IF(Spells!$A$1:$A$275=$A62,IF(Spells!$L$1:$L$275=$A$1,ROW(Spells!$A$1:$A$275))),COLUMN(B:B))</f>
        <v>#NUM!</v>
      </c>
      <c r="D62" t="e">
        <f t="array" ref="D62">SMALL(IF(Spells!$A$1:$A$275=$A62,IF(Spells!$L$1:$L$275=$A$1,ROW(Spells!$A$1:$A$275))),COLUMN(C:C))</f>
        <v>#NUM!</v>
      </c>
      <c r="E62" t="e">
        <f t="array" ref="E62">SMALL(IF(Spells!$A$1:$A$275=$A62,IF(Spells!$L$1:$L$275=$A$1,ROW(Spells!$A$1:$A$275))),COLUMN(D:D))</f>
        <v>#NUM!</v>
      </c>
      <c r="F62" t="e">
        <f t="array" ref="F62">SMALL(IF(Spells!$A$1:$A$275=$A62,IF(Spells!$L$1:$L$275=$A$1,ROW(Spells!$A$1:$A$275))),COLUMN(E:E))</f>
        <v>#NUM!</v>
      </c>
      <c r="G62" t="e">
        <f t="array" ref="G62">SMALL(IF(Spells!$A$1:$A$275=$A62,IF(Spells!$L$1:$L$275=$A$1,ROW(Spells!$A$1:$A$275))),COLUMN(F:F))</f>
        <v>#NUM!</v>
      </c>
      <c r="H62" t="str">
        <f>IF(ISERR(B62),"",INDEX(Spells!$F$1:$F$275,B62))</f>
        <v/>
      </c>
      <c r="I62" t="str">
        <f>IF(ISERR(C62),"",INDEX(Spells!$F$1:$F$275,C62))</f>
        <v/>
      </c>
      <c r="J62" t="str">
        <f>IF(ISERR(D62),"",INDEX(Spells!$F$1:$F$275,D62))</f>
        <v/>
      </c>
      <c r="K62" t="str">
        <f>IF(ISERR(E62),"",INDEX(Spells!$F$1:$F$275,E62))</f>
        <v/>
      </c>
      <c r="L62" t="str">
        <f>IF(ISERR(F62),"",INDEX(Spells!$F$1:$F$275,F62))</f>
        <v/>
      </c>
      <c r="M62" t="str">
        <f t="shared" si="0"/>
        <v>Fury, Attack Run, Spin Attack, Se Mederi, Whirlwind Attack, Reditus Doma, Leap, Wrath, Mederi, Se Vis Mederi, (Whirlwind Attack), (Attack Run), (Leap), Rage, (Leap), Vortex Attack</v>
      </c>
      <c r="N62" t="e">
        <f t="shared" si="8"/>
        <v>#VALUE!</v>
      </c>
      <c r="O62">
        <f t="shared" si="1"/>
        <v>0</v>
      </c>
      <c r="P62" t="str">
        <f t="shared" si="9"/>
        <v/>
      </c>
      <c r="Q62">
        <f>COUNTIF($P$4:P$155,"=("&amp;P62&amp;")")</f>
        <v>0</v>
      </c>
      <c r="R62" t="str">
        <f t="shared" si="10"/>
        <v/>
      </c>
      <c r="S62" t="e">
        <f t="array" ref="S62">INDEX($R$4:$R$155,SMALL(IF($R$4:$R$155&lt;&gt;"",ROW($R$4:$R$155)-3),ROW()-3))</f>
        <v>#NUM!</v>
      </c>
      <c r="T62" t="str">
        <f t="shared" si="5"/>
        <v/>
      </c>
    </row>
    <row r="63" spans="1:20">
      <c r="A63" s="10">
        <v>60</v>
      </c>
      <c r="B63" t="e">
        <f t="array" ref="B63">SMALL(IF(Spells!$A$1:$A$275=$A63,IF(Spells!$L$1:$L$275=$A$1,ROW(Spells!$A$1:$A$275))),COLUMN(A:A))</f>
        <v>#NUM!</v>
      </c>
      <c r="C63" t="e">
        <f t="array" ref="C63">SMALL(IF(Spells!$A$1:$A$275=$A63,IF(Spells!$L$1:$L$275=$A$1,ROW(Spells!$A$1:$A$275))),COLUMN(B:B))</f>
        <v>#NUM!</v>
      </c>
      <c r="D63" t="e">
        <f t="array" ref="D63">SMALL(IF(Spells!$A$1:$A$275=$A63,IF(Spells!$L$1:$L$275=$A$1,ROW(Spells!$A$1:$A$275))),COLUMN(C:C))</f>
        <v>#NUM!</v>
      </c>
      <c r="E63" t="e">
        <f t="array" ref="E63">SMALL(IF(Spells!$A$1:$A$275=$A63,IF(Spells!$L$1:$L$275=$A$1,ROW(Spells!$A$1:$A$275))),COLUMN(D:D))</f>
        <v>#NUM!</v>
      </c>
      <c r="F63" t="e">
        <f t="array" ref="F63">SMALL(IF(Spells!$A$1:$A$275=$A63,IF(Spells!$L$1:$L$275=$A$1,ROW(Spells!$A$1:$A$275))),COLUMN(E:E))</f>
        <v>#NUM!</v>
      </c>
      <c r="G63" t="e">
        <f t="array" ref="G63">SMALL(IF(Spells!$A$1:$A$275=$A63,IF(Spells!$L$1:$L$275=$A$1,ROW(Spells!$A$1:$A$275))),COLUMN(F:F))</f>
        <v>#NUM!</v>
      </c>
      <c r="H63" t="str">
        <f>IF(ISERR(B63),"",INDEX(Spells!$F$1:$F$275,B63))</f>
        <v/>
      </c>
      <c r="I63" t="str">
        <f>IF(ISERR(C63),"",INDEX(Spells!$F$1:$F$275,C63))</f>
        <v/>
      </c>
      <c r="J63" t="str">
        <f>IF(ISERR(D63),"",INDEX(Spells!$F$1:$F$275,D63))</f>
        <v/>
      </c>
      <c r="K63" t="str">
        <f>IF(ISERR(E63),"",INDEX(Spells!$F$1:$F$275,E63))</f>
        <v/>
      </c>
      <c r="L63" t="str">
        <f>IF(ISERR(F63),"",INDEX(Spells!$F$1:$F$275,F63))</f>
        <v/>
      </c>
      <c r="M63" t="str">
        <f t="shared" si="0"/>
        <v>Fury, Attack Run, Spin Attack, Se Mederi, Whirlwind Attack, Reditus Doma, Leap, Wrath, Mederi, Se Vis Mederi, (Whirlwind Attack), (Attack Run), (Leap), Rage, (Leap), Vortex Attack</v>
      </c>
      <c r="N63" t="e">
        <f t="shared" si="8"/>
        <v>#VALUE!</v>
      </c>
      <c r="O63">
        <f t="shared" si="1"/>
        <v>0</v>
      </c>
      <c r="P63" t="str">
        <f t="shared" si="9"/>
        <v/>
      </c>
      <c r="Q63">
        <f>COUNTIF($P$4:P$155,"=("&amp;P63&amp;")")</f>
        <v>0</v>
      </c>
      <c r="R63" t="str">
        <f t="shared" si="10"/>
        <v/>
      </c>
      <c r="S63" t="e">
        <f t="array" ref="S63">INDEX($R$4:$R$155,SMALL(IF($R$4:$R$155&lt;&gt;"",ROW($R$4:$R$155)-3),ROW()-3))</f>
        <v>#NUM!</v>
      </c>
      <c r="T63" t="str">
        <f t="shared" si="5"/>
        <v/>
      </c>
    </row>
    <row r="64" spans="1:20">
      <c r="A64" s="10">
        <v>61</v>
      </c>
      <c r="B64">
        <f t="array" ref="B64">SMALL(IF(Spells!$A$1:$A$275=$A64,IF(Spells!$L$1:$L$275=$A$1,ROW(Spells!$A$1:$A$275))),COLUMN(A:A))</f>
        <v>162</v>
      </c>
      <c r="C64" t="e">
        <f t="array" ref="C64">SMALL(IF(Spells!$A$1:$A$275=$A64,IF(Spells!$L$1:$L$275=$A$1,ROW(Spells!$A$1:$A$275))),COLUMN(B:B))</f>
        <v>#NUM!</v>
      </c>
      <c r="D64" t="e">
        <f t="array" ref="D64">SMALL(IF(Spells!$A$1:$A$275=$A64,IF(Spells!$L$1:$L$275=$A$1,ROW(Spells!$A$1:$A$275))),COLUMN(C:C))</f>
        <v>#NUM!</v>
      </c>
      <c r="E64" t="e">
        <f t="array" ref="E64">SMALL(IF(Spells!$A$1:$A$275=$A64,IF(Spells!$L$1:$L$275=$A$1,ROW(Spells!$A$1:$A$275))),COLUMN(D:D))</f>
        <v>#NUM!</v>
      </c>
      <c r="F64" t="e">
        <f t="array" ref="F64">SMALL(IF(Spells!$A$1:$A$275=$A64,IF(Spells!$L$1:$L$275=$A$1,ROW(Spells!$A$1:$A$275))),COLUMN(E:E))</f>
        <v>#NUM!</v>
      </c>
      <c r="G64" t="e">
        <f t="array" ref="G64">SMALL(IF(Spells!$A$1:$A$275=$A64,IF(Spells!$L$1:$L$275=$A$1,ROW(Spells!$A$1:$A$275))),COLUMN(F:F))</f>
        <v>#NUM!</v>
      </c>
      <c r="H64" t="str">
        <f>IF(ISERR(B64),"",INDEX(Spells!$F$1:$F$275,B64))</f>
        <v>(Vortex Attack)</v>
      </c>
      <c r="I64" t="str">
        <f>IF(ISERR(C64),"",INDEX(Spells!$F$1:$F$275,C64))</f>
        <v/>
      </c>
      <c r="J64" t="str">
        <f>IF(ISERR(D64),"",INDEX(Spells!$F$1:$F$275,D64))</f>
        <v/>
      </c>
      <c r="K64" t="str">
        <f>IF(ISERR(E64),"",INDEX(Spells!$F$1:$F$275,E64))</f>
        <v/>
      </c>
      <c r="L64" t="str">
        <f>IF(ISERR(F64),"",INDEX(Spells!$F$1:$F$275,F64))</f>
        <v/>
      </c>
      <c r="M64" t="str">
        <f t="shared" si="0"/>
        <v>Fury, Attack Run, Spin Attack, Se Mederi, Whirlwind Attack, Reditus Doma, Leap, Wrath, Mederi, Se Vis Mederi, (Whirlwind Attack), (Attack Run), (Leap), Rage, (Leap), Vortex Attack, (Vortex Attack)</v>
      </c>
      <c r="N64" t="e">
        <f t="shared" si="8"/>
        <v>#VALUE!</v>
      </c>
      <c r="O64">
        <f t="shared" si="1"/>
        <v>0</v>
      </c>
      <c r="P64" t="str">
        <f t="shared" si="9"/>
        <v/>
      </c>
      <c r="Q64">
        <f>COUNTIF($P$4:P$155,"=("&amp;P64&amp;")")</f>
        <v>0</v>
      </c>
      <c r="R64" t="str">
        <f t="shared" si="10"/>
        <v/>
      </c>
      <c r="S64" t="e">
        <f t="array" ref="S64">INDEX($R$4:$R$155,SMALL(IF($R$4:$R$155&lt;&gt;"",ROW($R$4:$R$155)-3),ROW()-3))</f>
        <v>#NUM!</v>
      </c>
      <c r="T64" t="str">
        <f t="shared" si="5"/>
        <v/>
      </c>
    </row>
    <row r="65" spans="1:20">
      <c r="A65" s="10">
        <v>62</v>
      </c>
      <c r="B65" t="e">
        <f t="array" ref="B65">SMALL(IF(Spells!$A$1:$A$275=$A65,IF(Spells!$L$1:$L$275=$A$1,ROW(Spells!$A$1:$A$275))),COLUMN(A:A))</f>
        <v>#NUM!</v>
      </c>
      <c r="C65" t="e">
        <f t="array" ref="C65">SMALL(IF(Spells!$A$1:$A$275=$A65,IF(Spells!$L$1:$L$275=$A$1,ROW(Spells!$A$1:$A$275))),COLUMN(B:B))</f>
        <v>#NUM!</v>
      </c>
      <c r="D65" t="e">
        <f t="array" ref="D65">SMALL(IF(Spells!$A$1:$A$275=$A65,IF(Spells!$L$1:$L$275=$A$1,ROW(Spells!$A$1:$A$275))),COLUMN(C:C))</f>
        <v>#NUM!</v>
      </c>
      <c r="E65" t="e">
        <f t="array" ref="E65">SMALL(IF(Spells!$A$1:$A$275=$A65,IF(Spells!$L$1:$L$275=$A$1,ROW(Spells!$A$1:$A$275))),COLUMN(D:D))</f>
        <v>#NUM!</v>
      </c>
      <c r="F65" t="e">
        <f t="array" ref="F65">SMALL(IF(Spells!$A$1:$A$275=$A65,IF(Spells!$L$1:$L$275=$A$1,ROW(Spells!$A$1:$A$275))),COLUMN(E:E))</f>
        <v>#NUM!</v>
      </c>
      <c r="G65" t="e">
        <f t="array" ref="G65">SMALL(IF(Spells!$A$1:$A$275=$A65,IF(Spells!$L$1:$L$275=$A$1,ROW(Spells!$A$1:$A$275))),COLUMN(F:F))</f>
        <v>#NUM!</v>
      </c>
      <c r="H65" t="str">
        <f>IF(ISERR(B65),"",INDEX(Spells!$F$1:$F$275,B65))</f>
        <v/>
      </c>
      <c r="I65" t="str">
        <f>IF(ISERR(C65),"",INDEX(Spells!$F$1:$F$275,C65))</f>
        <v/>
      </c>
      <c r="J65" t="str">
        <f>IF(ISERR(D65),"",INDEX(Spells!$F$1:$F$275,D65))</f>
        <v/>
      </c>
      <c r="K65" t="str">
        <f>IF(ISERR(E65),"",INDEX(Spells!$F$1:$F$275,E65))</f>
        <v/>
      </c>
      <c r="L65" t="str">
        <f>IF(ISERR(F65),"",INDEX(Spells!$F$1:$F$275,F65))</f>
        <v/>
      </c>
      <c r="M65" t="str">
        <f t="shared" si="0"/>
        <v>Fury, Attack Run, Spin Attack, Se Mederi, Whirlwind Attack, Reditus Doma, Leap, Wrath, Mederi, Se Vis Mederi, (Whirlwind Attack), (Attack Run), (Leap), Rage, (Leap), Vortex Attack, (Vortex Attack)</v>
      </c>
      <c r="N65" t="e">
        <f t="shared" si="8"/>
        <v>#VALUE!</v>
      </c>
      <c r="O65">
        <f t="shared" si="1"/>
        <v>0</v>
      </c>
      <c r="P65" t="str">
        <f t="shared" si="9"/>
        <v/>
      </c>
      <c r="Q65">
        <f>COUNTIF($P$4:P$155,"=("&amp;P65&amp;")")</f>
        <v>0</v>
      </c>
      <c r="R65" t="str">
        <f t="shared" si="10"/>
        <v/>
      </c>
      <c r="S65" t="e">
        <f t="array" ref="S65">INDEX($R$4:$R$155,SMALL(IF($R$4:$R$155&lt;&gt;"",ROW($R$4:$R$155)-3),ROW()-3))</f>
        <v>#NUM!</v>
      </c>
      <c r="T65" t="str">
        <f t="shared" si="5"/>
        <v/>
      </c>
    </row>
    <row r="66" spans="1:20">
      <c r="A66" s="10">
        <v>63</v>
      </c>
      <c r="B66" t="e">
        <f t="array" ref="B66">SMALL(IF(Spells!$A$1:$A$275=$A66,IF(Spells!$L$1:$L$275=$A$1,ROW(Spells!$A$1:$A$275))),COLUMN(A:A))</f>
        <v>#NUM!</v>
      </c>
      <c r="C66" t="e">
        <f t="array" ref="C66">SMALL(IF(Spells!$A$1:$A$275=$A66,IF(Spells!$L$1:$L$275=$A$1,ROW(Spells!$A$1:$A$275))),COLUMN(B:B))</f>
        <v>#NUM!</v>
      </c>
      <c r="D66" t="e">
        <f t="array" ref="D66">SMALL(IF(Spells!$A$1:$A$275=$A66,IF(Spells!$L$1:$L$275=$A$1,ROW(Spells!$A$1:$A$275))),COLUMN(C:C))</f>
        <v>#NUM!</v>
      </c>
      <c r="E66" t="e">
        <f t="array" ref="E66">SMALL(IF(Spells!$A$1:$A$275=$A66,IF(Spells!$L$1:$L$275=$A$1,ROW(Spells!$A$1:$A$275))),COLUMN(D:D))</f>
        <v>#NUM!</v>
      </c>
      <c r="F66" t="e">
        <f t="array" ref="F66">SMALL(IF(Spells!$A$1:$A$275=$A66,IF(Spells!$L$1:$L$275=$A$1,ROW(Spells!$A$1:$A$275))),COLUMN(E:E))</f>
        <v>#NUM!</v>
      </c>
      <c r="G66" t="e">
        <f t="array" ref="G66">SMALL(IF(Spells!$A$1:$A$275=$A66,IF(Spells!$L$1:$L$275=$A$1,ROW(Spells!$A$1:$A$275))),COLUMN(F:F))</f>
        <v>#NUM!</v>
      </c>
      <c r="H66" t="str">
        <f>IF(ISERR(B66),"",INDEX(Spells!$F$1:$F$275,B66))</f>
        <v/>
      </c>
      <c r="I66" t="str">
        <f>IF(ISERR(C66),"",INDEX(Spells!$F$1:$F$275,C66))</f>
        <v/>
      </c>
      <c r="J66" t="str">
        <f>IF(ISERR(D66),"",INDEX(Spells!$F$1:$F$275,D66))</f>
        <v/>
      </c>
      <c r="K66" t="str">
        <f>IF(ISERR(E66),"",INDEX(Spells!$F$1:$F$275,E66))</f>
        <v/>
      </c>
      <c r="L66" t="str">
        <f>IF(ISERR(F66),"",INDEX(Spells!$F$1:$F$275,F66))</f>
        <v/>
      </c>
      <c r="M66" t="str">
        <f t="shared" si="0"/>
        <v>Fury, Attack Run, Spin Attack, Se Mederi, Whirlwind Attack, Reditus Doma, Leap, Wrath, Mederi, Se Vis Mederi, (Whirlwind Attack), (Attack Run), (Leap), Rage, (Leap), Vortex Attack, (Vortex Attack)</v>
      </c>
      <c r="N66" t="e">
        <f t="shared" si="8"/>
        <v>#VALUE!</v>
      </c>
      <c r="O66">
        <f t="shared" si="1"/>
        <v>0</v>
      </c>
      <c r="P66" t="str">
        <f t="shared" si="9"/>
        <v/>
      </c>
      <c r="Q66">
        <f>COUNTIF($P$4:P$155,"=("&amp;P66&amp;")")</f>
        <v>0</v>
      </c>
      <c r="R66" t="str">
        <f t="shared" si="10"/>
        <v/>
      </c>
      <c r="S66" t="e">
        <f t="array" ref="S66">INDEX($R$4:$R$155,SMALL(IF($R$4:$R$155&lt;&gt;"",ROW($R$4:$R$155)-3),ROW()-3))</f>
        <v>#NUM!</v>
      </c>
      <c r="T66" t="str">
        <f t="shared" si="5"/>
        <v/>
      </c>
    </row>
    <row r="67" spans="1:20">
      <c r="A67" s="10">
        <v>64</v>
      </c>
      <c r="B67" t="e">
        <f t="array" ref="B67">SMALL(IF(Spells!$A$1:$A$275=$A67,IF(Spells!$L$1:$L$275=$A$1,ROW(Spells!$A$1:$A$275))),COLUMN(A:A))</f>
        <v>#NUM!</v>
      </c>
      <c r="C67" t="e">
        <f t="array" ref="C67">SMALL(IF(Spells!$A$1:$A$275=$A67,IF(Spells!$L$1:$L$275=$A$1,ROW(Spells!$A$1:$A$275))),COLUMN(B:B))</f>
        <v>#NUM!</v>
      </c>
      <c r="D67" t="e">
        <f t="array" ref="D67">SMALL(IF(Spells!$A$1:$A$275=$A67,IF(Spells!$L$1:$L$275=$A$1,ROW(Spells!$A$1:$A$275))),COLUMN(C:C))</f>
        <v>#NUM!</v>
      </c>
      <c r="E67" t="e">
        <f t="array" ref="E67">SMALL(IF(Spells!$A$1:$A$275=$A67,IF(Spells!$L$1:$L$275=$A$1,ROW(Spells!$A$1:$A$275))),COLUMN(D:D))</f>
        <v>#NUM!</v>
      </c>
      <c r="F67" t="e">
        <f t="array" ref="F67">SMALL(IF(Spells!$A$1:$A$275=$A67,IF(Spells!$L$1:$L$275=$A$1,ROW(Spells!$A$1:$A$275))),COLUMN(E:E))</f>
        <v>#NUM!</v>
      </c>
      <c r="G67" t="e">
        <f t="array" ref="G67">SMALL(IF(Spells!$A$1:$A$275=$A67,IF(Spells!$L$1:$L$275=$A$1,ROW(Spells!$A$1:$A$275))),COLUMN(F:F))</f>
        <v>#NUM!</v>
      </c>
      <c r="H67" t="str">
        <f>IF(ISERR(B67),"",INDEX(Spells!$F$1:$F$275,B67))</f>
        <v/>
      </c>
      <c r="I67" t="str">
        <f>IF(ISERR(C67),"",INDEX(Spells!$F$1:$F$275,C67))</f>
        <v/>
      </c>
      <c r="J67" t="str">
        <f>IF(ISERR(D67),"",INDEX(Spells!$F$1:$F$275,D67))</f>
        <v/>
      </c>
      <c r="K67" t="str">
        <f>IF(ISERR(E67),"",INDEX(Spells!$F$1:$F$275,E67))</f>
        <v/>
      </c>
      <c r="L67" t="str">
        <f>IF(ISERR(F67),"",INDEX(Spells!$F$1:$F$275,F67))</f>
        <v/>
      </c>
      <c r="M67" t="str">
        <f t="shared" si="0"/>
        <v>Fury, Attack Run, Spin Attack, Se Mederi, Whirlwind Attack, Reditus Doma, Leap, Wrath, Mederi, Se Vis Mederi, (Whirlwind Attack), (Attack Run), (Leap), Rage, (Leap), Vortex Attack, (Vortex Attack)</v>
      </c>
      <c r="N67" t="e">
        <f t="shared" si="8"/>
        <v>#VALUE!</v>
      </c>
      <c r="O67">
        <f t="shared" si="1"/>
        <v>0</v>
      </c>
      <c r="P67" t="str">
        <f t="shared" si="9"/>
        <v/>
      </c>
      <c r="Q67">
        <f>COUNTIF($P$4:P$155,"=("&amp;P67&amp;")")</f>
        <v>0</v>
      </c>
      <c r="R67" t="str">
        <f t="shared" si="10"/>
        <v/>
      </c>
      <c r="S67" t="e">
        <f t="array" ref="S67">INDEX($R$4:$R$155,SMALL(IF($R$4:$R$155&lt;&gt;"",ROW($R$4:$R$155)-3),ROW()-3))</f>
        <v>#NUM!</v>
      </c>
      <c r="T67" t="str">
        <f t="shared" si="5"/>
        <v/>
      </c>
    </row>
    <row r="68" spans="1:20">
      <c r="A68" s="10">
        <v>65</v>
      </c>
      <c r="B68" t="e">
        <f t="array" ref="B68">SMALL(IF(Spells!$A$1:$A$275=$A68,IF(Spells!$L$1:$L$275=$A$1,ROW(Spells!$A$1:$A$275))),COLUMN(A:A))</f>
        <v>#NUM!</v>
      </c>
      <c r="C68" t="e">
        <f t="array" ref="C68">SMALL(IF(Spells!$A$1:$A$275=$A68,IF(Spells!$L$1:$L$275=$A$1,ROW(Spells!$A$1:$A$275))),COLUMN(B:B))</f>
        <v>#NUM!</v>
      </c>
      <c r="D68" t="e">
        <f t="array" ref="D68">SMALL(IF(Spells!$A$1:$A$275=$A68,IF(Spells!$L$1:$L$275=$A$1,ROW(Spells!$A$1:$A$275))),COLUMN(C:C))</f>
        <v>#NUM!</v>
      </c>
      <c r="E68" t="e">
        <f t="array" ref="E68">SMALL(IF(Spells!$A$1:$A$275=$A68,IF(Spells!$L$1:$L$275=$A$1,ROW(Spells!$A$1:$A$275))),COLUMN(D:D))</f>
        <v>#NUM!</v>
      </c>
      <c r="F68" t="e">
        <f t="array" ref="F68">SMALL(IF(Spells!$A$1:$A$275=$A68,IF(Spells!$L$1:$L$275=$A$1,ROW(Spells!$A$1:$A$275))),COLUMN(E:E))</f>
        <v>#NUM!</v>
      </c>
      <c r="G68" t="e">
        <f t="array" ref="G68">SMALL(IF(Spells!$A$1:$A$275=$A68,IF(Spells!$L$1:$L$275=$A$1,ROW(Spells!$A$1:$A$275))),COLUMN(F:F))</f>
        <v>#NUM!</v>
      </c>
      <c r="H68" t="str">
        <f>IF(ISERR(B68),"",INDEX(Spells!$F$1:$F$275,B68))</f>
        <v/>
      </c>
      <c r="I68" t="str">
        <f>IF(ISERR(C68),"",INDEX(Spells!$F$1:$F$275,C68))</f>
        <v/>
      </c>
      <c r="J68" t="str">
        <f>IF(ISERR(D68),"",INDEX(Spells!$F$1:$F$275,D68))</f>
        <v/>
      </c>
      <c r="K68" t="str">
        <f>IF(ISERR(E68),"",INDEX(Spells!$F$1:$F$275,E68))</f>
        <v/>
      </c>
      <c r="L68" t="str">
        <f>IF(ISERR(F68),"",INDEX(Spells!$F$1:$F$275,F68))</f>
        <v/>
      </c>
      <c r="M68" t="str">
        <f t="shared" ref="M68:M131" si="11">IF(M67="","",M67&amp;IF(H68="","",", "))&amp;IF(H68="","",H68&amp;IF(I68="","",", "))&amp;IF(I68="","",I68&amp;IF(J68="","",", "))&amp;IF(J68="","",J68&amp;IF(K68="","",", "))&amp;IF(K68="","",K68&amp;IF(L68="","",", "))</f>
        <v>Fury, Attack Run, Spin Attack, Se Mederi, Whirlwind Attack, Reditus Doma, Leap, Wrath, Mederi, Se Vis Mederi, (Whirlwind Attack), (Attack Run), (Leap), Rage, (Leap), Vortex Attack, (Vortex Attack)</v>
      </c>
      <c r="N68" t="e">
        <f t="shared" si="8"/>
        <v>#VALUE!</v>
      </c>
      <c r="O68">
        <f t="shared" ref="O68:O131" si="12">IF(ISERR(N68),LEN($N$2),N68)-IF(ISERR(N67),LEN($N$2),N67)</f>
        <v>0</v>
      </c>
      <c r="P68" t="str">
        <f t="shared" si="9"/>
        <v/>
      </c>
      <c r="Q68">
        <f>COUNTIF($P$4:P$155,"=("&amp;P68&amp;")")</f>
        <v>0</v>
      </c>
      <c r="R68" t="str">
        <f t="shared" si="10"/>
        <v/>
      </c>
      <c r="S68" t="e">
        <f t="array" ref="S68">INDEX($R$4:$R$155,SMALL(IF($R$4:$R$155&lt;&gt;"",ROW($R$4:$R$155)-3),ROW()-3))</f>
        <v>#NUM!</v>
      </c>
      <c r="T68" t="str">
        <f t="shared" si="5"/>
        <v/>
      </c>
    </row>
    <row r="69" spans="1:20">
      <c r="A69" s="10">
        <v>66</v>
      </c>
      <c r="B69" t="e">
        <f t="array" ref="B69">SMALL(IF(Spells!$A$1:$A$275=$A69,IF(Spells!$L$1:$L$275=$A$1,ROW(Spells!$A$1:$A$275))),COLUMN(A:A))</f>
        <v>#NUM!</v>
      </c>
      <c r="C69" t="e">
        <f t="array" ref="C69">SMALL(IF(Spells!$A$1:$A$275=$A69,IF(Spells!$L$1:$L$275=$A$1,ROW(Spells!$A$1:$A$275))),COLUMN(B:B))</f>
        <v>#NUM!</v>
      </c>
      <c r="D69" t="e">
        <f t="array" ref="D69">SMALL(IF(Spells!$A$1:$A$275=$A69,IF(Spells!$L$1:$L$275=$A$1,ROW(Spells!$A$1:$A$275))),COLUMN(C:C))</f>
        <v>#NUM!</v>
      </c>
      <c r="E69" t="e">
        <f t="array" ref="E69">SMALL(IF(Spells!$A$1:$A$275=$A69,IF(Spells!$L$1:$L$275=$A$1,ROW(Spells!$A$1:$A$275))),COLUMN(D:D))</f>
        <v>#NUM!</v>
      </c>
      <c r="F69" t="e">
        <f t="array" ref="F69">SMALL(IF(Spells!$A$1:$A$275=$A69,IF(Spells!$L$1:$L$275=$A$1,ROW(Spells!$A$1:$A$275))),COLUMN(E:E))</f>
        <v>#NUM!</v>
      </c>
      <c r="G69" t="e">
        <f t="array" ref="G69">SMALL(IF(Spells!$A$1:$A$275=$A69,IF(Spells!$L$1:$L$275=$A$1,ROW(Spells!$A$1:$A$275))),COLUMN(F:F))</f>
        <v>#NUM!</v>
      </c>
      <c r="H69" t="str">
        <f>IF(ISERR(B69),"",INDEX(Spells!$F$1:$F$275,B69))</f>
        <v/>
      </c>
      <c r="I69" t="str">
        <f>IF(ISERR(C69),"",INDEX(Spells!$F$1:$F$275,C69))</f>
        <v/>
      </c>
      <c r="J69" t="str">
        <f>IF(ISERR(D69),"",INDEX(Spells!$F$1:$F$275,D69))</f>
        <v/>
      </c>
      <c r="K69" t="str">
        <f>IF(ISERR(E69),"",INDEX(Spells!$F$1:$F$275,E69))</f>
        <v/>
      </c>
      <c r="L69" t="str">
        <f>IF(ISERR(F69),"",INDEX(Spells!$F$1:$F$275,F69))</f>
        <v/>
      </c>
      <c r="M69" t="str">
        <f t="shared" si="11"/>
        <v>Fury, Attack Run, Spin Attack, Se Mederi, Whirlwind Attack, Reditus Doma, Leap, Wrath, Mederi, Se Vis Mederi, (Whirlwind Attack), (Attack Run), (Leap), Rage, (Leap), Vortex Attack, (Vortex Attack)</v>
      </c>
      <c r="N69" t="e">
        <f t="shared" ref="N69:N100" si="13">FIND(",",INDEX($M$4:$M$154,T$1),N68+1)</f>
        <v>#VALUE!</v>
      </c>
      <c r="O69">
        <f t="shared" si="12"/>
        <v>0</v>
      </c>
      <c r="P69" t="str">
        <f t="shared" si="9"/>
        <v/>
      </c>
      <c r="Q69">
        <f>COUNTIF($P$4:P$155,"=("&amp;P69&amp;")")</f>
        <v>0</v>
      </c>
      <c r="R69" t="str">
        <f t="shared" si="10"/>
        <v/>
      </c>
      <c r="S69" t="e">
        <f t="array" ref="S69">INDEX($R$4:$R$155,SMALL(IF($R$4:$R$155&lt;&gt;"",ROW($R$4:$R$155)-3),ROW()-3))</f>
        <v>#NUM!</v>
      </c>
      <c r="T69" t="str">
        <f t="shared" si="5"/>
        <v/>
      </c>
    </row>
    <row r="70" spans="1:20">
      <c r="A70" s="10">
        <v>67</v>
      </c>
      <c r="B70" t="e">
        <f t="array" ref="B70">SMALL(IF(Spells!$A$1:$A$275=$A70,IF(Spells!$L$1:$L$275=$A$1,ROW(Spells!$A$1:$A$275))),COLUMN(A:A))</f>
        <v>#NUM!</v>
      </c>
      <c r="C70" t="e">
        <f t="array" ref="C70">SMALL(IF(Spells!$A$1:$A$275=$A70,IF(Spells!$L$1:$L$275=$A$1,ROW(Spells!$A$1:$A$275))),COLUMN(B:B))</f>
        <v>#NUM!</v>
      </c>
      <c r="D70" t="e">
        <f t="array" ref="D70">SMALL(IF(Spells!$A$1:$A$275=$A70,IF(Spells!$L$1:$L$275=$A$1,ROW(Spells!$A$1:$A$275))),COLUMN(C:C))</f>
        <v>#NUM!</v>
      </c>
      <c r="E70" t="e">
        <f t="array" ref="E70">SMALL(IF(Spells!$A$1:$A$275=$A70,IF(Spells!$L$1:$L$275=$A$1,ROW(Spells!$A$1:$A$275))),COLUMN(D:D))</f>
        <v>#NUM!</v>
      </c>
      <c r="F70" t="e">
        <f t="array" ref="F70">SMALL(IF(Spells!$A$1:$A$275=$A70,IF(Spells!$L$1:$L$275=$A$1,ROW(Spells!$A$1:$A$275))),COLUMN(E:E))</f>
        <v>#NUM!</v>
      </c>
      <c r="G70" t="e">
        <f t="array" ref="G70">SMALL(IF(Spells!$A$1:$A$275=$A70,IF(Spells!$L$1:$L$275=$A$1,ROW(Spells!$A$1:$A$275))),COLUMN(F:F))</f>
        <v>#NUM!</v>
      </c>
      <c r="H70" t="str">
        <f>IF(ISERR(B70),"",INDEX(Spells!$F$1:$F$275,B70))</f>
        <v/>
      </c>
      <c r="I70" t="str">
        <f>IF(ISERR(C70),"",INDEX(Spells!$F$1:$F$275,C70))</f>
        <v/>
      </c>
      <c r="J70" t="str">
        <f>IF(ISERR(D70),"",INDEX(Spells!$F$1:$F$275,D70))</f>
        <v/>
      </c>
      <c r="K70" t="str">
        <f>IF(ISERR(E70),"",INDEX(Spells!$F$1:$F$275,E70))</f>
        <v/>
      </c>
      <c r="L70" t="str">
        <f>IF(ISERR(F70),"",INDEX(Spells!$F$1:$F$275,F70))</f>
        <v/>
      </c>
      <c r="M70" t="str">
        <f t="shared" si="11"/>
        <v>Fury, Attack Run, Spin Attack, Se Mederi, Whirlwind Attack, Reditus Doma, Leap, Wrath, Mederi, Se Vis Mederi, (Whirlwind Attack), (Attack Run), (Leap), Rage, (Leap), Vortex Attack, (Vortex Attack)</v>
      </c>
      <c r="N70" t="e">
        <f t="shared" si="13"/>
        <v>#VALUE!</v>
      </c>
      <c r="O70">
        <f t="shared" si="12"/>
        <v>0</v>
      </c>
      <c r="P70" t="str">
        <f t="shared" si="9"/>
        <v/>
      </c>
      <c r="Q70">
        <f>COUNTIF($P$4:P$155,"=("&amp;P70&amp;")")</f>
        <v>0</v>
      </c>
      <c r="R70" t="str">
        <f t="shared" si="10"/>
        <v/>
      </c>
      <c r="S70" t="e">
        <f t="array" ref="S70">INDEX($R$4:$R$155,SMALL(IF($R$4:$R$155&lt;&gt;"",ROW($R$4:$R$155)-3),ROW()-3))</f>
        <v>#NUM!</v>
      </c>
      <c r="T70" t="str">
        <f t="shared" si="5"/>
        <v/>
      </c>
    </row>
    <row r="71" spans="1:20">
      <c r="A71" s="10">
        <v>68</v>
      </c>
      <c r="B71" t="e">
        <f t="array" ref="B71">SMALL(IF(Spells!$A$1:$A$275=$A71,IF(Spells!$L$1:$L$275=$A$1,ROW(Spells!$A$1:$A$275))),COLUMN(A:A))</f>
        <v>#NUM!</v>
      </c>
      <c r="C71" t="e">
        <f t="array" ref="C71">SMALL(IF(Spells!$A$1:$A$275=$A71,IF(Spells!$L$1:$L$275=$A$1,ROW(Spells!$A$1:$A$275))),COLUMN(B:B))</f>
        <v>#NUM!</v>
      </c>
      <c r="D71" t="e">
        <f t="array" ref="D71">SMALL(IF(Spells!$A$1:$A$275=$A71,IF(Spells!$L$1:$L$275=$A$1,ROW(Spells!$A$1:$A$275))),COLUMN(C:C))</f>
        <v>#NUM!</v>
      </c>
      <c r="E71" t="e">
        <f t="array" ref="E71">SMALL(IF(Spells!$A$1:$A$275=$A71,IF(Spells!$L$1:$L$275=$A$1,ROW(Spells!$A$1:$A$275))),COLUMN(D:D))</f>
        <v>#NUM!</v>
      </c>
      <c r="F71" t="e">
        <f t="array" ref="F71">SMALL(IF(Spells!$A$1:$A$275=$A71,IF(Spells!$L$1:$L$275=$A$1,ROW(Spells!$A$1:$A$275))),COLUMN(E:E))</f>
        <v>#NUM!</v>
      </c>
      <c r="G71" t="e">
        <f t="array" ref="G71">SMALL(IF(Spells!$A$1:$A$275=$A71,IF(Spells!$L$1:$L$275=$A$1,ROW(Spells!$A$1:$A$275))),COLUMN(F:F))</f>
        <v>#NUM!</v>
      </c>
      <c r="H71" t="str">
        <f>IF(ISERR(B71),"",INDEX(Spells!$F$1:$F$275,B71))</f>
        <v/>
      </c>
      <c r="I71" t="str">
        <f>IF(ISERR(C71),"",INDEX(Spells!$F$1:$F$275,C71))</f>
        <v/>
      </c>
      <c r="J71" t="str">
        <f>IF(ISERR(D71),"",INDEX(Spells!$F$1:$F$275,D71))</f>
        <v/>
      </c>
      <c r="K71" t="str">
        <f>IF(ISERR(E71),"",INDEX(Spells!$F$1:$F$275,E71))</f>
        <v/>
      </c>
      <c r="L71" t="str">
        <f>IF(ISERR(F71),"",INDEX(Spells!$F$1:$F$275,F71))</f>
        <v/>
      </c>
      <c r="M71" t="str">
        <f t="shared" si="11"/>
        <v>Fury, Attack Run, Spin Attack, Se Mederi, Whirlwind Attack, Reditus Doma, Leap, Wrath, Mederi, Se Vis Mederi, (Whirlwind Attack), (Attack Run), (Leap), Rage, (Leap), Vortex Attack, (Vortex Attack)</v>
      </c>
      <c r="N71" t="e">
        <f t="shared" si="13"/>
        <v>#VALUE!</v>
      </c>
      <c r="O71">
        <f t="shared" si="12"/>
        <v>0</v>
      </c>
      <c r="P71" t="str">
        <f t="shared" si="9"/>
        <v/>
      </c>
      <c r="Q71">
        <f>COUNTIF($P$4:P$155,"=("&amp;P71&amp;")")</f>
        <v>0</v>
      </c>
      <c r="R71" t="str">
        <f t="shared" si="10"/>
        <v/>
      </c>
      <c r="S71" t="e">
        <f t="array" ref="S71">INDEX($R$4:$R$155,SMALL(IF($R$4:$R$155&lt;&gt;"",ROW($R$4:$R$155)-3),ROW()-3))</f>
        <v>#NUM!</v>
      </c>
      <c r="T71" t="str">
        <f t="shared" si="5"/>
        <v/>
      </c>
    </row>
    <row r="72" spans="1:20">
      <c r="A72" s="10">
        <v>69</v>
      </c>
      <c r="B72" t="e">
        <f t="array" ref="B72">SMALL(IF(Spells!$A$1:$A$275=$A72,IF(Spells!$L$1:$L$275=$A$1,ROW(Spells!$A$1:$A$275))),COLUMN(A:A))</f>
        <v>#NUM!</v>
      </c>
      <c r="C72" t="e">
        <f t="array" ref="C72">SMALL(IF(Spells!$A$1:$A$275=$A72,IF(Spells!$L$1:$L$275=$A$1,ROW(Spells!$A$1:$A$275))),COLUMN(B:B))</f>
        <v>#NUM!</v>
      </c>
      <c r="D72" t="e">
        <f t="array" ref="D72">SMALL(IF(Spells!$A$1:$A$275=$A72,IF(Spells!$L$1:$L$275=$A$1,ROW(Spells!$A$1:$A$275))),COLUMN(C:C))</f>
        <v>#NUM!</v>
      </c>
      <c r="E72" t="e">
        <f t="array" ref="E72">SMALL(IF(Spells!$A$1:$A$275=$A72,IF(Spells!$L$1:$L$275=$A$1,ROW(Spells!$A$1:$A$275))),COLUMN(D:D))</f>
        <v>#NUM!</v>
      </c>
      <c r="F72" t="e">
        <f t="array" ref="F72">SMALL(IF(Spells!$A$1:$A$275=$A72,IF(Spells!$L$1:$L$275=$A$1,ROW(Spells!$A$1:$A$275))),COLUMN(E:E))</f>
        <v>#NUM!</v>
      </c>
      <c r="G72" t="e">
        <f t="array" ref="G72">SMALL(IF(Spells!$A$1:$A$275=$A72,IF(Spells!$L$1:$L$275=$A$1,ROW(Spells!$A$1:$A$275))),COLUMN(F:F))</f>
        <v>#NUM!</v>
      </c>
      <c r="H72" t="str">
        <f>IF(ISERR(B72),"",INDEX(Spells!$F$1:$F$275,B72))</f>
        <v/>
      </c>
      <c r="I72" t="str">
        <f>IF(ISERR(C72),"",INDEX(Spells!$F$1:$F$275,C72))</f>
        <v/>
      </c>
      <c r="J72" t="str">
        <f>IF(ISERR(D72),"",INDEX(Spells!$F$1:$F$275,D72))</f>
        <v/>
      </c>
      <c r="K72" t="str">
        <f>IF(ISERR(E72),"",INDEX(Spells!$F$1:$F$275,E72))</f>
        <v/>
      </c>
      <c r="L72" t="str">
        <f>IF(ISERR(F72),"",INDEX(Spells!$F$1:$F$275,F72))</f>
        <v/>
      </c>
      <c r="M72" t="str">
        <f t="shared" si="11"/>
        <v>Fury, Attack Run, Spin Attack, Se Mederi, Whirlwind Attack, Reditus Doma, Leap, Wrath, Mederi, Se Vis Mederi, (Whirlwind Attack), (Attack Run), (Leap), Rage, (Leap), Vortex Attack, (Vortex Attack)</v>
      </c>
      <c r="N72" t="e">
        <f t="shared" si="13"/>
        <v>#VALUE!</v>
      </c>
      <c r="O72">
        <f t="shared" si="12"/>
        <v>0</v>
      </c>
      <c r="P72" t="str">
        <f t="shared" si="9"/>
        <v/>
      </c>
      <c r="Q72">
        <f>COUNTIF($P$4:P$155,"=("&amp;P72&amp;")")</f>
        <v>0</v>
      </c>
      <c r="R72" t="str">
        <f t="shared" si="10"/>
        <v/>
      </c>
      <c r="S72" t="e">
        <f t="array" ref="S72">INDEX($R$4:$R$155,SMALL(IF($R$4:$R$155&lt;&gt;"",ROW($R$4:$R$155)-3),ROW()-3))</f>
        <v>#NUM!</v>
      </c>
      <c r="T72" t="str">
        <f t="shared" si="5"/>
        <v/>
      </c>
    </row>
    <row r="73" spans="1:20">
      <c r="A73" s="10">
        <v>70</v>
      </c>
      <c r="B73" t="e">
        <f t="array" ref="B73">SMALL(IF(Spells!$A$1:$A$275=$A73,IF(Spells!$L$1:$L$275=$A$1,ROW(Spells!$A$1:$A$275))),COLUMN(A:A))</f>
        <v>#NUM!</v>
      </c>
      <c r="C73" t="e">
        <f t="array" ref="C73">SMALL(IF(Spells!$A$1:$A$275=$A73,IF(Spells!$L$1:$L$275=$A$1,ROW(Spells!$A$1:$A$275))),COLUMN(B:B))</f>
        <v>#NUM!</v>
      </c>
      <c r="D73" t="e">
        <f t="array" ref="D73">SMALL(IF(Spells!$A$1:$A$275=$A73,IF(Spells!$L$1:$L$275=$A$1,ROW(Spells!$A$1:$A$275))),COLUMN(C:C))</f>
        <v>#NUM!</v>
      </c>
      <c r="E73" t="e">
        <f t="array" ref="E73">SMALL(IF(Spells!$A$1:$A$275=$A73,IF(Spells!$L$1:$L$275=$A$1,ROW(Spells!$A$1:$A$275))),COLUMN(D:D))</f>
        <v>#NUM!</v>
      </c>
      <c r="F73" t="e">
        <f t="array" ref="F73">SMALL(IF(Spells!$A$1:$A$275=$A73,IF(Spells!$L$1:$L$275=$A$1,ROW(Spells!$A$1:$A$275))),COLUMN(E:E))</f>
        <v>#NUM!</v>
      </c>
      <c r="G73" t="e">
        <f t="array" ref="G73">SMALL(IF(Spells!$A$1:$A$275=$A73,IF(Spells!$L$1:$L$275=$A$1,ROW(Spells!$A$1:$A$275))),COLUMN(F:F))</f>
        <v>#NUM!</v>
      </c>
      <c r="H73" t="str">
        <f>IF(ISERR(B73),"",INDEX(Spells!$F$1:$F$275,B73))</f>
        <v/>
      </c>
      <c r="I73" t="str">
        <f>IF(ISERR(C73),"",INDEX(Spells!$F$1:$F$275,C73))</f>
        <v/>
      </c>
      <c r="J73" t="str">
        <f>IF(ISERR(D73),"",INDEX(Spells!$F$1:$F$275,D73))</f>
        <v/>
      </c>
      <c r="K73" t="str">
        <f>IF(ISERR(E73),"",INDEX(Spells!$F$1:$F$275,E73))</f>
        <v/>
      </c>
      <c r="L73" t="str">
        <f>IF(ISERR(F73),"",INDEX(Spells!$F$1:$F$275,F73))</f>
        <v/>
      </c>
      <c r="M73" t="str">
        <f t="shared" si="11"/>
        <v>Fury, Attack Run, Spin Attack, Se Mederi, Whirlwind Attack, Reditus Doma, Leap, Wrath, Mederi, Se Vis Mederi, (Whirlwind Attack), (Attack Run), (Leap), Rage, (Leap), Vortex Attack, (Vortex Attack)</v>
      </c>
      <c r="N73" t="e">
        <f t="shared" si="13"/>
        <v>#VALUE!</v>
      </c>
      <c r="O73">
        <f t="shared" si="12"/>
        <v>0</v>
      </c>
      <c r="P73" t="str">
        <f t="shared" si="9"/>
        <v/>
      </c>
      <c r="Q73">
        <f>COUNTIF($P$4:P$155,"=("&amp;P73&amp;")")</f>
        <v>0</v>
      </c>
      <c r="R73" t="str">
        <f t="shared" si="10"/>
        <v/>
      </c>
      <c r="S73" t="e">
        <f t="array" ref="S73">INDEX($R$4:$R$155,SMALL(IF($R$4:$R$155&lt;&gt;"",ROW($R$4:$R$155)-3),ROW()-3))</f>
        <v>#NUM!</v>
      </c>
      <c r="T73" t="str">
        <f t="shared" si="5"/>
        <v/>
      </c>
    </row>
    <row r="74" spans="1:20">
      <c r="A74" s="10">
        <v>71</v>
      </c>
      <c r="B74" t="e">
        <f t="array" ref="B74">SMALL(IF(Spells!$A$1:$A$275=$A74,IF(Spells!$L$1:$L$275=$A$1,ROW(Spells!$A$1:$A$275))),COLUMN(A:A))</f>
        <v>#NUM!</v>
      </c>
      <c r="C74" t="e">
        <f t="array" ref="C74">SMALL(IF(Spells!$A$1:$A$275=$A74,IF(Spells!$L$1:$L$275=$A$1,ROW(Spells!$A$1:$A$275))),COLUMN(B:B))</f>
        <v>#NUM!</v>
      </c>
      <c r="D74" t="e">
        <f t="array" ref="D74">SMALL(IF(Spells!$A$1:$A$275=$A74,IF(Spells!$L$1:$L$275=$A$1,ROW(Spells!$A$1:$A$275))),COLUMN(C:C))</f>
        <v>#NUM!</v>
      </c>
      <c r="E74" t="e">
        <f t="array" ref="E74">SMALL(IF(Spells!$A$1:$A$275=$A74,IF(Spells!$L$1:$L$275=$A$1,ROW(Spells!$A$1:$A$275))),COLUMN(D:D))</f>
        <v>#NUM!</v>
      </c>
      <c r="F74" t="e">
        <f t="array" ref="F74">SMALL(IF(Spells!$A$1:$A$275=$A74,IF(Spells!$L$1:$L$275=$A$1,ROW(Spells!$A$1:$A$275))),COLUMN(E:E))</f>
        <v>#NUM!</v>
      </c>
      <c r="G74" t="e">
        <f t="array" ref="G74">SMALL(IF(Spells!$A$1:$A$275=$A74,IF(Spells!$L$1:$L$275=$A$1,ROW(Spells!$A$1:$A$275))),COLUMN(F:F))</f>
        <v>#NUM!</v>
      </c>
      <c r="H74" t="str">
        <f>IF(ISERR(B74),"",INDEX(Spells!$F$1:$F$275,B74))</f>
        <v/>
      </c>
      <c r="I74" t="str">
        <f>IF(ISERR(C74),"",INDEX(Spells!$F$1:$F$275,C74))</f>
        <v/>
      </c>
      <c r="J74" t="str">
        <f>IF(ISERR(D74),"",INDEX(Spells!$F$1:$F$275,D74))</f>
        <v/>
      </c>
      <c r="K74" t="str">
        <f>IF(ISERR(E74),"",INDEX(Spells!$F$1:$F$275,E74))</f>
        <v/>
      </c>
      <c r="L74" t="str">
        <f>IF(ISERR(F74),"",INDEX(Spells!$F$1:$F$275,F74))</f>
        <v/>
      </c>
      <c r="M74" t="str">
        <f t="shared" si="11"/>
        <v>Fury, Attack Run, Spin Attack, Se Mederi, Whirlwind Attack, Reditus Doma, Leap, Wrath, Mederi, Se Vis Mederi, (Whirlwind Attack), (Attack Run), (Leap), Rage, (Leap), Vortex Attack, (Vortex Attack)</v>
      </c>
      <c r="N74" t="e">
        <f t="shared" si="13"/>
        <v>#VALUE!</v>
      </c>
      <c r="O74">
        <f t="shared" si="12"/>
        <v>0</v>
      </c>
      <c r="P74" t="str">
        <f t="shared" si="9"/>
        <v/>
      </c>
      <c r="Q74">
        <f>COUNTIF($P$4:P$155,"=("&amp;P74&amp;")")</f>
        <v>0</v>
      </c>
      <c r="R74" t="str">
        <f t="shared" si="10"/>
        <v/>
      </c>
      <c r="S74" t="e">
        <f t="array" ref="S74">INDEX($R$4:$R$155,SMALL(IF($R$4:$R$155&lt;&gt;"",ROW($R$4:$R$155)-3),ROW()-3))</f>
        <v>#NUM!</v>
      </c>
      <c r="T74" t="str">
        <f t="shared" si="5"/>
        <v/>
      </c>
    </row>
    <row r="75" spans="1:20">
      <c r="A75" s="10">
        <v>72</v>
      </c>
      <c r="B75" t="e">
        <f t="array" ref="B75">SMALL(IF(Spells!$A$1:$A$275=$A75,IF(Spells!$L$1:$L$275=$A$1,ROW(Spells!$A$1:$A$275))),COLUMN(A:A))</f>
        <v>#NUM!</v>
      </c>
      <c r="C75" t="e">
        <f t="array" ref="C75">SMALL(IF(Spells!$A$1:$A$275=$A75,IF(Spells!$L$1:$L$275=$A$1,ROW(Spells!$A$1:$A$275))),COLUMN(B:B))</f>
        <v>#NUM!</v>
      </c>
      <c r="D75" t="e">
        <f t="array" ref="D75">SMALL(IF(Spells!$A$1:$A$275=$A75,IF(Spells!$L$1:$L$275=$A$1,ROW(Spells!$A$1:$A$275))),COLUMN(C:C))</f>
        <v>#NUM!</v>
      </c>
      <c r="E75" t="e">
        <f t="array" ref="E75">SMALL(IF(Spells!$A$1:$A$275=$A75,IF(Spells!$L$1:$L$275=$A$1,ROW(Spells!$A$1:$A$275))),COLUMN(D:D))</f>
        <v>#NUM!</v>
      </c>
      <c r="F75" t="e">
        <f t="array" ref="F75">SMALL(IF(Spells!$A$1:$A$275=$A75,IF(Spells!$L$1:$L$275=$A$1,ROW(Spells!$A$1:$A$275))),COLUMN(E:E))</f>
        <v>#NUM!</v>
      </c>
      <c r="G75" t="e">
        <f t="array" ref="G75">SMALL(IF(Spells!$A$1:$A$275=$A75,IF(Spells!$L$1:$L$275=$A$1,ROW(Spells!$A$1:$A$275))),COLUMN(F:F))</f>
        <v>#NUM!</v>
      </c>
      <c r="H75" t="str">
        <f>IF(ISERR(B75),"",INDEX(Spells!$F$1:$F$275,B75))</f>
        <v/>
      </c>
      <c r="I75" t="str">
        <f>IF(ISERR(C75),"",INDEX(Spells!$F$1:$F$275,C75))</f>
        <v/>
      </c>
      <c r="J75" t="str">
        <f>IF(ISERR(D75),"",INDEX(Spells!$F$1:$F$275,D75))</f>
        <v/>
      </c>
      <c r="K75" t="str">
        <f>IF(ISERR(E75),"",INDEX(Spells!$F$1:$F$275,E75))</f>
        <v/>
      </c>
      <c r="L75" t="str">
        <f>IF(ISERR(F75),"",INDEX(Spells!$F$1:$F$275,F75))</f>
        <v/>
      </c>
      <c r="M75" t="str">
        <f t="shared" si="11"/>
        <v>Fury, Attack Run, Spin Attack, Se Mederi, Whirlwind Attack, Reditus Doma, Leap, Wrath, Mederi, Se Vis Mederi, (Whirlwind Attack), (Attack Run), (Leap), Rage, (Leap), Vortex Attack, (Vortex Attack)</v>
      </c>
      <c r="N75" t="e">
        <f t="shared" si="13"/>
        <v>#VALUE!</v>
      </c>
      <c r="O75">
        <f t="shared" si="12"/>
        <v>0</v>
      </c>
      <c r="P75" t="str">
        <f t="shared" si="9"/>
        <v/>
      </c>
      <c r="Q75">
        <f>COUNTIF($P$4:P$155,"=("&amp;P75&amp;")")</f>
        <v>0</v>
      </c>
      <c r="R75" t="str">
        <f t="shared" si="10"/>
        <v/>
      </c>
      <c r="S75" t="e">
        <f t="array" ref="S75">INDEX($R$4:$R$155,SMALL(IF($R$4:$R$155&lt;&gt;"",ROW($R$4:$R$155)-3),ROW()-3))</f>
        <v>#NUM!</v>
      </c>
      <c r="T75" t="str">
        <f t="shared" si="5"/>
        <v/>
      </c>
    </row>
    <row r="76" spans="1:20">
      <c r="A76" s="10">
        <v>73</v>
      </c>
      <c r="B76" t="e">
        <f t="array" ref="B76">SMALL(IF(Spells!$A$1:$A$275=$A76,IF(Spells!$L$1:$L$275=$A$1,ROW(Spells!$A$1:$A$275))),COLUMN(A:A))</f>
        <v>#NUM!</v>
      </c>
      <c r="C76" t="e">
        <f t="array" ref="C76">SMALL(IF(Spells!$A$1:$A$275=$A76,IF(Spells!$L$1:$L$275=$A$1,ROW(Spells!$A$1:$A$275))),COLUMN(B:B))</f>
        <v>#NUM!</v>
      </c>
      <c r="D76" t="e">
        <f t="array" ref="D76">SMALL(IF(Spells!$A$1:$A$275=$A76,IF(Spells!$L$1:$L$275=$A$1,ROW(Spells!$A$1:$A$275))),COLUMN(C:C))</f>
        <v>#NUM!</v>
      </c>
      <c r="E76" t="e">
        <f t="array" ref="E76">SMALL(IF(Spells!$A$1:$A$275=$A76,IF(Spells!$L$1:$L$275=$A$1,ROW(Spells!$A$1:$A$275))),COLUMN(D:D))</f>
        <v>#NUM!</v>
      </c>
      <c r="F76" t="e">
        <f t="array" ref="F76">SMALL(IF(Spells!$A$1:$A$275=$A76,IF(Spells!$L$1:$L$275=$A$1,ROW(Spells!$A$1:$A$275))),COLUMN(E:E))</f>
        <v>#NUM!</v>
      </c>
      <c r="G76" t="e">
        <f t="array" ref="G76">SMALL(IF(Spells!$A$1:$A$275=$A76,IF(Spells!$L$1:$L$275=$A$1,ROW(Spells!$A$1:$A$275))),COLUMN(F:F))</f>
        <v>#NUM!</v>
      </c>
      <c r="H76" t="str">
        <f>IF(ISERR(B76),"",INDEX(Spells!$F$1:$F$275,B76))</f>
        <v/>
      </c>
      <c r="I76" t="str">
        <f>IF(ISERR(C76),"",INDEX(Spells!$F$1:$F$275,C76))</f>
        <v/>
      </c>
      <c r="J76" t="str">
        <f>IF(ISERR(D76),"",INDEX(Spells!$F$1:$F$275,D76))</f>
        <v/>
      </c>
      <c r="K76" t="str">
        <f>IF(ISERR(E76),"",INDEX(Spells!$F$1:$F$275,E76))</f>
        <v/>
      </c>
      <c r="L76" t="str">
        <f>IF(ISERR(F76),"",INDEX(Spells!$F$1:$F$275,F76))</f>
        <v/>
      </c>
      <c r="M76" t="str">
        <f t="shared" si="11"/>
        <v>Fury, Attack Run, Spin Attack, Se Mederi, Whirlwind Attack, Reditus Doma, Leap, Wrath, Mederi, Se Vis Mederi, (Whirlwind Attack), (Attack Run), (Leap), Rage, (Leap), Vortex Attack, (Vortex Attack)</v>
      </c>
      <c r="N76" t="e">
        <f t="shared" si="13"/>
        <v>#VALUE!</v>
      </c>
      <c r="O76">
        <f t="shared" si="12"/>
        <v>0</v>
      </c>
      <c r="P76" t="str">
        <f t="shared" si="9"/>
        <v/>
      </c>
      <c r="Q76">
        <f>COUNTIF($P$4:P$155,"=("&amp;P76&amp;")")</f>
        <v>0</v>
      </c>
      <c r="R76" t="str">
        <f t="shared" si="10"/>
        <v/>
      </c>
      <c r="S76" t="e">
        <f t="array" ref="S76">INDEX($R$4:$R$155,SMALL(IF($R$4:$R$155&lt;&gt;"",ROW($R$4:$R$155)-3),ROW()-3))</f>
        <v>#NUM!</v>
      </c>
      <c r="T76" t="str">
        <f t="shared" si="5"/>
        <v/>
      </c>
    </row>
    <row r="77" spans="1:20">
      <c r="A77" s="10">
        <v>74</v>
      </c>
      <c r="B77" t="e">
        <f t="array" ref="B77">SMALL(IF(Spells!$A$1:$A$275=$A77,IF(Spells!$L$1:$L$275=$A$1,ROW(Spells!$A$1:$A$275))),COLUMN(A:A))</f>
        <v>#NUM!</v>
      </c>
      <c r="C77" t="e">
        <f t="array" ref="C77">SMALL(IF(Spells!$A$1:$A$275=$A77,IF(Spells!$L$1:$L$275=$A$1,ROW(Spells!$A$1:$A$275))),COLUMN(B:B))</f>
        <v>#NUM!</v>
      </c>
      <c r="D77" t="e">
        <f t="array" ref="D77">SMALL(IF(Spells!$A$1:$A$275=$A77,IF(Spells!$L$1:$L$275=$A$1,ROW(Spells!$A$1:$A$275))),COLUMN(C:C))</f>
        <v>#NUM!</v>
      </c>
      <c r="E77" t="e">
        <f t="array" ref="E77">SMALL(IF(Spells!$A$1:$A$275=$A77,IF(Spells!$L$1:$L$275=$A$1,ROW(Spells!$A$1:$A$275))),COLUMN(D:D))</f>
        <v>#NUM!</v>
      </c>
      <c r="F77" t="e">
        <f t="array" ref="F77">SMALL(IF(Spells!$A$1:$A$275=$A77,IF(Spells!$L$1:$L$275=$A$1,ROW(Spells!$A$1:$A$275))),COLUMN(E:E))</f>
        <v>#NUM!</v>
      </c>
      <c r="G77" t="e">
        <f t="array" ref="G77">SMALL(IF(Spells!$A$1:$A$275=$A77,IF(Spells!$L$1:$L$275=$A$1,ROW(Spells!$A$1:$A$275))),COLUMN(F:F))</f>
        <v>#NUM!</v>
      </c>
      <c r="H77" t="str">
        <f>IF(ISERR(B77),"",INDEX(Spells!$F$1:$F$275,B77))</f>
        <v/>
      </c>
      <c r="I77" t="str">
        <f>IF(ISERR(C77),"",INDEX(Spells!$F$1:$F$275,C77))</f>
        <v/>
      </c>
      <c r="J77" t="str">
        <f>IF(ISERR(D77),"",INDEX(Spells!$F$1:$F$275,D77))</f>
        <v/>
      </c>
      <c r="K77" t="str">
        <f>IF(ISERR(E77),"",INDEX(Spells!$F$1:$F$275,E77))</f>
        <v/>
      </c>
      <c r="L77" t="str">
        <f>IF(ISERR(F77),"",INDEX(Spells!$F$1:$F$275,F77))</f>
        <v/>
      </c>
      <c r="M77" t="str">
        <f t="shared" si="11"/>
        <v>Fury, Attack Run, Spin Attack, Se Mederi, Whirlwind Attack, Reditus Doma, Leap, Wrath, Mederi, Se Vis Mederi, (Whirlwind Attack), (Attack Run), (Leap), Rage, (Leap), Vortex Attack, (Vortex Attack)</v>
      </c>
      <c r="N77" t="e">
        <f t="shared" si="13"/>
        <v>#VALUE!</v>
      </c>
      <c r="O77">
        <f t="shared" si="12"/>
        <v>0</v>
      </c>
      <c r="P77" t="str">
        <f t="shared" si="9"/>
        <v/>
      </c>
      <c r="Q77">
        <f>COUNTIF($P$4:P$155,"=("&amp;P77&amp;")")</f>
        <v>0</v>
      </c>
      <c r="R77" t="str">
        <f t="shared" si="10"/>
        <v/>
      </c>
      <c r="S77" t="e">
        <f t="array" ref="S77">INDEX($R$4:$R$155,SMALL(IF($R$4:$R$155&lt;&gt;"",ROW($R$4:$R$155)-3),ROW()-3))</f>
        <v>#NUM!</v>
      </c>
      <c r="T77" t="str">
        <f t="shared" si="5"/>
        <v/>
      </c>
    </row>
    <row r="78" spans="1:20">
      <c r="A78" s="10">
        <v>75</v>
      </c>
      <c r="B78" t="e">
        <f t="array" ref="B78">SMALL(IF(Spells!$A$1:$A$275=$A78,IF(Spells!$L$1:$L$275=$A$1,ROW(Spells!$A$1:$A$275))),COLUMN(A:A))</f>
        <v>#NUM!</v>
      </c>
      <c r="C78" t="e">
        <f t="array" ref="C78">SMALL(IF(Spells!$A$1:$A$275=$A78,IF(Spells!$L$1:$L$275=$A$1,ROW(Spells!$A$1:$A$275))),COLUMN(B:B))</f>
        <v>#NUM!</v>
      </c>
      <c r="D78" t="e">
        <f t="array" ref="D78">SMALL(IF(Spells!$A$1:$A$275=$A78,IF(Spells!$L$1:$L$275=$A$1,ROW(Spells!$A$1:$A$275))),COLUMN(C:C))</f>
        <v>#NUM!</v>
      </c>
      <c r="E78" t="e">
        <f t="array" ref="E78">SMALL(IF(Spells!$A$1:$A$275=$A78,IF(Spells!$L$1:$L$275=$A$1,ROW(Spells!$A$1:$A$275))),COLUMN(D:D))</f>
        <v>#NUM!</v>
      </c>
      <c r="F78" t="e">
        <f t="array" ref="F78">SMALL(IF(Spells!$A$1:$A$275=$A78,IF(Spells!$L$1:$L$275=$A$1,ROW(Spells!$A$1:$A$275))),COLUMN(E:E))</f>
        <v>#NUM!</v>
      </c>
      <c r="G78" t="e">
        <f t="array" ref="G78">SMALL(IF(Spells!$A$1:$A$275=$A78,IF(Spells!$L$1:$L$275=$A$1,ROW(Spells!$A$1:$A$275))),COLUMN(F:F))</f>
        <v>#NUM!</v>
      </c>
      <c r="H78" t="str">
        <f>IF(ISERR(B78),"",INDEX(Spells!$F$1:$F$275,B78))</f>
        <v/>
      </c>
      <c r="I78" t="str">
        <f>IF(ISERR(C78),"",INDEX(Spells!$F$1:$F$275,C78))</f>
        <v/>
      </c>
      <c r="J78" t="str">
        <f>IF(ISERR(D78),"",INDEX(Spells!$F$1:$F$275,D78))</f>
        <v/>
      </c>
      <c r="K78" t="str">
        <f>IF(ISERR(E78),"",INDEX(Spells!$F$1:$F$275,E78))</f>
        <v/>
      </c>
      <c r="L78" t="str">
        <f>IF(ISERR(F78),"",INDEX(Spells!$F$1:$F$275,F78))</f>
        <v/>
      </c>
      <c r="M78" t="str">
        <f t="shared" si="11"/>
        <v>Fury, Attack Run, Spin Attack, Se Mederi, Whirlwind Attack, Reditus Doma, Leap, Wrath, Mederi, Se Vis Mederi, (Whirlwind Attack), (Attack Run), (Leap), Rage, (Leap), Vortex Attack, (Vortex Attack)</v>
      </c>
      <c r="N78" t="e">
        <f t="shared" si="13"/>
        <v>#VALUE!</v>
      </c>
      <c r="O78">
        <f t="shared" si="12"/>
        <v>0</v>
      </c>
      <c r="P78" t="str">
        <f t="shared" si="9"/>
        <v/>
      </c>
      <c r="Q78">
        <f>COUNTIF($P$4:P$155,"=("&amp;P78&amp;")")</f>
        <v>0</v>
      </c>
      <c r="R78" t="str">
        <f t="shared" si="10"/>
        <v/>
      </c>
      <c r="S78" t="e">
        <f t="array" ref="S78">INDEX($R$4:$R$155,SMALL(IF($R$4:$R$155&lt;&gt;"",ROW($R$4:$R$155)-3),ROW()-3))</f>
        <v>#NUM!</v>
      </c>
      <c r="T78" t="str">
        <f t="shared" si="5"/>
        <v/>
      </c>
    </row>
    <row r="79" spans="1:20">
      <c r="A79" s="10">
        <v>76</v>
      </c>
      <c r="B79" t="e">
        <f t="array" ref="B79">SMALL(IF(Spells!$A$1:$A$275=$A79,IF(Spells!$L$1:$L$275=$A$1,ROW(Spells!$A$1:$A$275))),COLUMN(A:A))</f>
        <v>#NUM!</v>
      </c>
      <c r="C79" t="e">
        <f t="array" ref="C79">SMALL(IF(Spells!$A$1:$A$275=$A79,IF(Spells!$L$1:$L$275=$A$1,ROW(Spells!$A$1:$A$275))),COLUMN(B:B))</f>
        <v>#NUM!</v>
      </c>
      <c r="D79" t="e">
        <f t="array" ref="D79">SMALL(IF(Spells!$A$1:$A$275=$A79,IF(Spells!$L$1:$L$275=$A$1,ROW(Spells!$A$1:$A$275))),COLUMN(C:C))</f>
        <v>#NUM!</v>
      </c>
      <c r="E79" t="e">
        <f t="array" ref="E79">SMALL(IF(Spells!$A$1:$A$275=$A79,IF(Spells!$L$1:$L$275=$A$1,ROW(Spells!$A$1:$A$275))),COLUMN(D:D))</f>
        <v>#NUM!</v>
      </c>
      <c r="F79" t="e">
        <f t="array" ref="F79">SMALL(IF(Spells!$A$1:$A$275=$A79,IF(Spells!$L$1:$L$275=$A$1,ROW(Spells!$A$1:$A$275))),COLUMN(E:E))</f>
        <v>#NUM!</v>
      </c>
      <c r="G79" t="e">
        <f t="array" ref="G79">SMALL(IF(Spells!$A$1:$A$275=$A79,IF(Spells!$L$1:$L$275=$A$1,ROW(Spells!$A$1:$A$275))),COLUMN(F:F))</f>
        <v>#NUM!</v>
      </c>
      <c r="H79" t="str">
        <f>IF(ISERR(B79),"",INDEX(Spells!$F$1:$F$275,B79))</f>
        <v/>
      </c>
      <c r="I79" t="str">
        <f>IF(ISERR(C79),"",INDEX(Spells!$F$1:$F$275,C79))</f>
        <v/>
      </c>
      <c r="J79" t="str">
        <f>IF(ISERR(D79),"",INDEX(Spells!$F$1:$F$275,D79))</f>
        <v/>
      </c>
      <c r="K79" t="str">
        <f>IF(ISERR(E79),"",INDEX(Spells!$F$1:$F$275,E79))</f>
        <v/>
      </c>
      <c r="L79" t="str">
        <f>IF(ISERR(F79),"",INDEX(Spells!$F$1:$F$275,F79))</f>
        <v/>
      </c>
      <c r="M79" t="str">
        <f t="shared" si="11"/>
        <v>Fury, Attack Run, Spin Attack, Se Mederi, Whirlwind Attack, Reditus Doma, Leap, Wrath, Mederi, Se Vis Mederi, (Whirlwind Attack), (Attack Run), (Leap), Rage, (Leap), Vortex Attack, (Vortex Attack)</v>
      </c>
      <c r="N79" t="e">
        <f t="shared" si="13"/>
        <v>#VALUE!</v>
      </c>
      <c r="O79">
        <f t="shared" si="12"/>
        <v>0</v>
      </c>
      <c r="P79" t="str">
        <f t="shared" si="9"/>
        <v/>
      </c>
      <c r="Q79">
        <f>COUNTIF($P$4:P$155,"=("&amp;P79&amp;")")</f>
        <v>0</v>
      </c>
      <c r="R79" t="str">
        <f t="shared" si="10"/>
        <v/>
      </c>
      <c r="S79" t="e">
        <f t="array" ref="S79">INDEX($R$4:$R$155,SMALL(IF($R$4:$R$155&lt;&gt;"",ROW($R$4:$R$155)-3),ROW()-3))</f>
        <v>#NUM!</v>
      </c>
      <c r="T79" t="str">
        <f t="shared" si="5"/>
        <v/>
      </c>
    </row>
    <row r="80" spans="1:20">
      <c r="A80" s="10">
        <v>77</v>
      </c>
      <c r="B80" t="e">
        <f t="array" ref="B80">SMALL(IF(Spells!$A$1:$A$275=$A80,IF(Spells!$L$1:$L$275=$A$1,ROW(Spells!$A$1:$A$275))),COLUMN(A:A))</f>
        <v>#NUM!</v>
      </c>
      <c r="C80" t="e">
        <f t="array" ref="C80">SMALL(IF(Spells!$A$1:$A$275=$A80,IF(Spells!$L$1:$L$275=$A$1,ROW(Spells!$A$1:$A$275))),COLUMN(B:B))</f>
        <v>#NUM!</v>
      </c>
      <c r="D80" t="e">
        <f t="array" ref="D80">SMALL(IF(Spells!$A$1:$A$275=$A80,IF(Spells!$L$1:$L$275=$A$1,ROW(Spells!$A$1:$A$275))),COLUMN(C:C))</f>
        <v>#NUM!</v>
      </c>
      <c r="E80" t="e">
        <f t="array" ref="E80">SMALL(IF(Spells!$A$1:$A$275=$A80,IF(Spells!$L$1:$L$275=$A$1,ROW(Spells!$A$1:$A$275))),COLUMN(D:D))</f>
        <v>#NUM!</v>
      </c>
      <c r="F80" t="e">
        <f t="array" ref="F80">SMALL(IF(Spells!$A$1:$A$275=$A80,IF(Spells!$L$1:$L$275=$A$1,ROW(Spells!$A$1:$A$275))),COLUMN(E:E))</f>
        <v>#NUM!</v>
      </c>
      <c r="G80" t="e">
        <f t="array" ref="G80">SMALL(IF(Spells!$A$1:$A$275=$A80,IF(Spells!$L$1:$L$275=$A$1,ROW(Spells!$A$1:$A$275))),COLUMN(F:F))</f>
        <v>#NUM!</v>
      </c>
      <c r="H80" t="str">
        <f>IF(ISERR(B80),"",INDEX(Spells!$F$1:$F$275,B80))</f>
        <v/>
      </c>
      <c r="I80" t="str">
        <f>IF(ISERR(C80),"",INDEX(Spells!$F$1:$F$275,C80))</f>
        <v/>
      </c>
      <c r="J80" t="str">
        <f>IF(ISERR(D80),"",INDEX(Spells!$F$1:$F$275,D80))</f>
        <v/>
      </c>
      <c r="K80" t="str">
        <f>IF(ISERR(E80),"",INDEX(Spells!$F$1:$F$275,E80))</f>
        <v/>
      </c>
      <c r="L80" t="str">
        <f>IF(ISERR(F80),"",INDEX(Spells!$F$1:$F$275,F80))</f>
        <v/>
      </c>
      <c r="M80" t="str">
        <f t="shared" si="11"/>
        <v>Fury, Attack Run, Spin Attack, Se Mederi, Whirlwind Attack, Reditus Doma, Leap, Wrath, Mederi, Se Vis Mederi, (Whirlwind Attack), (Attack Run), (Leap), Rage, (Leap), Vortex Attack, (Vortex Attack)</v>
      </c>
      <c r="N80" t="e">
        <f t="shared" si="13"/>
        <v>#VALUE!</v>
      </c>
      <c r="O80">
        <f t="shared" si="12"/>
        <v>0</v>
      </c>
      <c r="P80" t="str">
        <f t="shared" si="9"/>
        <v/>
      </c>
      <c r="Q80">
        <f>COUNTIF($P$4:P$155,"=("&amp;P80&amp;")")</f>
        <v>0</v>
      </c>
      <c r="R80" t="str">
        <f t="shared" si="10"/>
        <v/>
      </c>
      <c r="S80" t="e">
        <f t="array" ref="S80">INDEX($R$4:$R$155,SMALL(IF($R$4:$R$155&lt;&gt;"",ROW($R$4:$R$155)-3),ROW()-3))</f>
        <v>#NUM!</v>
      </c>
      <c r="T80" t="str">
        <f t="shared" si="5"/>
        <v/>
      </c>
    </row>
    <row r="81" spans="1:20">
      <c r="A81" s="10">
        <v>78</v>
      </c>
      <c r="B81" t="e">
        <f t="array" ref="B81">SMALL(IF(Spells!$A$1:$A$275=$A81,IF(Spells!$L$1:$L$275=$A$1,ROW(Spells!$A$1:$A$275))),COLUMN(A:A))</f>
        <v>#NUM!</v>
      </c>
      <c r="C81" t="e">
        <f t="array" ref="C81">SMALL(IF(Spells!$A$1:$A$275=$A81,IF(Spells!$L$1:$L$275=$A$1,ROW(Spells!$A$1:$A$275))),COLUMN(B:B))</f>
        <v>#NUM!</v>
      </c>
      <c r="D81" t="e">
        <f t="array" ref="D81">SMALL(IF(Spells!$A$1:$A$275=$A81,IF(Spells!$L$1:$L$275=$A$1,ROW(Spells!$A$1:$A$275))),COLUMN(C:C))</f>
        <v>#NUM!</v>
      </c>
      <c r="E81" t="e">
        <f t="array" ref="E81">SMALL(IF(Spells!$A$1:$A$275=$A81,IF(Spells!$L$1:$L$275=$A$1,ROW(Spells!$A$1:$A$275))),COLUMN(D:D))</f>
        <v>#NUM!</v>
      </c>
      <c r="F81" t="e">
        <f t="array" ref="F81">SMALL(IF(Spells!$A$1:$A$275=$A81,IF(Spells!$L$1:$L$275=$A$1,ROW(Spells!$A$1:$A$275))),COLUMN(E:E))</f>
        <v>#NUM!</v>
      </c>
      <c r="G81" t="e">
        <f t="array" ref="G81">SMALL(IF(Spells!$A$1:$A$275=$A81,IF(Spells!$L$1:$L$275=$A$1,ROW(Spells!$A$1:$A$275))),COLUMN(F:F))</f>
        <v>#NUM!</v>
      </c>
      <c r="H81" t="str">
        <f>IF(ISERR(B81),"",INDEX(Spells!$F$1:$F$275,B81))</f>
        <v/>
      </c>
      <c r="I81" t="str">
        <f>IF(ISERR(C81),"",INDEX(Spells!$F$1:$F$275,C81))</f>
        <v/>
      </c>
      <c r="J81" t="str">
        <f>IF(ISERR(D81),"",INDEX(Spells!$F$1:$F$275,D81))</f>
        <v/>
      </c>
      <c r="K81" t="str">
        <f>IF(ISERR(E81),"",INDEX(Spells!$F$1:$F$275,E81))</f>
        <v/>
      </c>
      <c r="L81" t="str">
        <f>IF(ISERR(F81),"",INDEX(Spells!$F$1:$F$275,F81))</f>
        <v/>
      </c>
      <c r="M81" t="str">
        <f t="shared" si="11"/>
        <v>Fury, Attack Run, Spin Attack, Se Mederi, Whirlwind Attack, Reditus Doma, Leap, Wrath, Mederi, Se Vis Mederi, (Whirlwind Attack), (Attack Run), (Leap), Rage, (Leap), Vortex Attack, (Vortex Attack)</v>
      </c>
      <c r="N81" t="e">
        <f t="shared" si="13"/>
        <v>#VALUE!</v>
      </c>
      <c r="O81">
        <f t="shared" si="12"/>
        <v>0</v>
      </c>
      <c r="P81" t="str">
        <f t="shared" si="9"/>
        <v/>
      </c>
      <c r="Q81">
        <f>COUNTIF($P$4:P$155,"=("&amp;P81&amp;")")</f>
        <v>0</v>
      </c>
      <c r="R81" t="str">
        <f t="shared" si="10"/>
        <v/>
      </c>
      <c r="S81" t="e">
        <f t="array" ref="S81">INDEX($R$4:$R$155,SMALL(IF($R$4:$R$155&lt;&gt;"",ROW($R$4:$R$155)-3),ROW()-3))</f>
        <v>#NUM!</v>
      </c>
      <c r="T81" t="str">
        <f t="shared" si="5"/>
        <v/>
      </c>
    </row>
    <row r="82" spans="1:20">
      <c r="A82" s="10">
        <v>79</v>
      </c>
      <c r="B82" t="e">
        <f t="array" ref="B82">SMALL(IF(Spells!$A$1:$A$275=$A82,IF(Spells!$L$1:$L$275=$A$1,ROW(Spells!$A$1:$A$275))),COLUMN(A:A))</f>
        <v>#NUM!</v>
      </c>
      <c r="C82" t="e">
        <f t="array" ref="C82">SMALL(IF(Spells!$A$1:$A$275=$A82,IF(Spells!$L$1:$L$275=$A$1,ROW(Spells!$A$1:$A$275))),COLUMN(B:B))</f>
        <v>#NUM!</v>
      </c>
      <c r="D82" t="e">
        <f t="array" ref="D82">SMALL(IF(Spells!$A$1:$A$275=$A82,IF(Spells!$L$1:$L$275=$A$1,ROW(Spells!$A$1:$A$275))),COLUMN(C:C))</f>
        <v>#NUM!</v>
      </c>
      <c r="E82" t="e">
        <f t="array" ref="E82">SMALL(IF(Spells!$A$1:$A$275=$A82,IF(Spells!$L$1:$L$275=$A$1,ROW(Spells!$A$1:$A$275))),COLUMN(D:D))</f>
        <v>#NUM!</v>
      </c>
      <c r="F82" t="e">
        <f t="array" ref="F82">SMALL(IF(Spells!$A$1:$A$275=$A82,IF(Spells!$L$1:$L$275=$A$1,ROW(Spells!$A$1:$A$275))),COLUMN(E:E))</f>
        <v>#NUM!</v>
      </c>
      <c r="G82" t="e">
        <f t="array" ref="G82">SMALL(IF(Spells!$A$1:$A$275=$A82,IF(Spells!$L$1:$L$275=$A$1,ROW(Spells!$A$1:$A$275))),COLUMN(F:F))</f>
        <v>#NUM!</v>
      </c>
      <c r="H82" t="str">
        <f>IF(ISERR(B82),"",INDEX(Spells!$F$1:$F$275,B82))</f>
        <v/>
      </c>
      <c r="I82" t="str">
        <f>IF(ISERR(C82),"",INDEX(Spells!$F$1:$F$275,C82))</f>
        <v/>
      </c>
      <c r="J82" t="str">
        <f>IF(ISERR(D82),"",INDEX(Spells!$F$1:$F$275,D82))</f>
        <v/>
      </c>
      <c r="K82" t="str">
        <f>IF(ISERR(E82),"",INDEX(Spells!$F$1:$F$275,E82))</f>
        <v/>
      </c>
      <c r="L82" t="str">
        <f>IF(ISERR(F82),"",INDEX(Spells!$F$1:$F$275,F82))</f>
        <v/>
      </c>
      <c r="M82" t="str">
        <f t="shared" si="11"/>
        <v>Fury, Attack Run, Spin Attack, Se Mederi, Whirlwind Attack, Reditus Doma, Leap, Wrath, Mederi, Se Vis Mederi, (Whirlwind Attack), (Attack Run), (Leap), Rage, (Leap), Vortex Attack, (Vortex Attack)</v>
      </c>
      <c r="N82" t="e">
        <f t="shared" si="13"/>
        <v>#VALUE!</v>
      </c>
      <c r="O82">
        <f t="shared" si="12"/>
        <v>0</v>
      </c>
      <c r="P82" t="str">
        <f t="shared" si="9"/>
        <v/>
      </c>
      <c r="Q82">
        <f>COUNTIF($P$4:P$155,"=("&amp;P82&amp;")")</f>
        <v>0</v>
      </c>
      <c r="R82" t="str">
        <f t="shared" si="10"/>
        <v/>
      </c>
      <c r="S82" t="e">
        <f t="array" ref="S82">INDEX($R$4:$R$155,SMALL(IF($R$4:$R$155&lt;&gt;"",ROW($R$4:$R$155)-3),ROW()-3))</f>
        <v>#NUM!</v>
      </c>
      <c r="T82" t="str">
        <f t="shared" si="5"/>
        <v/>
      </c>
    </row>
    <row r="83" spans="1:20">
      <c r="A83" s="10">
        <v>80</v>
      </c>
      <c r="B83" t="e">
        <f t="array" ref="B83">SMALL(IF(Spells!$A$1:$A$275=$A83,IF(Spells!$L$1:$L$275=$A$1,ROW(Spells!$A$1:$A$275))),COLUMN(A:A))</f>
        <v>#NUM!</v>
      </c>
      <c r="C83" t="e">
        <f t="array" ref="C83">SMALL(IF(Spells!$A$1:$A$275=$A83,IF(Spells!$L$1:$L$275=$A$1,ROW(Spells!$A$1:$A$275))),COLUMN(B:B))</f>
        <v>#NUM!</v>
      </c>
      <c r="D83" t="e">
        <f t="array" ref="D83">SMALL(IF(Spells!$A$1:$A$275=$A83,IF(Spells!$L$1:$L$275=$A$1,ROW(Spells!$A$1:$A$275))),COLUMN(C:C))</f>
        <v>#NUM!</v>
      </c>
      <c r="E83" t="e">
        <f t="array" ref="E83">SMALL(IF(Spells!$A$1:$A$275=$A83,IF(Spells!$L$1:$L$275=$A$1,ROW(Spells!$A$1:$A$275))),COLUMN(D:D))</f>
        <v>#NUM!</v>
      </c>
      <c r="F83" t="e">
        <f t="array" ref="F83">SMALL(IF(Spells!$A$1:$A$275=$A83,IF(Spells!$L$1:$L$275=$A$1,ROW(Spells!$A$1:$A$275))),COLUMN(E:E))</f>
        <v>#NUM!</v>
      </c>
      <c r="G83" t="e">
        <f t="array" ref="G83">SMALL(IF(Spells!$A$1:$A$275=$A83,IF(Spells!$L$1:$L$275=$A$1,ROW(Spells!$A$1:$A$275))),COLUMN(F:F))</f>
        <v>#NUM!</v>
      </c>
      <c r="H83" t="str">
        <f>IF(ISERR(B83),"",INDEX(Spells!$F$1:$F$275,B83))</f>
        <v/>
      </c>
      <c r="I83" t="str">
        <f>IF(ISERR(C83),"",INDEX(Spells!$F$1:$F$275,C83))</f>
        <v/>
      </c>
      <c r="J83" t="str">
        <f>IF(ISERR(D83),"",INDEX(Spells!$F$1:$F$275,D83))</f>
        <v/>
      </c>
      <c r="K83" t="str">
        <f>IF(ISERR(E83),"",INDEX(Spells!$F$1:$F$275,E83))</f>
        <v/>
      </c>
      <c r="L83" t="str">
        <f>IF(ISERR(F83),"",INDEX(Spells!$F$1:$F$275,F83))</f>
        <v/>
      </c>
      <c r="M83" t="str">
        <f t="shared" si="11"/>
        <v>Fury, Attack Run, Spin Attack, Se Mederi, Whirlwind Attack, Reditus Doma, Leap, Wrath, Mederi, Se Vis Mederi, (Whirlwind Attack), (Attack Run), (Leap), Rage, (Leap), Vortex Attack, (Vortex Attack)</v>
      </c>
      <c r="N83" t="e">
        <f t="shared" si="13"/>
        <v>#VALUE!</v>
      </c>
      <c r="O83">
        <f t="shared" si="12"/>
        <v>0</v>
      </c>
      <c r="P83" t="str">
        <f t="shared" si="9"/>
        <v/>
      </c>
      <c r="Q83">
        <f>COUNTIF($P$4:P$155,"=("&amp;P83&amp;")")</f>
        <v>0</v>
      </c>
      <c r="R83" t="str">
        <f t="shared" si="10"/>
        <v/>
      </c>
      <c r="S83" t="e">
        <f t="array" ref="S83">INDEX($R$4:$R$155,SMALL(IF($R$4:$R$155&lt;&gt;"",ROW($R$4:$R$155)-3),ROW()-3))</f>
        <v>#NUM!</v>
      </c>
      <c r="T83" t="str">
        <f t="shared" si="5"/>
        <v/>
      </c>
    </row>
    <row r="84" spans="1:20">
      <c r="A84" s="10">
        <v>81</v>
      </c>
      <c r="B84">
        <f t="array" ref="B84">SMALL(IF(Spells!$A$1:$A$275=$A84,IF(Spells!$L$1:$L$275=$A$1,ROW(Spells!$A$1:$A$275))),COLUMN(A:A))</f>
        <v>163</v>
      </c>
      <c r="C84" t="e">
        <f t="array" ref="C84">SMALL(IF(Spells!$A$1:$A$275=$A84,IF(Spells!$L$1:$L$275=$A$1,ROW(Spells!$A$1:$A$275))),COLUMN(B:B))</f>
        <v>#NUM!</v>
      </c>
      <c r="D84" t="e">
        <f t="array" ref="D84">SMALL(IF(Spells!$A$1:$A$275=$A84,IF(Spells!$L$1:$L$275=$A$1,ROW(Spells!$A$1:$A$275))),COLUMN(C:C))</f>
        <v>#NUM!</v>
      </c>
      <c r="E84" t="e">
        <f t="array" ref="E84">SMALL(IF(Spells!$A$1:$A$275=$A84,IF(Spells!$L$1:$L$275=$A$1,ROW(Spells!$A$1:$A$275))),COLUMN(D:D))</f>
        <v>#NUM!</v>
      </c>
      <c r="F84" t="e">
        <f t="array" ref="F84">SMALL(IF(Spells!$A$1:$A$275=$A84,IF(Spells!$L$1:$L$275=$A$1,ROW(Spells!$A$1:$A$275))),COLUMN(E:E))</f>
        <v>#NUM!</v>
      </c>
      <c r="G84" t="e">
        <f t="array" ref="G84">SMALL(IF(Spells!$A$1:$A$275=$A84,IF(Spells!$L$1:$L$275=$A$1,ROW(Spells!$A$1:$A$275))),COLUMN(F:F))</f>
        <v>#NUM!</v>
      </c>
      <c r="H84" t="str">
        <f>IF(ISERR(B84),"",INDEX(Spells!$F$1:$F$275,B84))</f>
        <v>(Vortex Attack)</v>
      </c>
      <c r="I84" t="str">
        <f>IF(ISERR(C84),"",INDEX(Spells!$F$1:$F$275,C84))</f>
        <v/>
      </c>
      <c r="J84" t="str">
        <f>IF(ISERR(D84),"",INDEX(Spells!$F$1:$F$275,D84))</f>
        <v/>
      </c>
      <c r="K84" t="str">
        <f>IF(ISERR(E84),"",INDEX(Spells!$F$1:$F$275,E84))</f>
        <v/>
      </c>
      <c r="L84" t="str">
        <f>IF(ISERR(F84),"",INDEX(Spells!$F$1:$F$275,F84))</f>
        <v/>
      </c>
      <c r="M84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84" t="e">
        <f t="shared" si="13"/>
        <v>#VALUE!</v>
      </c>
      <c r="O84">
        <f t="shared" si="12"/>
        <v>0</v>
      </c>
      <c r="P84" t="str">
        <f t="shared" si="9"/>
        <v/>
      </c>
      <c r="Q84">
        <f>COUNTIF($P$4:P$155,"=("&amp;P84&amp;")")</f>
        <v>0</v>
      </c>
      <c r="R84" t="str">
        <f t="shared" si="10"/>
        <v/>
      </c>
      <c r="S84" t="e">
        <f t="array" ref="S84">INDEX($R$4:$R$155,SMALL(IF($R$4:$R$155&lt;&gt;"",ROW($R$4:$R$155)-3),ROW()-3))</f>
        <v>#NUM!</v>
      </c>
      <c r="T84" t="str">
        <f t="shared" si="5"/>
        <v/>
      </c>
    </row>
    <row r="85" spans="1:20">
      <c r="A85" s="10">
        <v>82</v>
      </c>
      <c r="B85" t="e">
        <f t="array" ref="B85">SMALL(IF(Spells!$A$1:$A$275=$A85,IF(Spells!$L$1:$L$275=$A$1,ROW(Spells!$A$1:$A$275))),COLUMN(A:A))</f>
        <v>#NUM!</v>
      </c>
      <c r="C85" t="e">
        <f t="array" ref="C85">SMALL(IF(Spells!$A$1:$A$275=$A85,IF(Spells!$L$1:$L$275=$A$1,ROW(Spells!$A$1:$A$275))),COLUMN(B:B))</f>
        <v>#NUM!</v>
      </c>
      <c r="D85" t="e">
        <f t="array" ref="D85">SMALL(IF(Spells!$A$1:$A$275=$A85,IF(Spells!$L$1:$L$275=$A$1,ROW(Spells!$A$1:$A$275))),COLUMN(C:C))</f>
        <v>#NUM!</v>
      </c>
      <c r="E85" t="e">
        <f t="array" ref="E85">SMALL(IF(Spells!$A$1:$A$275=$A85,IF(Spells!$L$1:$L$275=$A$1,ROW(Spells!$A$1:$A$275))),COLUMN(D:D))</f>
        <v>#NUM!</v>
      </c>
      <c r="F85" t="e">
        <f t="array" ref="F85">SMALL(IF(Spells!$A$1:$A$275=$A85,IF(Spells!$L$1:$L$275=$A$1,ROW(Spells!$A$1:$A$275))),COLUMN(E:E))</f>
        <v>#NUM!</v>
      </c>
      <c r="G85" t="e">
        <f t="array" ref="G85">SMALL(IF(Spells!$A$1:$A$275=$A85,IF(Spells!$L$1:$L$275=$A$1,ROW(Spells!$A$1:$A$275))),COLUMN(F:F))</f>
        <v>#NUM!</v>
      </c>
      <c r="H85" t="str">
        <f>IF(ISERR(B85),"",INDEX(Spells!$F$1:$F$275,B85))</f>
        <v/>
      </c>
      <c r="I85" t="str">
        <f>IF(ISERR(C85),"",INDEX(Spells!$F$1:$F$275,C85))</f>
        <v/>
      </c>
      <c r="J85" t="str">
        <f>IF(ISERR(D85),"",INDEX(Spells!$F$1:$F$275,D85))</f>
        <v/>
      </c>
      <c r="K85" t="str">
        <f>IF(ISERR(E85),"",INDEX(Spells!$F$1:$F$275,E85))</f>
        <v/>
      </c>
      <c r="L85" t="str">
        <f>IF(ISERR(F85),"",INDEX(Spells!$F$1:$F$275,F85))</f>
        <v/>
      </c>
      <c r="M85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85" t="e">
        <f t="shared" si="13"/>
        <v>#VALUE!</v>
      </c>
      <c r="O85">
        <f t="shared" si="12"/>
        <v>0</v>
      </c>
      <c r="P85" t="str">
        <f t="shared" si="9"/>
        <v/>
      </c>
      <c r="Q85">
        <f>COUNTIF($P$4:P$155,"=("&amp;P85&amp;")")</f>
        <v>0</v>
      </c>
      <c r="R85" t="str">
        <f t="shared" si="10"/>
        <v/>
      </c>
      <c r="S85" t="e">
        <f t="array" ref="S85">INDEX($R$4:$R$155,SMALL(IF($R$4:$R$155&lt;&gt;"",ROW($R$4:$R$155)-3),ROW()-3))</f>
        <v>#NUM!</v>
      </c>
      <c r="T85" t="str">
        <f t="shared" si="5"/>
        <v/>
      </c>
    </row>
    <row r="86" spans="1:20">
      <c r="A86" s="10">
        <v>83</v>
      </c>
      <c r="B86" t="e">
        <f t="array" ref="B86">SMALL(IF(Spells!$A$1:$A$275=$A86,IF(Spells!$L$1:$L$275=$A$1,ROW(Spells!$A$1:$A$275))),COLUMN(A:A))</f>
        <v>#NUM!</v>
      </c>
      <c r="C86" t="e">
        <f t="array" ref="C86">SMALL(IF(Spells!$A$1:$A$275=$A86,IF(Spells!$L$1:$L$275=$A$1,ROW(Spells!$A$1:$A$275))),COLUMN(B:B))</f>
        <v>#NUM!</v>
      </c>
      <c r="D86" t="e">
        <f t="array" ref="D86">SMALL(IF(Spells!$A$1:$A$275=$A86,IF(Spells!$L$1:$L$275=$A$1,ROW(Spells!$A$1:$A$275))),COLUMN(C:C))</f>
        <v>#NUM!</v>
      </c>
      <c r="E86" t="e">
        <f t="array" ref="E86">SMALL(IF(Spells!$A$1:$A$275=$A86,IF(Spells!$L$1:$L$275=$A$1,ROW(Spells!$A$1:$A$275))),COLUMN(D:D))</f>
        <v>#NUM!</v>
      </c>
      <c r="F86" t="e">
        <f t="array" ref="F86">SMALL(IF(Spells!$A$1:$A$275=$A86,IF(Spells!$L$1:$L$275=$A$1,ROW(Spells!$A$1:$A$275))),COLUMN(E:E))</f>
        <v>#NUM!</v>
      </c>
      <c r="G86" t="e">
        <f t="array" ref="G86">SMALL(IF(Spells!$A$1:$A$275=$A86,IF(Spells!$L$1:$L$275=$A$1,ROW(Spells!$A$1:$A$275))),COLUMN(F:F))</f>
        <v>#NUM!</v>
      </c>
      <c r="H86" t="str">
        <f>IF(ISERR(B86),"",INDEX(Spells!$F$1:$F$275,B86))</f>
        <v/>
      </c>
      <c r="I86" t="str">
        <f>IF(ISERR(C86),"",INDEX(Spells!$F$1:$F$275,C86))</f>
        <v/>
      </c>
      <c r="J86" t="str">
        <f>IF(ISERR(D86),"",INDEX(Spells!$F$1:$F$275,D86))</f>
        <v/>
      </c>
      <c r="K86" t="str">
        <f>IF(ISERR(E86),"",INDEX(Spells!$F$1:$F$275,E86))</f>
        <v/>
      </c>
      <c r="L86" t="str">
        <f>IF(ISERR(F86),"",INDEX(Spells!$F$1:$F$275,F86))</f>
        <v/>
      </c>
      <c r="M86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86" t="e">
        <f t="shared" si="13"/>
        <v>#VALUE!</v>
      </c>
      <c r="O86">
        <f t="shared" si="12"/>
        <v>0</v>
      </c>
      <c r="P86" t="str">
        <f t="shared" si="9"/>
        <v/>
      </c>
      <c r="Q86">
        <f>COUNTIF($P$4:P$155,"=("&amp;P86&amp;")")</f>
        <v>0</v>
      </c>
      <c r="R86" t="str">
        <f t="shared" si="10"/>
        <v/>
      </c>
      <c r="S86" t="e">
        <f t="array" ref="S86">INDEX($R$4:$R$155,SMALL(IF($R$4:$R$155&lt;&gt;"",ROW($R$4:$R$155)-3),ROW()-3))</f>
        <v>#NUM!</v>
      </c>
      <c r="T86" t="str">
        <f t="shared" si="5"/>
        <v/>
      </c>
    </row>
    <row r="87" spans="1:20">
      <c r="A87" s="10">
        <v>84</v>
      </c>
      <c r="B87" t="e">
        <f t="array" ref="B87">SMALL(IF(Spells!$A$1:$A$275=$A87,IF(Spells!$L$1:$L$275=$A$1,ROW(Spells!$A$1:$A$275))),COLUMN(A:A))</f>
        <v>#NUM!</v>
      </c>
      <c r="C87" t="e">
        <f t="array" ref="C87">SMALL(IF(Spells!$A$1:$A$275=$A87,IF(Spells!$L$1:$L$275=$A$1,ROW(Spells!$A$1:$A$275))),COLUMN(B:B))</f>
        <v>#NUM!</v>
      </c>
      <c r="D87" t="e">
        <f t="array" ref="D87">SMALL(IF(Spells!$A$1:$A$275=$A87,IF(Spells!$L$1:$L$275=$A$1,ROW(Spells!$A$1:$A$275))),COLUMN(C:C))</f>
        <v>#NUM!</v>
      </c>
      <c r="E87" t="e">
        <f t="array" ref="E87">SMALL(IF(Spells!$A$1:$A$275=$A87,IF(Spells!$L$1:$L$275=$A$1,ROW(Spells!$A$1:$A$275))),COLUMN(D:D))</f>
        <v>#NUM!</v>
      </c>
      <c r="F87" t="e">
        <f t="array" ref="F87">SMALL(IF(Spells!$A$1:$A$275=$A87,IF(Spells!$L$1:$L$275=$A$1,ROW(Spells!$A$1:$A$275))),COLUMN(E:E))</f>
        <v>#NUM!</v>
      </c>
      <c r="G87" t="e">
        <f t="array" ref="G87">SMALL(IF(Spells!$A$1:$A$275=$A87,IF(Spells!$L$1:$L$275=$A$1,ROW(Spells!$A$1:$A$275))),COLUMN(F:F))</f>
        <v>#NUM!</v>
      </c>
      <c r="H87" t="str">
        <f>IF(ISERR(B87),"",INDEX(Spells!$F$1:$F$275,B87))</f>
        <v/>
      </c>
      <c r="I87" t="str">
        <f>IF(ISERR(C87),"",INDEX(Spells!$F$1:$F$275,C87))</f>
        <v/>
      </c>
      <c r="J87" t="str">
        <f>IF(ISERR(D87),"",INDEX(Spells!$F$1:$F$275,D87))</f>
        <v/>
      </c>
      <c r="K87" t="str">
        <f>IF(ISERR(E87),"",INDEX(Spells!$F$1:$F$275,E87))</f>
        <v/>
      </c>
      <c r="L87" t="str">
        <f>IF(ISERR(F87),"",INDEX(Spells!$F$1:$F$275,F87))</f>
        <v/>
      </c>
      <c r="M87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87" t="e">
        <f t="shared" si="13"/>
        <v>#VALUE!</v>
      </c>
      <c r="O87">
        <f t="shared" si="12"/>
        <v>0</v>
      </c>
      <c r="P87" t="str">
        <f t="shared" si="9"/>
        <v/>
      </c>
      <c r="Q87">
        <f>COUNTIF($P$4:P$155,"=("&amp;P87&amp;")")</f>
        <v>0</v>
      </c>
      <c r="R87" t="str">
        <f t="shared" si="10"/>
        <v/>
      </c>
      <c r="S87" t="e">
        <f t="array" ref="S87">INDEX($R$4:$R$155,SMALL(IF($R$4:$R$155&lt;&gt;"",ROW($R$4:$R$155)-3),ROW()-3))</f>
        <v>#NUM!</v>
      </c>
      <c r="T87" t="str">
        <f t="shared" si="5"/>
        <v/>
      </c>
    </row>
    <row r="88" spans="1:20">
      <c r="A88" s="10">
        <v>85</v>
      </c>
      <c r="B88" t="e">
        <f t="array" ref="B88">SMALL(IF(Spells!$A$1:$A$275=$A88,IF(Spells!$L$1:$L$275=$A$1,ROW(Spells!$A$1:$A$275))),COLUMN(A:A))</f>
        <v>#NUM!</v>
      </c>
      <c r="C88" t="e">
        <f t="array" ref="C88">SMALL(IF(Spells!$A$1:$A$275=$A88,IF(Spells!$L$1:$L$275=$A$1,ROW(Spells!$A$1:$A$275))),COLUMN(B:B))</f>
        <v>#NUM!</v>
      </c>
      <c r="D88" t="e">
        <f t="array" ref="D88">SMALL(IF(Spells!$A$1:$A$275=$A88,IF(Spells!$L$1:$L$275=$A$1,ROW(Spells!$A$1:$A$275))),COLUMN(C:C))</f>
        <v>#NUM!</v>
      </c>
      <c r="E88" t="e">
        <f t="array" ref="E88">SMALL(IF(Spells!$A$1:$A$275=$A88,IF(Spells!$L$1:$L$275=$A$1,ROW(Spells!$A$1:$A$275))),COLUMN(D:D))</f>
        <v>#NUM!</v>
      </c>
      <c r="F88" t="e">
        <f t="array" ref="F88">SMALL(IF(Spells!$A$1:$A$275=$A88,IF(Spells!$L$1:$L$275=$A$1,ROW(Spells!$A$1:$A$275))),COLUMN(E:E))</f>
        <v>#NUM!</v>
      </c>
      <c r="G88" t="e">
        <f t="array" ref="G88">SMALL(IF(Spells!$A$1:$A$275=$A88,IF(Spells!$L$1:$L$275=$A$1,ROW(Spells!$A$1:$A$275))),COLUMN(F:F))</f>
        <v>#NUM!</v>
      </c>
      <c r="H88" t="str">
        <f>IF(ISERR(B88),"",INDEX(Spells!$F$1:$F$275,B88))</f>
        <v/>
      </c>
      <c r="I88" t="str">
        <f>IF(ISERR(C88),"",INDEX(Spells!$F$1:$F$275,C88))</f>
        <v/>
      </c>
      <c r="J88" t="str">
        <f>IF(ISERR(D88),"",INDEX(Spells!$F$1:$F$275,D88))</f>
        <v/>
      </c>
      <c r="K88" t="str">
        <f>IF(ISERR(E88),"",INDEX(Spells!$F$1:$F$275,E88))</f>
        <v/>
      </c>
      <c r="L88" t="str">
        <f>IF(ISERR(F88),"",INDEX(Spells!$F$1:$F$275,F88))</f>
        <v/>
      </c>
      <c r="M88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88" t="e">
        <f t="shared" si="13"/>
        <v>#VALUE!</v>
      </c>
      <c r="O88">
        <f t="shared" si="12"/>
        <v>0</v>
      </c>
      <c r="P88" t="str">
        <f t="shared" si="9"/>
        <v/>
      </c>
      <c r="Q88">
        <f>COUNTIF($P$4:P$155,"=("&amp;P88&amp;")")</f>
        <v>0</v>
      </c>
      <c r="R88" t="str">
        <f t="shared" si="10"/>
        <v/>
      </c>
      <c r="S88" t="e">
        <f t="array" ref="S88">INDEX($R$4:$R$155,SMALL(IF($R$4:$R$155&lt;&gt;"",ROW($R$4:$R$155)-3),ROW()-3))</f>
        <v>#NUM!</v>
      </c>
      <c r="T88" t="str">
        <f t="shared" si="5"/>
        <v/>
      </c>
    </row>
    <row r="89" spans="1:20">
      <c r="A89" s="10">
        <v>86</v>
      </c>
      <c r="B89" t="e">
        <f t="array" ref="B89">SMALL(IF(Spells!$A$1:$A$275=$A89,IF(Spells!$L$1:$L$275=$A$1,ROW(Spells!$A$1:$A$275))),COLUMN(A:A))</f>
        <v>#NUM!</v>
      </c>
      <c r="C89" t="e">
        <f t="array" ref="C89">SMALL(IF(Spells!$A$1:$A$275=$A89,IF(Spells!$L$1:$L$275=$A$1,ROW(Spells!$A$1:$A$275))),COLUMN(B:B))</f>
        <v>#NUM!</v>
      </c>
      <c r="D89" t="e">
        <f t="array" ref="D89">SMALL(IF(Spells!$A$1:$A$275=$A89,IF(Spells!$L$1:$L$275=$A$1,ROW(Spells!$A$1:$A$275))),COLUMN(C:C))</f>
        <v>#NUM!</v>
      </c>
      <c r="E89" t="e">
        <f t="array" ref="E89">SMALL(IF(Spells!$A$1:$A$275=$A89,IF(Spells!$L$1:$L$275=$A$1,ROW(Spells!$A$1:$A$275))),COLUMN(D:D))</f>
        <v>#NUM!</v>
      </c>
      <c r="F89" t="e">
        <f t="array" ref="F89">SMALL(IF(Spells!$A$1:$A$275=$A89,IF(Spells!$L$1:$L$275=$A$1,ROW(Spells!$A$1:$A$275))),COLUMN(E:E))</f>
        <v>#NUM!</v>
      </c>
      <c r="G89" t="e">
        <f t="array" ref="G89">SMALL(IF(Spells!$A$1:$A$275=$A89,IF(Spells!$L$1:$L$275=$A$1,ROW(Spells!$A$1:$A$275))),COLUMN(F:F))</f>
        <v>#NUM!</v>
      </c>
      <c r="H89" t="str">
        <f>IF(ISERR(B89),"",INDEX(Spells!$F$1:$F$275,B89))</f>
        <v/>
      </c>
      <c r="I89" t="str">
        <f>IF(ISERR(C89),"",INDEX(Spells!$F$1:$F$275,C89))</f>
        <v/>
      </c>
      <c r="J89" t="str">
        <f>IF(ISERR(D89),"",INDEX(Spells!$F$1:$F$275,D89))</f>
        <v/>
      </c>
      <c r="K89" t="str">
        <f>IF(ISERR(E89),"",INDEX(Spells!$F$1:$F$275,E89))</f>
        <v/>
      </c>
      <c r="L89" t="str">
        <f>IF(ISERR(F89),"",INDEX(Spells!$F$1:$F$275,F89))</f>
        <v/>
      </c>
      <c r="M89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89" t="e">
        <f t="shared" si="13"/>
        <v>#VALUE!</v>
      </c>
      <c r="O89">
        <f t="shared" si="12"/>
        <v>0</v>
      </c>
      <c r="P89" t="str">
        <f t="shared" si="9"/>
        <v/>
      </c>
      <c r="Q89">
        <f>COUNTIF($P$4:P$155,"=("&amp;P89&amp;")")</f>
        <v>0</v>
      </c>
      <c r="R89" t="str">
        <f t="shared" si="10"/>
        <v/>
      </c>
      <c r="S89" t="e">
        <f t="array" ref="S89">INDEX($R$4:$R$155,SMALL(IF($R$4:$R$155&lt;&gt;"",ROW($R$4:$R$155)-3),ROW()-3))</f>
        <v>#NUM!</v>
      </c>
      <c r="T89" t="str">
        <f t="shared" si="5"/>
        <v/>
      </c>
    </row>
    <row r="90" spans="1:20">
      <c r="A90" s="10">
        <v>87</v>
      </c>
      <c r="B90" t="e">
        <f t="array" ref="B90">SMALL(IF(Spells!$A$1:$A$275=$A90,IF(Spells!$L$1:$L$275=$A$1,ROW(Spells!$A$1:$A$275))),COLUMN(A:A))</f>
        <v>#NUM!</v>
      </c>
      <c r="C90" t="e">
        <f t="array" ref="C90">SMALL(IF(Spells!$A$1:$A$275=$A90,IF(Spells!$L$1:$L$275=$A$1,ROW(Spells!$A$1:$A$275))),COLUMN(B:B))</f>
        <v>#NUM!</v>
      </c>
      <c r="D90" t="e">
        <f t="array" ref="D90">SMALL(IF(Spells!$A$1:$A$275=$A90,IF(Spells!$L$1:$L$275=$A$1,ROW(Spells!$A$1:$A$275))),COLUMN(C:C))</f>
        <v>#NUM!</v>
      </c>
      <c r="E90" t="e">
        <f t="array" ref="E90">SMALL(IF(Spells!$A$1:$A$275=$A90,IF(Spells!$L$1:$L$275=$A$1,ROW(Spells!$A$1:$A$275))),COLUMN(D:D))</f>
        <v>#NUM!</v>
      </c>
      <c r="F90" t="e">
        <f t="array" ref="F90">SMALL(IF(Spells!$A$1:$A$275=$A90,IF(Spells!$L$1:$L$275=$A$1,ROW(Spells!$A$1:$A$275))),COLUMN(E:E))</f>
        <v>#NUM!</v>
      </c>
      <c r="G90" t="e">
        <f t="array" ref="G90">SMALL(IF(Spells!$A$1:$A$275=$A90,IF(Spells!$L$1:$L$275=$A$1,ROW(Spells!$A$1:$A$275))),COLUMN(F:F))</f>
        <v>#NUM!</v>
      </c>
      <c r="H90" t="str">
        <f>IF(ISERR(B90),"",INDEX(Spells!$F$1:$F$275,B90))</f>
        <v/>
      </c>
      <c r="I90" t="str">
        <f>IF(ISERR(C90),"",INDEX(Spells!$F$1:$F$275,C90))</f>
        <v/>
      </c>
      <c r="J90" t="str">
        <f>IF(ISERR(D90),"",INDEX(Spells!$F$1:$F$275,D90))</f>
        <v/>
      </c>
      <c r="K90" t="str">
        <f>IF(ISERR(E90),"",INDEX(Spells!$F$1:$F$275,E90))</f>
        <v/>
      </c>
      <c r="L90" t="str">
        <f>IF(ISERR(F90),"",INDEX(Spells!$F$1:$F$275,F90))</f>
        <v/>
      </c>
      <c r="M90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90" t="e">
        <f t="shared" si="13"/>
        <v>#VALUE!</v>
      </c>
      <c r="O90">
        <f t="shared" si="12"/>
        <v>0</v>
      </c>
      <c r="P90" t="str">
        <f t="shared" si="9"/>
        <v/>
      </c>
      <c r="Q90">
        <f>COUNTIF($P$4:P$155,"=("&amp;P90&amp;")")</f>
        <v>0</v>
      </c>
      <c r="R90" t="str">
        <f t="shared" si="10"/>
        <v/>
      </c>
      <c r="S90" t="e">
        <f t="array" ref="S90">INDEX($R$4:$R$155,SMALL(IF($R$4:$R$155&lt;&gt;"",ROW($R$4:$R$155)-3),ROW()-3))</f>
        <v>#NUM!</v>
      </c>
      <c r="T90" t="str">
        <f t="shared" si="5"/>
        <v/>
      </c>
    </row>
    <row r="91" spans="1:20">
      <c r="A91" s="10">
        <v>88</v>
      </c>
      <c r="B91" t="e">
        <f t="array" ref="B91">SMALL(IF(Spells!$A$1:$A$275=$A91,IF(Spells!$L$1:$L$275=$A$1,ROW(Spells!$A$1:$A$275))),COLUMN(A:A))</f>
        <v>#NUM!</v>
      </c>
      <c r="C91" t="e">
        <f t="array" ref="C91">SMALL(IF(Spells!$A$1:$A$275=$A91,IF(Spells!$L$1:$L$275=$A$1,ROW(Spells!$A$1:$A$275))),COLUMN(B:B))</f>
        <v>#NUM!</v>
      </c>
      <c r="D91" t="e">
        <f t="array" ref="D91">SMALL(IF(Spells!$A$1:$A$275=$A91,IF(Spells!$L$1:$L$275=$A$1,ROW(Spells!$A$1:$A$275))),COLUMN(C:C))</f>
        <v>#NUM!</v>
      </c>
      <c r="E91" t="e">
        <f t="array" ref="E91">SMALL(IF(Spells!$A$1:$A$275=$A91,IF(Spells!$L$1:$L$275=$A$1,ROW(Spells!$A$1:$A$275))),COLUMN(D:D))</f>
        <v>#NUM!</v>
      </c>
      <c r="F91" t="e">
        <f t="array" ref="F91">SMALL(IF(Spells!$A$1:$A$275=$A91,IF(Spells!$L$1:$L$275=$A$1,ROW(Spells!$A$1:$A$275))),COLUMN(E:E))</f>
        <v>#NUM!</v>
      </c>
      <c r="G91" t="e">
        <f t="array" ref="G91">SMALL(IF(Spells!$A$1:$A$275=$A91,IF(Spells!$L$1:$L$275=$A$1,ROW(Spells!$A$1:$A$275))),COLUMN(F:F))</f>
        <v>#NUM!</v>
      </c>
      <c r="H91" t="str">
        <f>IF(ISERR(B91),"",INDEX(Spells!$F$1:$F$275,B91))</f>
        <v/>
      </c>
      <c r="I91" t="str">
        <f>IF(ISERR(C91),"",INDEX(Spells!$F$1:$F$275,C91))</f>
        <v/>
      </c>
      <c r="J91" t="str">
        <f>IF(ISERR(D91),"",INDEX(Spells!$F$1:$F$275,D91))</f>
        <v/>
      </c>
      <c r="K91" t="str">
        <f>IF(ISERR(E91),"",INDEX(Spells!$F$1:$F$275,E91))</f>
        <v/>
      </c>
      <c r="L91" t="str">
        <f>IF(ISERR(F91),"",INDEX(Spells!$F$1:$F$275,F91))</f>
        <v/>
      </c>
      <c r="M91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91" t="e">
        <f t="shared" si="13"/>
        <v>#VALUE!</v>
      </c>
      <c r="O91">
        <f t="shared" si="12"/>
        <v>0</v>
      </c>
      <c r="P91" t="str">
        <f t="shared" si="9"/>
        <v/>
      </c>
      <c r="Q91">
        <f>COUNTIF($P$4:P$155,"=("&amp;P91&amp;")")</f>
        <v>0</v>
      </c>
      <c r="R91" t="str">
        <f t="shared" si="10"/>
        <v/>
      </c>
      <c r="S91" t="e">
        <f t="array" ref="S91">INDEX($R$4:$R$155,SMALL(IF($R$4:$R$155&lt;&gt;"",ROW($R$4:$R$155)-3),ROW()-3))</f>
        <v>#NUM!</v>
      </c>
      <c r="T91" t="str">
        <f t="shared" si="5"/>
        <v/>
      </c>
    </row>
    <row r="92" spans="1:20">
      <c r="A92" s="10">
        <v>89</v>
      </c>
      <c r="B92" t="e">
        <f t="array" ref="B92">SMALL(IF(Spells!$A$1:$A$275=$A92,IF(Spells!$L$1:$L$275=$A$1,ROW(Spells!$A$1:$A$275))),COLUMN(A:A))</f>
        <v>#NUM!</v>
      </c>
      <c r="C92" t="e">
        <f t="array" ref="C92">SMALL(IF(Spells!$A$1:$A$275=$A92,IF(Spells!$L$1:$L$275=$A$1,ROW(Spells!$A$1:$A$275))),COLUMN(B:B))</f>
        <v>#NUM!</v>
      </c>
      <c r="D92" t="e">
        <f t="array" ref="D92">SMALL(IF(Spells!$A$1:$A$275=$A92,IF(Spells!$L$1:$L$275=$A$1,ROW(Spells!$A$1:$A$275))),COLUMN(C:C))</f>
        <v>#NUM!</v>
      </c>
      <c r="E92" t="e">
        <f t="array" ref="E92">SMALL(IF(Spells!$A$1:$A$275=$A92,IF(Spells!$L$1:$L$275=$A$1,ROW(Spells!$A$1:$A$275))),COLUMN(D:D))</f>
        <v>#NUM!</v>
      </c>
      <c r="F92" t="e">
        <f t="array" ref="F92">SMALL(IF(Spells!$A$1:$A$275=$A92,IF(Spells!$L$1:$L$275=$A$1,ROW(Spells!$A$1:$A$275))),COLUMN(E:E))</f>
        <v>#NUM!</v>
      </c>
      <c r="G92" t="e">
        <f t="array" ref="G92">SMALL(IF(Spells!$A$1:$A$275=$A92,IF(Spells!$L$1:$L$275=$A$1,ROW(Spells!$A$1:$A$275))),COLUMN(F:F))</f>
        <v>#NUM!</v>
      </c>
      <c r="H92" t="str">
        <f>IF(ISERR(B92),"",INDEX(Spells!$F$1:$F$275,B92))</f>
        <v/>
      </c>
      <c r="I92" t="str">
        <f>IF(ISERR(C92),"",INDEX(Spells!$F$1:$F$275,C92))</f>
        <v/>
      </c>
      <c r="J92" t="str">
        <f>IF(ISERR(D92),"",INDEX(Spells!$F$1:$F$275,D92))</f>
        <v/>
      </c>
      <c r="K92" t="str">
        <f>IF(ISERR(E92),"",INDEX(Spells!$F$1:$F$275,E92))</f>
        <v/>
      </c>
      <c r="L92" t="str">
        <f>IF(ISERR(F92),"",INDEX(Spells!$F$1:$F$275,F92))</f>
        <v/>
      </c>
      <c r="M92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92" t="e">
        <f t="shared" si="13"/>
        <v>#VALUE!</v>
      </c>
      <c r="O92">
        <f t="shared" si="12"/>
        <v>0</v>
      </c>
      <c r="P92" t="str">
        <f t="shared" si="9"/>
        <v/>
      </c>
      <c r="Q92">
        <f>COUNTIF($P$4:P$155,"=("&amp;P92&amp;")")</f>
        <v>0</v>
      </c>
      <c r="R92" t="str">
        <f t="shared" si="10"/>
        <v/>
      </c>
      <c r="S92" t="e">
        <f t="array" ref="S92">INDEX($R$4:$R$155,SMALL(IF($R$4:$R$155&lt;&gt;"",ROW($R$4:$R$155)-3),ROW()-3))</f>
        <v>#NUM!</v>
      </c>
      <c r="T92" t="str">
        <f t="shared" si="5"/>
        <v/>
      </c>
    </row>
    <row r="93" spans="1:20">
      <c r="A93" s="10">
        <v>90</v>
      </c>
      <c r="B93" t="e">
        <f t="array" ref="B93">SMALL(IF(Spells!$A$1:$A$275=$A93,IF(Spells!$L$1:$L$275=$A$1,ROW(Spells!$A$1:$A$275))),COLUMN(A:A))</f>
        <v>#NUM!</v>
      </c>
      <c r="C93" t="e">
        <f t="array" ref="C93">SMALL(IF(Spells!$A$1:$A$275=$A93,IF(Spells!$L$1:$L$275=$A$1,ROW(Spells!$A$1:$A$275))),COLUMN(B:B))</f>
        <v>#NUM!</v>
      </c>
      <c r="D93" t="e">
        <f t="array" ref="D93">SMALL(IF(Spells!$A$1:$A$275=$A93,IF(Spells!$L$1:$L$275=$A$1,ROW(Spells!$A$1:$A$275))),COLUMN(C:C))</f>
        <v>#NUM!</v>
      </c>
      <c r="E93" t="e">
        <f t="array" ref="E93">SMALL(IF(Spells!$A$1:$A$275=$A93,IF(Spells!$L$1:$L$275=$A$1,ROW(Spells!$A$1:$A$275))),COLUMN(D:D))</f>
        <v>#NUM!</v>
      </c>
      <c r="F93" t="e">
        <f t="array" ref="F93">SMALL(IF(Spells!$A$1:$A$275=$A93,IF(Spells!$L$1:$L$275=$A$1,ROW(Spells!$A$1:$A$275))),COLUMN(E:E))</f>
        <v>#NUM!</v>
      </c>
      <c r="G93" t="e">
        <f t="array" ref="G93">SMALL(IF(Spells!$A$1:$A$275=$A93,IF(Spells!$L$1:$L$275=$A$1,ROW(Spells!$A$1:$A$275))),COLUMN(F:F))</f>
        <v>#NUM!</v>
      </c>
      <c r="H93" t="str">
        <f>IF(ISERR(B93),"",INDEX(Spells!$F$1:$F$275,B93))</f>
        <v/>
      </c>
      <c r="I93" t="str">
        <f>IF(ISERR(C93),"",INDEX(Spells!$F$1:$F$275,C93))</f>
        <v/>
      </c>
      <c r="J93" t="str">
        <f>IF(ISERR(D93),"",INDEX(Spells!$F$1:$F$275,D93))</f>
        <v/>
      </c>
      <c r="K93" t="str">
        <f>IF(ISERR(E93),"",INDEX(Spells!$F$1:$F$275,E93))</f>
        <v/>
      </c>
      <c r="L93" t="str">
        <f>IF(ISERR(F93),"",INDEX(Spells!$F$1:$F$275,F93))</f>
        <v/>
      </c>
      <c r="M93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93" t="e">
        <f t="shared" si="13"/>
        <v>#VALUE!</v>
      </c>
      <c r="O93">
        <f t="shared" si="12"/>
        <v>0</v>
      </c>
      <c r="P93" t="str">
        <f t="shared" si="9"/>
        <v/>
      </c>
      <c r="Q93">
        <f>COUNTIF($P$4:P$155,"=("&amp;P93&amp;")")</f>
        <v>0</v>
      </c>
      <c r="R93" t="str">
        <f t="shared" si="10"/>
        <v/>
      </c>
      <c r="S93" t="e">
        <f t="array" ref="S93">INDEX($R$4:$R$155,SMALL(IF($R$4:$R$155&lt;&gt;"",ROW($R$4:$R$155)-3),ROW()-3))</f>
        <v>#NUM!</v>
      </c>
      <c r="T93" t="str">
        <f t="shared" si="5"/>
        <v/>
      </c>
    </row>
    <row r="94" spans="1:20">
      <c r="A94" s="10">
        <v>91</v>
      </c>
      <c r="B94" t="e">
        <f t="array" ref="B94">SMALL(IF(Spells!$A$1:$A$275=$A94,IF(Spells!$L$1:$L$275=$A$1,ROW(Spells!$A$1:$A$275))),COLUMN(A:A))</f>
        <v>#NUM!</v>
      </c>
      <c r="C94" t="e">
        <f t="array" ref="C94">SMALL(IF(Spells!$A$1:$A$275=$A94,IF(Spells!$L$1:$L$275=$A$1,ROW(Spells!$A$1:$A$275))),COLUMN(B:B))</f>
        <v>#NUM!</v>
      </c>
      <c r="D94" t="e">
        <f t="array" ref="D94">SMALL(IF(Spells!$A$1:$A$275=$A94,IF(Spells!$L$1:$L$275=$A$1,ROW(Spells!$A$1:$A$275))),COLUMN(C:C))</f>
        <v>#NUM!</v>
      </c>
      <c r="E94" t="e">
        <f t="array" ref="E94">SMALL(IF(Spells!$A$1:$A$275=$A94,IF(Spells!$L$1:$L$275=$A$1,ROW(Spells!$A$1:$A$275))),COLUMN(D:D))</f>
        <v>#NUM!</v>
      </c>
      <c r="F94" t="e">
        <f t="array" ref="F94">SMALL(IF(Spells!$A$1:$A$275=$A94,IF(Spells!$L$1:$L$275=$A$1,ROW(Spells!$A$1:$A$275))),COLUMN(E:E))</f>
        <v>#NUM!</v>
      </c>
      <c r="G94" t="e">
        <f t="array" ref="G94">SMALL(IF(Spells!$A$1:$A$275=$A94,IF(Spells!$L$1:$L$275=$A$1,ROW(Spells!$A$1:$A$275))),COLUMN(F:F))</f>
        <v>#NUM!</v>
      </c>
      <c r="H94" t="str">
        <f>IF(ISERR(B94),"",INDEX(Spells!$F$1:$F$275,B94))</f>
        <v/>
      </c>
      <c r="I94" t="str">
        <f>IF(ISERR(C94),"",INDEX(Spells!$F$1:$F$275,C94))</f>
        <v/>
      </c>
      <c r="J94" t="str">
        <f>IF(ISERR(D94),"",INDEX(Spells!$F$1:$F$275,D94))</f>
        <v/>
      </c>
      <c r="K94" t="str">
        <f>IF(ISERR(E94),"",INDEX(Spells!$F$1:$F$275,E94))</f>
        <v/>
      </c>
      <c r="L94" t="str">
        <f>IF(ISERR(F94),"",INDEX(Spells!$F$1:$F$275,F94))</f>
        <v/>
      </c>
      <c r="M94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94" t="e">
        <f t="shared" si="13"/>
        <v>#VALUE!</v>
      </c>
      <c r="O94">
        <f t="shared" si="12"/>
        <v>0</v>
      </c>
      <c r="P94" t="str">
        <f t="shared" si="9"/>
        <v/>
      </c>
      <c r="Q94">
        <f>COUNTIF($P$4:P$155,"=("&amp;P94&amp;")")</f>
        <v>0</v>
      </c>
      <c r="R94" t="str">
        <f t="shared" si="10"/>
        <v/>
      </c>
      <c r="S94" t="e">
        <f t="array" ref="S94">INDEX($R$4:$R$155,SMALL(IF($R$4:$R$155&lt;&gt;"",ROW($R$4:$R$155)-3),ROW()-3))</f>
        <v>#NUM!</v>
      </c>
      <c r="T94" t="str">
        <f t="shared" si="5"/>
        <v/>
      </c>
    </row>
    <row r="95" spans="1:20">
      <c r="A95" s="10">
        <v>92</v>
      </c>
      <c r="B95" t="e">
        <f t="array" ref="B95">SMALL(IF(Spells!$A$1:$A$275=$A95,IF(Spells!$L$1:$L$275=$A$1,ROW(Spells!$A$1:$A$275))),COLUMN(A:A))</f>
        <v>#NUM!</v>
      </c>
      <c r="C95" t="e">
        <f t="array" ref="C95">SMALL(IF(Spells!$A$1:$A$275=$A95,IF(Spells!$L$1:$L$275=$A$1,ROW(Spells!$A$1:$A$275))),COLUMN(B:B))</f>
        <v>#NUM!</v>
      </c>
      <c r="D95" t="e">
        <f t="array" ref="D95">SMALL(IF(Spells!$A$1:$A$275=$A95,IF(Spells!$L$1:$L$275=$A$1,ROW(Spells!$A$1:$A$275))),COLUMN(C:C))</f>
        <v>#NUM!</v>
      </c>
      <c r="E95" t="e">
        <f t="array" ref="E95">SMALL(IF(Spells!$A$1:$A$275=$A95,IF(Spells!$L$1:$L$275=$A$1,ROW(Spells!$A$1:$A$275))),COLUMN(D:D))</f>
        <v>#NUM!</v>
      </c>
      <c r="F95" t="e">
        <f t="array" ref="F95">SMALL(IF(Spells!$A$1:$A$275=$A95,IF(Spells!$L$1:$L$275=$A$1,ROW(Spells!$A$1:$A$275))),COLUMN(E:E))</f>
        <v>#NUM!</v>
      </c>
      <c r="G95" t="e">
        <f t="array" ref="G95">SMALL(IF(Spells!$A$1:$A$275=$A95,IF(Spells!$L$1:$L$275=$A$1,ROW(Spells!$A$1:$A$275))),COLUMN(F:F))</f>
        <v>#NUM!</v>
      </c>
      <c r="H95" t="str">
        <f>IF(ISERR(B95),"",INDEX(Spells!$F$1:$F$275,B95))</f>
        <v/>
      </c>
      <c r="I95" t="str">
        <f>IF(ISERR(C95),"",INDEX(Spells!$F$1:$F$275,C95))</f>
        <v/>
      </c>
      <c r="J95" t="str">
        <f>IF(ISERR(D95),"",INDEX(Spells!$F$1:$F$275,D95))</f>
        <v/>
      </c>
      <c r="K95" t="str">
        <f>IF(ISERR(E95),"",INDEX(Spells!$F$1:$F$275,E95))</f>
        <v/>
      </c>
      <c r="L95" t="str">
        <f>IF(ISERR(F95),"",INDEX(Spells!$F$1:$F$275,F95))</f>
        <v/>
      </c>
      <c r="M95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95" t="e">
        <f t="shared" si="13"/>
        <v>#VALUE!</v>
      </c>
      <c r="O95">
        <f t="shared" si="12"/>
        <v>0</v>
      </c>
      <c r="P95" t="str">
        <f t="shared" si="9"/>
        <v/>
      </c>
      <c r="Q95">
        <f>COUNTIF($P$4:P$155,"=("&amp;P95&amp;")")</f>
        <v>0</v>
      </c>
      <c r="R95" t="str">
        <f t="shared" si="10"/>
        <v/>
      </c>
      <c r="S95" t="e">
        <f t="array" ref="S95">INDEX($R$4:$R$155,SMALL(IF($R$4:$R$155&lt;&gt;"",ROW($R$4:$R$155)-3),ROW()-3))</f>
        <v>#NUM!</v>
      </c>
      <c r="T95" t="str">
        <f t="shared" si="5"/>
        <v/>
      </c>
    </row>
    <row r="96" spans="1:20">
      <c r="A96" s="10">
        <v>93</v>
      </c>
      <c r="B96" t="e">
        <f t="array" ref="B96">SMALL(IF(Spells!$A$1:$A$275=$A96,IF(Spells!$L$1:$L$275=$A$1,ROW(Spells!$A$1:$A$275))),COLUMN(A:A))</f>
        <v>#NUM!</v>
      </c>
      <c r="C96" t="e">
        <f t="array" ref="C96">SMALL(IF(Spells!$A$1:$A$275=$A96,IF(Spells!$L$1:$L$275=$A$1,ROW(Spells!$A$1:$A$275))),COLUMN(B:B))</f>
        <v>#NUM!</v>
      </c>
      <c r="D96" t="e">
        <f t="array" ref="D96">SMALL(IF(Spells!$A$1:$A$275=$A96,IF(Spells!$L$1:$L$275=$A$1,ROW(Spells!$A$1:$A$275))),COLUMN(C:C))</f>
        <v>#NUM!</v>
      </c>
      <c r="E96" t="e">
        <f t="array" ref="E96">SMALL(IF(Spells!$A$1:$A$275=$A96,IF(Spells!$L$1:$L$275=$A$1,ROW(Spells!$A$1:$A$275))),COLUMN(D:D))</f>
        <v>#NUM!</v>
      </c>
      <c r="F96" t="e">
        <f t="array" ref="F96">SMALL(IF(Spells!$A$1:$A$275=$A96,IF(Spells!$L$1:$L$275=$A$1,ROW(Spells!$A$1:$A$275))),COLUMN(E:E))</f>
        <v>#NUM!</v>
      </c>
      <c r="G96" t="e">
        <f t="array" ref="G96">SMALL(IF(Spells!$A$1:$A$275=$A96,IF(Spells!$L$1:$L$275=$A$1,ROW(Spells!$A$1:$A$275))),COLUMN(F:F))</f>
        <v>#NUM!</v>
      </c>
      <c r="H96" t="str">
        <f>IF(ISERR(B96),"",INDEX(Spells!$F$1:$F$275,B96))</f>
        <v/>
      </c>
      <c r="I96" t="str">
        <f>IF(ISERR(C96),"",INDEX(Spells!$F$1:$F$275,C96))</f>
        <v/>
      </c>
      <c r="J96" t="str">
        <f>IF(ISERR(D96),"",INDEX(Spells!$F$1:$F$275,D96))</f>
        <v/>
      </c>
      <c r="K96" t="str">
        <f>IF(ISERR(E96),"",INDEX(Spells!$F$1:$F$275,E96))</f>
        <v/>
      </c>
      <c r="L96" t="str">
        <f>IF(ISERR(F96),"",INDEX(Spells!$F$1:$F$275,F96))</f>
        <v/>
      </c>
      <c r="M96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96" t="e">
        <f t="shared" si="13"/>
        <v>#VALUE!</v>
      </c>
      <c r="O96">
        <f t="shared" si="12"/>
        <v>0</v>
      </c>
      <c r="P96" t="str">
        <f t="shared" si="9"/>
        <v/>
      </c>
      <c r="Q96">
        <f>COUNTIF($P$4:P$155,"=("&amp;P96&amp;")")</f>
        <v>0</v>
      </c>
      <c r="R96" t="str">
        <f t="shared" si="10"/>
        <v/>
      </c>
      <c r="S96" t="e">
        <f t="array" ref="S96">INDEX($R$4:$R$155,SMALL(IF($R$4:$R$155&lt;&gt;"",ROW($R$4:$R$155)-3),ROW()-3))</f>
        <v>#NUM!</v>
      </c>
      <c r="T96" t="str">
        <f t="shared" si="5"/>
        <v/>
      </c>
    </row>
    <row r="97" spans="1:20">
      <c r="A97" s="10">
        <v>94</v>
      </c>
      <c r="B97" t="e">
        <f t="array" ref="B97">SMALL(IF(Spells!$A$1:$A$275=$A97,IF(Spells!$L$1:$L$275=$A$1,ROW(Spells!$A$1:$A$275))),COLUMN(A:A))</f>
        <v>#NUM!</v>
      </c>
      <c r="C97" t="e">
        <f t="array" ref="C97">SMALL(IF(Spells!$A$1:$A$275=$A97,IF(Spells!$L$1:$L$275=$A$1,ROW(Spells!$A$1:$A$275))),COLUMN(B:B))</f>
        <v>#NUM!</v>
      </c>
      <c r="D97" t="e">
        <f t="array" ref="D97">SMALL(IF(Spells!$A$1:$A$275=$A97,IF(Spells!$L$1:$L$275=$A$1,ROW(Spells!$A$1:$A$275))),COLUMN(C:C))</f>
        <v>#NUM!</v>
      </c>
      <c r="E97" t="e">
        <f t="array" ref="E97">SMALL(IF(Spells!$A$1:$A$275=$A97,IF(Spells!$L$1:$L$275=$A$1,ROW(Spells!$A$1:$A$275))),COLUMN(D:D))</f>
        <v>#NUM!</v>
      </c>
      <c r="F97" t="e">
        <f t="array" ref="F97">SMALL(IF(Spells!$A$1:$A$275=$A97,IF(Spells!$L$1:$L$275=$A$1,ROW(Spells!$A$1:$A$275))),COLUMN(E:E))</f>
        <v>#NUM!</v>
      </c>
      <c r="G97" t="e">
        <f t="array" ref="G97">SMALL(IF(Spells!$A$1:$A$275=$A97,IF(Spells!$L$1:$L$275=$A$1,ROW(Spells!$A$1:$A$275))),COLUMN(F:F))</f>
        <v>#NUM!</v>
      </c>
      <c r="H97" t="str">
        <f>IF(ISERR(B97),"",INDEX(Spells!$F$1:$F$275,B97))</f>
        <v/>
      </c>
      <c r="I97" t="str">
        <f>IF(ISERR(C97),"",INDEX(Spells!$F$1:$F$275,C97))</f>
        <v/>
      </c>
      <c r="J97" t="str">
        <f>IF(ISERR(D97),"",INDEX(Spells!$F$1:$F$275,D97))</f>
        <v/>
      </c>
      <c r="K97" t="str">
        <f>IF(ISERR(E97),"",INDEX(Spells!$F$1:$F$275,E97))</f>
        <v/>
      </c>
      <c r="L97" t="str">
        <f>IF(ISERR(F97),"",INDEX(Spells!$F$1:$F$275,F97))</f>
        <v/>
      </c>
      <c r="M97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97" t="e">
        <f t="shared" si="13"/>
        <v>#VALUE!</v>
      </c>
      <c r="O97">
        <f t="shared" si="12"/>
        <v>0</v>
      </c>
      <c r="P97" t="str">
        <f t="shared" si="9"/>
        <v/>
      </c>
      <c r="Q97">
        <f>COUNTIF($P$4:P$155,"=("&amp;P97&amp;")")</f>
        <v>0</v>
      </c>
      <c r="R97" t="str">
        <f t="shared" si="10"/>
        <v/>
      </c>
      <c r="S97" t="e">
        <f t="array" ref="S97">INDEX($R$4:$R$155,SMALL(IF($R$4:$R$155&lt;&gt;"",ROW($R$4:$R$155)-3),ROW()-3))</f>
        <v>#NUM!</v>
      </c>
      <c r="T97" t="str">
        <f t="shared" si="5"/>
        <v/>
      </c>
    </row>
    <row r="98" spans="1:20">
      <c r="A98" s="10">
        <v>95</v>
      </c>
      <c r="B98" t="e">
        <f t="array" ref="B98">SMALL(IF(Spells!$A$1:$A$275=$A98,IF(Spells!$L$1:$L$275=$A$1,ROW(Spells!$A$1:$A$275))),COLUMN(A:A))</f>
        <v>#NUM!</v>
      </c>
      <c r="C98" t="e">
        <f t="array" ref="C98">SMALL(IF(Spells!$A$1:$A$275=$A98,IF(Spells!$L$1:$L$275=$A$1,ROW(Spells!$A$1:$A$275))),COLUMN(B:B))</f>
        <v>#NUM!</v>
      </c>
      <c r="D98" t="e">
        <f t="array" ref="D98">SMALL(IF(Spells!$A$1:$A$275=$A98,IF(Spells!$L$1:$L$275=$A$1,ROW(Spells!$A$1:$A$275))),COLUMN(C:C))</f>
        <v>#NUM!</v>
      </c>
      <c r="E98" t="e">
        <f t="array" ref="E98">SMALL(IF(Spells!$A$1:$A$275=$A98,IF(Spells!$L$1:$L$275=$A$1,ROW(Spells!$A$1:$A$275))),COLUMN(D:D))</f>
        <v>#NUM!</v>
      </c>
      <c r="F98" t="e">
        <f t="array" ref="F98">SMALL(IF(Spells!$A$1:$A$275=$A98,IF(Spells!$L$1:$L$275=$A$1,ROW(Spells!$A$1:$A$275))),COLUMN(E:E))</f>
        <v>#NUM!</v>
      </c>
      <c r="G98" t="e">
        <f t="array" ref="G98">SMALL(IF(Spells!$A$1:$A$275=$A98,IF(Spells!$L$1:$L$275=$A$1,ROW(Spells!$A$1:$A$275))),COLUMN(F:F))</f>
        <v>#NUM!</v>
      </c>
      <c r="H98" t="str">
        <f>IF(ISERR(B98),"",INDEX(Spells!$F$1:$F$275,B98))</f>
        <v/>
      </c>
      <c r="I98" t="str">
        <f>IF(ISERR(C98),"",INDEX(Spells!$F$1:$F$275,C98))</f>
        <v/>
      </c>
      <c r="J98" t="str">
        <f>IF(ISERR(D98),"",INDEX(Spells!$F$1:$F$275,D98))</f>
        <v/>
      </c>
      <c r="K98" t="str">
        <f>IF(ISERR(E98),"",INDEX(Spells!$F$1:$F$275,E98))</f>
        <v/>
      </c>
      <c r="L98" t="str">
        <f>IF(ISERR(F98),"",INDEX(Spells!$F$1:$F$275,F98))</f>
        <v/>
      </c>
      <c r="M98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98" t="e">
        <f t="shared" si="13"/>
        <v>#VALUE!</v>
      </c>
      <c r="O98">
        <f t="shared" si="12"/>
        <v>0</v>
      </c>
      <c r="P98" t="str">
        <f t="shared" si="9"/>
        <v/>
      </c>
      <c r="Q98">
        <f>COUNTIF($P$4:P$155,"=("&amp;P98&amp;")")</f>
        <v>0</v>
      </c>
      <c r="R98" t="str">
        <f t="shared" si="10"/>
        <v/>
      </c>
      <c r="S98" t="e">
        <f t="array" ref="S98">INDEX($R$4:$R$155,SMALL(IF($R$4:$R$155&lt;&gt;"",ROW($R$4:$R$155)-3),ROW()-3))</f>
        <v>#NUM!</v>
      </c>
      <c r="T98" t="str">
        <f t="shared" si="5"/>
        <v/>
      </c>
    </row>
    <row r="99" spans="1:20">
      <c r="A99" s="10">
        <v>96</v>
      </c>
      <c r="B99" t="e">
        <f t="array" ref="B99">SMALL(IF(Spells!$A$1:$A$275=$A99,IF(Spells!$L$1:$L$275=$A$1,ROW(Spells!$A$1:$A$275))),COLUMN(A:A))</f>
        <v>#NUM!</v>
      </c>
      <c r="C99" t="e">
        <f t="array" ref="C99">SMALL(IF(Spells!$A$1:$A$275=$A99,IF(Spells!$L$1:$L$275=$A$1,ROW(Spells!$A$1:$A$275))),COLUMN(B:B))</f>
        <v>#NUM!</v>
      </c>
      <c r="D99" t="e">
        <f t="array" ref="D99">SMALL(IF(Spells!$A$1:$A$275=$A99,IF(Spells!$L$1:$L$275=$A$1,ROW(Spells!$A$1:$A$275))),COLUMN(C:C))</f>
        <v>#NUM!</v>
      </c>
      <c r="E99" t="e">
        <f t="array" ref="E99">SMALL(IF(Spells!$A$1:$A$275=$A99,IF(Spells!$L$1:$L$275=$A$1,ROW(Spells!$A$1:$A$275))),COLUMN(D:D))</f>
        <v>#NUM!</v>
      </c>
      <c r="F99" t="e">
        <f t="array" ref="F99">SMALL(IF(Spells!$A$1:$A$275=$A99,IF(Spells!$L$1:$L$275=$A$1,ROW(Spells!$A$1:$A$275))),COLUMN(E:E))</f>
        <v>#NUM!</v>
      </c>
      <c r="G99" t="e">
        <f t="array" ref="G99">SMALL(IF(Spells!$A$1:$A$275=$A99,IF(Spells!$L$1:$L$275=$A$1,ROW(Spells!$A$1:$A$275))),COLUMN(F:F))</f>
        <v>#NUM!</v>
      </c>
      <c r="H99" t="str">
        <f>IF(ISERR(B99),"",INDEX(Spells!$F$1:$F$275,B99))</f>
        <v/>
      </c>
      <c r="I99" t="str">
        <f>IF(ISERR(C99),"",INDEX(Spells!$F$1:$F$275,C99))</f>
        <v/>
      </c>
      <c r="J99" t="str">
        <f>IF(ISERR(D99),"",INDEX(Spells!$F$1:$F$275,D99))</f>
        <v/>
      </c>
      <c r="K99" t="str">
        <f>IF(ISERR(E99),"",INDEX(Spells!$F$1:$F$275,E99))</f>
        <v/>
      </c>
      <c r="L99" t="str">
        <f>IF(ISERR(F99),"",INDEX(Spells!$F$1:$F$275,F99))</f>
        <v/>
      </c>
      <c r="M99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99" t="e">
        <f t="shared" si="13"/>
        <v>#VALUE!</v>
      </c>
      <c r="O99">
        <f t="shared" si="12"/>
        <v>0</v>
      </c>
      <c r="P99" t="str">
        <f t="shared" si="9"/>
        <v/>
      </c>
      <c r="Q99">
        <f>COUNTIF($P$4:P$155,"=("&amp;P99&amp;")")</f>
        <v>0</v>
      </c>
      <c r="R99" t="str">
        <f t="shared" si="10"/>
        <v/>
      </c>
      <c r="S99" t="e">
        <f t="array" ref="S99">INDEX($R$4:$R$155,SMALL(IF($R$4:$R$155&lt;&gt;"",ROW($R$4:$R$155)-3),ROW()-3))</f>
        <v>#NUM!</v>
      </c>
      <c r="T99" t="str">
        <f t="shared" si="5"/>
        <v/>
      </c>
    </row>
    <row r="100" spans="1:20">
      <c r="A100" s="10">
        <v>97</v>
      </c>
      <c r="B100" t="e">
        <f t="array" ref="B100">SMALL(IF(Spells!$A$1:$A$275=$A100,IF(Spells!$L$1:$L$275=$A$1,ROW(Spells!$A$1:$A$275))),COLUMN(A:A))</f>
        <v>#NUM!</v>
      </c>
      <c r="C100" t="e">
        <f t="array" ref="C100">SMALL(IF(Spells!$A$1:$A$275=$A100,IF(Spells!$L$1:$L$275=$A$1,ROW(Spells!$A$1:$A$275))),COLUMN(B:B))</f>
        <v>#NUM!</v>
      </c>
      <c r="D100" t="e">
        <f t="array" ref="D100">SMALL(IF(Spells!$A$1:$A$275=$A100,IF(Spells!$L$1:$L$275=$A$1,ROW(Spells!$A$1:$A$275))),COLUMN(C:C))</f>
        <v>#NUM!</v>
      </c>
      <c r="E100" t="e">
        <f t="array" ref="E100">SMALL(IF(Spells!$A$1:$A$275=$A100,IF(Spells!$L$1:$L$275=$A$1,ROW(Spells!$A$1:$A$275))),COLUMN(D:D))</f>
        <v>#NUM!</v>
      </c>
      <c r="F100" t="e">
        <f t="array" ref="F100">SMALL(IF(Spells!$A$1:$A$275=$A100,IF(Spells!$L$1:$L$275=$A$1,ROW(Spells!$A$1:$A$275))),COLUMN(E:E))</f>
        <v>#NUM!</v>
      </c>
      <c r="G100" t="e">
        <f t="array" ref="G100">SMALL(IF(Spells!$A$1:$A$275=$A100,IF(Spells!$L$1:$L$275=$A$1,ROW(Spells!$A$1:$A$275))),COLUMN(F:F))</f>
        <v>#NUM!</v>
      </c>
      <c r="H100" t="str">
        <f>IF(ISERR(B100),"",INDEX(Spells!$F$1:$F$275,B100))</f>
        <v/>
      </c>
      <c r="I100" t="str">
        <f>IF(ISERR(C100),"",INDEX(Spells!$F$1:$F$275,C100))</f>
        <v/>
      </c>
      <c r="J100" t="str">
        <f>IF(ISERR(D100),"",INDEX(Spells!$F$1:$F$275,D100))</f>
        <v/>
      </c>
      <c r="K100" t="str">
        <f>IF(ISERR(E100),"",INDEX(Spells!$F$1:$F$275,E100))</f>
        <v/>
      </c>
      <c r="L100" t="str">
        <f>IF(ISERR(F100),"",INDEX(Spells!$F$1:$F$275,F100))</f>
        <v/>
      </c>
      <c r="M100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100" t="e">
        <f t="shared" si="13"/>
        <v>#VALUE!</v>
      </c>
      <c r="O100">
        <f t="shared" si="12"/>
        <v>0</v>
      </c>
      <c r="P100" t="str">
        <f t="shared" si="9"/>
        <v/>
      </c>
      <c r="Q100">
        <f>COUNTIF($P$4:P$155,"=("&amp;P100&amp;")")</f>
        <v>0</v>
      </c>
      <c r="R100" t="str">
        <f t="shared" si="10"/>
        <v/>
      </c>
      <c r="S100" t="e">
        <f t="array" ref="S100">INDEX($R$4:$R$155,SMALL(IF($R$4:$R$155&lt;&gt;"",ROW($R$4:$R$155)-3),ROW()-3))</f>
        <v>#NUM!</v>
      </c>
      <c r="T100" t="str">
        <f t="shared" si="5"/>
        <v/>
      </c>
    </row>
    <row r="101" spans="1:20">
      <c r="A101" s="10">
        <v>98</v>
      </c>
      <c r="B101" t="e">
        <f t="array" ref="B101">SMALL(IF(Spells!$A$1:$A$275=$A101,IF(Spells!$L$1:$L$275=$A$1,ROW(Spells!$A$1:$A$275))),COLUMN(A:A))</f>
        <v>#NUM!</v>
      </c>
      <c r="C101" t="e">
        <f t="array" ref="C101">SMALL(IF(Spells!$A$1:$A$275=$A101,IF(Spells!$L$1:$L$275=$A$1,ROW(Spells!$A$1:$A$275))),COLUMN(B:B))</f>
        <v>#NUM!</v>
      </c>
      <c r="D101" t="e">
        <f t="array" ref="D101">SMALL(IF(Spells!$A$1:$A$275=$A101,IF(Spells!$L$1:$L$275=$A$1,ROW(Spells!$A$1:$A$275))),COLUMN(C:C))</f>
        <v>#NUM!</v>
      </c>
      <c r="E101" t="e">
        <f t="array" ref="E101">SMALL(IF(Spells!$A$1:$A$275=$A101,IF(Spells!$L$1:$L$275=$A$1,ROW(Spells!$A$1:$A$275))),COLUMN(D:D))</f>
        <v>#NUM!</v>
      </c>
      <c r="F101" t="e">
        <f t="array" ref="F101">SMALL(IF(Spells!$A$1:$A$275=$A101,IF(Spells!$L$1:$L$275=$A$1,ROW(Spells!$A$1:$A$275))),COLUMN(E:E))</f>
        <v>#NUM!</v>
      </c>
      <c r="G101" t="e">
        <f t="array" ref="G101">SMALL(IF(Spells!$A$1:$A$275=$A101,IF(Spells!$L$1:$L$275=$A$1,ROW(Spells!$A$1:$A$275))),COLUMN(F:F))</f>
        <v>#NUM!</v>
      </c>
      <c r="H101" t="str">
        <f>IF(ISERR(B101),"",INDEX(Spells!$F$1:$F$275,B101))</f>
        <v/>
      </c>
      <c r="I101" t="str">
        <f>IF(ISERR(C101),"",INDEX(Spells!$F$1:$F$275,C101))</f>
        <v/>
      </c>
      <c r="J101" t="str">
        <f>IF(ISERR(D101),"",INDEX(Spells!$F$1:$F$275,D101))</f>
        <v/>
      </c>
      <c r="K101" t="str">
        <f>IF(ISERR(E101),"",INDEX(Spells!$F$1:$F$275,E101))</f>
        <v/>
      </c>
      <c r="L101" t="str">
        <f>IF(ISERR(F101),"",INDEX(Spells!$F$1:$F$275,F101))</f>
        <v/>
      </c>
      <c r="M101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101" t="e">
        <f t="shared" ref="N101:N132" si="14">FIND(",",INDEX($M$4:$M$154,T$1),N100+1)</f>
        <v>#VALUE!</v>
      </c>
      <c r="O101">
        <f t="shared" si="12"/>
        <v>0</v>
      </c>
      <c r="P101" t="str">
        <f t="shared" si="9"/>
        <v/>
      </c>
      <c r="Q101">
        <f>COUNTIF($P$4:P$155,"=("&amp;P101&amp;")")</f>
        <v>0</v>
      </c>
      <c r="R101" t="str">
        <f t="shared" si="10"/>
        <v/>
      </c>
      <c r="S101" t="e">
        <f t="array" ref="S101">INDEX($R$4:$R$155,SMALL(IF($R$4:$R$155&lt;&gt;"",ROW($R$4:$R$155)-3),ROW()-3))</f>
        <v>#NUM!</v>
      </c>
      <c r="T101" t="str">
        <f t="shared" si="5"/>
        <v/>
      </c>
    </row>
    <row r="102" spans="1:20">
      <c r="A102" s="10">
        <v>99</v>
      </c>
      <c r="B102" t="e">
        <f t="array" ref="B102">SMALL(IF(Spells!$A$1:$A$275=$A102,IF(Spells!$L$1:$L$275=$A$1,ROW(Spells!$A$1:$A$275))),COLUMN(A:A))</f>
        <v>#NUM!</v>
      </c>
      <c r="C102" t="e">
        <f t="array" ref="C102">SMALL(IF(Spells!$A$1:$A$275=$A102,IF(Spells!$L$1:$L$275=$A$1,ROW(Spells!$A$1:$A$275))),COLUMN(B:B))</f>
        <v>#NUM!</v>
      </c>
      <c r="D102" t="e">
        <f t="array" ref="D102">SMALL(IF(Spells!$A$1:$A$275=$A102,IF(Spells!$L$1:$L$275=$A$1,ROW(Spells!$A$1:$A$275))),COLUMN(C:C))</f>
        <v>#NUM!</v>
      </c>
      <c r="E102" t="e">
        <f t="array" ref="E102">SMALL(IF(Spells!$A$1:$A$275=$A102,IF(Spells!$L$1:$L$275=$A$1,ROW(Spells!$A$1:$A$275))),COLUMN(D:D))</f>
        <v>#NUM!</v>
      </c>
      <c r="F102" t="e">
        <f t="array" ref="F102">SMALL(IF(Spells!$A$1:$A$275=$A102,IF(Spells!$L$1:$L$275=$A$1,ROW(Spells!$A$1:$A$275))),COLUMN(E:E))</f>
        <v>#NUM!</v>
      </c>
      <c r="G102" t="e">
        <f t="array" ref="G102">SMALL(IF(Spells!$A$1:$A$275=$A102,IF(Spells!$L$1:$L$275=$A$1,ROW(Spells!$A$1:$A$275))),COLUMN(F:F))</f>
        <v>#NUM!</v>
      </c>
      <c r="H102" t="str">
        <f>IF(ISERR(B102),"",INDEX(Spells!$F$1:$F$275,B102))</f>
        <v/>
      </c>
      <c r="I102" t="str">
        <f>IF(ISERR(C102),"",INDEX(Spells!$F$1:$F$275,C102))</f>
        <v/>
      </c>
      <c r="J102" t="str">
        <f>IF(ISERR(D102),"",INDEX(Spells!$F$1:$F$275,D102))</f>
        <v/>
      </c>
      <c r="K102" t="str">
        <f>IF(ISERR(E102),"",INDEX(Spells!$F$1:$F$275,E102))</f>
        <v/>
      </c>
      <c r="L102" t="str">
        <f>IF(ISERR(F102),"",INDEX(Spells!$F$1:$F$275,F102))</f>
        <v/>
      </c>
      <c r="M102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102" t="e">
        <f t="shared" si="14"/>
        <v>#VALUE!</v>
      </c>
      <c r="O102">
        <f t="shared" si="12"/>
        <v>0</v>
      </c>
      <c r="P102" t="str">
        <f t="shared" si="9"/>
        <v/>
      </c>
      <c r="Q102">
        <f>COUNTIF($P$4:P$155,"=("&amp;P102&amp;")")</f>
        <v>0</v>
      </c>
      <c r="R102" t="str">
        <f t="shared" si="10"/>
        <v/>
      </c>
      <c r="S102" t="e">
        <f t="array" ref="S102">INDEX($R$4:$R$155,SMALL(IF($R$4:$R$155&lt;&gt;"",ROW($R$4:$R$155)-3),ROW()-3))</f>
        <v>#NUM!</v>
      </c>
      <c r="T102" t="str">
        <f t="shared" si="5"/>
        <v/>
      </c>
    </row>
    <row r="103" spans="1:20">
      <c r="A103" s="10">
        <v>100</v>
      </c>
      <c r="B103" t="e">
        <f t="array" ref="B103">SMALL(IF(Spells!$A$1:$A$275=$A103,IF(Spells!$L$1:$L$275=$A$1,ROW(Spells!$A$1:$A$275))),COLUMN(A:A))</f>
        <v>#NUM!</v>
      </c>
      <c r="C103" t="e">
        <f t="array" ref="C103">SMALL(IF(Spells!$A$1:$A$275=$A103,IF(Spells!$L$1:$L$275=$A$1,ROW(Spells!$A$1:$A$275))),COLUMN(B:B))</f>
        <v>#NUM!</v>
      </c>
      <c r="D103" t="e">
        <f t="array" ref="D103">SMALL(IF(Spells!$A$1:$A$275=$A103,IF(Spells!$L$1:$L$275=$A$1,ROW(Spells!$A$1:$A$275))),COLUMN(C:C))</f>
        <v>#NUM!</v>
      </c>
      <c r="E103" t="e">
        <f t="array" ref="E103">SMALL(IF(Spells!$A$1:$A$275=$A103,IF(Spells!$L$1:$L$275=$A$1,ROW(Spells!$A$1:$A$275))),COLUMN(D:D))</f>
        <v>#NUM!</v>
      </c>
      <c r="F103" t="e">
        <f t="array" ref="F103">SMALL(IF(Spells!$A$1:$A$275=$A103,IF(Spells!$L$1:$L$275=$A$1,ROW(Spells!$A$1:$A$275))),COLUMN(E:E))</f>
        <v>#NUM!</v>
      </c>
      <c r="G103" t="e">
        <f t="array" ref="G103">SMALL(IF(Spells!$A$1:$A$275=$A103,IF(Spells!$L$1:$L$275=$A$1,ROW(Spells!$A$1:$A$275))),COLUMN(F:F))</f>
        <v>#NUM!</v>
      </c>
      <c r="H103" t="str">
        <f>IF(ISERR(B103),"",INDEX(Spells!$F$1:$F$275,B103))</f>
        <v/>
      </c>
      <c r="I103" t="str">
        <f>IF(ISERR(C103),"",INDEX(Spells!$F$1:$F$275,C103))</f>
        <v/>
      </c>
      <c r="J103" t="str">
        <f>IF(ISERR(D103),"",INDEX(Spells!$F$1:$F$275,D103))</f>
        <v/>
      </c>
      <c r="K103" t="str">
        <f>IF(ISERR(E103),"",INDEX(Spells!$F$1:$F$275,E103))</f>
        <v/>
      </c>
      <c r="L103" t="str">
        <f>IF(ISERR(F103),"",INDEX(Spells!$F$1:$F$275,F103))</f>
        <v/>
      </c>
      <c r="M103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103" t="e">
        <f t="shared" si="14"/>
        <v>#VALUE!</v>
      </c>
      <c r="O103">
        <f t="shared" si="12"/>
        <v>0</v>
      </c>
      <c r="P103" t="str">
        <f t="shared" ref="P103:P153" si="15">TRIM(RIGHT(LEFT(N$2,IF(ISERR(N103),LEN($N$2),N103-1)),IF(O103&lt;IF(ISERR(N103),0,N103),O103-2,O103)))</f>
        <v/>
      </c>
      <c r="Q103">
        <f>COUNTIF($P$4:P$155,"=("&amp;P103&amp;")")</f>
        <v>0</v>
      </c>
      <c r="R103" t="str">
        <f t="shared" ref="R103:R153" si="16">IF(ISERR(FIND("(",P103)),P103&amp;IF(Q103&gt;0," ("&amp;ROMAN(Q103)&amp;")",""),"")</f>
        <v/>
      </c>
      <c r="S103" t="e">
        <f t="array" ref="S103">INDEX($R$4:$R$155,SMALL(IF($R$4:$R$155&lt;&gt;"",ROW($R$4:$R$155)-3),ROW()-3))</f>
        <v>#NUM!</v>
      </c>
      <c r="T103" t="str">
        <f t="shared" si="5"/>
        <v/>
      </c>
    </row>
    <row r="104" spans="1:20">
      <c r="A104" s="10">
        <v>101</v>
      </c>
      <c r="B104" t="e">
        <f t="array" ref="B104">SMALL(IF(Spells!$A$1:$A$275=$A104,IF(Spells!$L$1:$L$275=$A$1,ROW(Spells!$A$1:$A$275))),COLUMN(A:A))</f>
        <v>#NUM!</v>
      </c>
      <c r="C104" t="e">
        <f t="array" ref="C104">SMALL(IF(Spells!$A$1:$A$275=$A104,IF(Spells!$L$1:$L$275=$A$1,ROW(Spells!$A$1:$A$275))),COLUMN(B:B))</f>
        <v>#NUM!</v>
      </c>
      <c r="D104" t="e">
        <f t="array" ref="D104">SMALL(IF(Spells!$A$1:$A$275=$A104,IF(Spells!$L$1:$L$275=$A$1,ROW(Spells!$A$1:$A$275))),COLUMN(C:C))</f>
        <v>#NUM!</v>
      </c>
      <c r="E104" t="e">
        <f t="array" ref="E104">SMALL(IF(Spells!$A$1:$A$275=$A104,IF(Spells!$L$1:$L$275=$A$1,ROW(Spells!$A$1:$A$275))),COLUMN(D:D))</f>
        <v>#NUM!</v>
      </c>
      <c r="F104" t="e">
        <f t="array" ref="F104">SMALL(IF(Spells!$A$1:$A$275=$A104,IF(Spells!$L$1:$L$275=$A$1,ROW(Spells!$A$1:$A$275))),COLUMN(E:E))</f>
        <v>#NUM!</v>
      </c>
      <c r="G104" t="e">
        <f t="array" ref="G104">SMALL(IF(Spells!$A$1:$A$275=$A104,IF(Spells!$L$1:$L$275=$A$1,ROW(Spells!$A$1:$A$275))),COLUMN(F:F))</f>
        <v>#NUM!</v>
      </c>
      <c r="H104" t="str">
        <f>IF(ISERR(B104),"",INDEX(Spells!$F$1:$F$275,B104))</f>
        <v/>
      </c>
      <c r="I104" t="str">
        <f>IF(ISERR(C104),"",INDEX(Spells!$F$1:$F$275,C104))</f>
        <v/>
      </c>
      <c r="J104" t="str">
        <f>IF(ISERR(D104),"",INDEX(Spells!$F$1:$F$275,D104))</f>
        <v/>
      </c>
      <c r="K104" t="str">
        <f>IF(ISERR(E104),"",INDEX(Spells!$F$1:$F$275,E104))</f>
        <v/>
      </c>
      <c r="L104" t="str">
        <f>IF(ISERR(F104),"",INDEX(Spells!$F$1:$F$275,F104))</f>
        <v/>
      </c>
      <c r="M104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104" t="e">
        <f t="shared" si="14"/>
        <v>#VALUE!</v>
      </c>
      <c r="O104">
        <f t="shared" si="12"/>
        <v>0</v>
      </c>
      <c r="P104" t="str">
        <f t="shared" si="15"/>
        <v/>
      </c>
      <c r="Q104">
        <f>COUNTIF($P$4:P$155,"=("&amp;P104&amp;")")</f>
        <v>0</v>
      </c>
      <c r="R104" t="str">
        <f t="shared" si="16"/>
        <v/>
      </c>
      <c r="S104" t="e">
        <f t="array" ref="S104">INDEX($R$4:$R$155,SMALL(IF($R$4:$R$155&lt;&gt;"",ROW($R$4:$R$155)-3),ROW()-3))</f>
        <v>#NUM!</v>
      </c>
      <c r="T104" t="str">
        <f t="shared" si="5"/>
        <v/>
      </c>
    </row>
    <row r="105" spans="1:20">
      <c r="A105" s="10">
        <v>102</v>
      </c>
      <c r="B105" t="e">
        <f t="array" ref="B105">SMALL(IF(Spells!$A$1:$A$275=$A105,IF(Spells!$L$1:$L$275=$A$1,ROW(Spells!$A$1:$A$275))),COLUMN(A:A))</f>
        <v>#NUM!</v>
      </c>
      <c r="C105" t="e">
        <f t="array" ref="C105">SMALL(IF(Spells!$A$1:$A$275=$A105,IF(Spells!$L$1:$L$275=$A$1,ROW(Spells!$A$1:$A$275))),COLUMN(B:B))</f>
        <v>#NUM!</v>
      </c>
      <c r="D105" t="e">
        <f t="array" ref="D105">SMALL(IF(Spells!$A$1:$A$275=$A105,IF(Spells!$L$1:$L$275=$A$1,ROW(Spells!$A$1:$A$275))),COLUMN(C:C))</f>
        <v>#NUM!</v>
      </c>
      <c r="E105" t="e">
        <f t="array" ref="E105">SMALL(IF(Spells!$A$1:$A$275=$A105,IF(Spells!$L$1:$L$275=$A$1,ROW(Spells!$A$1:$A$275))),COLUMN(D:D))</f>
        <v>#NUM!</v>
      </c>
      <c r="F105" t="e">
        <f t="array" ref="F105">SMALL(IF(Spells!$A$1:$A$275=$A105,IF(Spells!$L$1:$L$275=$A$1,ROW(Spells!$A$1:$A$275))),COLUMN(E:E))</f>
        <v>#NUM!</v>
      </c>
      <c r="G105" t="e">
        <f t="array" ref="G105">SMALL(IF(Spells!$A$1:$A$275=$A105,IF(Spells!$L$1:$L$275=$A$1,ROW(Spells!$A$1:$A$275))),COLUMN(F:F))</f>
        <v>#NUM!</v>
      </c>
      <c r="H105" t="str">
        <f>IF(ISERR(B105),"",INDEX(Spells!$F$1:$F$275,B105))</f>
        <v/>
      </c>
      <c r="I105" t="str">
        <f>IF(ISERR(C105),"",INDEX(Spells!$F$1:$F$275,C105))</f>
        <v/>
      </c>
      <c r="J105" t="str">
        <f>IF(ISERR(D105),"",INDEX(Spells!$F$1:$F$275,D105))</f>
        <v/>
      </c>
      <c r="K105" t="str">
        <f>IF(ISERR(E105),"",INDEX(Spells!$F$1:$F$275,E105))</f>
        <v/>
      </c>
      <c r="L105" t="str">
        <f>IF(ISERR(F105),"",INDEX(Spells!$F$1:$F$275,F105))</f>
        <v/>
      </c>
      <c r="M105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105" t="e">
        <f t="shared" si="14"/>
        <v>#VALUE!</v>
      </c>
      <c r="O105">
        <f t="shared" si="12"/>
        <v>0</v>
      </c>
      <c r="P105" t="str">
        <f t="shared" si="15"/>
        <v/>
      </c>
      <c r="Q105">
        <f>COUNTIF($P$4:P$155,"=("&amp;P105&amp;")")</f>
        <v>0</v>
      </c>
      <c r="R105" t="str">
        <f t="shared" si="16"/>
        <v/>
      </c>
      <c r="S105" t="e">
        <f t="array" ref="S105">INDEX($R$4:$R$155,SMALL(IF($R$4:$R$155&lt;&gt;"",ROW($R$4:$R$155)-3),ROW()-3))</f>
        <v>#NUM!</v>
      </c>
      <c r="T105" t="str">
        <f t="shared" si="5"/>
        <v/>
      </c>
    </row>
    <row r="106" spans="1:20">
      <c r="A106" s="10">
        <v>103</v>
      </c>
      <c r="B106" t="e">
        <f t="array" ref="B106">SMALL(IF(Spells!$A$1:$A$275=$A106,IF(Spells!$L$1:$L$275=$A$1,ROW(Spells!$A$1:$A$275))),COLUMN(A:A))</f>
        <v>#NUM!</v>
      </c>
      <c r="C106" t="e">
        <f t="array" ref="C106">SMALL(IF(Spells!$A$1:$A$275=$A106,IF(Spells!$L$1:$L$275=$A$1,ROW(Spells!$A$1:$A$275))),COLUMN(B:B))</f>
        <v>#NUM!</v>
      </c>
      <c r="D106" t="e">
        <f t="array" ref="D106">SMALL(IF(Spells!$A$1:$A$275=$A106,IF(Spells!$L$1:$L$275=$A$1,ROW(Spells!$A$1:$A$275))),COLUMN(C:C))</f>
        <v>#NUM!</v>
      </c>
      <c r="E106" t="e">
        <f t="array" ref="E106">SMALL(IF(Spells!$A$1:$A$275=$A106,IF(Spells!$L$1:$L$275=$A$1,ROW(Spells!$A$1:$A$275))),COLUMN(D:D))</f>
        <v>#NUM!</v>
      </c>
      <c r="F106" t="e">
        <f t="array" ref="F106">SMALL(IF(Spells!$A$1:$A$275=$A106,IF(Spells!$L$1:$L$275=$A$1,ROW(Spells!$A$1:$A$275))),COLUMN(E:E))</f>
        <v>#NUM!</v>
      </c>
      <c r="G106" t="e">
        <f t="array" ref="G106">SMALL(IF(Spells!$A$1:$A$275=$A106,IF(Spells!$L$1:$L$275=$A$1,ROW(Spells!$A$1:$A$275))),COLUMN(F:F))</f>
        <v>#NUM!</v>
      </c>
      <c r="H106" t="str">
        <f>IF(ISERR(B106),"",INDEX(Spells!$F$1:$F$275,B106))</f>
        <v/>
      </c>
      <c r="I106" t="str">
        <f>IF(ISERR(C106),"",INDEX(Spells!$F$1:$F$275,C106))</f>
        <v/>
      </c>
      <c r="J106" t="str">
        <f>IF(ISERR(D106),"",INDEX(Spells!$F$1:$F$275,D106))</f>
        <v/>
      </c>
      <c r="K106" t="str">
        <f>IF(ISERR(E106),"",INDEX(Spells!$F$1:$F$275,E106))</f>
        <v/>
      </c>
      <c r="L106" t="str">
        <f>IF(ISERR(F106),"",INDEX(Spells!$F$1:$F$275,F106))</f>
        <v/>
      </c>
      <c r="M106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106" t="e">
        <f t="shared" si="14"/>
        <v>#VALUE!</v>
      </c>
      <c r="O106">
        <f t="shared" si="12"/>
        <v>0</v>
      </c>
      <c r="P106" t="str">
        <f t="shared" si="15"/>
        <v/>
      </c>
      <c r="Q106">
        <f>COUNTIF($P$4:P$155,"=("&amp;P106&amp;")")</f>
        <v>0</v>
      </c>
      <c r="R106" t="str">
        <f t="shared" si="16"/>
        <v/>
      </c>
      <c r="S106" t="e">
        <f t="array" ref="S106">INDEX($R$4:$R$155,SMALL(IF($R$4:$R$155&lt;&gt;"",ROW($R$4:$R$155)-3),ROW()-3))</f>
        <v>#NUM!</v>
      </c>
      <c r="T106" t="str">
        <f t="shared" si="5"/>
        <v/>
      </c>
    </row>
    <row r="107" spans="1:20">
      <c r="A107" s="10">
        <v>104</v>
      </c>
      <c r="B107" t="e">
        <f t="array" ref="B107">SMALL(IF(Spells!$A$1:$A$275=$A107,IF(Spells!$L$1:$L$275=$A$1,ROW(Spells!$A$1:$A$275))),COLUMN(A:A))</f>
        <v>#NUM!</v>
      </c>
      <c r="C107" t="e">
        <f t="array" ref="C107">SMALL(IF(Spells!$A$1:$A$275=$A107,IF(Spells!$L$1:$L$275=$A$1,ROW(Spells!$A$1:$A$275))),COLUMN(B:B))</f>
        <v>#NUM!</v>
      </c>
      <c r="D107" t="e">
        <f t="array" ref="D107">SMALL(IF(Spells!$A$1:$A$275=$A107,IF(Spells!$L$1:$L$275=$A$1,ROW(Spells!$A$1:$A$275))),COLUMN(C:C))</f>
        <v>#NUM!</v>
      </c>
      <c r="E107" t="e">
        <f t="array" ref="E107">SMALL(IF(Spells!$A$1:$A$275=$A107,IF(Spells!$L$1:$L$275=$A$1,ROW(Spells!$A$1:$A$275))),COLUMN(D:D))</f>
        <v>#NUM!</v>
      </c>
      <c r="F107" t="e">
        <f t="array" ref="F107">SMALL(IF(Spells!$A$1:$A$275=$A107,IF(Spells!$L$1:$L$275=$A$1,ROW(Spells!$A$1:$A$275))),COLUMN(E:E))</f>
        <v>#NUM!</v>
      </c>
      <c r="G107" t="e">
        <f t="array" ref="G107">SMALL(IF(Spells!$A$1:$A$275=$A107,IF(Spells!$L$1:$L$275=$A$1,ROW(Spells!$A$1:$A$275))),COLUMN(F:F))</f>
        <v>#NUM!</v>
      </c>
      <c r="H107" t="str">
        <f>IF(ISERR(B107),"",INDEX(Spells!$F$1:$F$275,B107))</f>
        <v/>
      </c>
      <c r="I107" t="str">
        <f>IF(ISERR(C107),"",INDEX(Spells!$F$1:$F$275,C107))</f>
        <v/>
      </c>
      <c r="J107" t="str">
        <f>IF(ISERR(D107),"",INDEX(Spells!$F$1:$F$275,D107))</f>
        <v/>
      </c>
      <c r="K107" t="str">
        <f>IF(ISERR(E107),"",INDEX(Spells!$F$1:$F$275,E107))</f>
        <v/>
      </c>
      <c r="L107" t="str">
        <f>IF(ISERR(F107),"",INDEX(Spells!$F$1:$F$275,F107))</f>
        <v/>
      </c>
      <c r="M107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107" t="e">
        <f t="shared" si="14"/>
        <v>#VALUE!</v>
      </c>
      <c r="O107">
        <f t="shared" si="12"/>
        <v>0</v>
      </c>
      <c r="P107" t="str">
        <f t="shared" si="15"/>
        <v/>
      </c>
      <c r="Q107">
        <f>COUNTIF($P$4:P$155,"=("&amp;P107&amp;")")</f>
        <v>0</v>
      </c>
      <c r="R107" t="str">
        <f t="shared" si="16"/>
        <v/>
      </c>
      <c r="S107" t="e">
        <f t="array" ref="S107">INDEX($R$4:$R$155,SMALL(IF($R$4:$R$155&lt;&gt;"",ROW($R$4:$R$155)-3),ROW()-3))</f>
        <v>#NUM!</v>
      </c>
      <c r="T107" t="str">
        <f t="shared" si="5"/>
        <v/>
      </c>
    </row>
    <row r="108" spans="1:20">
      <c r="A108" s="10">
        <v>105</v>
      </c>
      <c r="B108" t="e">
        <f t="array" ref="B108">SMALL(IF(Spells!$A$1:$A$275=$A108,IF(Spells!$L$1:$L$275=$A$1,ROW(Spells!$A$1:$A$275))),COLUMN(A:A))</f>
        <v>#NUM!</v>
      </c>
      <c r="C108" t="e">
        <f t="array" ref="C108">SMALL(IF(Spells!$A$1:$A$275=$A108,IF(Spells!$L$1:$L$275=$A$1,ROW(Spells!$A$1:$A$275))),COLUMN(B:B))</f>
        <v>#NUM!</v>
      </c>
      <c r="D108" t="e">
        <f t="array" ref="D108">SMALL(IF(Spells!$A$1:$A$275=$A108,IF(Spells!$L$1:$L$275=$A$1,ROW(Spells!$A$1:$A$275))),COLUMN(C:C))</f>
        <v>#NUM!</v>
      </c>
      <c r="E108" t="e">
        <f t="array" ref="E108">SMALL(IF(Spells!$A$1:$A$275=$A108,IF(Spells!$L$1:$L$275=$A$1,ROW(Spells!$A$1:$A$275))),COLUMN(D:D))</f>
        <v>#NUM!</v>
      </c>
      <c r="F108" t="e">
        <f t="array" ref="F108">SMALL(IF(Spells!$A$1:$A$275=$A108,IF(Spells!$L$1:$L$275=$A$1,ROW(Spells!$A$1:$A$275))),COLUMN(E:E))</f>
        <v>#NUM!</v>
      </c>
      <c r="G108" t="e">
        <f t="array" ref="G108">SMALL(IF(Spells!$A$1:$A$275=$A108,IF(Spells!$L$1:$L$275=$A$1,ROW(Spells!$A$1:$A$275))),COLUMN(F:F))</f>
        <v>#NUM!</v>
      </c>
      <c r="H108" t="str">
        <f>IF(ISERR(B108),"",INDEX(Spells!$F$1:$F$275,B108))</f>
        <v/>
      </c>
      <c r="I108" t="str">
        <f>IF(ISERR(C108),"",INDEX(Spells!$F$1:$F$275,C108))</f>
        <v/>
      </c>
      <c r="J108" t="str">
        <f>IF(ISERR(D108),"",INDEX(Spells!$F$1:$F$275,D108))</f>
        <v/>
      </c>
      <c r="K108" t="str">
        <f>IF(ISERR(E108),"",INDEX(Spells!$F$1:$F$275,E108))</f>
        <v/>
      </c>
      <c r="L108" t="str">
        <f>IF(ISERR(F108),"",INDEX(Spells!$F$1:$F$275,F108))</f>
        <v/>
      </c>
      <c r="M108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108" t="e">
        <f t="shared" si="14"/>
        <v>#VALUE!</v>
      </c>
      <c r="O108">
        <f t="shared" si="12"/>
        <v>0</v>
      </c>
      <c r="P108" t="str">
        <f t="shared" si="15"/>
        <v/>
      </c>
      <c r="Q108">
        <f>COUNTIF($P$4:P$155,"=("&amp;P108&amp;")")</f>
        <v>0</v>
      </c>
      <c r="R108" t="str">
        <f t="shared" si="16"/>
        <v/>
      </c>
      <c r="S108" t="e">
        <f t="array" ref="S108">INDEX($R$4:$R$155,SMALL(IF($R$4:$R$155&lt;&gt;"",ROW($R$4:$R$155)-3),ROW()-3))</f>
        <v>#NUM!</v>
      </c>
      <c r="T108" t="str">
        <f t="shared" si="5"/>
        <v/>
      </c>
    </row>
    <row r="109" spans="1:20">
      <c r="A109" s="10">
        <v>106</v>
      </c>
      <c r="B109" t="e">
        <f t="array" ref="B109">SMALL(IF(Spells!$A$1:$A$275=$A109,IF(Spells!$L$1:$L$275=$A$1,ROW(Spells!$A$1:$A$275))),COLUMN(A:A))</f>
        <v>#NUM!</v>
      </c>
      <c r="C109" t="e">
        <f t="array" ref="C109">SMALL(IF(Spells!$A$1:$A$275=$A109,IF(Spells!$L$1:$L$275=$A$1,ROW(Spells!$A$1:$A$275))),COLUMN(B:B))</f>
        <v>#NUM!</v>
      </c>
      <c r="D109" t="e">
        <f t="array" ref="D109">SMALL(IF(Spells!$A$1:$A$275=$A109,IF(Spells!$L$1:$L$275=$A$1,ROW(Spells!$A$1:$A$275))),COLUMN(C:C))</f>
        <v>#NUM!</v>
      </c>
      <c r="E109" t="e">
        <f t="array" ref="E109">SMALL(IF(Spells!$A$1:$A$275=$A109,IF(Spells!$L$1:$L$275=$A$1,ROW(Spells!$A$1:$A$275))),COLUMN(D:D))</f>
        <v>#NUM!</v>
      </c>
      <c r="F109" t="e">
        <f t="array" ref="F109">SMALL(IF(Spells!$A$1:$A$275=$A109,IF(Spells!$L$1:$L$275=$A$1,ROW(Spells!$A$1:$A$275))),COLUMN(E:E))</f>
        <v>#NUM!</v>
      </c>
      <c r="G109" t="e">
        <f t="array" ref="G109">SMALL(IF(Spells!$A$1:$A$275=$A109,IF(Spells!$L$1:$L$275=$A$1,ROW(Spells!$A$1:$A$275))),COLUMN(F:F))</f>
        <v>#NUM!</v>
      </c>
      <c r="H109" t="str">
        <f>IF(ISERR(B109),"",INDEX(Spells!$F$1:$F$275,B109))</f>
        <v/>
      </c>
      <c r="I109" t="str">
        <f>IF(ISERR(C109),"",INDEX(Spells!$F$1:$F$275,C109))</f>
        <v/>
      </c>
      <c r="J109" t="str">
        <f>IF(ISERR(D109),"",INDEX(Spells!$F$1:$F$275,D109))</f>
        <v/>
      </c>
      <c r="K109" t="str">
        <f>IF(ISERR(E109),"",INDEX(Spells!$F$1:$F$275,E109))</f>
        <v/>
      </c>
      <c r="L109" t="str">
        <f>IF(ISERR(F109),"",INDEX(Spells!$F$1:$F$275,F109))</f>
        <v/>
      </c>
      <c r="M109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109" t="e">
        <f t="shared" si="14"/>
        <v>#VALUE!</v>
      </c>
      <c r="O109">
        <f t="shared" si="12"/>
        <v>0</v>
      </c>
      <c r="P109" t="str">
        <f t="shared" si="15"/>
        <v/>
      </c>
      <c r="Q109">
        <f>COUNTIF($P$4:P$155,"=("&amp;P109&amp;")")</f>
        <v>0</v>
      </c>
      <c r="R109" t="str">
        <f t="shared" si="16"/>
        <v/>
      </c>
      <c r="S109" t="e">
        <f t="array" ref="S109">INDEX($R$4:$R$155,SMALL(IF($R$4:$R$155&lt;&gt;"",ROW($R$4:$R$155)-3),ROW()-3))</f>
        <v>#NUM!</v>
      </c>
      <c r="T109" t="str">
        <f t="shared" si="5"/>
        <v/>
      </c>
    </row>
    <row r="110" spans="1:20">
      <c r="A110" s="10">
        <v>107</v>
      </c>
      <c r="B110" t="e">
        <f t="array" ref="B110">SMALL(IF(Spells!$A$1:$A$275=$A110,IF(Spells!$L$1:$L$275=$A$1,ROW(Spells!$A$1:$A$275))),COLUMN(A:A))</f>
        <v>#NUM!</v>
      </c>
      <c r="C110" t="e">
        <f t="array" ref="C110">SMALL(IF(Spells!$A$1:$A$275=$A110,IF(Spells!$L$1:$L$275=$A$1,ROW(Spells!$A$1:$A$275))),COLUMN(B:B))</f>
        <v>#NUM!</v>
      </c>
      <c r="D110" t="e">
        <f t="array" ref="D110">SMALL(IF(Spells!$A$1:$A$275=$A110,IF(Spells!$L$1:$L$275=$A$1,ROW(Spells!$A$1:$A$275))),COLUMN(C:C))</f>
        <v>#NUM!</v>
      </c>
      <c r="E110" t="e">
        <f t="array" ref="E110">SMALL(IF(Spells!$A$1:$A$275=$A110,IF(Spells!$L$1:$L$275=$A$1,ROW(Spells!$A$1:$A$275))),COLUMN(D:D))</f>
        <v>#NUM!</v>
      </c>
      <c r="F110" t="e">
        <f t="array" ref="F110">SMALL(IF(Spells!$A$1:$A$275=$A110,IF(Spells!$L$1:$L$275=$A$1,ROW(Spells!$A$1:$A$275))),COLUMN(E:E))</f>
        <v>#NUM!</v>
      </c>
      <c r="G110" t="e">
        <f t="array" ref="G110">SMALL(IF(Spells!$A$1:$A$275=$A110,IF(Spells!$L$1:$L$275=$A$1,ROW(Spells!$A$1:$A$275))),COLUMN(F:F))</f>
        <v>#NUM!</v>
      </c>
      <c r="H110" t="str">
        <f>IF(ISERR(B110),"",INDEX(Spells!$F$1:$F$275,B110))</f>
        <v/>
      </c>
      <c r="I110" t="str">
        <f>IF(ISERR(C110),"",INDEX(Spells!$F$1:$F$275,C110))</f>
        <v/>
      </c>
      <c r="J110" t="str">
        <f>IF(ISERR(D110),"",INDEX(Spells!$F$1:$F$275,D110))</f>
        <v/>
      </c>
      <c r="K110" t="str">
        <f>IF(ISERR(E110),"",INDEX(Spells!$F$1:$F$275,E110))</f>
        <v/>
      </c>
      <c r="L110" t="str">
        <f>IF(ISERR(F110),"",INDEX(Spells!$F$1:$F$275,F110))</f>
        <v/>
      </c>
      <c r="M110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110" t="e">
        <f t="shared" si="14"/>
        <v>#VALUE!</v>
      </c>
      <c r="O110">
        <f t="shared" si="12"/>
        <v>0</v>
      </c>
      <c r="P110" t="str">
        <f t="shared" si="15"/>
        <v/>
      </c>
      <c r="Q110">
        <f>COUNTIF($P$4:P$155,"=("&amp;P110&amp;")")</f>
        <v>0</v>
      </c>
      <c r="R110" t="str">
        <f t="shared" si="16"/>
        <v/>
      </c>
      <c r="S110" t="e">
        <f t="array" ref="S110">INDEX($R$4:$R$155,SMALL(IF($R$4:$R$155&lt;&gt;"",ROW($R$4:$R$155)-3),ROW()-3))</f>
        <v>#NUM!</v>
      </c>
      <c r="T110" t="str">
        <f t="shared" si="5"/>
        <v/>
      </c>
    </row>
    <row r="111" spans="1:20">
      <c r="A111" s="10">
        <v>108</v>
      </c>
      <c r="B111" t="e">
        <f t="array" ref="B111">SMALL(IF(Spells!$A$1:$A$275=$A111,IF(Spells!$L$1:$L$275=$A$1,ROW(Spells!$A$1:$A$275))),COLUMN(A:A))</f>
        <v>#NUM!</v>
      </c>
      <c r="C111" t="e">
        <f t="array" ref="C111">SMALL(IF(Spells!$A$1:$A$275=$A111,IF(Spells!$L$1:$L$275=$A$1,ROW(Spells!$A$1:$A$275))),COLUMN(B:B))</f>
        <v>#NUM!</v>
      </c>
      <c r="D111" t="e">
        <f t="array" ref="D111">SMALL(IF(Spells!$A$1:$A$275=$A111,IF(Spells!$L$1:$L$275=$A$1,ROW(Spells!$A$1:$A$275))),COLUMN(C:C))</f>
        <v>#NUM!</v>
      </c>
      <c r="E111" t="e">
        <f t="array" ref="E111">SMALL(IF(Spells!$A$1:$A$275=$A111,IF(Spells!$L$1:$L$275=$A$1,ROW(Spells!$A$1:$A$275))),COLUMN(D:D))</f>
        <v>#NUM!</v>
      </c>
      <c r="F111" t="e">
        <f t="array" ref="F111">SMALL(IF(Spells!$A$1:$A$275=$A111,IF(Spells!$L$1:$L$275=$A$1,ROW(Spells!$A$1:$A$275))),COLUMN(E:E))</f>
        <v>#NUM!</v>
      </c>
      <c r="G111" t="e">
        <f t="array" ref="G111">SMALL(IF(Spells!$A$1:$A$275=$A111,IF(Spells!$L$1:$L$275=$A$1,ROW(Spells!$A$1:$A$275))),COLUMN(F:F))</f>
        <v>#NUM!</v>
      </c>
      <c r="H111" t="str">
        <f>IF(ISERR(B111),"",INDEX(Spells!$F$1:$F$275,B111))</f>
        <v/>
      </c>
      <c r="I111" t="str">
        <f>IF(ISERR(C111),"",INDEX(Spells!$F$1:$F$275,C111))</f>
        <v/>
      </c>
      <c r="J111" t="str">
        <f>IF(ISERR(D111),"",INDEX(Spells!$F$1:$F$275,D111))</f>
        <v/>
      </c>
      <c r="K111" t="str">
        <f>IF(ISERR(E111),"",INDEX(Spells!$F$1:$F$275,E111))</f>
        <v/>
      </c>
      <c r="L111" t="str">
        <f>IF(ISERR(F111),"",INDEX(Spells!$F$1:$F$275,F111))</f>
        <v/>
      </c>
      <c r="M111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111" t="e">
        <f t="shared" si="14"/>
        <v>#VALUE!</v>
      </c>
      <c r="O111">
        <f t="shared" si="12"/>
        <v>0</v>
      </c>
      <c r="P111" t="str">
        <f t="shared" si="15"/>
        <v/>
      </c>
      <c r="Q111">
        <f>COUNTIF($P$4:P$155,"=("&amp;P111&amp;")")</f>
        <v>0</v>
      </c>
      <c r="R111" t="str">
        <f t="shared" si="16"/>
        <v/>
      </c>
      <c r="S111" t="e">
        <f t="array" ref="S111">INDEX($R$4:$R$155,SMALL(IF($R$4:$R$155&lt;&gt;"",ROW($R$4:$R$155)-3),ROW()-3))</f>
        <v>#NUM!</v>
      </c>
      <c r="T111" t="str">
        <f t="shared" si="5"/>
        <v/>
      </c>
    </row>
    <row r="112" spans="1:20">
      <c r="A112" s="10">
        <v>109</v>
      </c>
      <c r="B112" t="e">
        <f t="array" ref="B112">SMALL(IF(Spells!$A$1:$A$275=$A112,IF(Spells!$L$1:$L$275=$A$1,ROW(Spells!$A$1:$A$275))),COLUMN(A:A))</f>
        <v>#NUM!</v>
      </c>
      <c r="C112" t="e">
        <f t="array" ref="C112">SMALL(IF(Spells!$A$1:$A$275=$A112,IF(Spells!$L$1:$L$275=$A$1,ROW(Spells!$A$1:$A$275))),COLUMN(B:B))</f>
        <v>#NUM!</v>
      </c>
      <c r="D112" t="e">
        <f t="array" ref="D112">SMALL(IF(Spells!$A$1:$A$275=$A112,IF(Spells!$L$1:$L$275=$A$1,ROW(Spells!$A$1:$A$275))),COLUMN(C:C))</f>
        <v>#NUM!</v>
      </c>
      <c r="E112" t="e">
        <f t="array" ref="E112">SMALL(IF(Spells!$A$1:$A$275=$A112,IF(Spells!$L$1:$L$275=$A$1,ROW(Spells!$A$1:$A$275))),COLUMN(D:D))</f>
        <v>#NUM!</v>
      </c>
      <c r="F112" t="e">
        <f t="array" ref="F112">SMALL(IF(Spells!$A$1:$A$275=$A112,IF(Spells!$L$1:$L$275=$A$1,ROW(Spells!$A$1:$A$275))),COLUMN(E:E))</f>
        <v>#NUM!</v>
      </c>
      <c r="G112" t="e">
        <f t="array" ref="G112">SMALL(IF(Spells!$A$1:$A$275=$A112,IF(Spells!$L$1:$L$275=$A$1,ROW(Spells!$A$1:$A$275))),COLUMN(F:F))</f>
        <v>#NUM!</v>
      </c>
      <c r="H112" t="str">
        <f>IF(ISERR(B112),"",INDEX(Spells!$F$1:$F$275,B112))</f>
        <v/>
      </c>
      <c r="I112" t="str">
        <f>IF(ISERR(C112),"",INDEX(Spells!$F$1:$F$275,C112))</f>
        <v/>
      </c>
      <c r="J112" t="str">
        <f>IF(ISERR(D112),"",INDEX(Spells!$F$1:$F$275,D112))</f>
        <v/>
      </c>
      <c r="K112" t="str">
        <f>IF(ISERR(E112),"",INDEX(Spells!$F$1:$F$275,E112))</f>
        <v/>
      </c>
      <c r="L112" t="str">
        <f>IF(ISERR(F112),"",INDEX(Spells!$F$1:$F$275,F112))</f>
        <v/>
      </c>
      <c r="M112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112" t="e">
        <f t="shared" si="14"/>
        <v>#VALUE!</v>
      </c>
      <c r="O112">
        <f t="shared" si="12"/>
        <v>0</v>
      </c>
      <c r="P112" t="str">
        <f t="shared" si="15"/>
        <v/>
      </c>
      <c r="Q112">
        <f>COUNTIF($P$4:P$155,"=("&amp;P112&amp;")")</f>
        <v>0</v>
      </c>
      <c r="R112" t="str">
        <f t="shared" si="16"/>
        <v/>
      </c>
      <c r="S112" t="e">
        <f t="array" ref="S112">INDEX($R$4:$R$155,SMALL(IF($R$4:$R$155&lt;&gt;"",ROW($R$4:$R$155)-3),ROW()-3))</f>
        <v>#NUM!</v>
      </c>
      <c r="T112" t="str">
        <f t="shared" si="5"/>
        <v/>
      </c>
    </row>
    <row r="113" spans="1:20">
      <c r="A113" s="10">
        <v>110</v>
      </c>
      <c r="B113" t="e">
        <f t="array" ref="B113">SMALL(IF(Spells!$A$1:$A$275=$A113,IF(Spells!$L$1:$L$275=$A$1,ROW(Spells!$A$1:$A$275))),COLUMN(A:A))</f>
        <v>#NUM!</v>
      </c>
      <c r="C113" t="e">
        <f t="array" ref="C113">SMALL(IF(Spells!$A$1:$A$275=$A113,IF(Spells!$L$1:$L$275=$A$1,ROW(Spells!$A$1:$A$275))),COLUMN(B:B))</f>
        <v>#NUM!</v>
      </c>
      <c r="D113" t="e">
        <f t="array" ref="D113">SMALL(IF(Spells!$A$1:$A$275=$A113,IF(Spells!$L$1:$L$275=$A$1,ROW(Spells!$A$1:$A$275))),COLUMN(C:C))</f>
        <v>#NUM!</v>
      </c>
      <c r="E113" t="e">
        <f t="array" ref="E113">SMALL(IF(Spells!$A$1:$A$275=$A113,IF(Spells!$L$1:$L$275=$A$1,ROW(Spells!$A$1:$A$275))),COLUMN(D:D))</f>
        <v>#NUM!</v>
      </c>
      <c r="F113" t="e">
        <f t="array" ref="F113">SMALL(IF(Spells!$A$1:$A$275=$A113,IF(Spells!$L$1:$L$275=$A$1,ROW(Spells!$A$1:$A$275))),COLUMN(E:E))</f>
        <v>#NUM!</v>
      </c>
      <c r="G113" t="e">
        <f t="array" ref="G113">SMALL(IF(Spells!$A$1:$A$275=$A113,IF(Spells!$L$1:$L$275=$A$1,ROW(Spells!$A$1:$A$275))),COLUMN(F:F))</f>
        <v>#NUM!</v>
      </c>
      <c r="H113" t="str">
        <f>IF(ISERR(B113),"",INDEX(Spells!$F$1:$F$275,B113))</f>
        <v/>
      </c>
      <c r="I113" t="str">
        <f>IF(ISERR(C113),"",INDEX(Spells!$F$1:$F$275,C113))</f>
        <v/>
      </c>
      <c r="J113" t="str">
        <f>IF(ISERR(D113),"",INDEX(Spells!$F$1:$F$275,D113))</f>
        <v/>
      </c>
      <c r="K113" t="str">
        <f>IF(ISERR(E113),"",INDEX(Spells!$F$1:$F$275,E113))</f>
        <v/>
      </c>
      <c r="L113" t="str">
        <f>IF(ISERR(F113),"",INDEX(Spells!$F$1:$F$275,F113))</f>
        <v/>
      </c>
      <c r="M113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113" t="e">
        <f t="shared" si="14"/>
        <v>#VALUE!</v>
      </c>
      <c r="O113">
        <f t="shared" si="12"/>
        <v>0</v>
      </c>
      <c r="P113" t="str">
        <f t="shared" si="15"/>
        <v/>
      </c>
      <c r="Q113">
        <f>COUNTIF($P$4:P$155,"=("&amp;P113&amp;")")</f>
        <v>0</v>
      </c>
      <c r="R113" t="str">
        <f t="shared" si="16"/>
        <v/>
      </c>
      <c r="S113" t="e">
        <f t="array" ref="S113">INDEX($R$4:$R$155,SMALL(IF($R$4:$R$155&lt;&gt;"",ROW($R$4:$R$155)-3),ROW()-3))</f>
        <v>#NUM!</v>
      </c>
      <c r="T113" t="str">
        <f t="shared" si="5"/>
        <v/>
      </c>
    </row>
    <row r="114" spans="1:20">
      <c r="A114" s="10">
        <v>111</v>
      </c>
      <c r="B114" t="e">
        <f t="array" ref="B114">SMALL(IF(Spells!$A$1:$A$275=$A114,IF(Spells!$L$1:$L$275=$A$1,ROW(Spells!$A$1:$A$275))),COLUMN(A:A))</f>
        <v>#NUM!</v>
      </c>
      <c r="C114" t="e">
        <f t="array" ref="C114">SMALL(IF(Spells!$A$1:$A$275=$A114,IF(Spells!$L$1:$L$275=$A$1,ROW(Spells!$A$1:$A$275))),COLUMN(B:B))</f>
        <v>#NUM!</v>
      </c>
      <c r="D114" t="e">
        <f t="array" ref="D114">SMALL(IF(Spells!$A$1:$A$275=$A114,IF(Spells!$L$1:$L$275=$A$1,ROW(Spells!$A$1:$A$275))),COLUMN(C:C))</f>
        <v>#NUM!</v>
      </c>
      <c r="E114" t="e">
        <f t="array" ref="E114">SMALL(IF(Spells!$A$1:$A$275=$A114,IF(Spells!$L$1:$L$275=$A$1,ROW(Spells!$A$1:$A$275))),COLUMN(D:D))</f>
        <v>#NUM!</v>
      </c>
      <c r="F114" t="e">
        <f t="array" ref="F114">SMALL(IF(Spells!$A$1:$A$275=$A114,IF(Spells!$L$1:$L$275=$A$1,ROW(Spells!$A$1:$A$275))),COLUMN(E:E))</f>
        <v>#NUM!</v>
      </c>
      <c r="G114" t="e">
        <f t="array" ref="G114">SMALL(IF(Spells!$A$1:$A$275=$A114,IF(Spells!$L$1:$L$275=$A$1,ROW(Spells!$A$1:$A$275))),COLUMN(F:F))</f>
        <v>#NUM!</v>
      </c>
      <c r="H114" t="str">
        <f>IF(ISERR(B114),"",INDEX(Spells!$F$1:$F$275,B114))</f>
        <v/>
      </c>
      <c r="I114" t="str">
        <f>IF(ISERR(C114),"",INDEX(Spells!$F$1:$F$275,C114))</f>
        <v/>
      </c>
      <c r="J114" t="str">
        <f>IF(ISERR(D114),"",INDEX(Spells!$F$1:$F$275,D114))</f>
        <v/>
      </c>
      <c r="K114" t="str">
        <f>IF(ISERR(E114),"",INDEX(Spells!$F$1:$F$275,E114))</f>
        <v/>
      </c>
      <c r="L114" t="str">
        <f>IF(ISERR(F114),"",INDEX(Spells!$F$1:$F$275,F114))</f>
        <v/>
      </c>
      <c r="M114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114" t="e">
        <f t="shared" si="14"/>
        <v>#VALUE!</v>
      </c>
      <c r="O114">
        <f t="shared" si="12"/>
        <v>0</v>
      </c>
      <c r="P114" t="str">
        <f t="shared" si="15"/>
        <v/>
      </c>
      <c r="Q114">
        <f>COUNTIF($P$4:P$155,"=("&amp;P114&amp;")")</f>
        <v>0</v>
      </c>
      <c r="R114" t="str">
        <f t="shared" si="16"/>
        <v/>
      </c>
      <c r="S114" t="e">
        <f t="array" ref="S114">INDEX($R$4:$R$155,SMALL(IF($R$4:$R$155&lt;&gt;"",ROW($R$4:$R$155)-3),ROW()-3))</f>
        <v>#NUM!</v>
      </c>
      <c r="T114" t="str">
        <f t="shared" si="5"/>
        <v/>
      </c>
    </row>
    <row r="115" spans="1:20">
      <c r="A115" s="10">
        <v>112</v>
      </c>
      <c r="B115" t="e">
        <f t="array" ref="B115">SMALL(IF(Spells!$A$1:$A$275=$A115,IF(Spells!$L$1:$L$275=$A$1,ROW(Spells!$A$1:$A$275))),COLUMN(A:A))</f>
        <v>#NUM!</v>
      </c>
      <c r="C115" t="e">
        <f t="array" ref="C115">SMALL(IF(Spells!$A$1:$A$275=$A115,IF(Spells!$L$1:$L$275=$A$1,ROW(Spells!$A$1:$A$275))),COLUMN(B:B))</f>
        <v>#NUM!</v>
      </c>
      <c r="D115" t="e">
        <f t="array" ref="D115">SMALL(IF(Spells!$A$1:$A$275=$A115,IF(Spells!$L$1:$L$275=$A$1,ROW(Spells!$A$1:$A$275))),COLUMN(C:C))</f>
        <v>#NUM!</v>
      </c>
      <c r="E115" t="e">
        <f t="array" ref="E115">SMALL(IF(Spells!$A$1:$A$275=$A115,IF(Spells!$L$1:$L$275=$A$1,ROW(Spells!$A$1:$A$275))),COLUMN(D:D))</f>
        <v>#NUM!</v>
      </c>
      <c r="F115" t="e">
        <f t="array" ref="F115">SMALL(IF(Spells!$A$1:$A$275=$A115,IF(Spells!$L$1:$L$275=$A$1,ROW(Spells!$A$1:$A$275))),COLUMN(E:E))</f>
        <v>#NUM!</v>
      </c>
      <c r="G115" t="e">
        <f t="array" ref="G115">SMALL(IF(Spells!$A$1:$A$275=$A115,IF(Spells!$L$1:$L$275=$A$1,ROW(Spells!$A$1:$A$275))),COLUMN(F:F))</f>
        <v>#NUM!</v>
      </c>
      <c r="H115" t="str">
        <f>IF(ISERR(B115),"",INDEX(Spells!$F$1:$F$275,B115))</f>
        <v/>
      </c>
      <c r="I115" t="str">
        <f>IF(ISERR(C115),"",INDEX(Spells!$F$1:$F$275,C115))</f>
        <v/>
      </c>
      <c r="J115" t="str">
        <f>IF(ISERR(D115),"",INDEX(Spells!$F$1:$F$275,D115))</f>
        <v/>
      </c>
      <c r="K115" t="str">
        <f>IF(ISERR(E115),"",INDEX(Spells!$F$1:$F$275,E115))</f>
        <v/>
      </c>
      <c r="L115" t="str">
        <f>IF(ISERR(F115),"",INDEX(Spells!$F$1:$F$275,F115))</f>
        <v/>
      </c>
      <c r="M115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115" t="e">
        <f t="shared" si="14"/>
        <v>#VALUE!</v>
      </c>
      <c r="O115">
        <f t="shared" si="12"/>
        <v>0</v>
      </c>
      <c r="P115" t="str">
        <f t="shared" si="15"/>
        <v/>
      </c>
      <c r="Q115">
        <f>COUNTIF($P$4:P$155,"=("&amp;P115&amp;")")</f>
        <v>0</v>
      </c>
      <c r="R115" t="str">
        <f t="shared" si="16"/>
        <v/>
      </c>
      <c r="S115" t="e">
        <f t="array" ref="S115">INDEX($R$4:$R$155,SMALL(IF($R$4:$R$155&lt;&gt;"",ROW($R$4:$R$155)-3),ROW()-3))</f>
        <v>#NUM!</v>
      </c>
      <c r="T115" t="str">
        <f t="shared" si="5"/>
        <v/>
      </c>
    </row>
    <row r="116" spans="1:20">
      <c r="A116" s="10">
        <v>113</v>
      </c>
      <c r="B116" t="e">
        <f t="array" ref="B116">SMALL(IF(Spells!$A$1:$A$275=$A116,IF(Spells!$L$1:$L$275=$A$1,ROW(Spells!$A$1:$A$275))),COLUMN(A:A))</f>
        <v>#NUM!</v>
      </c>
      <c r="C116" t="e">
        <f t="array" ref="C116">SMALL(IF(Spells!$A$1:$A$275=$A116,IF(Spells!$L$1:$L$275=$A$1,ROW(Spells!$A$1:$A$275))),COLUMN(B:B))</f>
        <v>#NUM!</v>
      </c>
      <c r="D116" t="e">
        <f t="array" ref="D116">SMALL(IF(Spells!$A$1:$A$275=$A116,IF(Spells!$L$1:$L$275=$A$1,ROW(Spells!$A$1:$A$275))),COLUMN(C:C))</f>
        <v>#NUM!</v>
      </c>
      <c r="E116" t="e">
        <f t="array" ref="E116">SMALL(IF(Spells!$A$1:$A$275=$A116,IF(Spells!$L$1:$L$275=$A$1,ROW(Spells!$A$1:$A$275))),COLUMN(D:D))</f>
        <v>#NUM!</v>
      </c>
      <c r="F116" t="e">
        <f t="array" ref="F116">SMALL(IF(Spells!$A$1:$A$275=$A116,IF(Spells!$L$1:$L$275=$A$1,ROW(Spells!$A$1:$A$275))),COLUMN(E:E))</f>
        <v>#NUM!</v>
      </c>
      <c r="G116" t="e">
        <f t="array" ref="G116">SMALL(IF(Spells!$A$1:$A$275=$A116,IF(Spells!$L$1:$L$275=$A$1,ROW(Spells!$A$1:$A$275))),COLUMN(F:F))</f>
        <v>#NUM!</v>
      </c>
      <c r="H116" t="str">
        <f>IF(ISERR(B116),"",INDEX(Spells!$F$1:$F$275,B116))</f>
        <v/>
      </c>
      <c r="I116" t="str">
        <f>IF(ISERR(C116),"",INDEX(Spells!$F$1:$F$275,C116))</f>
        <v/>
      </c>
      <c r="J116" t="str">
        <f>IF(ISERR(D116),"",INDEX(Spells!$F$1:$F$275,D116))</f>
        <v/>
      </c>
      <c r="K116" t="str">
        <f>IF(ISERR(E116),"",INDEX(Spells!$F$1:$F$275,E116))</f>
        <v/>
      </c>
      <c r="L116" t="str">
        <f>IF(ISERR(F116),"",INDEX(Spells!$F$1:$F$275,F116))</f>
        <v/>
      </c>
      <c r="M116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116" t="e">
        <f t="shared" si="14"/>
        <v>#VALUE!</v>
      </c>
      <c r="O116">
        <f t="shared" si="12"/>
        <v>0</v>
      </c>
      <c r="P116" t="str">
        <f t="shared" si="15"/>
        <v/>
      </c>
      <c r="Q116">
        <f>COUNTIF($P$4:P$155,"=("&amp;P116&amp;")")</f>
        <v>0</v>
      </c>
      <c r="R116" t="str">
        <f t="shared" si="16"/>
        <v/>
      </c>
      <c r="S116" t="e">
        <f t="array" ref="S116">INDEX($R$4:$R$155,SMALL(IF($R$4:$R$155&lt;&gt;"",ROW($R$4:$R$155)-3),ROW()-3))</f>
        <v>#NUM!</v>
      </c>
      <c r="T116" t="str">
        <f t="shared" si="5"/>
        <v/>
      </c>
    </row>
    <row r="117" spans="1:20">
      <c r="A117" s="10">
        <v>114</v>
      </c>
      <c r="B117" t="e">
        <f t="array" ref="B117">SMALL(IF(Spells!$A$1:$A$275=$A117,IF(Spells!$L$1:$L$275=$A$1,ROW(Spells!$A$1:$A$275))),COLUMN(A:A))</f>
        <v>#NUM!</v>
      </c>
      <c r="C117" t="e">
        <f t="array" ref="C117">SMALL(IF(Spells!$A$1:$A$275=$A117,IF(Spells!$L$1:$L$275=$A$1,ROW(Spells!$A$1:$A$275))),COLUMN(B:B))</f>
        <v>#NUM!</v>
      </c>
      <c r="D117" t="e">
        <f t="array" ref="D117">SMALL(IF(Spells!$A$1:$A$275=$A117,IF(Spells!$L$1:$L$275=$A$1,ROW(Spells!$A$1:$A$275))),COLUMN(C:C))</f>
        <v>#NUM!</v>
      </c>
      <c r="E117" t="e">
        <f t="array" ref="E117">SMALL(IF(Spells!$A$1:$A$275=$A117,IF(Spells!$L$1:$L$275=$A$1,ROW(Spells!$A$1:$A$275))),COLUMN(D:D))</f>
        <v>#NUM!</v>
      </c>
      <c r="F117" t="e">
        <f t="array" ref="F117">SMALL(IF(Spells!$A$1:$A$275=$A117,IF(Spells!$L$1:$L$275=$A$1,ROW(Spells!$A$1:$A$275))),COLUMN(E:E))</f>
        <v>#NUM!</v>
      </c>
      <c r="G117" t="e">
        <f t="array" ref="G117">SMALL(IF(Spells!$A$1:$A$275=$A117,IF(Spells!$L$1:$L$275=$A$1,ROW(Spells!$A$1:$A$275))),COLUMN(F:F))</f>
        <v>#NUM!</v>
      </c>
      <c r="H117" t="str">
        <f>IF(ISERR(B117),"",INDEX(Spells!$F$1:$F$275,B117))</f>
        <v/>
      </c>
      <c r="I117" t="str">
        <f>IF(ISERR(C117),"",INDEX(Spells!$F$1:$F$275,C117))</f>
        <v/>
      </c>
      <c r="J117" t="str">
        <f>IF(ISERR(D117),"",INDEX(Spells!$F$1:$F$275,D117))</f>
        <v/>
      </c>
      <c r="K117" t="str">
        <f>IF(ISERR(E117),"",INDEX(Spells!$F$1:$F$275,E117))</f>
        <v/>
      </c>
      <c r="L117" t="str">
        <f>IF(ISERR(F117),"",INDEX(Spells!$F$1:$F$275,F117))</f>
        <v/>
      </c>
      <c r="M117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117" t="e">
        <f t="shared" si="14"/>
        <v>#VALUE!</v>
      </c>
      <c r="O117">
        <f t="shared" si="12"/>
        <v>0</v>
      </c>
      <c r="P117" t="str">
        <f t="shared" si="15"/>
        <v/>
      </c>
      <c r="Q117">
        <f>COUNTIF($P$4:P$155,"=("&amp;P117&amp;")")</f>
        <v>0</v>
      </c>
      <c r="R117" t="str">
        <f t="shared" si="16"/>
        <v/>
      </c>
      <c r="S117" t="e">
        <f t="array" ref="S117">INDEX($R$4:$R$155,SMALL(IF($R$4:$R$155&lt;&gt;"",ROW($R$4:$R$155)-3),ROW()-3))</f>
        <v>#NUM!</v>
      </c>
      <c r="T117" t="str">
        <f t="shared" si="5"/>
        <v/>
      </c>
    </row>
    <row r="118" spans="1:20">
      <c r="A118" s="10">
        <v>115</v>
      </c>
      <c r="B118" t="e">
        <f t="array" ref="B118">SMALL(IF(Spells!$A$1:$A$275=$A118,IF(Spells!$L$1:$L$275=$A$1,ROW(Spells!$A$1:$A$275))),COLUMN(A:A))</f>
        <v>#NUM!</v>
      </c>
      <c r="C118" t="e">
        <f t="array" ref="C118">SMALL(IF(Spells!$A$1:$A$275=$A118,IF(Spells!$L$1:$L$275=$A$1,ROW(Spells!$A$1:$A$275))),COLUMN(B:B))</f>
        <v>#NUM!</v>
      </c>
      <c r="D118" t="e">
        <f t="array" ref="D118">SMALL(IF(Spells!$A$1:$A$275=$A118,IF(Spells!$L$1:$L$275=$A$1,ROW(Spells!$A$1:$A$275))),COLUMN(C:C))</f>
        <v>#NUM!</v>
      </c>
      <c r="E118" t="e">
        <f t="array" ref="E118">SMALL(IF(Spells!$A$1:$A$275=$A118,IF(Spells!$L$1:$L$275=$A$1,ROW(Spells!$A$1:$A$275))),COLUMN(D:D))</f>
        <v>#NUM!</v>
      </c>
      <c r="F118" t="e">
        <f t="array" ref="F118">SMALL(IF(Spells!$A$1:$A$275=$A118,IF(Spells!$L$1:$L$275=$A$1,ROW(Spells!$A$1:$A$275))),COLUMN(E:E))</f>
        <v>#NUM!</v>
      </c>
      <c r="G118" t="e">
        <f t="array" ref="G118">SMALL(IF(Spells!$A$1:$A$275=$A118,IF(Spells!$L$1:$L$275=$A$1,ROW(Spells!$A$1:$A$275))),COLUMN(F:F))</f>
        <v>#NUM!</v>
      </c>
      <c r="H118" t="str">
        <f>IF(ISERR(B118),"",INDEX(Spells!$F$1:$F$275,B118))</f>
        <v/>
      </c>
      <c r="I118" t="str">
        <f>IF(ISERR(C118),"",INDEX(Spells!$F$1:$F$275,C118))</f>
        <v/>
      </c>
      <c r="J118" t="str">
        <f>IF(ISERR(D118),"",INDEX(Spells!$F$1:$F$275,D118))</f>
        <v/>
      </c>
      <c r="K118" t="str">
        <f>IF(ISERR(E118),"",INDEX(Spells!$F$1:$F$275,E118))</f>
        <v/>
      </c>
      <c r="L118" t="str">
        <f>IF(ISERR(F118),"",INDEX(Spells!$F$1:$F$275,F118))</f>
        <v/>
      </c>
      <c r="M118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118" t="e">
        <f t="shared" si="14"/>
        <v>#VALUE!</v>
      </c>
      <c r="O118">
        <f t="shared" si="12"/>
        <v>0</v>
      </c>
      <c r="P118" t="str">
        <f t="shared" si="15"/>
        <v/>
      </c>
      <c r="Q118">
        <f>COUNTIF($P$4:P$155,"=("&amp;P118&amp;")")</f>
        <v>0</v>
      </c>
      <c r="R118" t="str">
        <f t="shared" si="16"/>
        <v/>
      </c>
      <c r="S118" t="e">
        <f t="array" ref="S118">INDEX($R$4:$R$155,SMALL(IF($R$4:$R$155&lt;&gt;"",ROW($R$4:$R$155)-3),ROW()-3))</f>
        <v>#NUM!</v>
      </c>
      <c r="T118" t="str">
        <f t="shared" si="5"/>
        <v/>
      </c>
    </row>
    <row r="119" spans="1:20">
      <c r="A119" s="10">
        <v>116</v>
      </c>
      <c r="B119" t="e">
        <f t="array" ref="B119">SMALL(IF(Spells!$A$1:$A$275=$A119,IF(Spells!$L$1:$L$275=$A$1,ROW(Spells!$A$1:$A$275))),COLUMN(A:A))</f>
        <v>#NUM!</v>
      </c>
      <c r="C119" t="e">
        <f t="array" ref="C119">SMALL(IF(Spells!$A$1:$A$275=$A119,IF(Spells!$L$1:$L$275=$A$1,ROW(Spells!$A$1:$A$275))),COLUMN(B:B))</f>
        <v>#NUM!</v>
      </c>
      <c r="D119" t="e">
        <f t="array" ref="D119">SMALL(IF(Spells!$A$1:$A$275=$A119,IF(Spells!$L$1:$L$275=$A$1,ROW(Spells!$A$1:$A$275))),COLUMN(C:C))</f>
        <v>#NUM!</v>
      </c>
      <c r="E119" t="e">
        <f t="array" ref="E119">SMALL(IF(Spells!$A$1:$A$275=$A119,IF(Spells!$L$1:$L$275=$A$1,ROW(Spells!$A$1:$A$275))),COLUMN(D:D))</f>
        <v>#NUM!</v>
      </c>
      <c r="F119" t="e">
        <f t="array" ref="F119">SMALL(IF(Spells!$A$1:$A$275=$A119,IF(Spells!$L$1:$L$275=$A$1,ROW(Spells!$A$1:$A$275))),COLUMN(E:E))</f>
        <v>#NUM!</v>
      </c>
      <c r="G119" t="e">
        <f t="array" ref="G119">SMALL(IF(Spells!$A$1:$A$275=$A119,IF(Spells!$L$1:$L$275=$A$1,ROW(Spells!$A$1:$A$275))),COLUMN(F:F))</f>
        <v>#NUM!</v>
      </c>
      <c r="H119" t="str">
        <f>IF(ISERR(B119),"",INDEX(Spells!$F$1:$F$275,B119))</f>
        <v/>
      </c>
      <c r="I119" t="str">
        <f>IF(ISERR(C119),"",INDEX(Spells!$F$1:$F$275,C119))</f>
        <v/>
      </c>
      <c r="J119" t="str">
        <f>IF(ISERR(D119),"",INDEX(Spells!$F$1:$F$275,D119))</f>
        <v/>
      </c>
      <c r="K119" t="str">
        <f>IF(ISERR(E119),"",INDEX(Spells!$F$1:$F$275,E119))</f>
        <v/>
      </c>
      <c r="L119" t="str">
        <f>IF(ISERR(F119),"",INDEX(Spells!$F$1:$F$275,F119))</f>
        <v/>
      </c>
      <c r="M119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119" t="e">
        <f t="shared" si="14"/>
        <v>#VALUE!</v>
      </c>
      <c r="O119">
        <f t="shared" si="12"/>
        <v>0</v>
      </c>
      <c r="P119" t="str">
        <f t="shared" si="15"/>
        <v/>
      </c>
      <c r="Q119">
        <f>COUNTIF($P$4:P$155,"=("&amp;P119&amp;")")</f>
        <v>0</v>
      </c>
      <c r="R119" t="str">
        <f t="shared" si="16"/>
        <v/>
      </c>
      <c r="S119" t="e">
        <f t="array" ref="S119">INDEX($R$4:$R$155,SMALL(IF($R$4:$R$155&lt;&gt;"",ROW($R$4:$R$155)-3),ROW()-3))</f>
        <v>#NUM!</v>
      </c>
      <c r="T119" t="str">
        <f t="shared" si="5"/>
        <v/>
      </c>
    </row>
    <row r="120" spans="1:20">
      <c r="A120" s="10">
        <v>117</v>
      </c>
      <c r="B120" t="e">
        <f t="array" ref="B120">SMALL(IF(Spells!$A$1:$A$275=$A120,IF(Spells!$L$1:$L$275=$A$1,ROW(Spells!$A$1:$A$275))),COLUMN(A:A))</f>
        <v>#NUM!</v>
      </c>
      <c r="C120" t="e">
        <f t="array" ref="C120">SMALL(IF(Spells!$A$1:$A$275=$A120,IF(Spells!$L$1:$L$275=$A$1,ROW(Spells!$A$1:$A$275))),COLUMN(B:B))</f>
        <v>#NUM!</v>
      </c>
      <c r="D120" t="e">
        <f t="array" ref="D120">SMALL(IF(Spells!$A$1:$A$275=$A120,IF(Spells!$L$1:$L$275=$A$1,ROW(Spells!$A$1:$A$275))),COLUMN(C:C))</f>
        <v>#NUM!</v>
      </c>
      <c r="E120" t="e">
        <f t="array" ref="E120">SMALL(IF(Spells!$A$1:$A$275=$A120,IF(Spells!$L$1:$L$275=$A$1,ROW(Spells!$A$1:$A$275))),COLUMN(D:D))</f>
        <v>#NUM!</v>
      </c>
      <c r="F120" t="e">
        <f t="array" ref="F120">SMALL(IF(Spells!$A$1:$A$275=$A120,IF(Spells!$L$1:$L$275=$A$1,ROW(Spells!$A$1:$A$275))),COLUMN(E:E))</f>
        <v>#NUM!</v>
      </c>
      <c r="G120" t="e">
        <f t="array" ref="G120">SMALL(IF(Spells!$A$1:$A$275=$A120,IF(Spells!$L$1:$L$275=$A$1,ROW(Spells!$A$1:$A$275))),COLUMN(F:F))</f>
        <v>#NUM!</v>
      </c>
      <c r="H120" t="str">
        <f>IF(ISERR(B120),"",INDEX(Spells!$F$1:$F$275,B120))</f>
        <v/>
      </c>
      <c r="I120" t="str">
        <f>IF(ISERR(C120),"",INDEX(Spells!$F$1:$F$275,C120))</f>
        <v/>
      </c>
      <c r="J120" t="str">
        <f>IF(ISERR(D120),"",INDEX(Spells!$F$1:$F$275,D120))</f>
        <v/>
      </c>
      <c r="K120" t="str">
        <f>IF(ISERR(E120),"",INDEX(Spells!$F$1:$F$275,E120))</f>
        <v/>
      </c>
      <c r="L120" t="str">
        <f>IF(ISERR(F120),"",INDEX(Spells!$F$1:$F$275,F120))</f>
        <v/>
      </c>
      <c r="M120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120" t="e">
        <f t="shared" si="14"/>
        <v>#VALUE!</v>
      </c>
      <c r="O120">
        <f t="shared" si="12"/>
        <v>0</v>
      </c>
      <c r="P120" t="str">
        <f t="shared" si="15"/>
        <v/>
      </c>
      <c r="Q120">
        <f>COUNTIF($P$4:P$155,"=("&amp;P120&amp;")")</f>
        <v>0</v>
      </c>
      <c r="R120" t="str">
        <f t="shared" si="16"/>
        <v/>
      </c>
      <c r="S120" t="e">
        <f t="array" ref="S120">INDEX($R$4:$R$155,SMALL(IF($R$4:$R$155&lt;&gt;"",ROW($R$4:$R$155)-3),ROW()-3))</f>
        <v>#NUM!</v>
      </c>
      <c r="T120" t="str">
        <f t="shared" si="5"/>
        <v/>
      </c>
    </row>
    <row r="121" spans="1:20">
      <c r="A121" s="10">
        <v>118</v>
      </c>
      <c r="B121" t="e">
        <f t="array" ref="B121">SMALL(IF(Spells!$A$1:$A$275=$A121,IF(Spells!$L$1:$L$275=$A$1,ROW(Spells!$A$1:$A$275))),COLUMN(A:A))</f>
        <v>#NUM!</v>
      </c>
      <c r="C121" t="e">
        <f t="array" ref="C121">SMALL(IF(Spells!$A$1:$A$275=$A121,IF(Spells!$L$1:$L$275=$A$1,ROW(Spells!$A$1:$A$275))),COLUMN(B:B))</f>
        <v>#NUM!</v>
      </c>
      <c r="D121" t="e">
        <f t="array" ref="D121">SMALL(IF(Spells!$A$1:$A$275=$A121,IF(Spells!$L$1:$L$275=$A$1,ROW(Spells!$A$1:$A$275))),COLUMN(C:C))</f>
        <v>#NUM!</v>
      </c>
      <c r="E121" t="e">
        <f t="array" ref="E121">SMALL(IF(Spells!$A$1:$A$275=$A121,IF(Spells!$L$1:$L$275=$A$1,ROW(Spells!$A$1:$A$275))),COLUMN(D:D))</f>
        <v>#NUM!</v>
      </c>
      <c r="F121" t="e">
        <f t="array" ref="F121">SMALL(IF(Spells!$A$1:$A$275=$A121,IF(Spells!$L$1:$L$275=$A$1,ROW(Spells!$A$1:$A$275))),COLUMN(E:E))</f>
        <v>#NUM!</v>
      </c>
      <c r="G121" t="e">
        <f t="array" ref="G121">SMALL(IF(Spells!$A$1:$A$275=$A121,IF(Spells!$L$1:$L$275=$A$1,ROW(Spells!$A$1:$A$275))),COLUMN(F:F))</f>
        <v>#NUM!</v>
      </c>
      <c r="H121" t="str">
        <f>IF(ISERR(B121),"",INDEX(Spells!$F$1:$F$275,B121))</f>
        <v/>
      </c>
      <c r="I121" t="str">
        <f>IF(ISERR(C121),"",INDEX(Spells!$F$1:$F$275,C121))</f>
        <v/>
      </c>
      <c r="J121" t="str">
        <f>IF(ISERR(D121),"",INDEX(Spells!$F$1:$F$275,D121))</f>
        <v/>
      </c>
      <c r="K121" t="str">
        <f>IF(ISERR(E121),"",INDEX(Spells!$F$1:$F$275,E121))</f>
        <v/>
      </c>
      <c r="L121" t="str">
        <f>IF(ISERR(F121),"",INDEX(Spells!$F$1:$F$275,F121))</f>
        <v/>
      </c>
      <c r="M121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121" t="e">
        <f t="shared" si="14"/>
        <v>#VALUE!</v>
      </c>
      <c r="O121">
        <f t="shared" si="12"/>
        <v>0</v>
      </c>
      <c r="P121" t="str">
        <f t="shared" si="15"/>
        <v/>
      </c>
      <c r="Q121">
        <f>COUNTIF($P$4:P$155,"=("&amp;P121&amp;")")</f>
        <v>0</v>
      </c>
      <c r="R121" t="str">
        <f t="shared" si="16"/>
        <v/>
      </c>
      <c r="S121" t="e">
        <f t="array" ref="S121">INDEX($R$4:$R$155,SMALL(IF($R$4:$R$155&lt;&gt;"",ROW($R$4:$R$155)-3),ROW()-3))</f>
        <v>#NUM!</v>
      </c>
      <c r="T121" t="str">
        <f t="shared" si="5"/>
        <v/>
      </c>
    </row>
    <row r="122" spans="1:20">
      <c r="A122" s="10">
        <v>119</v>
      </c>
      <c r="B122" t="e">
        <f t="array" ref="B122">SMALL(IF(Spells!$A$1:$A$275=$A122,IF(Spells!$L$1:$L$275=$A$1,ROW(Spells!$A$1:$A$275))),COLUMN(A:A))</f>
        <v>#NUM!</v>
      </c>
      <c r="C122" t="e">
        <f t="array" ref="C122">SMALL(IF(Spells!$A$1:$A$275=$A122,IF(Spells!$L$1:$L$275=$A$1,ROW(Spells!$A$1:$A$275))),COLUMN(B:B))</f>
        <v>#NUM!</v>
      </c>
      <c r="D122" t="e">
        <f t="array" ref="D122">SMALL(IF(Spells!$A$1:$A$275=$A122,IF(Spells!$L$1:$L$275=$A$1,ROW(Spells!$A$1:$A$275))),COLUMN(C:C))</f>
        <v>#NUM!</v>
      </c>
      <c r="E122" t="e">
        <f t="array" ref="E122">SMALL(IF(Spells!$A$1:$A$275=$A122,IF(Spells!$L$1:$L$275=$A$1,ROW(Spells!$A$1:$A$275))),COLUMN(D:D))</f>
        <v>#NUM!</v>
      </c>
      <c r="F122" t="e">
        <f t="array" ref="F122">SMALL(IF(Spells!$A$1:$A$275=$A122,IF(Spells!$L$1:$L$275=$A$1,ROW(Spells!$A$1:$A$275))),COLUMN(E:E))</f>
        <v>#NUM!</v>
      </c>
      <c r="G122" t="e">
        <f t="array" ref="G122">SMALL(IF(Spells!$A$1:$A$275=$A122,IF(Spells!$L$1:$L$275=$A$1,ROW(Spells!$A$1:$A$275))),COLUMN(F:F))</f>
        <v>#NUM!</v>
      </c>
      <c r="H122" t="str">
        <f>IF(ISERR(B122),"",INDEX(Spells!$F$1:$F$275,B122))</f>
        <v/>
      </c>
      <c r="I122" t="str">
        <f>IF(ISERR(C122),"",INDEX(Spells!$F$1:$F$275,C122))</f>
        <v/>
      </c>
      <c r="J122" t="str">
        <f>IF(ISERR(D122),"",INDEX(Spells!$F$1:$F$275,D122))</f>
        <v/>
      </c>
      <c r="K122" t="str">
        <f>IF(ISERR(E122),"",INDEX(Spells!$F$1:$F$275,E122))</f>
        <v/>
      </c>
      <c r="L122" t="str">
        <f>IF(ISERR(F122),"",INDEX(Spells!$F$1:$F$275,F122))</f>
        <v/>
      </c>
      <c r="M122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122" t="e">
        <f t="shared" si="14"/>
        <v>#VALUE!</v>
      </c>
      <c r="O122">
        <f t="shared" si="12"/>
        <v>0</v>
      </c>
      <c r="P122" t="str">
        <f t="shared" si="15"/>
        <v/>
      </c>
      <c r="Q122">
        <f>COUNTIF($P$4:P$155,"=("&amp;P122&amp;")")</f>
        <v>0</v>
      </c>
      <c r="R122" t="str">
        <f t="shared" si="16"/>
        <v/>
      </c>
      <c r="S122" t="e">
        <f t="array" ref="S122">INDEX($R$4:$R$155,SMALL(IF($R$4:$R$155&lt;&gt;"",ROW($R$4:$R$155)-3),ROW()-3))</f>
        <v>#NUM!</v>
      </c>
      <c r="T122" t="str">
        <f t="shared" si="5"/>
        <v/>
      </c>
    </row>
    <row r="123" spans="1:20">
      <c r="A123" s="10">
        <v>120</v>
      </c>
      <c r="B123" t="e">
        <f t="array" ref="B123">SMALL(IF(Spells!$A$1:$A$275=$A123,IF(Spells!$L$1:$L$275=$A$1,ROW(Spells!$A$1:$A$275))),COLUMN(A:A))</f>
        <v>#NUM!</v>
      </c>
      <c r="C123" t="e">
        <f t="array" ref="C123">SMALL(IF(Spells!$A$1:$A$275=$A123,IF(Spells!$L$1:$L$275=$A$1,ROW(Spells!$A$1:$A$275))),COLUMN(B:B))</f>
        <v>#NUM!</v>
      </c>
      <c r="D123" t="e">
        <f t="array" ref="D123">SMALL(IF(Spells!$A$1:$A$275=$A123,IF(Spells!$L$1:$L$275=$A$1,ROW(Spells!$A$1:$A$275))),COLUMN(C:C))</f>
        <v>#NUM!</v>
      </c>
      <c r="E123" t="e">
        <f t="array" ref="E123">SMALL(IF(Spells!$A$1:$A$275=$A123,IF(Spells!$L$1:$L$275=$A$1,ROW(Spells!$A$1:$A$275))),COLUMN(D:D))</f>
        <v>#NUM!</v>
      </c>
      <c r="F123" t="e">
        <f t="array" ref="F123">SMALL(IF(Spells!$A$1:$A$275=$A123,IF(Spells!$L$1:$L$275=$A$1,ROW(Spells!$A$1:$A$275))),COLUMN(E:E))</f>
        <v>#NUM!</v>
      </c>
      <c r="G123" t="e">
        <f t="array" ref="G123">SMALL(IF(Spells!$A$1:$A$275=$A123,IF(Spells!$L$1:$L$275=$A$1,ROW(Spells!$A$1:$A$275))),COLUMN(F:F))</f>
        <v>#NUM!</v>
      </c>
      <c r="H123" t="str">
        <f>IF(ISERR(B123),"",INDEX(Spells!$F$1:$F$275,B123))</f>
        <v/>
      </c>
      <c r="I123" t="str">
        <f>IF(ISERR(C123),"",INDEX(Spells!$F$1:$F$275,C123))</f>
        <v/>
      </c>
      <c r="J123" t="str">
        <f>IF(ISERR(D123),"",INDEX(Spells!$F$1:$F$275,D123))</f>
        <v/>
      </c>
      <c r="K123" t="str">
        <f>IF(ISERR(E123),"",INDEX(Spells!$F$1:$F$275,E123))</f>
        <v/>
      </c>
      <c r="L123" t="str">
        <f>IF(ISERR(F123),"",INDEX(Spells!$F$1:$F$275,F123))</f>
        <v/>
      </c>
      <c r="M123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123" t="e">
        <f t="shared" si="14"/>
        <v>#VALUE!</v>
      </c>
      <c r="O123">
        <f t="shared" si="12"/>
        <v>0</v>
      </c>
      <c r="P123" t="str">
        <f t="shared" si="15"/>
        <v/>
      </c>
      <c r="Q123">
        <f>COUNTIF($P$4:P$155,"=("&amp;P123&amp;")")</f>
        <v>0</v>
      </c>
      <c r="R123" t="str">
        <f t="shared" si="16"/>
        <v/>
      </c>
      <c r="S123" t="e">
        <f t="array" ref="S123">INDEX($R$4:$R$155,SMALL(IF($R$4:$R$155&lt;&gt;"",ROW($R$4:$R$155)-3),ROW()-3))</f>
        <v>#NUM!</v>
      </c>
      <c r="T123" t="str">
        <f t="shared" si="5"/>
        <v/>
      </c>
    </row>
    <row r="124" spans="1:20">
      <c r="A124" s="10">
        <v>121</v>
      </c>
      <c r="B124" t="e">
        <f t="array" ref="B124">SMALL(IF(Spells!$A$1:$A$275=$A124,IF(Spells!$L$1:$L$275=$A$1,ROW(Spells!$A$1:$A$275))),COLUMN(A:A))</f>
        <v>#NUM!</v>
      </c>
      <c r="C124" t="e">
        <f t="array" ref="C124">SMALL(IF(Spells!$A$1:$A$275=$A124,IF(Spells!$L$1:$L$275=$A$1,ROW(Spells!$A$1:$A$275))),COLUMN(B:B))</f>
        <v>#NUM!</v>
      </c>
      <c r="D124" t="e">
        <f t="array" ref="D124">SMALL(IF(Spells!$A$1:$A$275=$A124,IF(Spells!$L$1:$L$275=$A$1,ROW(Spells!$A$1:$A$275))),COLUMN(C:C))</f>
        <v>#NUM!</v>
      </c>
      <c r="E124" t="e">
        <f t="array" ref="E124">SMALL(IF(Spells!$A$1:$A$275=$A124,IF(Spells!$L$1:$L$275=$A$1,ROW(Spells!$A$1:$A$275))),COLUMN(D:D))</f>
        <v>#NUM!</v>
      </c>
      <c r="F124" t="e">
        <f t="array" ref="F124">SMALL(IF(Spells!$A$1:$A$275=$A124,IF(Spells!$L$1:$L$275=$A$1,ROW(Spells!$A$1:$A$275))),COLUMN(E:E))</f>
        <v>#NUM!</v>
      </c>
      <c r="G124" t="e">
        <f t="array" ref="G124">SMALL(IF(Spells!$A$1:$A$275=$A124,IF(Spells!$L$1:$L$275=$A$1,ROW(Spells!$A$1:$A$275))),COLUMN(F:F))</f>
        <v>#NUM!</v>
      </c>
      <c r="H124" t="str">
        <f>IF(ISERR(B124),"",INDEX(Spells!$F$1:$F$275,B124))</f>
        <v/>
      </c>
      <c r="I124" t="str">
        <f>IF(ISERR(C124),"",INDEX(Spells!$F$1:$F$275,C124))</f>
        <v/>
      </c>
      <c r="J124" t="str">
        <f>IF(ISERR(D124),"",INDEX(Spells!$F$1:$F$275,D124))</f>
        <v/>
      </c>
      <c r="K124" t="str">
        <f>IF(ISERR(E124),"",INDEX(Spells!$F$1:$F$275,E124))</f>
        <v/>
      </c>
      <c r="L124" t="str">
        <f>IF(ISERR(F124),"",INDEX(Spells!$F$1:$F$275,F124))</f>
        <v/>
      </c>
      <c r="M124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124" t="e">
        <f t="shared" si="14"/>
        <v>#VALUE!</v>
      </c>
      <c r="O124">
        <f t="shared" si="12"/>
        <v>0</v>
      </c>
      <c r="P124" t="str">
        <f t="shared" si="15"/>
        <v/>
      </c>
      <c r="Q124">
        <f>COUNTIF($P$4:P$155,"=("&amp;P124&amp;")")</f>
        <v>0</v>
      </c>
      <c r="R124" t="str">
        <f t="shared" si="16"/>
        <v/>
      </c>
      <c r="S124" t="e">
        <f t="array" ref="S124">INDEX($R$4:$R$155,SMALL(IF($R$4:$R$155&lt;&gt;"",ROW($R$4:$R$155)-3),ROW()-3))</f>
        <v>#NUM!</v>
      </c>
      <c r="T124" t="str">
        <f t="shared" si="5"/>
        <v/>
      </c>
    </row>
    <row r="125" spans="1:20">
      <c r="A125" s="10">
        <v>122</v>
      </c>
      <c r="B125" t="e">
        <f t="array" ref="B125">SMALL(IF(Spells!$A$1:$A$275=$A125,IF(Spells!$L$1:$L$275=$A$1,ROW(Spells!$A$1:$A$275))),COLUMN(A:A))</f>
        <v>#NUM!</v>
      </c>
      <c r="C125" t="e">
        <f t="array" ref="C125">SMALL(IF(Spells!$A$1:$A$275=$A125,IF(Spells!$L$1:$L$275=$A$1,ROW(Spells!$A$1:$A$275))),COLUMN(B:B))</f>
        <v>#NUM!</v>
      </c>
      <c r="D125" t="e">
        <f t="array" ref="D125">SMALL(IF(Spells!$A$1:$A$275=$A125,IF(Spells!$L$1:$L$275=$A$1,ROW(Spells!$A$1:$A$275))),COLUMN(C:C))</f>
        <v>#NUM!</v>
      </c>
      <c r="E125" t="e">
        <f t="array" ref="E125">SMALL(IF(Spells!$A$1:$A$275=$A125,IF(Spells!$L$1:$L$275=$A$1,ROW(Spells!$A$1:$A$275))),COLUMN(D:D))</f>
        <v>#NUM!</v>
      </c>
      <c r="F125" t="e">
        <f t="array" ref="F125">SMALL(IF(Spells!$A$1:$A$275=$A125,IF(Spells!$L$1:$L$275=$A$1,ROW(Spells!$A$1:$A$275))),COLUMN(E:E))</f>
        <v>#NUM!</v>
      </c>
      <c r="G125" t="e">
        <f t="array" ref="G125">SMALL(IF(Spells!$A$1:$A$275=$A125,IF(Spells!$L$1:$L$275=$A$1,ROW(Spells!$A$1:$A$275))),COLUMN(F:F))</f>
        <v>#NUM!</v>
      </c>
      <c r="H125" t="str">
        <f>IF(ISERR(B125),"",INDEX(Spells!$F$1:$F$275,B125))</f>
        <v/>
      </c>
      <c r="I125" t="str">
        <f>IF(ISERR(C125),"",INDEX(Spells!$F$1:$F$275,C125))</f>
        <v/>
      </c>
      <c r="J125" t="str">
        <f>IF(ISERR(D125),"",INDEX(Spells!$F$1:$F$275,D125))</f>
        <v/>
      </c>
      <c r="K125" t="str">
        <f>IF(ISERR(E125),"",INDEX(Spells!$F$1:$F$275,E125))</f>
        <v/>
      </c>
      <c r="L125" t="str">
        <f>IF(ISERR(F125),"",INDEX(Spells!$F$1:$F$275,F125))</f>
        <v/>
      </c>
      <c r="M125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125" t="e">
        <f t="shared" si="14"/>
        <v>#VALUE!</v>
      </c>
      <c r="O125">
        <f t="shared" si="12"/>
        <v>0</v>
      </c>
      <c r="P125" t="str">
        <f t="shared" si="15"/>
        <v/>
      </c>
      <c r="Q125">
        <f>COUNTIF($P$4:P$155,"=("&amp;P125&amp;")")</f>
        <v>0</v>
      </c>
      <c r="R125" t="str">
        <f t="shared" si="16"/>
        <v/>
      </c>
      <c r="S125" t="e">
        <f t="array" ref="S125">INDEX($R$4:$R$155,SMALL(IF($R$4:$R$155&lt;&gt;"",ROW($R$4:$R$155)-3),ROW()-3))</f>
        <v>#NUM!</v>
      </c>
      <c r="T125" t="str">
        <f t="shared" si="5"/>
        <v/>
      </c>
    </row>
    <row r="126" spans="1:20">
      <c r="A126" s="10">
        <v>123</v>
      </c>
      <c r="B126" t="e">
        <f t="array" ref="B126">SMALL(IF(Spells!$A$1:$A$275=$A126,IF(Spells!$L$1:$L$275=$A$1,ROW(Spells!$A$1:$A$275))),COLUMN(A:A))</f>
        <v>#NUM!</v>
      </c>
      <c r="C126" t="e">
        <f t="array" ref="C126">SMALL(IF(Spells!$A$1:$A$275=$A126,IF(Spells!$L$1:$L$275=$A$1,ROW(Spells!$A$1:$A$275))),COLUMN(B:B))</f>
        <v>#NUM!</v>
      </c>
      <c r="D126" t="e">
        <f t="array" ref="D126">SMALL(IF(Spells!$A$1:$A$275=$A126,IF(Spells!$L$1:$L$275=$A$1,ROW(Spells!$A$1:$A$275))),COLUMN(C:C))</f>
        <v>#NUM!</v>
      </c>
      <c r="E126" t="e">
        <f t="array" ref="E126">SMALL(IF(Spells!$A$1:$A$275=$A126,IF(Spells!$L$1:$L$275=$A$1,ROW(Spells!$A$1:$A$275))),COLUMN(D:D))</f>
        <v>#NUM!</v>
      </c>
      <c r="F126" t="e">
        <f t="array" ref="F126">SMALL(IF(Spells!$A$1:$A$275=$A126,IF(Spells!$L$1:$L$275=$A$1,ROW(Spells!$A$1:$A$275))),COLUMN(E:E))</f>
        <v>#NUM!</v>
      </c>
      <c r="G126" t="e">
        <f t="array" ref="G126">SMALL(IF(Spells!$A$1:$A$275=$A126,IF(Spells!$L$1:$L$275=$A$1,ROW(Spells!$A$1:$A$275))),COLUMN(F:F))</f>
        <v>#NUM!</v>
      </c>
      <c r="H126" t="str">
        <f>IF(ISERR(B126),"",INDEX(Spells!$F$1:$F$275,B126))</f>
        <v/>
      </c>
      <c r="I126" t="str">
        <f>IF(ISERR(C126),"",INDEX(Spells!$F$1:$F$275,C126))</f>
        <v/>
      </c>
      <c r="J126" t="str">
        <f>IF(ISERR(D126),"",INDEX(Spells!$F$1:$F$275,D126))</f>
        <v/>
      </c>
      <c r="K126" t="str">
        <f>IF(ISERR(E126),"",INDEX(Spells!$F$1:$F$275,E126))</f>
        <v/>
      </c>
      <c r="L126" t="str">
        <f>IF(ISERR(F126),"",INDEX(Spells!$F$1:$F$275,F126))</f>
        <v/>
      </c>
      <c r="M126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126" t="e">
        <f t="shared" si="14"/>
        <v>#VALUE!</v>
      </c>
      <c r="O126">
        <f t="shared" si="12"/>
        <v>0</v>
      </c>
      <c r="P126" t="str">
        <f t="shared" si="15"/>
        <v/>
      </c>
      <c r="Q126">
        <f>COUNTIF($P$4:P$155,"=("&amp;P126&amp;")")</f>
        <v>0</v>
      </c>
      <c r="R126" t="str">
        <f t="shared" si="16"/>
        <v/>
      </c>
      <c r="S126" t="e">
        <f t="array" ref="S126">INDEX($R$4:$R$155,SMALL(IF($R$4:$R$155&lt;&gt;"",ROW($R$4:$R$155)-3),ROW()-3))</f>
        <v>#NUM!</v>
      </c>
      <c r="T126" t="str">
        <f t="shared" si="5"/>
        <v/>
      </c>
    </row>
    <row r="127" spans="1:20">
      <c r="A127" s="10">
        <v>124</v>
      </c>
      <c r="B127" t="e">
        <f t="array" ref="B127">SMALL(IF(Spells!$A$1:$A$275=$A127,IF(Spells!$L$1:$L$275=$A$1,ROW(Spells!$A$1:$A$275))),COLUMN(A:A))</f>
        <v>#NUM!</v>
      </c>
      <c r="C127" t="e">
        <f t="array" ref="C127">SMALL(IF(Spells!$A$1:$A$275=$A127,IF(Spells!$L$1:$L$275=$A$1,ROW(Spells!$A$1:$A$275))),COLUMN(B:B))</f>
        <v>#NUM!</v>
      </c>
      <c r="D127" t="e">
        <f t="array" ref="D127">SMALL(IF(Spells!$A$1:$A$275=$A127,IF(Spells!$L$1:$L$275=$A$1,ROW(Spells!$A$1:$A$275))),COLUMN(C:C))</f>
        <v>#NUM!</v>
      </c>
      <c r="E127" t="e">
        <f t="array" ref="E127">SMALL(IF(Spells!$A$1:$A$275=$A127,IF(Spells!$L$1:$L$275=$A$1,ROW(Spells!$A$1:$A$275))),COLUMN(D:D))</f>
        <v>#NUM!</v>
      </c>
      <c r="F127" t="e">
        <f t="array" ref="F127">SMALL(IF(Spells!$A$1:$A$275=$A127,IF(Spells!$L$1:$L$275=$A$1,ROW(Spells!$A$1:$A$275))),COLUMN(E:E))</f>
        <v>#NUM!</v>
      </c>
      <c r="G127" t="e">
        <f t="array" ref="G127">SMALL(IF(Spells!$A$1:$A$275=$A127,IF(Spells!$L$1:$L$275=$A$1,ROW(Spells!$A$1:$A$275))),COLUMN(F:F))</f>
        <v>#NUM!</v>
      </c>
      <c r="H127" t="str">
        <f>IF(ISERR(B127),"",INDEX(Spells!$F$1:$F$275,B127))</f>
        <v/>
      </c>
      <c r="I127" t="str">
        <f>IF(ISERR(C127),"",INDEX(Spells!$F$1:$F$275,C127))</f>
        <v/>
      </c>
      <c r="J127" t="str">
        <f>IF(ISERR(D127),"",INDEX(Spells!$F$1:$F$275,D127))</f>
        <v/>
      </c>
      <c r="K127" t="str">
        <f>IF(ISERR(E127),"",INDEX(Spells!$F$1:$F$275,E127))</f>
        <v/>
      </c>
      <c r="L127" t="str">
        <f>IF(ISERR(F127),"",INDEX(Spells!$F$1:$F$275,F127))</f>
        <v/>
      </c>
      <c r="M127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127" t="e">
        <f t="shared" si="14"/>
        <v>#VALUE!</v>
      </c>
      <c r="O127">
        <f t="shared" si="12"/>
        <v>0</v>
      </c>
      <c r="P127" t="str">
        <f t="shared" si="15"/>
        <v/>
      </c>
      <c r="Q127">
        <f>COUNTIF($P$4:P$155,"=("&amp;P127&amp;")")</f>
        <v>0</v>
      </c>
      <c r="R127" t="str">
        <f t="shared" si="16"/>
        <v/>
      </c>
      <c r="S127" t="e">
        <f t="array" ref="S127">INDEX($R$4:$R$155,SMALL(IF($R$4:$R$155&lt;&gt;"",ROW($R$4:$R$155)-3),ROW()-3))</f>
        <v>#NUM!</v>
      </c>
      <c r="T127" t="str">
        <f t="shared" si="5"/>
        <v/>
      </c>
    </row>
    <row r="128" spans="1:20">
      <c r="A128" s="10">
        <v>125</v>
      </c>
      <c r="B128" t="e">
        <f t="array" ref="B128">SMALL(IF(Spells!$A$1:$A$275=$A128,IF(Spells!$L$1:$L$275=$A$1,ROW(Spells!$A$1:$A$275))),COLUMN(A:A))</f>
        <v>#NUM!</v>
      </c>
      <c r="C128" t="e">
        <f t="array" ref="C128">SMALL(IF(Spells!$A$1:$A$275=$A128,IF(Spells!$L$1:$L$275=$A$1,ROW(Spells!$A$1:$A$275))),COLUMN(B:B))</f>
        <v>#NUM!</v>
      </c>
      <c r="D128" t="e">
        <f t="array" ref="D128">SMALL(IF(Spells!$A$1:$A$275=$A128,IF(Spells!$L$1:$L$275=$A$1,ROW(Spells!$A$1:$A$275))),COLUMN(C:C))</f>
        <v>#NUM!</v>
      </c>
      <c r="E128" t="e">
        <f t="array" ref="E128">SMALL(IF(Spells!$A$1:$A$275=$A128,IF(Spells!$L$1:$L$275=$A$1,ROW(Spells!$A$1:$A$275))),COLUMN(D:D))</f>
        <v>#NUM!</v>
      </c>
      <c r="F128" t="e">
        <f t="array" ref="F128">SMALL(IF(Spells!$A$1:$A$275=$A128,IF(Spells!$L$1:$L$275=$A$1,ROW(Spells!$A$1:$A$275))),COLUMN(E:E))</f>
        <v>#NUM!</v>
      </c>
      <c r="G128" t="e">
        <f t="array" ref="G128">SMALL(IF(Spells!$A$1:$A$275=$A128,IF(Spells!$L$1:$L$275=$A$1,ROW(Spells!$A$1:$A$275))),COLUMN(F:F))</f>
        <v>#NUM!</v>
      </c>
      <c r="H128" t="str">
        <f>IF(ISERR(B128),"",INDEX(Spells!$F$1:$F$275,B128))</f>
        <v/>
      </c>
      <c r="I128" t="str">
        <f>IF(ISERR(C128),"",INDEX(Spells!$F$1:$F$275,C128))</f>
        <v/>
      </c>
      <c r="J128" t="str">
        <f>IF(ISERR(D128),"",INDEX(Spells!$F$1:$F$275,D128))</f>
        <v/>
      </c>
      <c r="K128" t="str">
        <f>IF(ISERR(E128),"",INDEX(Spells!$F$1:$F$275,E128))</f>
        <v/>
      </c>
      <c r="L128" t="str">
        <f>IF(ISERR(F128),"",INDEX(Spells!$F$1:$F$275,F128))</f>
        <v/>
      </c>
      <c r="M128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128" t="e">
        <f t="shared" si="14"/>
        <v>#VALUE!</v>
      </c>
      <c r="O128">
        <f t="shared" si="12"/>
        <v>0</v>
      </c>
      <c r="P128" t="str">
        <f t="shared" si="15"/>
        <v/>
      </c>
      <c r="Q128">
        <f>COUNTIF($P$4:P$155,"=("&amp;P128&amp;")")</f>
        <v>0</v>
      </c>
      <c r="R128" t="str">
        <f t="shared" si="16"/>
        <v/>
      </c>
      <c r="S128" t="e">
        <f t="array" ref="S128">INDEX($R$4:$R$155,SMALL(IF($R$4:$R$155&lt;&gt;"",ROW($R$4:$R$155)-3),ROW()-3))</f>
        <v>#NUM!</v>
      </c>
      <c r="T128" t="str">
        <f t="shared" si="5"/>
        <v/>
      </c>
    </row>
    <row r="129" spans="1:20">
      <c r="A129" s="10">
        <v>126</v>
      </c>
      <c r="B129" t="e">
        <f t="array" ref="B129">SMALL(IF(Spells!$A$1:$A$275=$A129,IF(Spells!$L$1:$L$275=$A$1,ROW(Spells!$A$1:$A$275))),COLUMN(A:A))</f>
        <v>#NUM!</v>
      </c>
      <c r="C129" t="e">
        <f t="array" ref="C129">SMALL(IF(Spells!$A$1:$A$275=$A129,IF(Spells!$L$1:$L$275=$A$1,ROW(Spells!$A$1:$A$275))),COLUMN(B:B))</f>
        <v>#NUM!</v>
      </c>
      <c r="D129" t="e">
        <f t="array" ref="D129">SMALL(IF(Spells!$A$1:$A$275=$A129,IF(Spells!$L$1:$L$275=$A$1,ROW(Spells!$A$1:$A$275))),COLUMN(C:C))</f>
        <v>#NUM!</v>
      </c>
      <c r="E129" t="e">
        <f t="array" ref="E129">SMALL(IF(Spells!$A$1:$A$275=$A129,IF(Spells!$L$1:$L$275=$A$1,ROW(Spells!$A$1:$A$275))),COLUMN(D:D))</f>
        <v>#NUM!</v>
      </c>
      <c r="F129" t="e">
        <f t="array" ref="F129">SMALL(IF(Spells!$A$1:$A$275=$A129,IF(Spells!$L$1:$L$275=$A$1,ROW(Spells!$A$1:$A$275))),COLUMN(E:E))</f>
        <v>#NUM!</v>
      </c>
      <c r="G129" t="e">
        <f t="array" ref="G129">SMALL(IF(Spells!$A$1:$A$275=$A129,IF(Spells!$L$1:$L$275=$A$1,ROW(Spells!$A$1:$A$275))),COLUMN(F:F))</f>
        <v>#NUM!</v>
      </c>
      <c r="H129" t="str">
        <f>IF(ISERR(B129),"",INDEX(Spells!$F$1:$F$275,B129))</f>
        <v/>
      </c>
      <c r="I129" t="str">
        <f>IF(ISERR(C129),"",INDEX(Spells!$F$1:$F$275,C129))</f>
        <v/>
      </c>
      <c r="J129" t="str">
        <f>IF(ISERR(D129),"",INDEX(Spells!$F$1:$F$275,D129))</f>
        <v/>
      </c>
      <c r="K129" t="str">
        <f>IF(ISERR(E129),"",INDEX(Spells!$F$1:$F$275,E129))</f>
        <v/>
      </c>
      <c r="L129" t="str">
        <f>IF(ISERR(F129),"",INDEX(Spells!$F$1:$F$275,F129))</f>
        <v/>
      </c>
      <c r="M129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129" t="e">
        <f t="shared" si="14"/>
        <v>#VALUE!</v>
      </c>
      <c r="O129">
        <f t="shared" si="12"/>
        <v>0</v>
      </c>
      <c r="P129" t="str">
        <f t="shared" si="15"/>
        <v/>
      </c>
      <c r="Q129">
        <f>COUNTIF($P$4:P$155,"=("&amp;P129&amp;")")</f>
        <v>0</v>
      </c>
      <c r="R129" t="str">
        <f t="shared" si="16"/>
        <v/>
      </c>
      <c r="S129" t="e">
        <f t="array" ref="S129">INDEX($R$4:$R$155,SMALL(IF($R$4:$R$155&lt;&gt;"",ROW($R$4:$R$155)-3),ROW()-3))</f>
        <v>#NUM!</v>
      </c>
      <c r="T129" t="str">
        <f t="shared" si="5"/>
        <v/>
      </c>
    </row>
    <row r="130" spans="1:20">
      <c r="A130" s="10">
        <v>127</v>
      </c>
      <c r="B130" t="e">
        <f t="array" ref="B130">SMALL(IF(Spells!$A$1:$A$275=$A130,IF(Spells!$L$1:$L$275=$A$1,ROW(Spells!$A$1:$A$275))),COLUMN(A:A))</f>
        <v>#NUM!</v>
      </c>
      <c r="C130" t="e">
        <f t="array" ref="C130">SMALL(IF(Spells!$A$1:$A$275=$A130,IF(Spells!$L$1:$L$275=$A$1,ROW(Spells!$A$1:$A$275))),COLUMN(B:B))</f>
        <v>#NUM!</v>
      </c>
      <c r="D130" t="e">
        <f t="array" ref="D130">SMALL(IF(Spells!$A$1:$A$275=$A130,IF(Spells!$L$1:$L$275=$A$1,ROW(Spells!$A$1:$A$275))),COLUMN(C:C))</f>
        <v>#NUM!</v>
      </c>
      <c r="E130" t="e">
        <f t="array" ref="E130">SMALL(IF(Spells!$A$1:$A$275=$A130,IF(Spells!$L$1:$L$275=$A$1,ROW(Spells!$A$1:$A$275))),COLUMN(D:D))</f>
        <v>#NUM!</v>
      </c>
      <c r="F130" t="e">
        <f t="array" ref="F130">SMALL(IF(Spells!$A$1:$A$275=$A130,IF(Spells!$L$1:$L$275=$A$1,ROW(Spells!$A$1:$A$275))),COLUMN(E:E))</f>
        <v>#NUM!</v>
      </c>
      <c r="G130" t="e">
        <f t="array" ref="G130">SMALL(IF(Spells!$A$1:$A$275=$A130,IF(Spells!$L$1:$L$275=$A$1,ROW(Spells!$A$1:$A$275))),COLUMN(F:F))</f>
        <v>#NUM!</v>
      </c>
      <c r="H130" t="str">
        <f>IF(ISERR(B130),"",INDEX(Spells!$F$1:$F$275,B130))</f>
        <v/>
      </c>
      <c r="I130" t="str">
        <f>IF(ISERR(C130),"",INDEX(Spells!$F$1:$F$275,C130))</f>
        <v/>
      </c>
      <c r="J130" t="str">
        <f>IF(ISERR(D130),"",INDEX(Spells!$F$1:$F$275,D130))</f>
        <v/>
      </c>
      <c r="K130" t="str">
        <f>IF(ISERR(E130),"",INDEX(Spells!$F$1:$F$275,E130))</f>
        <v/>
      </c>
      <c r="L130" t="str">
        <f>IF(ISERR(F130),"",INDEX(Spells!$F$1:$F$275,F130))</f>
        <v/>
      </c>
      <c r="M130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130" t="e">
        <f t="shared" si="14"/>
        <v>#VALUE!</v>
      </c>
      <c r="O130">
        <f t="shared" si="12"/>
        <v>0</v>
      </c>
      <c r="P130" t="str">
        <f t="shared" si="15"/>
        <v/>
      </c>
      <c r="Q130">
        <f>COUNTIF($P$4:P$155,"=("&amp;P130&amp;")")</f>
        <v>0</v>
      </c>
      <c r="R130" t="str">
        <f t="shared" si="16"/>
        <v/>
      </c>
      <c r="S130" t="e">
        <f t="array" ref="S130">INDEX($R$4:$R$155,SMALL(IF($R$4:$R$155&lt;&gt;"",ROW($R$4:$R$155)-3),ROW()-3))</f>
        <v>#NUM!</v>
      </c>
      <c r="T130" t="str">
        <f t="shared" si="5"/>
        <v/>
      </c>
    </row>
    <row r="131" spans="1:20">
      <c r="A131" s="10">
        <v>128</v>
      </c>
      <c r="B131" t="e">
        <f t="array" ref="B131">SMALL(IF(Spells!$A$1:$A$275=$A131,IF(Spells!$L$1:$L$275=$A$1,ROW(Spells!$A$1:$A$275))),COLUMN(A:A))</f>
        <v>#NUM!</v>
      </c>
      <c r="C131" t="e">
        <f t="array" ref="C131">SMALL(IF(Spells!$A$1:$A$275=$A131,IF(Spells!$L$1:$L$275=$A$1,ROW(Spells!$A$1:$A$275))),COLUMN(B:B))</f>
        <v>#NUM!</v>
      </c>
      <c r="D131" t="e">
        <f t="array" ref="D131">SMALL(IF(Spells!$A$1:$A$275=$A131,IF(Spells!$L$1:$L$275=$A$1,ROW(Spells!$A$1:$A$275))),COLUMN(C:C))</f>
        <v>#NUM!</v>
      </c>
      <c r="E131" t="e">
        <f t="array" ref="E131">SMALL(IF(Spells!$A$1:$A$275=$A131,IF(Spells!$L$1:$L$275=$A$1,ROW(Spells!$A$1:$A$275))),COLUMN(D:D))</f>
        <v>#NUM!</v>
      </c>
      <c r="F131" t="e">
        <f t="array" ref="F131">SMALL(IF(Spells!$A$1:$A$275=$A131,IF(Spells!$L$1:$L$275=$A$1,ROW(Spells!$A$1:$A$275))),COLUMN(E:E))</f>
        <v>#NUM!</v>
      </c>
      <c r="G131" t="e">
        <f t="array" ref="G131">SMALL(IF(Spells!$A$1:$A$275=$A131,IF(Spells!$L$1:$L$275=$A$1,ROW(Spells!$A$1:$A$275))),COLUMN(F:F))</f>
        <v>#NUM!</v>
      </c>
      <c r="H131" t="str">
        <f>IF(ISERR(B131),"",INDEX(Spells!$F$1:$F$275,B131))</f>
        <v/>
      </c>
      <c r="I131" t="str">
        <f>IF(ISERR(C131),"",INDEX(Spells!$F$1:$F$275,C131))</f>
        <v/>
      </c>
      <c r="J131" t="str">
        <f>IF(ISERR(D131),"",INDEX(Spells!$F$1:$F$275,D131))</f>
        <v/>
      </c>
      <c r="K131" t="str">
        <f>IF(ISERR(E131),"",INDEX(Spells!$F$1:$F$275,E131))</f>
        <v/>
      </c>
      <c r="L131" t="str">
        <f>IF(ISERR(F131),"",INDEX(Spells!$F$1:$F$275,F131))</f>
        <v/>
      </c>
      <c r="M131" t="str">
        <f t="shared" si="11"/>
        <v>Fury, Attack Run, Spin Attack, Se Mederi, Whirlwind Attack, Reditus Doma, Leap, Wrath, Mederi, Se Vis Mederi, (Whirlwind Attack), (Attack Run), (Leap), Rage, (Leap), Vortex Attack, (Vortex Attack), (Vortex Attack)</v>
      </c>
      <c r="N131" t="e">
        <f t="shared" si="14"/>
        <v>#VALUE!</v>
      </c>
      <c r="O131">
        <f t="shared" si="12"/>
        <v>0</v>
      </c>
      <c r="P131" t="str">
        <f t="shared" si="15"/>
        <v/>
      </c>
      <c r="Q131">
        <f>COUNTIF($P$4:P$155,"=("&amp;P131&amp;")")</f>
        <v>0</v>
      </c>
      <c r="R131" t="str">
        <f t="shared" si="16"/>
        <v/>
      </c>
      <c r="S131" t="e">
        <f t="array" ref="S131">INDEX($R$4:$R$155,SMALL(IF($R$4:$R$155&lt;&gt;"",ROW($R$4:$R$155)-3),ROW()-3))</f>
        <v>#NUM!</v>
      </c>
      <c r="T131" t="str">
        <f t="shared" si="5"/>
        <v/>
      </c>
    </row>
    <row r="132" spans="1:20">
      <c r="A132" s="10">
        <v>129</v>
      </c>
      <c r="B132" t="e">
        <f t="array" ref="B132">SMALL(IF(Spells!$A$1:$A$275=$A132,IF(Spells!$L$1:$L$275=$A$1,ROW(Spells!$A$1:$A$275))),COLUMN(A:A))</f>
        <v>#NUM!</v>
      </c>
      <c r="C132" t="e">
        <f t="array" ref="C132">SMALL(IF(Spells!$A$1:$A$275=$A132,IF(Spells!$L$1:$L$275=$A$1,ROW(Spells!$A$1:$A$275))),COLUMN(B:B))</f>
        <v>#NUM!</v>
      </c>
      <c r="D132" t="e">
        <f t="array" ref="D132">SMALL(IF(Spells!$A$1:$A$275=$A132,IF(Spells!$L$1:$L$275=$A$1,ROW(Spells!$A$1:$A$275))),COLUMN(C:C))</f>
        <v>#NUM!</v>
      </c>
      <c r="E132" t="e">
        <f t="array" ref="E132">SMALL(IF(Spells!$A$1:$A$275=$A132,IF(Spells!$L$1:$L$275=$A$1,ROW(Spells!$A$1:$A$275))),COLUMN(D:D))</f>
        <v>#NUM!</v>
      </c>
      <c r="F132" t="e">
        <f t="array" ref="F132">SMALL(IF(Spells!$A$1:$A$275=$A132,IF(Spells!$L$1:$L$275=$A$1,ROW(Spells!$A$1:$A$275))),COLUMN(E:E))</f>
        <v>#NUM!</v>
      </c>
      <c r="G132" t="e">
        <f t="array" ref="G132">SMALL(IF(Spells!$A$1:$A$275=$A132,IF(Spells!$L$1:$L$275=$A$1,ROW(Spells!$A$1:$A$275))),COLUMN(F:F))</f>
        <v>#NUM!</v>
      </c>
      <c r="H132" t="str">
        <f>IF(ISERR(B132),"",INDEX(Spells!$F$1:$F$275,B132))</f>
        <v/>
      </c>
      <c r="I132" t="str">
        <f>IF(ISERR(C132),"",INDEX(Spells!$F$1:$F$275,C132))</f>
        <v/>
      </c>
      <c r="J132" t="str">
        <f>IF(ISERR(D132),"",INDEX(Spells!$F$1:$F$275,D132))</f>
        <v/>
      </c>
      <c r="K132" t="str">
        <f>IF(ISERR(E132),"",INDEX(Spells!$F$1:$F$275,E132))</f>
        <v/>
      </c>
      <c r="L132" t="str">
        <f>IF(ISERR(F132),"",INDEX(Spells!$F$1:$F$275,F132))</f>
        <v/>
      </c>
      <c r="M132" t="str">
        <f t="shared" ref="M132:M153" si="17">IF(M131="","",M131&amp;IF(H132="","",", "))&amp;IF(H132="","",H132&amp;IF(I132="","",", "))&amp;IF(I132="","",I132&amp;IF(J132="","",", "))&amp;IF(J132="","",J132&amp;IF(K132="","",", "))&amp;IF(K132="","",K132&amp;IF(L132="","",", "))</f>
        <v>Fury, Attack Run, Spin Attack, Se Mederi, Whirlwind Attack, Reditus Doma, Leap, Wrath, Mederi, Se Vis Mederi, (Whirlwind Attack), (Attack Run), (Leap), Rage, (Leap), Vortex Attack, (Vortex Attack), (Vortex Attack)</v>
      </c>
      <c r="N132" t="e">
        <f t="shared" si="14"/>
        <v>#VALUE!</v>
      </c>
      <c r="O132">
        <f t="shared" ref="O132:O153" si="18">IF(ISERR(N132),LEN($N$2),N132)-IF(ISERR(N131),LEN($N$2),N131)</f>
        <v>0</v>
      </c>
      <c r="P132" t="str">
        <f t="shared" si="15"/>
        <v/>
      </c>
      <c r="Q132">
        <f>COUNTIF($P$4:P$155,"=("&amp;P132&amp;")")</f>
        <v>0</v>
      </c>
      <c r="R132" t="str">
        <f t="shared" si="16"/>
        <v/>
      </c>
      <c r="S132" t="e">
        <f t="array" ref="S132">INDEX($R$4:$R$155,SMALL(IF($R$4:$R$155&lt;&gt;"",ROW($R$4:$R$155)-3),ROW()-3))</f>
        <v>#NUM!</v>
      </c>
      <c r="T132" t="str">
        <f t="shared" si="5"/>
        <v/>
      </c>
    </row>
    <row r="133" spans="1:20">
      <c r="A133" s="10">
        <v>130</v>
      </c>
      <c r="B133" t="e">
        <f t="array" ref="B133">SMALL(IF(Spells!$A$1:$A$275=$A133,IF(Spells!$L$1:$L$275=$A$1,ROW(Spells!$A$1:$A$275))),COLUMN(A:A))</f>
        <v>#NUM!</v>
      </c>
      <c r="C133" t="e">
        <f t="array" ref="C133">SMALL(IF(Spells!$A$1:$A$275=$A133,IF(Spells!$L$1:$L$275=$A$1,ROW(Spells!$A$1:$A$275))),COLUMN(B:B))</f>
        <v>#NUM!</v>
      </c>
      <c r="D133" t="e">
        <f t="array" ref="D133">SMALL(IF(Spells!$A$1:$A$275=$A133,IF(Spells!$L$1:$L$275=$A$1,ROW(Spells!$A$1:$A$275))),COLUMN(C:C))</f>
        <v>#NUM!</v>
      </c>
      <c r="E133" t="e">
        <f t="array" ref="E133">SMALL(IF(Spells!$A$1:$A$275=$A133,IF(Spells!$L$1:$L$275=$A$1,ROW(Spells!$A$1:$A$275))),COLUMN(D:D))</f>
        <v>#NUM!</v>
      </c>
      <c r="F133" t="e">
        <f t="array" ref="F133">SMALL(IF(Spells!$A$1:$A$275=$A133,IF(Spells!$L$1:$L$275=$A$1,ROW(Spells!$A$1:$A$275))),COLUMN(E:E))</f>
        <v>#NUM!</v>
      </c>
      <c r="G133" t="e">
        <f t="array" ref="G133">SMALL(IF(Spells!$A$1:$A$275=$A133,IF(Spells!$L$1:$L$275=$A$1,ROW(Spells!$A$1:$A$275))),COLUMN(F:F))</f>
        <v>#NUM!</v>
      </c>
      <c r="H133" t="str">
        <f>IF(ISERR(B133),"",INDEX(Spells!$F$1:$F$275,B133))</f>
        <v/>
      </c>
      <c r="I133" t="str">
        <f>IF(ISERR(C133),"",INDEX(Spells!$F$1:$F$275,C133))</f>
        <v/>
      </c>
      <c r="J133" t="str">
        <f>IF(ISERR(D133),"",INDEX(Spells!$F$1:$F$275,D133))</f>
        <v/>
      </c>
      <c r="K133" t="str">
        <f>IF(ISERR(E133),"",INDEX(Spells!$F$1:$F$275,E133))</f>
        <v/>
      </c>
      <c r="L133" t="str">
        <f>IF(ISERR(F133),"",INDEX(Spells!$F$1:$F$275,F133))</f>
        <v/>
      </c>
      <c r="M133" t="str">
        <f t="shared" si="17"/>
        <v>Fury, Attack Run, Spin Attack, Se Mederi, Whirlwind Attack, Reditus Doma, Leap, Wrath, Mederi, Se Vis Mederi, (Whirlwind Attack), (Attack Run), (Leap), Rage, (Leap), Vortex Attack, (Vortex Attack), (Vortex Attack)</v>
      </c>
      <c r="N133" t="e">
        <f t="shared" ref="N133:N153" si="19">FIND(",",INDEX($M$4:$M$154,T$1),N132+1)</f>
        <v>#VALUE!</v>
      </c>
      <c r="O133">
        <f t="shared" si="18"/>
        <v>0</v>
      </c>
      <c r="P133" t="str">
        <f t="shared" si="15"/>
        <v/>
      </c>
      <c r="Q133">
        <f>COUNTIF($P$4:P$155,"=("&amp;P133&amp;")")</f>
        <v>0</v>
      </c>
      <c r="R133" t="str">
        <f t="shared" si="16"/>
        <v/>
      </c>
      <c r="S133" t="e">
        <f t="array" ref="S133">INDEX($R$4:$R$155,SMALL(IF($R$4:$R$155&lt;&gt;"",ROW($R$4:$R$155)-3),ROW()-3))</f>
        <v>#NUM!</v>
      </c>
      <c r="T133" t="str">
        <f t="shared" si="5"/>
        <v/>
      </c>
    </row>
    <row r="134" spans="1:20">
      <c r="A134" s="10">
        <v>131</v>
      </c>
      <c r="B134" t="e">
        <f t="array" ref="B134">SMALL(IF(Spells!$A$1:$A$275=$A134,IF(Spells!$L$1:$L$275=$A$1,ROW(Spells!$A$1:$A$275))),COLUMN(A:A))</f>
        <v>#NUM!</v>
      </c>
      <c r="C134" t="e">
        <f t="array" ref="C134">SMALL(IF(Spells!$A$1:$A$275=$A134,IF(Spells!$L$1:$L$275=$A$1,ROW(Spells!$A$1:$A$275))),COLUMN(B:B))</f>
        <v>#NUM!</v>
      </c>
      <c r="D134" t="e">
        <f t="array" ref="D134">SMALL(IF(Spells!$A$1:$A$275=$A134,IF(Spells!$L$1:$L$275=$A$1,ROW(Spells!$A$1:$A$275))),COLUMN(C:C))</f>
        <v>#NUM!</v>
      </c>
      <c r="E134" t="e">
        <f t="array" ref="E134">SMALL(IF(Spells!$A$1:$A$275=$A134,IF(Spells!$L$1:$L$275=$A$1,ROW(Spells!$A$1:$A$275))),COLUMN(D:D))</f>
        <v>#NUM!</v>
      </c>
      <c r="F134" t="e">
        <f t="array" ref="F134">SMALL(IF(Spells!$A$1:$A$275=$A134,IF(Spells!$L$1:$L$275=$A$1,ROW(Spells!$A$1:$A$275))),COLUMN(E:E))</f>
        <v>#NUM!</v>
      </c>
      <c r="G134" t="e">
        <f t="array" ref="G134">SMALL(IF(Spells!$A$1:$A$275=$A134,IF(Spells!$L$1:$L$275=$A$1,ROW(Spells!$A$1:$A$275))),COLUMN(F:F))</f>
        <v>#NUM!</v>
      </c>
      <c r="H134" t="str">
        <f>IF(ISERR(B134),"",INDEX(Spells!$F$1:$F$275,B134))</f>
        <v/>
      </c>
      <c r="I134" t="str">
        <f>IF(ISERR(C134),"",INDEX(Spells!$F$1:$F$275,C134))</f>
        <v/>
      </c>
      <c r="J134" t="str">
        <f>IF(ISERR(D134),"",INDEX(Spells!$F$1:$F$275,D134))</f>
        <v/>
      </c>
      <c r="K134" t="str">
        <f>IF(ISERR(E134),"",INDEX(Spells!$F$1:$F$275,E134))</f>
        <v/>
      </c>
      <c r="L134" t="str">
        <f>IF(ISERR(F134),"",INDEX(Spells!$F$1:$F$275,F134))</f>
        <v/>
      </c>
      <c r="M134" t="str">
        <f t="shared" si="17"/>
        <v>Fury, Attack Run, Spin Attack, Se Mederi, Whirlwind Attack, Reditus Doma, Leap, Wrath, Mederi, Se Vis Mederi, (Whirlwind Attack), (Attack Run), (Leap), Rage, (Leap), Vortex Attack, (Vortex Attack), (Vortex Attack)</v>
      </c>
      <c r="N134" t="e">
        <f t="shared" si="19"/>
        <v>#VALUE!</v>
      </c>
      <c r="O134">
        <f t="shared" si="18"/>
        <v>0</v>
      </c>
      <c r="P134" t="str">
        <f t="shared" si="15"/>
        <v/>
      </c>
      <c r="Q134">
        <f>COUNTIF($P$4:P$155,"=("&amp;P134&amp;")")</f>
        <v>0</v>
      </c>
      <c r="R134" t="str">
        <f t="shared" si="16"/>
        <v/>
      </c>
      <c r="S134" t="e">
        <f t="array" ref="S134">INDEX($R$4:$R$155,SMALL(IF($R$4:$R$155&lt;&gt;"",ROW($R$4:$R$155)-3),ROW()-3))</f>
        <v>#NUM!</v>
      </c>
      <c r="T134" t="str">
        <f t="shared" si="5"/>
        <v/>
      </c>
    </row>
    <row r="135" spans="1:20">
      <c r="A135" s="10">
        <v>132</v>
      </c>
      <c r="B135" t="e">
        <f t="array" ref="B135">SMALL(IF(Spells!$A$1:$A$275=$A135,IF(Spells!$L$1:$L$275=$A$1,ROW(Spells!$A$1:$A$275))),COLUMN(A:A))</f>
        <v>#NUM!</v>
      </c>
      <c r="C135" t="e">
        <f t="array" ref="C135">SMALL(IF(Spells!$A$1:$A$275=$A135,IF(Spells!$L$1:$L$275=$A$1,ROW(Spells!$A$1:$A$275))),COLUMN(B:B))</f>
        <v>#NUM!</v>
      </c>
      <c r="D135" t="e">
        <f t="array" ref="D135">SMALL(IF(Spells!$A$1:$A$275=$A135,IF(Spells!$L$1:$L$275=$A$1,ROW(Spells!$A$1:$A$275))),COLUMN(C:C))</f>
        <v>#NUM!</v>
      </c>
      <c r="E135" t="e">
        <f t="array" ref="E135">SMALL(IF(Spells!$A$1:$A$275=$A135,IF(Spells!$L$1:$L$275=$A$1,ROW(Spells!$A$1:$A$275))),COLUMN(D:D))</f>
        <v>#NUM!</v>
      </c>
      <c r="F135" t="e">
        <f t="array" ref="F135">SMALL(IF(Spells!$A$1:$A$275=$A135,IF(Spells!$L$1:$L$275=$A$1,ROW(Spells!$A$1:$A$275))),COLUMN(E:E))</f>
        <v>#NUM!</v>
      </c>
      <c r="G135" t="e">
        <f t="array" ref="G135">SMALL(IF(Spells!$A$1:$A$275=$A135,IF(Spells!$L$1:$L$275=$A$1,ROW(Spells!$A$1:$A$275))),COLUMN(F:F))</f>
        <v>#NUM!</v>
      </c>
      <c r="H135" t="str">
        <f>IF(ISERR(B135),"",INDEX(Spells!$F$1:$F$275,B135))</f>
        <v/>
      </c>
      <c r="I135" t="str">
        <f>IF(ISERR(C135),"",INDEX(Spells!$F$1:$F$275,C135))</f>
        <v/>
      </c>
      <c r="J135" t="str">
        <f>IF(ISERR(D135),"",INDEX(Spells!$F$1:$F$275,D135))</f>
        <v/>
      </c>
      <c r="K135" t="str">
        <f>IF(ISERR(E135),"",INDEX(Spells!$F$1:$F$275,E135))</f>
        <v/>
      </c>
      <c r="L135" t="str">
        <f>IF(ISERR(F135),"",INDEX(Spells!$F$1:$F$275,F135))</f>
        <v/>
      </c>
      <c r="M135" t="str">
        <f t="shared" si="17"/>
        <v>Fury, Attack Run, Spin Attack, Se Mederi, Whirlwind Attack, Reditus Doma, Leap, Wrath, Mederi, Se Vis Mederi, (Whirlwind Attack), (Attack Run), (Leap), Rage, (Leap), Vortex Attack, (Vortex Attack), (Vortex Attack)</v>
      </c>
      <c r="N135" t="e">
        <f t="shared" si="19"/>
        <v>#VALUE!</v>
      </c>
      <c r="O135">
        <f t="shared" si="18"/>
        <v>0</v>
      </c>
      <c r="P135" t="str">
        <f t="shared" si="15"/>
        <v/>
      </c>
      <c r="Q135">
        <f>COUNTIF($P$4:P$155,"=("&amp;P135&amp;")")</f>
        <v>0</v>
      </c>
      <c r="R135" t="str">
        <f t="shared" si="16"/>
        <v/>
      </c>
      <c r="S135" t="e">
        <f t="array" ref="S135">INDEX($R$4:$R$155,SMALL(IF($R$4:$R$155&lt;&gt;"",ROW($R$4:$R$155)-3),ROW()-3))</f>
        <v>#NUM!</v>
      </c>
      <c r="T135" t="str">
        <f t="shared" si="5"/>
        <v/>
      </c>
    </row>
    <row r="136" spans="1:20">
      <c r="A136" s="10">
        <v>133</v>
      </c>
      <c r="B136" t="e">
        <f t="array" ref="B136">SMALL(IF(Spells!$A$1:$A$275=$A136,IF(Spells!$L$1:$L$275=$A$1,ROW(Spells!$A$1:$A$275))),COLUMN(A:A))</f>
        <v>#NUM!</v>
      </c>
      <c r="C136" t="e">
        <f t="array" ref="C136">SMALL(IF(Spells!$A$1:$A$275=$A136,IF(Spells!$L$1:$L$275=$A$1,ROW(Spells!$A$1:$A$275))),COLUMN(B:B))</f>
        <v>#NUM!</v>
      </c>
      <c r="D136" t="e">
        <f t="array" ref="D136">SMALL(IF(Spells!$A$1:$A$275=$A136,IF(Spells!$L$1:$L$275=$A$1,ROW(Spells!$A$1:$A$275))),COLUMN(C:C))</f>
        <v>#NUM!</v>
      </c>
      <c r="E136" t="e">
        <f t="array" ref="E136">SMALL(IF(Spells!$A$1:$A$275=$A136,IF(Spells!$L$1:$L$275=$A$1,ROW(Spells!$A$1:$A$275))),COLUMN(D:D))</f>
        <v>#NUM!</v>
      </c>
      <c r="F136" t="e">
        <f t="array" ref="F136">SMALL(IF(Spells!$A$1:$A$275=$A136,IF(Spells!$L$1:$L$275=$A$1,ROW(Spells!$A$1:$A$275))),COLUMN(E:E))</f>
        <v>#NUM!</v>
      </c>
      <c r="G136" t="e">
        <f t="array" ref="G136">SMALL(IF(Spells!$A$1:$A$275=$A136,IF(Spells!$L$1:$L$275=$A$1,ROW(Spells!$A$1:$A$275))),COLUMN(F:F))</f>
        <v>#NUM!</v>
      </c>
      <c r="H136" t="str">
        <f>IF(ISERR(B136),"",INDEX(Spells!$F$1:$F$275,B136))</f>
        <v/>
      </c>
      <c r="I136" t="str">
        <f>IF(ISERR(C136),"",INDEX(Spells!$F$1:$F$275,C136))</f>
        <v/>
      </c>
      <c r="J136" t="str">
        <f>IF(ISERR(D136),"",INDEX(Spells!$F$1:$F$275,D136))</f>
        <v/>
      </c>
      <c r="K136" t="str">
        <f>IF(ISERR(E136),"",INDEX(Spells!$F$1:$F$275,E136))</f>
        <v/>
      </c>
      <c r="L136" t="str">
        <f>IF(ISERR(F136),"",INDEX(Spells!$F$1:$F$275,F136))</f>
        <v/>
      </c>
      <c r="M136" t="str">
        <f t="shared" si="17"/>
        <v>Fury, Attack Run, Spin Attack, Se Mederi, Whirlwind Attack, Reditus Doma, Leap, Wrath, Mederi, Se Vis Mederi, (Whirlwind Attack), (Attack Run), (Leap), Rage, (Leap), Vortex Attack, (Vortex Attack), (Vortex Attack)</v>
      </c>
      <c r="N136" t="e">
        <f t="shared" si="19"/>
        <v>#VALUE!</v>
      </c>
      <c r="O136">
        <f t="shared" si="18"/>
        <v>0</v>
      </c>
      <c r="P136" t="str">
        <f t="shared" si="15"/>
        <v/>
      </c>
      <c r="Q136">
        <f>COUNTIF($P$4:P$155,"=("&amp;P136&amp;")")</f>
        <v>0</v>
      </c>
      <c r="R136" t="str">
        <f t="shared" si="16"/>
        <v/>
      </c>
      <c r="S136" t="e">
        <f t="array" ref="S136">INDEX($R$4:$R$155,SMALL(IF($R$4:$R$155&lt;&gt;"",ROW($R$4:$R$155)-3),ROW()-3))</f>
        <v>#NUM!</v>
      </c>
      <c r="T136" t="str">
        <f t="shared" si="5"/>
        <v/>
      </c>
    </row>
    <row r="137" spans="1:20">
      <c r="A137" s="10">
        <v>134</v>
      </c>
      <c r="B137" t="e">
        <f t="array" ref="B137">SMALL(IF(Spells!$A$1:$A$275=$A137,IF(Spells!$L$1:$L$275=$A$1,ROW(Spells!$A$1:$A$275))),COLUMN(A:A))</f>
        <v>#NUM!</v>
      </c>
      <c r="C137" t="e">
        <f t="array" ref="C137">SMALL(IF(Spells!$A$1:$A$275=$A137,IF(Spells!$L$1:$L$275=$A$1,ROW(Spells!$A$1:$A$275))),COLUMN(B:B))</f>
        <v>#NUM!</v>
      </c>
      <c r="D137" t="e">
        <f t="array" ref="D137">SMALL(IF(Spells!$A$1:$A$275=$A137,IF(Spells!$L$1:$L$275=$A$1,ROW(Spells!$A$1:$A$275))),COLUMN(C:C))</f>
        <v>#NUM!</v>
      </c>
      <c r="E137" t="e">
        <f t="array" ref="E137">SMALL(IF(Spells!$A$1:$A$275=$A137,IF(Spells!$L$1:$L$275=$A$1,ROW(Spells!$A$1:$A$275))),COLUMN(D:D))</f>
        <v>#NUM!</v>
      </c>
      <c r="F137" t="e">
        <f t="array" ref="F137">SMALL(IF(Spells!$A$1:$A$275=$A137,IF(Spells!$L$1:$L$275=$A$1,ROW(Spells!$A$1:$A$275))),COLUMN(E:E))</f>
        <v>#NUM!</v>
      </c>
      <c r="G137" t="e">
        <f t="array" ref="G137">SMALL(IF(Spells!$A$1:$A$275=$A137,IF(Spells!$L$1:$L$275=$A$1,ROW(Spells!$A$1:$A$275))),COLUMN(F:F))</f>
        <v>#NUM!</v>
      </c>
      <c r="H137" t="str">
        <f>IF(ISERR(B137),"",INDEX(Spells!$F$1:$F$275,B137))</f>
        <v/>
      </c>
      <c r="I137" t="str">
        <f>IF(ISERR(C137),"",INDEX(Spells!$F$1:$F$275,C137))</f>
        <v/>
      </c>
      <c r="J137" t="str">
        <f>IF(ISERR(D137),"",INDEX(Spells!$F$1:$F$275,D137))</f>
        <v/>
      </c>
      <c r="K137" t="str">
        <f>IF(ISERR(E137),"",INDEX(Spells!$F$1:$F$275,E137))</f>
        <v/>
      </c>
      <c r="L137" t="str">
        <f>IF(ISERR(F137),"",INDEX(Spells!$F$1:$F$275,F137))</f>
        <v/>
      </c>
      <c r="M137" t="str">
        <f t="shared" si="17"/>
        <v>Fury, Attack Run, Spin Attack, Se Mederi, Whirlwind Attack, Reditus Doma, Leap, Wrath, Mederi, Se Vis Mederi, (Whirlwind Attack), (Attack Run), (Leap), Rage, (Leap), Vortex Attack, (Vortex Attack), (Vortex Attack)</v>
      </c>
      <c r="N137" t="e">
        <f t="shared" si="19"/>
        <v>#VALUE!</v>
      </c>
      <c r="O137">
        <f t="shared" si="18"/>
        <v>0</v>
      </c>
      <c r="P137" t="str">
        <f t="shared" si="15"/>
        <v/>
      </c>
      <c r="Q137">
        <f>COUNTIF($P$4:P$155,"=("&amp;P137&amp;")")</f>
        <v>0</v>
      </c>
      <c r="R137" t="str">
        <f t="shared" si="16"/>
        <v/>
      </c>
      <c r="S137" t="e">
        <f t="array" ref="S137">INDEX($R$4:$R$155,SMALL(IF($R$4:$R$155&lt;&gt;"",ROW($R$4:$R$155)-3),ROW()-3))</f>
        <v>#NUM!</v>
      </c>
      <c r="T137" t="str">
        <f t="shared" si="5"/>
        <v/>
      </c>
    </row>
    <row r="138" spans="1:20">
      <c r="A138" s="10">
        <v>135</v>
      </c>
      <c r="B138" t="e">
        <f t="array" ref="B138">SMALL(IF(Spells!$A$1:$A$275=$A138,IF(Spells!$L$1:$L$275=$A$1,ROW(Spells!$A$1:$A$275))),COLUMN(A:A))</f>
        <v>#NUM!</v>
      </c>
      <c r="C138" t="e">
        <f t="array" ref="C138">SMALL(IF(Spells!$A$1:$A$275=$A138,IF(Spells!$L$1:$L$275=$A$1,ROW(Spells!$A$1:$A$275))),COLUMN(B:B))</f>
        <v>#NUM!</v>
      </c>
      <c r="D138" t="e">
        <f t="array" ref="D138">SMALL(IF(Spells!$A$1:$A$275=$A138,IF(Spells!$L$1:$L$275=$A$1,ROW(Spells!$A$1:$A$275))),COLUMN(C:C))</f>
        <v>#NUM!</v>
      </c>
      <c r="E138" t="e">
        <f t="array" ref="E138">SMALL(IF(Spells!$A$1:$A$275=$A138,IF(Spells!$L$1:$L$275=$A$1,ROW(Spells!$A$1:$A$275))),COLUMN(D:D))</f>
        <v>#NUM!</v>
      </c>
      <c r="F138" t="e">
        <f t="array" ref="F138">SMALL(IF(Spells!$A$1:$A$275=$A138,IF(Spells!$L$1:$L$275=$A$1,ROW(Spells!$A$1:$A$275))),COLUMN(E:E))</f>
        <v>#NUM!</v>
      </c>
      <c r="G138" t="e">
        <f t="array" ref="G138">SMALL(IF(Spells!$A$1:$A$275=$A138,IF(Spells!$L$1:$L$275=$A$1,ROW(Spells!$A$1:$A$275))),COLUMN(F:F))</f>
        <v>#NUM!</v>
      </c>
      <c r="H138" t="str">
        <f>IF(ISERR(B138),"",INDEX(Spells!$F$1:$F$275,B138))</f>
        <v/>
      </c>
      <c r="I138" t="str">
        <f>IF(ISERR(C138),"",INDEX(Spells!$F$1:$F$275,C138))</f>
        <v/>
      </c>
      <c r="J138" t="str">
        <f>IF(ISERR(D138),"",INDEX(Spells!$F$1:$F$275,D138))</f>
        <v/>
      </c>
      <c r="K138" t="str">
        <f>IF(ISERR(E138),"",INDEX(Spells!$F$1:$F$275,E138))</f>
        <v/>
      </c>
      <c r="L138" t="str">
        <f>IF(ISERR(F138),"",INDEX(Spells!$F$1:$F$275,F138))</f>
        <v/>
      </c>
      <c r="M138" t="str">
        <f t="shared" si="17"/>
        <v>Fury, Attack Run, Spin Attack, Se Mederi, Whirlwind Attack, Reditus Doma, Leap, Wrath, Mederi, Se Vis Mederi, (Whirlwind Attack), (Attack Run), (Leap), Rage, (Leap), Vortex Attack, (Vortex Attack), (Vortex Attack)</v>
      </c>
      <c r="N138" t="e">
        <f t="shared" si="19"/>
        <v>#VALUE!</v>
      </c>
      <c r="O138">
        <f t="shared" si="18"/>
        <v>0</v>
      </c>
      <c r="P138" t="str">
        <f t="shared" si="15"/>
        <v/>
      </c>
      <c r="Q138">
        <f>COUNTIF($P$4:P$155,"=("&amp;P138&amp;")")</f>
        <v>0</v>
      </c>
      <c r="R138" t="str">
        <f t="shared" si="16"/>
        <v/>
      </c>
      <c r="S138" t="e">
        <f t="array" ref="S138">INDEX($R$4:$R$155,SMALL(IF($R$4:$R$155&lt;&gt;"",ROW($R$4:$R$155)-3),ROW()-3))</f>
        <v>#NUM!</v>
      </c>
      <c r="T138" t="str">
        <f t="shared" si="5"/>
        <v/>
      </c>
    </row>
    <row r="139" spans="1:20">
      <c r="A139" s="10">
        <v>136</v>
      </c>
      <c r="B139" t="e">
        <f t="array" ref="B139">SMALL(IF(Spells!$A$1:$A$275=$A139,IF(Spells!$L$1:$L$275=$A$1,ROW(Spells!$A$1:$A$275))),COLUMN(A:A))</f>
        <v>#NUM!</v>
      </c>
      <c r="C139" t="e">
        <f t="array" ref="C139">SMALL(IF(Spells!$A$1:$A$275=$A139,IF(Spells!$L$1:$L$275=$A$1,ROW(Spells!$A$1:$A$275))),COLUMN(B:B))</f>
        <v>#NUM!</v>
      </c>
      <c r="D139" t="e">
        <f t="array" ref="D139">SMALL(IF(Spells!$A$1:$A$275=$A139,IF(Spells!$L$1:$L$275=$A$1,ROW(Spells!$A$1:$A$275))),COLUMN(C:C))</f>
        <v>#NUM!</v>
      </c>
      <c r="E139" t="e">
        <f t="array" ref="E139">SMALL(IF(Spells!$A$1:$A$275=$A139,IF(Spells!$L$1:$L$275=$A$1,ROW(Spells!$A$1:$A$275))),COLUMN(D:D))</f>
        <v>#NUM!</v>
      </c>
      <c r="F139" t="e">
        <f t="array" ref="F139">SMALL(IF(Spells!$A$1:$A$275=$A139,IF(Spells!$L$1:$L$275=$A$1,ROW(Spells!$A$1:$A$275))),COLUMN(E:E))</f>
        <v>#NUM!</v>
      </c>
      <c r="G139" t="e">
        <f t="array" ref="G139">SMALL(IF(Spells!$A$1:$A$275=$A139,IF(Spells!$L$1:$L$275=$A$1,ROW(Spells!$A$1:$A$275))),COLUMN(F:F))</f>
        <v>#NUM!</v>
      </c>
      <c r="H139" t="str">
        <f>IF(ISERR(B139),"",INDEX(Spells!$F$1:$F$275,B139))</f>
        <v/>
      </c>
      <c r="I139" t="str">
        <f>IF(ISERR(C139),"",INDEX(Spells!$F$1:$F$275,C139))</f>
        <v/>
      </c>
      <c r="J139" t="str">
        <f>IF(ISERR(D139),"",INDEX(Spells!$F$1:$F$275,D139))</f>
        <v/>
      </c>
      <c r="K139" t="str">
        <f>IF(ISERR(E139),"",INDEX(Spells!$F$1:$F$275,E139))</f>
        <v/>
      </c>
      <c r="L139" t="str">
        <f>IF(ISERR(F139),"",INDEX(Spells!$F$1:$F$275,F139))</f>
        <v/>
      </c>
      <c r="M139" t="str">
        <f t="shared" si="17"/>
        <v>Fury, Attack Run, Spin Attack, Se Mederi, Whirlwind Attack, Reditus Doma, Leap, Wrath, Mederi, Se Vis Mederi, (Whirlwind Attack), (Attack Run), (Leap), Rage, (Leap), Vortex Attack, (Vortex Attack), (Vortex Attack)</v>
      </c>
      <c r="N139" t="e">
        <f t="shared" si="19"/>
        <v>#VALUE!</v>
      </c>
      <c r="O139">
        <f t="shared" si="18"/>
        <v>0</v>
      </c>
      <c r="P139" t="str">
        <f t="shared" si="15"/>
        <v/>
      </c>
      <c r="Q139">
        <f>COUNTIF($P$4:P$155,"=("&amp;P139&amp;")")</f>
        <v>0</v>
      </c>
      <c r="R139" t="str">
        <f t="shared" si="16"/>
        <v/>
      </c>
      <c r="S139" t="e">
        <f t="array" ref="S139">INDEX($R$4:$R$155,SMALL(IF($R$4:$R$155&lt;&gt;"",ROW($R$4:$R$155)-3),ROW()-3))</f>
        <v>#NUM!</v>
      </c>
      <c r="T139" t="str">
        <f t="shared" si="5"/>
        <v/>
      </c>
    </row>
    <row r="140" spans="1:20">
      <c r="A140" s="10">
        <v>137</v>
      </c>
      <c r="B140" t="e">
        <f t="array" ref="B140">SMALL(IF(Spells!$A$1:$A$275=$A140,IF(Spells!$L$1:$L$275=$A$1,ROW(Spells!$A$1:$A$275))),COLUMN(A:A))</f>
        <v>#NUM!</v>
      </c>
      <c r="C140" t="e">
        <f t="array" ref="C140">SMALL(IF(Spells!$A$1:$A$275=$A140,IF(Spells!$L$1:$L$275=$A$1,ROW(Spells!$A$1:$A$275))),COLUMN(B:B))</f>
        <v>#NUM!</v>
      </c>
      <c r="D140" t="e">
        <f t="array" ref="D140">SMALL(IF(Spells!$A$1:$A$275=$A140,IF(Spells!$L$1:$L$275=$A$1,ROW(Spells!$A$1:$A$275))),COLUMN(C:C))</f>
        <v>#NUM!</v>
      </c>
      <c r="E140" t="e">
        <f t="array" ref="E140">SMALL(IF(Spells!$A$1:$A$275=$A140,IF(Spells!$L$1:$L$275=$A$1,ROW(Spells!$A$1:$A$275))),COLUMN(D:D))</f>
        <v>#NUM!</v>
      </c>
      <c r="F140" t="e">
        <f t="array" ref="F140">SMALL(IF(Spells!$A$1:$A$275=$A140,IF(Spells!$L$1:$L$275=$A$1,ROW(Spells!$A$1:$A$275))),COLUMN(E:E))</f>
        <v>#NUM!</v>
      </c>
      <c r="G140" t="e">
        <f t="array" ref="G140">SMALL(IF(Spells!$A$1:$A$275=$A140,IF(Spells!$L$1:$L$275=$A$1,ROW(Spells!$A$1:$A$275))),COLUMN(F:F))</f>
        <v>#NUM!</v>
      </c>
      <c r="H140" t="str">
        <f>IF(ISERR(B140),"",INDEX(Spells!$F$1:$F$275,B140))</f>
        <v/>
      </c>
      <c r="I140" t="str">
        <f>IF(ISERR(C140),"",INDEX(Spells!$F$1:$F$275,C140))</f>
        <v/>
      </c>
      <c r="J140" t="str">
        <f>IF(ISERR(D140),"",INDEX(Spells!$F$1:$F$275,D140))</f>
        <v/>
      </c>
      <c r="K140" t="str">
        <f>IF(ISERR(E140),"",INDEX(Spells!$F$1:$F$275,E140))</f>
        <v/>
      </c>
      <c r="L140" t="str">
        <f>IF(ISERR(F140),"",INDEX(Spells!$F$1:$F$275,F140))</f>
        <v/>
      </c>
      <c r="M140" t="str">
        <f t="shared" si="17"/>
        <v>Fury, Attack Run, Spin Attack, Se Mederi, Whirlwind Attack, Reditus Doma, Leap, Wrath, Mederi, Se Vis Mederi, (Whirlwind Attack), (Attack Run), (Leap), Rage, (Leap), Vortex Attack, (Vortex Attack), (Vortex Attack)</v>
      </c>
      <c r="N140" t="e">
        <f t="shared" si="19"/>
        <v>#VALUE!</v>
      </c>
      <c r="O140">
        <f t="shared" si="18"/>
        <v>0</v>
      </c>
      <c r="P140" t="str">
        <f t="shared" si="15"/>
        <v/>
      </c>
      <c r="Q140">
        <f>COUNTIF($P$4:P$155,"=("&amp;P140&amp;")")</f>
        <v>0</v>
      </c>
      <c r="R140" t="str">
        <f t="shared" si="16"/>
        <v/>
      </c>
      <c r="S140" t="e">
        <f t="array" ref="S140">INDEX($R$4:$R$155,SMALL(IF($R$4:$R$155&lt;&gt;"",ROW($R$4:$R$155)-3),ROW()-3))</f>
        <v>#NUM!</v>
      </c>
      <c r="T140" t="str">
        <f t="shared" si="5"/>
        <v/>
      </c>
    </row>
    <row r="141" spans="1:20">
      <c r="A141" s="10">
        <v>138</v>
      </c>
      <c r="B141" t="e">
        <f t="array" ref="B141">SMALL(IF(Spells!$A$1:$A$275=$A141,IF(Spells!$L$1:$L$275=$A$1,ROW(Spells!$A$1:$A$275))),COLUMN(A:A))</f>
        <v>#NUM!</v>
      </c>
      <c r="C141" t="e">
        <f t="array" ref="C141">SMALL(IF(Spells!$A$1:$A$275=$A141,IF(Spells!$L$1:$L$275=$A$1,ROW(Spells!$A$1:$A$275))),COLUMN(B:B))</f>
        <v>#NUM!</v>
      </c>
      <c r="D141" t="e">
        <f t="array" ref="D141">SMALL(IF(Spells!$A$1:$A$275=$A141,IF(Spells!$L$1:$L$275=$A$1,ROW(Spells!$A$1:$A$275))),COLUMN(C:C))</f>
        <v>#NUM!</v>
      </c>
      <c r="E141" t="e">
        <f t="array" ref="E141">SMALL(IF(Spells!$A$1:$A$275=$A141,IF(Spells!$L$1:$L$275=$A$1,ROW(Spells!$A$1:$A$275))),COLUMN(D:D))</f>
        <v>#NUM!</v>
      </c>
      <c r="F141" t="e">
        <f t="array" ref="F141">SMALL(IF(Spells!$A$1:$A$275=$A141,IF(Spells!$L$1:$L$275=$A$1,ROW(Spells!$A$1:$A$275))),COLUMN(E:E))</f>
        <v>#NUM!</v>
      </c>
      <c r="G141" t="e">
        <f t="array" ref="G141">SMALL(IF(Spells!$A$1:$A$275=$A141,IF(Spells!$L$1:$L$275=$A$1,ROW(Spells!$A$1:$A$275))),COLUMN(F:F))</f>
        <v>#NUM!</v>
      </c>
      <c r="H141" t="str">
        <f>IF(ISERR(B141),"",INDEX(Spells!$F$1:$F$275,B141))</f>
        <v/>
      </c>
      <c r="I141" t="str">
        <f>IF(ISERR(C141),"",INDEX(Spells!$F$1:$F$275,C141))</f>
        <v/>
      </c>
      <c r="J141" t="str">
        <f>IF(ISERR(D141),"",INDEX(Spells!$F$1:$F$275,D141))</f>
        <v/>
      </c>
      <c r="K141" t="str">
        <f>IF(ISERR(E141),"",INDEX(Spells!$F$1:$F$275,E141))</f>
        <v/>
      </c>
      <c r="L141" t="str">
        <f>IF(ISERR(F141),"",INDEX(Spells!$F$1:$F$275,F141))</f>
        <v/>
      </c>
      <c r="M141" t="str">
        <f t="shared" si="17"/>
        <v>Fury, Attack Run, Spin Attack, Se Mederi, Whirlwind Attack, Reditus Doma, Leap, Wrath, Mederi, Se Vis Mederi, (Whirlwind Attack), (Attack Run), (Leap), Rage, (Leap), Vortex Attack, (Vortex Attack), (Vortex Attack)</v>
      </c>
      <c r="N141" t="e">
        <f t="shared" si="19"/>
        <v>#VALUE!</v>
      </c>
      <c r="O141">
        <f t="shared" si="18"/>
        <v>0</v>
      </c>
      <c r="P141" t="str">
        <f t="shared" si="15"/>
        <v/>
      </c>
      <c r="Q141">
        <f>COUNTIF($P$4:P$155,"=("&amp;P141&amp;")")</f>
        <v>0</v>
      </c>
      <c r="R141" t="str">
        <f t="shared" si="16"/>
        <v/>
      </c>
      <c r="S141" t="e">
        <f t="array" ref="S141">INDEX($R$4:$R$155,SMALL(IF($R$4:$R$155&lt;&gt;"",ROW($R$4:$R$155)-3),ROW()-3))</f>
        <v>#NUM!</v>
      </c>
      <c r="T141" t="str">
        <f t="shared" si="5"/>
        <v/>
      </c>
    </row>
    <row r="142" spans="1:20">
      <c r="A142" s="10">
        <v>139</v>
      </c>
      <c r="B142" t="e">
        <f t="array" ref="B142">SMALL(IF(Spells!$A$1:$A$275=$A142,IF(Spells!$L$1:$L$275=$A$1,ROW(Spells!$A$1:$A$275))),COLUMN(A:A))</f>
        <v>#NUM!</v>
      </c>
      <c r="C142" t="e">
        <f t="array" ref="C142">SMALL(IF(Spells!$A$1:$A$275=$A142,IF(Spells!$L$1:$L$275=$A$1,ROW(Spells!$A$1:$A$275))),COLUMN(B:B))</f>
        <v>#NUM!</v>
      </c>
      <c r="D142" t="e">
        <f t="array" ref="D142">SMALL(IF(Spells!$A$1:$A$275=$A142,IF(Spells!$L$1:$L$275=$A$1,ROW(Spells!$A$1:$A$275))),COLUMN(C:C))</f>
        <v>#NUM!</v>
      </c>
      <c r="E142" t="e">
        <f t="array" ref="E142">SMALL(IF(Spells!$A$1:$A$275=$A142,IF(Spells!$L$1:$L$275=$A$1,ROW(Spells!$A$1:$A$275))),COLUMN(D:D))</f>
        <v>#NUM!</v>
      </c>
      <c r="F142" t="e">
        <f t="array" ref="F142">SMALL(IF(Spells!$A$1:$A$275=$A142,IF(Spells!$L$1:$L$275=$A$1,ROW(Spells!$A$1:$A$275))),COLUMN(E:E))</f>
        <v>#NUM!</v>
      </c>
      <c r="G142" t="e">
        <f t="array" ref="G142">SMALL(IF(Spells!$A$1:$A$275=$A142,IF(Spells!$L$1:$L$275=$A$1,ROW(Spells!$A$1:$A$275))),COLUMN(F:F))</f>
        <v>#NUM!</v>
      </c>
      <c r="H142" t="str">
        <f>IF(ISERR(B142),"",INDEX(Spells!$F$1:$F$275,B142))</f>
        <v/>
      </c>
      <c r="I142" t="str">
        <f>IF(ISERR(C142),"",INDEX(Spells!$F$1:$F$275,C142))</f>
        <v/>
      </c>
      <c r="J142" t="str">
        <f>IF(ISERR(D142),"",INDEX(Spells!$F$1:$F$275,D142))</f>
        <v/>
      </c>
      <c r="K142" t="str">
        <f>IF(ISERR(E142),"",INDEX(Spells!$F$1:$F$275,E142))</f>
        <v/>
      </c>
      <c r="L142" t="str">
        <f>IF(ISERR(F142),"",INDEX(Spells!$F$1:$F$275,F142))</f>
        <v/>
      </c>
      <c r="M142" t="str">
        <f t="shared" si="17"/>
        <v>Fury, Attack Run, Spin Attack, Se Mederi, Whirlwind Attack, Reditus Doma, Leap, Wrath, Mederi, Se Vis Mederi, (Whirlwind Attack), (Attack Run), (Leap), Rage, (Leap), Vortex Attack, (Vortex Attack), (Vortex Attack)</v>
      </c>
      <c r="N142" t="e">
        <f t="shared" si="19"/>
        <v>#VALUE!</v>
      </c>
      <c r="O142">
        <f t="shared" si="18"/>
        <v>0</v>
      </c>
      <c r="P142" t="str">
        <f t="shared" si="15"/>
        <v/>
      </c>
      <c r="Q142">
        <f>COUNTIF($P$4:P$155,"=("&amp;P142&amp;")")</f>
        <v>0</v>
      </c>
      <c r="R142" t="str">
        <f t="shared" si="16"/>
        <v/>
      </c>
      <c r="S142" t="e">
        <f t="array" ref="S142">INDEX($R$4:$R$155,SMALL(IF($R$4:$R$155&lt;&gt;"",ROW($R$4:$R$155)-3),ROW()-3))</f>
        <v>#NUM!</v>
      </c>
      <c r="T142" t="str">
        <f t="shared" si="5"/>
        <v/>
      </c>
    </row>
    <row r="143" spans="1:20">
      <c r="A143" s="10">
        <v>140</v>
      </c>
      <c r="B143" t="e">
        <f t="array" ref="B143">SMALL(IF(Spells!$A$1:$A$275=$A143,IF(Spells!$L$1:$L$275=$A$1,ROW(Spells!$A$1:$A$275))),COLUMN(A:A))</f>
        <v>#NUM!</v>
      </c>
      <c r="C143" t="e">
        <f t="array" ref="C143">SMALL(IF(Spells!$A$1:$A$275=$A143,IF(Spells!$L$1:$L$275=$A$1,ROW(Spells!$A$1:$A$275))),COLUMN(B:B))</f>
        <v>#NUM!</v>
      </c>
      <c r="D143" t="e">
        <f t="array" ref="D143">SMALL(IF(Spells!$A$1:$A$275=$A143,IF(Spells!$L$1:$L$275=$A$1,ROW(Spells!$A$1:$A$275))),COLUMN(C:C))</f>
        <v>#NUM!</v>
      </c>
      <c r="E143" t="e">
        <f t="array" ref="E143">SMALL(IF(Spells!$A$1:$A$275=$A143,IF(Spells!$L$1:$L$275=$A$1,ROW(Spells!$A$1:$A$275))),COLUMN(D:D))</f>
        <v>#NUM!</v>
      </c>
      <c r="F143" t="e">
        <f t="array" ref="F143">SMALL(IF(Spells!$A$1:$A$275=$A143,IF(Spells!$L$1:$L$275=$A$1,ROW(Spells!$A$1:$A$275))),COLUMN(E:E))</f>
        <v>#NUM!</v>
      </c>
      <c r="G143" t="e">
        <f t="array" ref="G143">SMALL(IF(Spells!$A$1:$A$275=$A143,IF(Spells!$L$1:$L$275=$A$1,ROW(Spells!$A$1:$A$275))),COLUMN(F:F))</f>
        <v>#NUM!</v>
      </c>
      <c r="H143" t="str">
        <f>IF(ISERR(B143),"",INDEX(Spells!$F$1:$F$275,B143))</f>
        <v/>
      </c>
      <c r="I143" t="str">
        <f>IF(ISERR(C143),"",INDEX(Spells!$F$1:$F$275,C143))</f>
        <v/>
      </c>
      <c r="J143" t="str">
        <f>IF(ISERR(D143),"",INDEX(Spells!$F$1:$F$275,D143))</f>
        <v/>
      </c>
      <c r="K143" t="str">
        <f>IF(ISERR(E143),"",INDEX(Spells!$F$1:$F$275,E143))</f>
        <v/>
      </c>
      <c r="L143" t="str">
        <f>IF(ISERR(F143),"",INDEX(Spells!$F$1:$F$275,F143))</f>
        <v/>
      </c>
      <c r="M143" t="str">
        <f t="shared" si="17"/>
        <v>Fury, Attack Run, Spin Attack, Se Mederi, Whirlwind Attack, Reditus Doma, Leap, Wrath, Mederi, Se Vis Mederi, (Whirlwind Attack), (Attack Run), (Leap), Rage, (Leap), Vortex Attack, (Vortex Attack), (Vortex Attack)</v>
      </c>
      <c r="N143" t="e">
        <f t="shared" si="19"/>
        <v>#VALUE!</v>
      </c>
      <c r="O143">
        <f t="shared" si="18"/>
        <v>0</v>
      </c>
      <c r="P143" t="str">
        <f t="shared" si="15"/>
        <v/>
      </c>
      <c r="Q143">
        <f>COUNTIF($P$4:P$155,"=("&amp;P143&amp;")")</f>
        <v>0</v>
      </c>
      <c r="R143" t="str">
        <f t="shared" si="16"/>
        <v/>
      </c>
      <c r="S143" t="e">
        <f t="array" ref="S143">INDEX($R$4:$R$155,SMALL(IF($R$4:$R$155&lt;&gt;"",ROW($R$4:$R$155)-3),ROW()-3))</f>
        <v>#NUM!</v>
      </c>
      <c r="T143" t="str">
        <f t="shared" si="5"/>
        <v/>
      </c>
    </row>
    <row r="144" spans="1:20">
      <c r="A144" s="10">
        <v>141</v>
      </c>
      <c r="B144" t="e">
        <f t="array" ref="B144">SMALL(IF(Spells!$A$1:$A$275=$A144,IF(Spells!$L$1:$L$275=$A$1,ROW(Spells!$A$1:$A$275))),COLUMN(A:A))</f>
        <v>#NUM!</v>
      </c>
      <c r="C144" t="e">
        <f t="array" ref="C144">SMALL(IF(Spells!$A$1:$A$275=$A144,IF(Spells!$L$1:$L$275=$A$1,ROW(Spells!$A$1:$A$275))),COLUMN(B:B))</f>
        <v>#NUM!</v>
      </c>
      <c r="D144" t="e">
        <f t="array" ref="D144">SMALL(IF(Spells!$A$1:$A$275=$A144,IF(Spells!$L$1:$L$275=$A$1,ROW(Spells!$A$1:$A$275))),COLUMN(C:C))</f>
        <v>#NUM!</v>
      </c>
      <c r="E144" t="e">
        <f t="array" ref="E144">SMALL(IF(Spells!$A$1:$A$275=$A144,IF(Spells!$L$1:$L$275=$A$1,ROW(Spells!$A$1:$A$275))),COLUMN(D:D))</f>
        <v>#NUM!</v>
      </c>
      <c r="F144" t="e">
        <f t="array" ref="F144">SMALL(IF(Spells!$A$1:$A$275=$A144,IF(Spells!$L$1:$L$275=$A$1,ROW(Spells!$A$1:$A$275))),COLUMN(E:E))</f>
        <v>#NUM!</v>
      </c>
      <c r="G144" t="e">
        <f t="array" ref="G144">SMALL(IF(Spells!$A$1:$A$275=$A144,IF(Spells!$L$1:$L$275=$A$1,ROW(Spells!$A$1:$A$275))),COLUMN(F:F))</f>
        <v>#NUM!</v>
      </c>
      <c r="H144" t="str">
        <f>IF(ISERR(B144),"",INDEX(Spells!$F$1:$F$275,B144))</f>
        <v/>
      </c>
      <c r="I144" t="str">
        <f>IF(ISERR(C144),"",INDEX(Spells!$F$1:$F$275,C144))</f>
        <v/>
      </c>
      <c r="J144" t="str">
        <f>IF(ISERR(D144),"",INDEX(Spells!$F$1:$F$275,D144))</f>
        <v/>
      </c>
      <c r="K144" t="str">
        <f>IF(ISERR(E144),"",INDEX(Spells!$F$1:$F$275,E144))</f>
        <v/>
      </c>
      <c r="L144" t="str">
        <f>IF(ISERR(F144),"",INDEX(Spells!$F$1:$F$275,F144))</f>
        <v/>
      </c>
      <c r="M144" t="str">
        <f t="shared" si="17"/>
        <v>Fury, Attack Run, Spin Attack, Se Mederi, Whirlwind Attack, Reditus Doma, Leap, Wrath, Mederi, Se Vis Mederi, (Whirlwind Attack), (Attack Run), (Leap), Rage, (Leap), Vortex Attack, (Vortex Attack), (Vortex Attack)</v>
      </c>
      <c r="N144" t="e">
        <f t="shared" si="19"/>
        <v>#VALUE!</v>
      </c>
      <c r="O144">
        <f t="shared" si="18"/>
        <v>0</v>
      </c>
      <c r="P144" t="str">
        <f t="shared" si="15"/>
        <v/>
      </c>
      <c r="Q144">
        <f>COUNTIF($P$4:P$155,"=("&amp;P144&amp;")")</f>
        <v>0</v>
      </c>
      <c r="R144" t="str">
        <f t="shared" si="16"/>
        <v/>
      </c>
      <c r="S144" t="e">
        <f t="array" ref="S144">INDEX($R$4:$R$155,SMALL(IF($R$4:$R$155&lt;&gt;"",ROW($R$4:$R$155)-3),ROW()-3))</f>
        <v>#NUM!</v>
      </c>
      <c r="T144" t="str">
        <f t="shared" si="5"/>
        <v/>
      </c>
    </row>
    <row r="145" spans="1:20">
      <c r="A145" s="10">
        <v>142</v>
      </c>
      <c r="B145" t="e">
        <f t="array" ref="B145">SMALL(IF(Spells!$A$1:$A$275=$A145,IF(Spells!$L$1:$L$275=$A$1,ROW(Spells!$A$1:$A$275))),COLUMN(A:A))</f>
        <v>#NUM!</v>
      </c>
      <c r="C145" t="e">
        <f t="array" ref="C145">SMALL(IF(Spells!$A$1:$A$275=$A145,IF(Spells!$L$1:$L$275=$A$1,ROW(Spells!$A$1:$A$275))),COLUMN(B:B))</f>
        <v>#NUM!</v>
      </c>
      <c r="D145" t="e">
        <f t="array" ref="D145">SMALL(IF(Spells!$A$1:$A$275=$A145,IF(Spells!$L$1:$L$275=$A$1,ROW(Spells!$A$1:$A$275))),COLUMN(C:C))</f>
        <v>#NUM!</v>
      </c>
      <c r="E145" t="e">
        <f t="array" ref="E145">SMALL(IF(Spells!$A$1:$A$275=$A145,IF(Spells!$L$1:$L$275=$A$1,ROW(Spells!$A$1:$A$275))),COLUMN(D:D))</f>
        <v>#NUM!</v>
      </c>
      <c r="F145" t="e">
        <f t="array" ref="F145">SMALL(IF(Spells!$A$1:$A$275=$A145,IF(Spells!$L$1:$L$275=$A$1,ROW(Spells!$A$1:$A$275))),COLUMN(E:E))</f>
        <v>#NUM!</v>
      </c>
      <c r="G145" t="e">
        <f t="array" ref="G145">SMALL(IF(Spells!$A$1:$A$275=$A145,IF(Spells!$L$1:$L$275=$A$1,ROW(Spells!$A$1:$A$275))),COLUMN(F:F))</f>
        <v>#NUM!</v>
      </c>
      <c r="H145" t="str">
        <f>IF(ISERR(B145),"",INDEX(Spells!$F$1:$F$275,B145))</f>
        <v/>
      </c>
      <c r="I145" t="str">
        <f>IF(ISERR(C145),"",INDEX(Spells!$F$1:$F$275,C145))</f>
        <v/>
      </c>
      <c r="J145" t="str">
        <f>IF(ISERR(D145),"",INDEX(Spells!$F$1:$F$275,D145))</f>
        <v/>
      </c>
      <c r="K145" t="str">
        <f>IF(ISERR(E145),"",INDEX(Spells!$F$1:$F$275,E145))</f>
        <v/>
      </c>
      <c r="L145" t="str">
        <f>IF(ISERR(F145),"",INDEX(Spells!$F$1:$F$275,F145))</f>
        <v/>
      </c>
      <c r="M145" t="str">
        <f t="shared" si="17"/>
        <v>Fury, Attack Run, Spin Attack, Se Mederi, Whirlwind Attack, Reditus Doma, Leap, Wrath, Mederi, Se Vis Mederi, (Whirlwind Attack), (Attack Run), (Leap), Rage, (Leap), Vortex Attack, (Vortex Attack), (Vortex Attack)</v>
      </c>
      <c r="N145" t="e">
        <f t="shared" si="19"/>
        <v>#VALUE!</v>
      </c>
      <c r="O145">
        <f t="shared" si="18"/>
        <v>0</v>
      </c>
      <c r="P145" t="str">
        <f t="shared" si="15"/>
        <v/>
      </c>
      <c r="Q145">
        <f>COUNTIF($P$4:P$155,"=("&amp;P145&amp;")")</f>
        <v>0</v>
      </c>
      <c r="R145" t="str">
        <f t="shared" si="16"/>
        <v/>
      </c>
      <c r="S145" t="e">
        <f t="array" ref="S145">INDEX($R$4:$R$155,SMALL(IF($R$4:$R$155&lt;&gt;"",ROW($R$4:$R$155)-3),ROW()-3))</f>
        <v>#NUM!</v>
      </c>
      <c r="T145" t="str">
        <f t="shared" si="5"/>
        <v/>
      </c>
    </row>
    <row r="146" spans="1:20">
      <c r="A146" s="10">
        <v>143</v>
      </c>
      <c r="B146" t="e">
        <f t="array" ref="B146">SMALL(IF(Spells!$A$1:$A$275=$A146,IF(Spells!$L$1:$L$275=$A$1,ROW(Spells!$A$1:$A$275))),COLUMN(A:A))</f>
        <v>#NUM!</v>
      </c>
      <c r="C146" t="e">
        <f t="array" ref="C146">SMALL(IF(Spells!$A$1:$A$275=$A146,IF(Spells!$L$1:$L$275=$A$1,ROW(Spells!$A$1:$A$275))),COLUMN(B:B))</f>
        <v>#NUM!</v>
      </c>
      <c r="D146" t="e">
        <f t="array" ref="D146">SMALL(IF(Spells!$A$1:$A$275=$A146,IF(Spells!$L$1:$L$275=$A$1,ROW(Spells!$A$1:$A$275))),COLUMN(C:C))</f>
        <v>#NUM!</v>
      </c>
      <c r="E146" t="e">
        <f t="array" ref="E146">SMALL(IF(Spells!$A$1:$A$275=$A146,IF(Spells!$L$1:$L$275=$A$1,ROW(Spells!$A$1:$A$275))),COLUMN(D:D))</f>
        <v>#NUM!</v>
      </c>
      <c r="F146" t="e">
        <f t="array" ref="F146">SMALL(IF(Spells!$A$1:$A$275=$A146,IF(Spells!$L$1:$L$275=$A$1,ROW(Spells!$A$1:$A$275))),COLUMN(E:E))</f>
        <v>#NUM!</v>
      </c>
      <c r="G146" t="e">
        <f t="array" ref="G146">SMALL(IF(Spells!$A$1:$A$275=$A146,IF(Spells!$L$1:$L$275=$A$1,ROW(Spells!$A$1:$A$275))),COLUMN(F:F))</f>
        <v>#NUM!</v>
      </c>
      <c r="H146" t="str">
        <f>IF(ISERR(B146),"",INDEX(Spells!$F$1:$F$275,B146))</f>
        <v/>
      </c>
      <c r="I146" t="str">
        <f>IF(ISERR(C146),"",INDEX(Spells!$F$1:$F$275,C146))</f>
        <v/>
      </c>
      <c r="J146" t="str">
        <f>IF(ISERR(D146),"",INDEX(Spells!$F$1:$F$275,D146))</f>
        <v/>
      </c>
      <c r="K146" t="str">
        <f>IF(ISERR(E146),"",INDEX(Spells!$F$1:$F$275,E146))</f>
        <v/>
      </c>
      <c r="L146" t="str">
        <f>IF(ISERR(F146),"",INDEX(Spells!$F$1:$F$275,F146))</f>
        <v/>
      </c>
      <c r="M146" t="str">
        <f t="shared" si="17"/>
        <v>Fury, Attack Run, Spin Attack, Se Mederi, Whirlwind Attack, Reditus Doma, Leap, Wrath, Mederi, Se Vis Mederi, (Whirlwind Attack), (Attack Run), (Leap), Rage, (Leap), Vortex Attack, (Vortex Attack), (Vortex Attack)</v>
      </c>
      <c r="N146" t="e">
        <f t="shared" si="19"/>
        <v>#VALUE!</v>
      </c>
      <c r="O146">
        <f t="shared" si="18"/>
        <v>0</v>
      </c>
      <c r="P146" t="str">
        <f t="shared" si="15"/>
        <v/>
      </c>
      <c r="Q146">
        <f>COUNTIF($P$4:P$155,"=("&amp;P146&amp;")")</f>
        <v>0</v>
      </c>
      <c r="R146" t="str">
        <f t="shared" si="16"/>
        <v/>
      </c>
      <c r="S146" t="e">
        <f t="array" ref="S146">INDEX($R$4:$R$155,SMALL(IF($R$4:$R$155&lt;&gt;"",ROW($R$4:$R$155)-3),ROW()-3))</f>
        <v>#NUM!</v>
      </c>
      <c r="T146" t="str">
        <f t="shared" si="5"/>
        <v/>
      </c>
    </row>
    <row r="147" spans="1:20">
      <c r="A147" s="10">
        <v>144</v>
      </c>
      <c r="B147" t="e">
        <f t="array" ref="B147">SMALL(IF(Spells!$A$1:$A$275=$A147,IF(Spells!$L$1:$L$275=$A$1,ROW(Spells!$A$1:$A$275))),COLUMN(A:A))</f>
        <v>#NUM!</v>
      </c>
      <c r="C147" t="e">
        <f t="array" ref="C147">SMALL(IF(Spells!$A$1:$A$275=$A147,IF(Spells!$L$1:$L$275=$A$1,ROW(Spells!$A$1:$A$275))),COLUMN(B:B))</f>
        <v>#NUM!</v>
      </c>
      <c r="D147" t="e">
        <f t="array" ref="D147">SMALL(IF(Spells!$A$1:$A$275=$A147,IF(Spells!$L$1:$L$275=$A$1,ROW(Spells!$A$1:$A$275))),COLUMN(C:C))</f>
        <v>#NUM!</v>
      </c>
      <c r="E147" t="e">
        <f t="array" ref="E147">SMALL(IF(Spells!$A$1:$A$275=$A147,IF(Spells!$L$1:$L$275=$A$1,ROW(Spells!$A$1:$A$275))),COLUMN(D:D))</f>
        <v>#NUM!</v>
      </c>
      <c r="F147" t="e">
        <f t="array" ref="F147">SMALL(IF(Spells!$A$1:$A$275=$A147,IF(Spells!$L$1:$L$275=$A$1,ROW(Spells!$A$1:$A$275))),COLUMN(E:E))</f>
        <v>#NUM!</v>
      </c>
      <c r="G147" t="e">
        <f t="array" ref="G147">SMALL(IF(Spells!$A$1:$A$275=$A147,IF(Spells!$L$1:$L$275=$A$1,ROW(Spells!$A$1:$A$275))),COLUMN(F:F))</f>
        <v>#NUM!</v>
      </c>
      <c r="H147" t="str">
        <f>IF(ISERR(B147),"",INDEX(Spells!$F$1:$F$275,B147))</f>
        <v/>
      </c>
      <c r="I147" t="str">
        <f>IF(ISERR(C147),"",INDEX(Spells!$F$1:$F$275,C147))</f>
        <v/>
      </c>
      <c r="J147" t="str">
        <f>IF(ISERR(D147),"",INDEX(Spells!$F$1:$F$275,D147))</f>
        <v/>
      </c>
      <c r="K147" t="str">
        <f>IF(ISERR(E147),"",INDEX(Spells!$F$1:$F$275,E147))</f>
        <v/>
      </c>
      <c r="L147" t="str">
        <f>IF(ISERR(F147),"",INDEX(Spells!$F$1:$F$275,F147))</f>
        <v/>
      </c>
      <c r="M147" t="str">
        <f t="shared" si="17"/>
        <v>Fury, Attack Run, Spin Attack, Se Mederi, Whirlwind Attack, Reditus Doma, Leap, Wrath, Mederi, Se Vis Mederi, (Whirlwind Attack), (Attack Run), (Leap), Rage, (Leap), Vortex Attack, (Vortex Attack), (Vortex Attack)</v>
      </c>
      <c r="N147" t="e">
        <f t="shared" si="19"/>
        <v>#VALUE!</v>
      </c>
      <c r="O147">
        <f t="shared" si="18"/>
        <v>0</v>
      </c>
      <c r="P147" t="str">
        <f t="shared" si="15"/>
        <v/>
      </c>
      <c r="Q147">
        <f>COUNTIF($P$4:P$155,"=("&amp;P147&amp;")")</f>
        <v>0</v>
      </c>
      <c r="R147" t="str">
        <f t="shared" si="16"/>
        <v/>
      </c>
      <c r="S147" t="e">
        <f t="array" ref="S147">INDEX($R$4:$R$155,SMALL(IF($R$4:$R$155&lt;&gt;"",ROW($R$4:$R$155)-3),ROW()-3))</f>
        <v>#NUM!</v>
      </c>
      <c r="T147" t="str">
        <f t="shared" si="5"/>
        <v/>
      </c>
    </row>
    <row r="148" spans="1:20">
      <c r="A148" s="10">
        <v>145</v>
      </c>
      <c r="B148" t="e">
        <f t="array" ref="B148">SMALL(IF(Spells!$A$1:$A$275=$A148,IF(Spells!$L$1:$L$275=$A$1,ROW(Spells!$A$1:$A$275))),COLUMN(A:A))</f>
        <v>#NUM!</v>
      </c>
      <c r="C148" t="e">
        <f t="array" ref="C148">SMALL(IF(Spells!$A$1:$A$275=$A148,IF(Spells!$L$1:$L$275=$A$1,ROW(Spells!$A$1:$A$275))),COLUMN(B:B))</f>
        <v>#NUM!</v>
      </c>
      <c r="D148" t="e">
        <f t="array" ref="D148">SMALL(IF(Spells!$A$1:$A$275=$A148,IF(Spells!$L$1:$L$275=$A$1,ROW(Spells!$A$1:$A$275))),COLUMN(C:C))</f>
        <v>#NUM!</v>
      </c>
      <c r="E148" t="e">
        <f t="array" ref="E148">SMALL(IF(Spells!$A$1:$A$275=$A148,IF(Spells!$L$1:$L$275=$A$1,ROW(Spells!$A$1:$A$275))),COLUMN(D:D))</f>
        <v>#NUM!</v>
      </c>
      <c r="F148" t="e">
        <f t="array" ref="F148">SMALL(IF(Spells!$A$1:$A$275=$A148,IF(Spells!$L$1:$L$275=$A$1,ROW(Spells!$A$1:$A$275))),COLUMN(E:E))</f>
        <v>#NUM!</v>
      </c>
      <c r="G148" t="e">
        <f t="array" ref="G148">SMALL(IF(Spells!$A$1:$A$275=$A148,IF(Spells!$L$1:$L$275=$A$1,ROW(Spells!$A$1:$A$275))),COLUMN(F:F))</f>
        <v>#NUM!</v>
      </c>
      <c r="H148" t="str">
        <f>IF(ISERR(B148),"",INDEX(Spells!$F$1:$F$275,B148))</f>
        <v/>
      </c>
      <c r="I148" t="str">
        <f>IF(ISERR(C148),"",INDEX(Spells!$F$1:$F$275,C148))</f>
        <v/>
      </c>
      <c r="J148" t="str">
        <f>IF(ISERR(D148),"",INDEX(Spells!$F$1:$F$275,D148))</f>
        <v/>
      </c>
      <c r="K148" t="str">
        <f>IF(ISERR(E148),"",INDEX(Spells!$F$1:$F$275,E148))</f>
        <v/>
      </c>
      <c r="L148" t="str">
        <f>IF(ISERR(F148),"",INDEX(Spells!$F$1:$F$275,F148))</f>
        <v/>
      </c>
      <c r="M148" t="str">
        <f t="shared" si="17"/>
        <v>Fury, Attack Run, Spin Attack, Se Mederi, Whirlwind Attack, Reditus Doma, Leap, Wrath, Mederi, Se Vis Mederi, (Whirlwind Attack), (Attack Run), (Leap), Rage, (Leap), Vortex Attack, (Vortex Attack), (Vortex Attack)</v>
      </c>
      <c r="N148" t="e">
        <f t="shared" si="19"/>
        <v>#VALUE!</v>
      </c>
      <c r="O148">
        <f t="shared" si="18"/>
        <v>0</v>
      </c>
      <c r="P148" t="str">
        <f t="shared" si="15"/>
        <v/>
      </c>
      <c r="Q148">
        <f>COUNTIF($P$4:P$155,"=("&amp;P148&amp;")")</f>
        <v>0</v>
      </c>
      <c r="R148" t="str">
        <f t="shared" si="16"/>
        <v/>
      </c>
      <c r="S148" t="e">
        <f t="array" ref="S148">INDEX($R$4:$R$155,SMALL(IF($R$4:$R$155&lt;&gt;"",ROW($R$4:$R$155)-3),ROW()-3))</f>
        <v>#NUM!</v>
      </c>
      <c r="T148" t="str">
        <f t="shared" si="5"/>
        <v/>
      </c>
    </row>
    <row r="149" spans="1:20">
      <c r="A149" s="10">
        <v>146</v>
      </c>
      <c r="B149" t="e">
        <f t="array" ref="B149">SMALL(IF(Spells!$A$1:$A$275=$A149,IF(Spells!$L$1:$L$275=$A$1,ROW(Spells!$A$1:$A$275))),COLUMN(A:A))</f>
        <v>#NUM!</v>
      </c>
      <c r="C149" t="e">
        <f t="array" ref="C149">SMALL(IF(Spells!$A$1:$A$275=$A149,IF(Spells!$L$1:$L$275=$A$1,ROW(Spells!$A$1:$A$275))),COLUMN(B:B))</f>
        <v>#NUM!</v>
      </c>
      <c r="D149" t="e">
        <f t="array" ref="D149">SMALL(IF(Spells!$A$1:$A$275=$A149,IF(Spells!$L$1:$L$275=$A$1,ROW(Spells!$A$1:$A$275))),COLUMN(C:C))</f>
        <v>#NUM!</v>
      </c>
      <c r="E149" t="e">
        <f t="array" ref="E149">SMALL(IF(Spells!$A$1:$A$275=$A149,IF(Spells!$L$1:$L$275=$A$1,ROW(Spells!$A$1:$A$275))),COLUMN(D:D))</f>
        <v>#NUM!</v>
      </c>
      <c r="F149" t="e">
        <f t="array" ref="F149">SMALL(IF(Spells!$A$1:$A$275=$A149,IF(Spells!$L$1:$L$275=$A$1,ROW(Spells!$A$1:$A$275))),COLUMN(E:E))</f>
        <v>#NUM!</v>
      </c>
      <c r="G149" t="e">
        <f t="array" ref="G149">SMALL(IF(Spells!$A$1:$A$275=$A149,IF(Spells!$L$1:$L$275=$A$1,ROW(Spells!$A$1:$A$275))),COLUMN(F:F))</f>
        <v>#NUM!</v>
      </c>
      <c r="H149" t="str">
        <f>IF(ISERR(B149),"",INDEX(Spells!$F$1:$F$275,B149))</f>
        <v/>
      </c>
      <c r="I149" t="str">
        <f>IF(ISERR(C149),"",INDEX(Spells!$F$1:$F$275,C149))</f>
        <v/>
      </c>
      <c r="J149" t="str">
        <f>IF(ISERR(D149),"",INDEX(Spells!$F$1:$F$275,D149))</f>
        <v/>
      </c>
      <c r="K149" t="str">
        <f>IF(ISERR(E149),"",INDEX(Spells!$F$1:$F$275,E149))</f>
        <v/>
      </c>
      <c r="L149" t="str">
        <f>IF(ISERR(F149),"",INDEX(Spells!$F$1:$F$275,F149))</f>
        <v/>
      </c>
      <c r="M149" t="str">
        <f t="shared" si="17"/>
        <v>Fury, Attack Run, Spin Attack, Se Mederi, Whirlwind Attack, Reditus Doma, Leap, Wrath, Mederi, Se Vis Mederi, (Whirlwind Attack), (Attack Run), (Leap), Rage, (Leap), Vortex Attack, (Vortex Attack), (Vortex Attack)</v>
      </c>
      <c r="N149" t="e">
        <f t="shared" si="19"/>
        <v>#VALUE!</v>
      </c>
      <c r="O149">
        <f t="shared" si="18"/>
        <v>0</v>
      </c>
      <c r="P149" t="str">
        <f t="shared" si="15"/>
        <v/>
      </c>
      <c r="Q149">
        <f>COUNTIF($P$4:P$155,"=("&amp;P149&amp;")")</f>
        <v>0</v>
      </c>
      <c r="R149" t="str">
        <f t="shared" si="16"/>
        <v/>
      </c>
      <c r="S149" t="e">
        <f t="array" ref="S149">INDEX($R$4:$R$155,SMALL(IF($R$4:$R$155&lt;&gt;"",ROW($R$4:$R$155)-3),ROW()-3))</f>
        <v>#NUM!</v>
      </c>
      <c r="T149" t="str">
        <f t="shared" si="5"/>
        <v/>
      </c>
    </row>
    <row r="150" spans="1:20">
      <c r="A150" s="10">
        <v>147</v>
      </c>
      <c r="B150" t="e">
        <f t="array" ref="B150">SMALL(IF(Spells!$A$1:$A$275=$A150,IF(Spells!$L$1:$L$275=$A$1,ROW(Spells!$A$1:$A$275))),COLUMN(A:A))</f>
        <v>#NUM!</v>
      </c>
      <c r="C150" t="e">
        <f t="array" ref="C150">SMALL(IF(Spells!$A$1:$A$275=$A150,IF(Spells!$L$1:$L$275=$A$1,ROW(Spells!$A$1:$A$275))),COLUMN(B:B))</f>
        <v>#NUM!</v>
      </c>
      <c r="D150" t="e">
        <f t="array" ref="D150">SMALL(IF(Spells!$A$1:$A$275=$A150,IF(Spells!$L$1:$L$275=$A$1,ROW(Spells!$A$1:$A$275))),COLUMN(C:C))</f>
        <v>#NUM!</v>
      </c>
      <c r="E150" t="e">
        <f t="array" ref="E150">SMALL(IF(Spells!$A$1:$A$275=$A150,IF(Spells!$L$1:$L$275=$A$1,ROW(Spells!$A$1:$A$275))),COLUMN(D:D))</f>
        <v>#NUM!</v>
      </c>
      <c r="F150" t="e">
        <f t="array" ref="F150">SMALL(IF(Spells!$A$1:$A$275=$A150,IF(Spells!$L$1:$L$275=$A$1,ROW(Spells!$A$1:$A$275))),COLUMN(E:E))</f>
        <v>#NUM!</v>
      </c>
      <c r="G150" t="e">
        <f t="array" ref="G150">SMALL(IF(Spells!$A$1:$A$275=$A150,IF(Spells!$L$1:$L$275=$A$1,ROW(Spells!$A$1:$A$275))),COLUMN(F:F))</f>
        <v>#NUM!</v>
      </c>
      <c r="H150" t="str">
        <f>IF(ISERR(B150),"",INDEX(Spells!$F$1:$F$275,B150))</f>
        <v/>
      </c>
      <c r="I150" t="str">
        <f>IF(ISERR(C150),"",INDEX(Spells!$F$1:$F$275,C150))</f>
        <v/>
      </c>
      <c r="J150" t="str">
        <f>IF(ISERR(D150),"",INDEX(Spells!$F$1:$F$275,D150))</f>
        <v/>
      </c>
      <c r="K150" t="str">
        <f>IF(ISERR(E150),"",INDEX(Spells!$F$1:$F$275,E150))</f>
        <v/>
      </c>
      <c r="L150" t="str">
        <f>IF(ISERR(F150),"",INDEX(Spells!$F$1:$F$275,F150))</f>
        <v/>
      </c>
      <c r="M150" t="str">
        <f t="shared" si="17"/>
        <v>Fury, Attack Run, Spin Attack, Se Mederi, Whirlwind Attack, Reditus Doma, Leap, Wrath, Mederi, Se Vis Mederi, (Whirlwind Attack), (Attack Run), (Leap), Rage, (Leap), Vortex Attack, (Vortex Attack), (Vortex Attack)</v>
      </c>
      <c r="N150" t="e">
        <f t="shared" si="19"/>
        <v>#VALUE!</v>
      </c>
      <c r="O150">
        <f t="shared" si="18"/>
        <v>0</v>
      </c>
      <c r="P150" t="str">
        <f t="shared" si="15"/>
        <v/>
      </c>
      <c r="Q150">
        <f>COUNTIF($P$4:P$155,"=("&amp;P150&amp;")")</f>
        <v>0</v>
      </c>
      <c r="R150" t="str">
        <f t="shared" si="16"/>
        <v/>
      </c>
      <c r="S150" t="e">
        <f t="array" ref="S150">INDEX($R$4:$R$155,SMALL(IF($R$4:$R$155&lt;&gt;"",ROW($R$4:$R$155)-3),ROW()-3))</f>
        <v>#NUM!</v>
      </c>
      <c r="T150" t="str">
        <f t="shared" si="5"/>
        <v/>
      </c>
    </row>
    <row r="151" spans="1:20">
      <c r="A151" s="10">
        <v>148</v>
      </c>
      <c r="B151" t="e">
        <f t="array" ref="B151">SMALL(IF(Spells!$A$1:$A$275=$A151,IF(Spells!$L$1:$L$275=$A$1,ROW(Spells!$A$1:$A$275))),COLUMN(A:A))</f>
        <v>#NUM!</v>
      </c>
      <c r="C151" t="e">
        <f t="array" ref="C151">SMALL(IF(Spells!$A$1:$A$275=$A151,IF(Spells!$L$1:$L$275=$A$1,ROW(Spells!$A$1:$A$275))),COLUMN(B:B))</f>
        <v>#NUM!</v>
      </c>
      <c r="D151" t="e">
        <f t="array" ref="D151">SMALL(IF(Spells!$A$1:$A$275=$A151,IF(Spells!$L$1:$L$275=$A$1,ROW(Spells!$A$1:$A$275))),COLUMN(C:C))</f>
        <v>#NUM!</v>
      </c>
      <c r="E151" t="e">
        <f t="array" ref="E151">SMALL(IF(Spells!$A$1:$A$275=$A151,IF(Spells!$L$1:$L$275=$A$1,ROW(Spells!$A$1:$A$275))),COLUMN(D:D))</f>
        <v>#NUM!</v>
      </c>
      <c r="F151" t="e">
        <f t="array" ref="F151">SMALL(IF(Spells!$A$1:$A$275=$A151,IF(Spells!$L$1:$L$275=$A$1,ROW(Spells!$A$1:$A$275))),COLUMN(E:E))</f>
        <v>#NUM!</v>
      </c>
      <c r="G151" t="e">
        <f t="array" ref="G151">SMALL(IF(Spells!$A$1:$A$275=$A151,IF(Spells!$L$1:$L$275=$A$1,ROW(Spells!$A$1:$A$275))),COLUMN(F:F))</f>
        <v>#NUM!</v>
      </c>
      <c r="H151" t="str">
        <f>IF(ISERR(B151),"",INDEX(Spells!$F$1:$F$275,B151))</f>
        <v/>
      </c>
      <c r="I151" t="str">
        <f>IF(ISERR(C151),"",INDEX(Spells!$F$1:$F$275,C151))</f>
        <v/>
      </c>
      <c r="J151" t="str">
        <f>IF(ISERR(D151),"",INDEX(Spells!$F$1:$F$275,D151))</f>
        <v/>
      </c>
      <c r="K151" t="str">
        <f>IF(ISERR(E151),"",INDEX(Spells!$F$1:$F$275,E151))</f>
        <v/>
      </c>
      <c r="L151" t="str">
        <f>IF(ISERR(F151),"",INDEX(Spells!$F$1:$F$275,F151))</f>
        <v/>
      </c>
      <c r="M151" t="str">
        <f t="shared" si="17"/>
        <v>Fury, Attack Run, Spin Attack, Se Mederi, Whirlwind Attack, Reditus Doma, Leap, Wrath, Mederi, Se Vis Mederi, (Whirlwind Attack), (Attack Run), (Leap), Rage, (Leap), Vortex Attack, (Vortex Attack), (Vortex Attack)</v>
      </c>
      <c r="N151" t="e">
        <f t="shared" si="19"/>
        <v>#VALUE!</v>
      </c>
      <c r="O151">
        <f t="shared" si="18"/>
        <v>0</v>
      </c>
      <c r="P151" t="str">
        <f t="shared" si="15"/>
        <v/>
      </c>
      <c r="Q151">
        <f>COUNTIF($P$4:P$155,"=("&amp;P151&amp;")")</f>
        <v>0</v>
      </c>
      <c r="R151" t="str">
        <f t="shared" si="16"/>
        <v/>
      </c>
      <c r="S151" t="e">
        <f t="array" ref="S151">INDEX($R$4:$R$155,SMALL(IF($R$4:$R$155&lt;&gt;"",ROW($R$4:$R$155)-3),ROW()-3))</f>
        <v>#NUM!</v>
      </c>
      <c r="T151" t="str">
        <f t="shared" si="5"/>
        <v/>
      </c>
    </row>
    <row r="152" spans="1:20">
      <c r="A152" s="10">
        <v>149</v>
      </c>
      <c r="B152" t="e">
        <f t="array" ref="B152">SMALL(IF(Spells!$A$1:$A$275=$A152,IF(Spells!$L$1:$L$275=$A$1,ROW(Spells!$A$1:$A$275))),COLUMN(A:A))</f>
        <v>#NUM!</v>
      </c>
      <c r="C152" t="e">
        <f t="array" ref="C152">SMALL(IF(Spells!$A$1:$A$275=$A152,IF(Spells!$L$1:$L$275=$A$1,ROW(Spells!$A$1:$A$275))),COLUMN(B:B))</f>
        <v>#NUM!</v>
      </c>
      <c r="D152" t="e">
        <f t="array" ref="D152">SMALL(IF(Spells!$A$1:$A$275=$A152,IF(Spells!$L$1:$L$275=$A$1,ROW(Spells!$A$1:$A$275))),COLUMN(C:C))</f>
        <v>#NUM!</v>
      </c>
      <c r="E152" t="e">
        <f t="array" ref="E152">SMALL(IF(Spells!$A$1:$A$275=$A152,IF(Spells!$L$1:$L$275=$A$1,ROW(Spells!$A$1:$A$275))),COLUMN(D:D))</f>
        <v>#NUM!</v>
      </c>
      <c r="F152" t="e">
        <f t="array" ref="F152">SMALL(IF(Spells!$A$1:$A$275=$A152,IF(Spells!$L$1:$L$275=$A$1,ROW(Spells!$A$1:$A$275))),COLUMN(E:E))</f>
        <v>#NUM!</v>
      </c>
      <c r="G152" t="e">
        <f t="array" ref="G152">SMALL(IF(Spells!$A$1:$A$275=$A152,IF(Spells!$L$1:$L$275=$A$1,ROW(Spells!$A$1:$A$275))),COLUMN(F:F))</f>
        <v>#NUM!</v>
      </c>
      <c r="H152" t="str">
        <f>IF(ISERR(B152),"",INDEX(Spells!$F$1:$F$275,B152))</f>
        <v/>
      </c>
      <c r="I152" t="str">
        <f>IF(ISERR(C152),"",INDEX(Spells!$F$1:$F$275,C152))</f>
        <v/>
      </c>
      <c r="J152" t="str">
        <f>IF(ISERR(D152),"",INDEX(Spells!$F$1:$F$275,D152))</f>
        <v/>
      </c>
      <c r="K152" t="str">
        <f>IF(ISERR(E152),"",INDEX(Spells!$F$1:$F$275,E152))</f>
        <v/>
      </c>
      <c r="L152" t="str">
        <f>IF(ISERR(F152),"",INDEX(Spells!$F$1:$F$275,F152))</f>
        <v/>
      </c>
      <c r="M152" t="str">
        <f t="shared" si="17"/>
        <v>Fury, Attack Run, Spin Attack, Se Mederi, Whirlwind Attack, Reditus Doma, Leap, Wrath, Mederi, Se Vis Mederi, (Whirlwind Attack), (Attack Run), (Leap), Rage, (Leap), Vortex Attack, (Vortex Attack), (Vortex Attack)</v>
      </c>
      <c r="N152" t="e">
        <f t="shared" si="19"/>
        <v>#VALUE!</v>
      </c>
      <c r="O152">
        <f t="shared" si="18"/>
        <v>0</v>
      </c>
      <c r="P152" t="str">
        <f t="shared" si="15"/>
        <v/>
      </c>
      <c r="Q152">
        <f>COUNTIF($P$4:P$155,"=("&amp;P152&amp;")")</f>
        <v>0</v>
      </c>
      <c r="R152" t="str">
        <f t="shared" si="16"/>
        <v/>
      </c>
      <c r="S152" t="e">
        <f t="array" ref="S152">INDEX($R$4:$R$155,SMALL(IF($R$4:$R$155&lt;&gt;"",ROW($R$4:$R$155)-3),ROW()-3))</f>
        <v>#NUM!</v>
      </c>
      <c r="T152" t="str">
        <f t="shared" si="5"/>
        <v/>
      </c>
    </row>
    <row r="153" spans="1:20">
      <c r="A153" s="10">
        <v>150</v>
      </c>
      <c r="B153" t="e">
        <f t="array" ref="B153">SMALL(IF(Spells!$A$1:$A$275=$A153,IF(Spells!$L$1:$L$275=$A$1,ROW(Spells!$A$1:$A$275))),COLUMN(A:A))</f>
        <v>#NUM!</v>
      </c>
      <c r="C153" t="e">
        <f t="array" ref="C153">SMALL(IF(Spells!$A$1:$A$275=$A153,IF(Spells!$L$1:$L$275=$A$1,ROW(Spells!$A$1:$A$275))),COLUMN(B:B))</f>
        <v>#NUM!</v>
      </c>
      <c r="D153" t="e">
        <f t="array" ref="D153">SMALL(IF(Spells!$A$1:$A$275=$A153,IF(Spells!$L$1:$L$275=$A$1,ROW(Spells!$A$1:$A$275))),COLUMN(C:C))</f>
        <v>#NUM!</v>
      </c>
      <c r="E153" t="e">
        <f t="array" ref="E153">SMALL(IF(Spells!$A$1:$A$275=$A153,IF(Spells!$L$1:$L$275=$A$1,ROW(Spells!$A$1:$A$275))),COLUMN(D:D))</f>
        <v>#NUM!</v>
      </c>
      <c r="F153" t="e">
        <f t="array" ref="F153">SMALL(IF(Spells!$A$1:$A$275=$A153,IF(Spells!$L$1:$L$275=$A$1,ROW(Spells!$A$1:$A$275))),COLUMN(E:E))</f>
        <v>#NUM!</v>
      </c>
      <c r="G153" t="e">
        <f t="array" ref="G153">SMALL(IF(Spells!$A$1:$A$275=$A153,IF(Spells!$L$1:$L$275=$A$1,ROW(Spells!$A$1:$A$275))),COLUMN(F:F))</f>
        <v>#NUM!</v>
      </c>
      <c r="H153" t="str">
        <f>IF(ISERR(B153),"",INDEX(Spells!$F$1:$F$275,B153))</f>
        <v/>
      </c>
      <c r="I153" t="str">
        <f>IF(ISERR(C153),"",INDEX(Spells!$F$1:$F$275,C153))</f>
        <v/>
      </c>
      <c r="J153" t="str">
        <f>IF(ISERR(D153),"",INDEX(Spells!$F$1:$F$275,D153))</f>
        <v/>
      </c>
      <c r="K153" t="str">
        <f>IF(ISERR(E153),"",INDEX(Spells!$F$1:$F$275,E153))</f>
        <v/>
      </c>
      <c r="L153" t="str">
        <f>IF(ISERR(F153),"",INDEX(Spells!$F$1:$F$275,F153))</f>
        <v/>
      </c>
      <c r="M153" t="str">
        <f t="shared" si="17"/>
        <v>Fury, Attack Run, Spin Attack, Se Mederi, Whirlwind Attack, Reditus Doma, Leap, Wrath, Mederi, Se Vis Mederi, (Whirlwind Attack), (Attack Run), (Leap), Rage, (Leap), Vortex Attack, (Vortex Attack), (Vortex Attack)</v>
      </c>
      <c r="N153" t="e">
        <f t="shared" si="19"/>
        <v>#VALUE!</v>
      </c>
      <c r="O153">
        <f t="shared" si="18"/>
        <v>0</v>
      </c>
      <c r="P153" t="str">
        <f t="shared" si="15"/>
        <v/>
      </c>
      <c r="Q153">
        <f>COUNTIF($P$4:P$155,"=("&amp;P153&amp;")")</f>
        <v>0</v>
      </c>
      <c r="R153" t="str">
        <f t="shared" si="16"/>
        <v/>
      </c>
      <c r="S153" t="e">
        <f t="array" ref="S153">INDEX($R$4:$R$155,SMALL(IF($R$4:$R$155&lt;&gt;"",ROW($R$4:$R$155)-3),ROW()-3))</f>
        <v>#NUM!</v>
      </c>
      <c r="T153" t="str">
        <f t="shared" si="5"/>
        <v/>
      </c>
    </row>
  </sheetData>
  <mergeCells count="1">
    <mergeCell ref="A2:I2"/>
  </mergeCells>
  <conditionalFormatting sqref="T4:T153">
    <cfRule type="expression" dxfId="6" priority="1">
      <formula>INDEX($T$1:$T$154,ROW())&lt;&gt;""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7"/>
  <dimension ref="A1:V51"/>
  <sheetViews>
    <sheetView workbookViewId="0">
      <selection activeCell="K45" sqref="K45"/>
    </sheetView>
  </sheetViews>
  <sheetFormatPr defaultRowHeight="15"/>
  <sheetData>
    <row r="1" spans="1:22">
      <c r="A1" s="29">
        <v>5</v>
      </c>
      <c r="B1" s="1">
        <v>2</v>
      </c>
      <c r="C1" s="1">
        <v>5</v>
      </c>
      <c r="D1" s="1">
        <v>8</v>
      </c>
      <c r="E1" s="1">
        <v>11</v>
      </c>
      <c r="F1" s="1">
        <v>14</v>
      </c>
      <c r="G1" s="1">
        <v>17</v>
      </c>
      <c r="H1" s="1">
        <v>20</v>
      </c>
      <c r="I1" s="1">
        <v>23</v>
      </c>
      <c r="J1" s="1">
        <v>26</v>
      </c>
      <c r="K1" s="1">
        <v>29</v>
      </c>
      <c r="L1" s="1">
        <v>32</v>
      </c>
      <c r="M1" s="1">
        <v>35</v>
      </c>
      <c r="N1" s="1">
        <v>38</v>
      </c>
      <c r="O1" s="1">
        <v>41</v>
      </c>
      <c r="P1" s="1">
        <v>44</v>
      </c>
      <c r="Q1" s="1">
        <v>47</v>
      </c>
      <c r="R1" s="1">
        <v>50</v>
      </c>
      <c r="S1" s="1">
        <v>53</v>
      </c>
      <c r="T1" s="1">
        <v>56</v>
      </c>
      <c r="U1" s="1">
        <v>59</v>
      </c>
      <c r="V1" s="1">
        <v>62</v>
      </c>
    </row>
    <row r="2" spans="1:22">
      <c r="A2" s="1">
        <v>1</v>
      </c>
      <c r="B2" s="49">
        <f ca="1">(INDIRECT("'Damage'!"&amp;ADDRESS(ROW(Damage!$F$1)+$A2,COLUMN(Damage!$F$1)))*($A$1+B$1)/($A$1+$A2))/(INDIRECT("'Damage'!"&amp;ADDRESS(ROW(Damage!$F$1)+B$1,COLUMN(Damage!$F$1))))</f>
        <v>0.87957024657308669</v>
      </c>
      <c r="C2" s="49">
        <f ca="1">(INDIRECT("'Damage'!"&amp;ADDRESS(ROW(Damage!$F$1)+$A2,COLUMN(Damage!$F$1)))*($A$1+C$1)/($A$1+$A2))/(INDIRECT("'Damage'!"&amp;ADDRESS(ROW(Damage!$F$1)+C$1,COLUMN(Damage!$F$1))))</f>
        <v>0.67696419542028852</v>
      </c>
      <c r="D2" s="49">
        <f ca="1">(INDIRECT("'Damage'!"&amp;ADDRESS(ROW(Damage!$F$1)+$A2,COLUMN(Damage!$F$1)))*($A$1+D$1)/($A$1+$A2))/(INDIRECT("'Damage'!"&amp;ADDRESS(ROW(Damage!$F$1)+D$1,COLUMN(Damage!$F$1))))</f>
        <v>0.57379439744560368</v>
      </c>
      <c r="E2" s="49">
        <f ca="1">(INDIRECT("'Damage'!"&amp;ADDRESS(ROW(Damage!$F$1)+$A2,COLUMN(Damage!$F$1)))*($A$1+E$1)/($A$1+$A2))/(INDIRECT("'Damage'!"&amp;ADDRESS(ROW(Damage!$F$1)+E$1,COLUMN(Damage!$F$1))))</f>
        <v>0.52022504219541166</v>
      </c>
      <c r="F2" s="49">
        <f ca="1">(INDIRECT("'Damage'!"&amp;ADDRESS(ROW(Damage!$F$1)+$A2,COLUMN(Damage!$F$1)))*($A$1+F$1)/($A$1+$A2))/(INDIRECT("'Damage'!"&amp;ADDRESS(ROW(Damage!$F$1)+F$1,COLUMN(Damage!$F$1))))</f>
        <v>0.49739053516143295</v>
      </c>
      <c r="G2" s="49">
        <f ca="1">(INDIRECT("'Damage'!"&amp;ADDRESS(ROW(Damage!$F$1)+$A2,COLUMN(Damage!$F$1)))*($A$1+G$1)/($A$1+$A2))/(INDIRECT("'Damage'!"&amp;ADDRESS(ROW(Damage!$F$1)+G$1,COLUMN(Damage!$F$1))))</f>
        <v>0.47321082009446103</v>
      </c>
      <c r="H2" s="49">
        <f ca="1">(INDIRECT("'Damage'!"&amp;ADDRESS(ROW(Damage!$F$1)+$A2,COLUMN(Damage!$F$1)))*($A$1+H$1)/($A$1+$A2))/(INDIRECT("'Damage'!"&amp;ADDRESS(ROW(Damage!$F$1)+H$1,COLUMN(Damage!$F$1))))</f>
        <v>0.4492975752909214</v>
      </c>
      <c r="I2" s="49">
        <f ca="1">(INDIRECT("'Damage'!"&amp;ADDRESS(ROW(Damage!$F$1)+$A2,COLUMN(Damage!$F$1)))*($A$1+I$1)/($A$1+$A2))/(INDIRECT("'Damage'!"&amp;ADDRESS(ROW(Damage!$F$1)+I$1,COLUMN(Damage!$F$1))))</f>
        <v>0.44285880287145568</v>
      </c>
      <c r="J2" s="49">
        <f ca="1">(INDIRECT("'Damage'!"&amp;ADDRESS(ROW(Damage!$F$1)+$A2,COLUMN(Damage!$F$1)))*($A$1+J$1)/($A$1+$A2))/(INDIRECT("'Damage'!"&amp;ADDRESS(ROW(Damage!$F$1)+J$1,COLUMN(Damage!$F$1))))</f>
        <v>0.42782307517601631</v>
      </c>
      <c r="K2" s="49">
        <f ca="1">(INDIRECT("'Damage'!"&amp;ADDRESS(ROW(Damage!$F$1)+$A2,COLUMN(Damage!$F$1)))*($A$1+K$1)/($A$1+$A2))/(INDIRECT("'Damage'!"&amp;ADDRESS(ROW(Damage!$F$1)+K$1,COLUMN(Damage!$F$1))))</f>
        <v>0.42457927781627852</v>
      </c>
      <c r="L2" s="49">
        <f ca="1">(INDIRECT("'Damage'!"&amp;ADDRESS(ROW(Damage!$F$1)+$A2,COLUMN(Damage!$F$1)))*($A$1+L$1)/($A$1+$A2))/(INDIRECT("'Damage'!"&amp;ADDRESS(ROW(Damage!$F$1)+L$1,COLUMN(Damage!$F$1))))</f>
        <v>0.41404550411513041</v>
      </c>
      <c r="M2" s="49">
        <f ca="1">(INDIRECT("'Damage'!"&amp;ADDRESS(ROW(Damage!$F$1)+$A2,COLUMN(Damage!$F$1)))*($A$1+M$1)/($A$1+$A2))/(INDIRECT("'Damage'!"&amp;ADDRESS(ROW(Damage!$F$1)+M$1,COLUMN(Damage!$F$1))))</f>
        <v>0.41236432971545905</v>
      </c>
      <c r="N2" s="49">
        <f ca="1">(INDIRECT("'Damage'!"&amp;ADDRESS(ROW(Damage!$F$1)+$A2,COLUMN(Damage!$F$1)))*($A$1+N$1)/($A$1+$A2))/(INDIRECT("'Damage'!"&amp;ADDRESS(ROW(Damage!$F$1)+N$1,COLUMN(Damage!$F$1))))</f>
        <v>0.40445563336863899</v>
      </c>
      <c r="O2" s="49">
        <f ca="1">(INDIRECT("'Damage'!"&amp;ADDRESS(ROW(Damage!$F$1)+$A2,COLUMN(Damage!$F$1)))*($A$1+O$1)/($A$1+$A2))/(INDIRECT("'Damage'!"&amp;ADDRESS(ROW(Damage!$F$1)+O$1,COLUMN(Damage!$F$1))))</f>
        <v>0.39777059844518009</v>
      </c>
      <c r="P2" s="49">
        <f ca="1">(INDIRECT("'Damage'!"&amp;ADDRESS(ROW(Damage!$F$1)+$A2,COLUMN(Damage!$F$1)))*($A$1+P$1)/($A$1+$A2))/(INDIRECT("'Damage'!"&amp;ADDRESS(ROW(Damage!$F$1)+P$1,COLUMN(Damage!$F$1))))</f>
        <v>0.39739606562326313</v>
      </c>
      <c r="Q2" s="49">
        <f ca="1">(INDIRECT("'Damage'!"&amp;ADDRESS(ROW(Damage!$F$1)+$A2,COLUMN(Damage!$F$1)))*($A$1+Q$1)/($A$1+$A2))/(INDIRECT("'Damage'!"&amp;ADDRESS(ROW(Damage!$F$1)+Q$1,COLUMN(Damage!$F$1))))</f>
        <v>0.38953436271596853</v>
      </c>
      <c r="R2" s="49">
        <f ca="1">(INDIRECT("'Damage'!"&amp;ADDRESS(ROW(Damage!$F$1)+$A2,COLUMN(Damage!$F$1)))*($A$1+R$1)/($A$1+$A2))/(INDIRECT("'Damage'!"&amp;ADDRESS(ROW(Damage!$F$1)+R$1,COLUMN(Damage!$F$1))))</f>
        <v>0.38963320027114551</v>
      </c>
      <c r="S2" s="49">
        <f ca="1">(INDIRECT("'Damage'!"&amp;ADDRESS(ROW(Damage!$F$1)+$A2,COLUMN(Damage!$F$1)))*($A$1+S$1)/($A$1+$A2))/(INDIRECT("'Damage'!"&amp;ADDRESS(ROW(Damage!$F$1)+S$1,COLUMN(Damage!$F$1))))</f>
        <v>0.38317404893982482</v>
      </c>
      <c r="T2" s="49">
        <f ca="1">(INDIRECT("'Damage'!"&amp;ADDRESS(ROW(Damage!$F$1)+$A2,COLUMN(Damage!$F$1)))*($A$1+T$1)/($A$1+$A2))/(INDIRECT("'Damage'!"&amp;ADDRESS(ROW(Damage!$F$1)+T$1,COLUMN(Damage!$F$1))))</f>
        <v>0.38355658918059549</v>
      </c>
      <c r="U2" s="49">
        <f ca="1">(INDIRECT("'Damage'!"&amp;ADDRESS(ROW(Damage!$F$1)+$A2,COLUMN(Damage!$F$1)))*($A$1+U$1)/($A$1+$A2))/(INDIRECT("'Damage'!"&amp;ADDRESS(ROW(Damage!$F$1)+U$1,COLUMN(Damage!$F$1))))</f>
        <v>0.37811427979159334</v>
      </c>
      <c r="V2" s="49">
        <f ca="1">(INDIRECT("'Damage'!"&amp;ADDRESS(ROW(Damage!$F$1)+$A2,COLUMN(Damage!$F$1)))*($A$1+V$1)/($A$1+$A2))/(INDIRECT("'Damage'!"&amp;ADDRESS(ROW(Damage!$F$1)+V$1,COLUMN(Damage!$F$1))))</f>
        <v>0.37867062650946792</v>
      </c>
    </row>
    <row r="3" spans="1:22">
      <c r="A3" s="1">
        <v>3</v>
      </c>
      <c r="B3" s="49">
        <f ca="1">(INDIRECT("'Damage'!"&amp;ADDRESS(ROW(Damage!$F$1)+$A3,COLUMN(Damage!$F$1)))*($A$1+B$1)/($A$1+$A3))/(INDIRECT("'Damage'!"&amp;ADDRESS(ROW(Damage!$F$1)+B$1,COLUMN(Damage!$F$1))))</f>
        <v>1.1187643706887933</v>
      </c>
      <c r="C3" s="49">
        <f ca="1">(INDIRECT("'Damage'!"&amp;ADDRESS(ROW(Damage!$F$1)+$A3,COLUMN(Damage!$F$1)))*($A$1+C$1)/($A$1+$A3))/(INDIRECT("'Damage'!"&amp;ADDRESS(ROW(Damage!$F$1)+C$1,COLUMN(Damage!$F$1))))</f>
        <v>0.86106075668089588</v>
      </c>
      <c r="D3" s="49">
        <f ca="1">(INDIRECT("'Damage'!"&amp;ADDRESS(ROW(Damage!$F$1)+$A3,COLUMN(Damage!$F$1)))*($A$1+D$1)/($A$1+$A3))/(INDIRECT("'Damage'!"&amp;ADDRESS(ROW(Damage!$F$1)+D$1,COLUMN(Damage!$F$1))))</f>
        <v>0.72983451914621456</v>
      </c>
      <c r="E3" s="49">
        <f ca="1">(INDIRECT("'Damage'!"&amp;ADDRESS(ROW(Damage!$F$1)+$A3,COLUMN(Damage!$F$1)))*($A$1+E$1)/($A$1+$A3))/(INDIRECT("'Damage'!"&amp;ADDRESS(ROW(Damage!$F$1)+E$1,COLUMN(Damage!$F$1))))</f>
        <v>0.66169728252618798</v>
      </c>
      <c r="F3" s="49">
        <f ca="1">(INDIRECT("'Damage'!"&amp;ADDRESS(ROW(Damage!$F$1)+$A3,COLUMN(Damage!$F$1)))*($A$1+F$1)/($A$1+$A3))/(INDIRECT("'Damage'!"&amp;ADDRESS(ROW(Damage!$F$1)+F$1,COLUMN(Damage!$F$1))))</f>
        <v>0.63265306122448983</v>
      </c>
      <c r="G3" s="49">
        <f ca="1">(INDIRECT("'Damage'!"&amp;ADDRESS(ROW(Damage!$F$1)+$A3,COLUMN(Damage!$F$1)))*($A$1+G$1)/($A$1+$A3))/(INDIRECT("'Damage'!"&amp;ADDRESS(ROW(Damage!$F$1)+G$1,COLUMN(Damage!$F$1))))</f>
        <v>0.60189781021897792</v>
      </c>
      <c r="H3" s="49">
        <f ca="1">(INDIRECT("'Damage'!"&amp;ADDRESS(ROW(Damage!$F$1)+$A3,COLUMN(Damage!$F$1)))*($A$1+H$1)/($A$1+$A3))/(INDIRECT("'Damage'!"&amp;ADDRESS(ROW(Damage!$F$1)+H$1,COLUMN(Damage!$F$1))))</f>
        <v>0.57148149454891861</v>
      </c>
      <c r="I3" s="49">
        <f ca="1">(INDIRECT("'Damage'!"&amp;ADDRESS(ROW(Damage!$F$1)+$A3,COLUMN(Damage!$F$1)))*($A$1+I$1)/($A$1+$A3))/(INDIRECT("'Damage'!"&amp;ADDRESS(ROW(Damage!$F$1)+I$1,COLUMN(Damage!$F$1))))</f>
        <v>0.56329173460428927</v>
      </c>
      <c r="J3" s="49">
        <f ca="1">(INDIRECT("'Damage'!"&amp;ADDRESS(ROW(Damage!$F$1)+$A3,COLUMN(Damage!$F$1)))*($A$1+J$1)/($A$1+$A3))/(INDIRECT("'Damage'!"&amp;ADDRESS(ROW(Damage!$F$1)+J$1,COLUMN(Damage!$F$1))))</f>
        <v>0.54416712630998343</v>
      </c>
      <c r="K3" s="49">
        <f ca="1">(INDIRECT("'Damage'!"&amp;ADDRESS(ROW(Damage!$F$1)+$A3,COLUMN(Damage!$F$1)))*($A$1+K$1)/($A$1+$A3))/(INDIRECT("'Damage'!"&amp;ADDRESS(ROW(Damage!$F$1)+K$1,COLUMN(Damage!$F$1))))</f>
        <v>0.54004119671431083</v>
      </c>
      <c r="L3" s="49">
        <f ca="1">(INDIRECT("'Damage'!"&amp;ADDRESS(ROW(Damage!$F$1)+$A3,COLUMN(Damage!$F$1)))*($A$1+L$1)/($A$1+$A3))/(INDIRECT("'Damage'!"&amp;ADDRESS(ROW(Damage!$F$1)+L$1,COLUMN(Damage!$F$1))))</f>
        <v>0.52664282318853706</v>
      </c>
      <c r="M3" s="49">
        <f ca="1">(INDIRECT("'Damage'!"&amp;ADDRESS(ROW(Damage!$F$1)+$A3,COLUMN(Damage!$F$1)))*($A$1+M$1)/($A$1+$A3))/(INDIRECT("'Damage'!"&amp;ADDRESS(ROW(Damage!$F$1)+M$1,COLUMN(Damage!$F$1))))</f>
        <v>0.52450446297615549</v>
      </c>
      <c r="N3" s="49">
        <f ca="1">(INDIRECT("'Damage'!"&amp;ADDRESS(ROW(Damage!$F$1)+$A3,COLUMN(Damage!$F$1)))*($A$1+N$1)/($A$1+$A3))/(INDIRECT("'Damage'!"&amp;ADDRESS(ROW(Damage!$F$1)+N$1,COLUMN(Damage!$F$1))))</f>
        <v>0.51444504165546889</v>
      </c>
      <c r="O3" s="49">
        <f ca="1">(INDIRECT("'Damage'!"&amp;ADDRESS(ROW(Damage!$F$1)+$A3,COLUMN(Damage!$F$1)))*($A$1+O$1)/($A$1+$A3))/(INDIRECT("'Damage'!"&amp;ADDRESS(ROW(Damage!$F$1)+O$1,COLUMN(Damage!$F$1))))</f>
        <v>0.50594204952003108</v>
      </c>
      <c r="P3" s="49">
        <f ca="1">(INDIRECT("'Damage'!"&amp;ADDRESS(ROW(Damage!$F$1)+$A3,COLUMN(Damage!$F$1)))*($A$1+P$1)/($A$1+$A3))/(INDIRECT("'Damage'!"&amp;ADDRESS(ROW(Damage!$F$1)+P$1,COLUMN(Damage!$F$1))))</f>
        <v>0.50546566462815146</v>
      </c>
      <c r="Q3" s="49">
        <f ca="1">(INDIRECT("'Damage'!"&amp;ADDRESS(ROW(Damage!$F$1)+$A3,COLUMN(Damage!$F$1)))*($A$1+Q$1)/($A$1+$A3))/(INDIRECT("'Damage'!"&amp;ADDRESS(ROW(Damage!$F$1)+Q$1,COLUMN(Damage!$F$1))))</f>
        <v>0.49546601634549342</v>
      </c>
      <c r="R3" s="49">
        <f ca="1">(INDIRECT("'Damage'!"&amp;ADDRESS(ROW(Damage!$F$1)+$A3,COLUMN(Damage!$F$1)))*($A$1+R$1)/($A$1+$A3))/(INDIRECT("'Damage'!"&amp;ADDRESS(ROW(Damage!$F$1)+R$1,COLUMN(Damage!$F$1))))</f>
        <v>0.49559173221145053</v>
      </c>
      <c r="S3" s="49">
        <f ca="1">(INDIRECT("'Damage'!"&amp;ADDRESS(ROW(Damage!$F$1)+$A3,COLUMN(Damage!$F$1)))*($A$1+S$1)/($A$1+$A3))/(INDIRECT("'Damage'!"&amp;ADDRESS(ROW(Damage!$F$1)+S$1,COLUMN(Damage!$F$1))))</f>
        <v>0.48737605142583595</v>
      </c>
      <c r="T3" s="49">
        <f ca="1">(INDIRECT("'Damage'!"&amp;ADDRESS(ROW(Damage!$F$1)+$A3,COLUMN(Damage!$F$1)))*($A$1+T$1)/($A$1+$A3))/(INDIRECT("'Damage'!"&amp;ADDRESS(ROW(Damage!$F$1)+T$1,COLUMN(Damage!$F$1))))</f>
        <v>0.48786262130856717</v>
      </c>
      <c r="U3" s="49">
        <f ca="1">(INDIRECT("'Damage'!"&amp;ADDRESS(ROW(Damage!$F$1)+$A3,COLUMN(Damage!$F$1)))*($A$1+U$1)/($A$1+$A3))/(INDIRECT("'Damage'!"&amp;ADDRESS(ROW(Damage!$F$1)+U$1,COLUMN(Damage!$F$1))))</f>
        <v>0.48094030684601813</v>
      </c>
      <c r="V3" s="49">
        <f ca="1">(INDIRECT("'Damage'!"&amp;ADDRESS(ROW(Damage!$F$1)+$A3,COLUMN(Damage!$F$1)))*($A$1+V$1)/($A$1+$A3))/(INDIRECT("'Damage'!"&amp;ADDRESS(ROW(Damage!$F$1)+V$1,COLUMN(Damage!$F$1))))</f>
        <v>0.48164794888840506</v>
      </c>
    </row>
    <row r="4" spans="1:22">
      <c r="A4" s="1">
        <v>5</v>
      </c>
      <c r="B4" s="49">
        <f ca="1">(INDIRECT("'Damage'!"&amp;ADDRESS(ROW(Damage!$F$1)+$A4,COLUMN(Damage!$F$1)))*($A$1+B$1)/($A$1+$A4))/(INDIRECT("'Damage'!"&amp;ADDRESS(ROW(Damage!$F$1)+B$1,COLUMN(Damage!$F$1))))</f>
        <v>1.2992862141357593</v>
      </c>
      <c r="C4" s="49">
        <f ca="1">(INDIRECT("'Damage'!"&amp;ADDRESS(ROW(Damage!$F$1)+$A4,COLUMN(Damage!$F$1)))*($A$1+C$1)/($A$1+$A4))/(INDIRECT("'Damage'!"&amp;ADDRESS(ROW(Damage!$F$1)+C$1,COLUMN(Damage!$F$1))))</f>
        <v>1</v>
      </c>
      <c r="D4" s="49">
        <f ca="1">(INDIRECT("'Damage'!"&amp;ADDRESS(ROW(Damage!$F$1)+$A4,COLUMN(Damage!$F$1)))*($A$1+D$1)/($A$1+$A4))/(INDIRECT("'Damage'!"&amp;ADDRESS(ROW(Damage!$F$1)+D$1,COLUMN(Damage!$F$1))))</f>
        <v>0.84759932848349162</v>
      </c>
      <c r="E4" s="49">
        <f ca="1">(INDIRECT("'Damage'!"&amp;ADDRESS(ROW(Damage!$F$1)+$A4,COLUMN(Damage!$F$1)))*($A$1+E$1)/($A$1+$A4))/(INDIRECT("'Damage'!"&amp;ADDRESS(ROW(Damage!$F$1)+E$1,COLUMN(Damage!$F$1))))</f>
        <v>0.76846758767268852</v>
      </c>
      <c r="F4" s="49">
        <f ca="1">(INDIRECT("'Damage'!"&amp;ADDRESS(ROW(Damage!$F$1)+$A4,COLUMN(Damage!$F$1)))*($A$1+F$1)/($A$1+$A4))/(INDIRECT("'Damage'!"&amp;ADDRESS(ROW(Damage!$F$1)+F$1,COLUMN(Damage!$F$1))))</f>
        <v>0.73473684210526313</v>
      </c>
      <c r="G4" s="49">
        <f ca="1">(INDIRECT("'Damage'!"&amp;ADDRESS(ROW(Damage!$F$1)+$A4,COLUMN(Damage!$F$1)))*($A$1+G$1)/($A$1+$A4))/(INDIRECT("'Damage'!"&amp;ADDRESS(ROW(Damage!$F$1)+G$1,COLUMN(Damage!$F$1))))</f>
        <v>0.69901897810218971</v>
      </c>
      <c r="H4" s="49">
        <f ca="1">(INDIRECT("'Damage'!"&amp;ADDRESS(ROW(Damage!$F$1)+$A4,COLUMN(Damage!$F$1)))*($A$1+H$1)/($A$1+$A4))/(INDIRECT("'Damage'!"&amp;ADDRESS(ROW(Damage!$F$1)+H$1,COLUMN(Damage!$F$1))))</f>
        <v>0.66369473944183743</v>
      </c>
      <c r="I4" s="49">
        <f ca="1">(INDIRECT("'Damage'!"&amp;ADDRESS(ROW(Damage!$F$1)+$A4,COLUMN(Damage!$F$1)))*($A$1+I$1)/($A$1+$A4))/(INDIRECT("'Damage'!"&amp;ADDRESS(ROW(Damage!$F$1)+I$1,COLUMN(Damage!$F$1))))</f>
        <v>0.65418349429323952</v>
      </c>
      <c r="J4" s="49">
        <f ca="1">(INDIRECT("'Damage'!"&amp;ADDRESS(ROW(Damage!$F$1)+$A4,COLUMN(Damage!$F$1)))*($A$1+J$1)/($A$1+$A4))/(INDIRECT("'Damage'!"&amp;ADDRESS(ROW(Damage!$F$1)+J$1,COLUMN(Damage!$F$1))))</f>
        <v>0.63197297297297284</v>
      </c>
      <c r="K4" s="49">
        <f ca="1">(INDIRECT("'Damage'!"&amp;ADDRESS(ROW(Damage!$F$1)+$A4,COLUMN(Damage!$F$1)))*($A$1+K$1)/($A$1+$A4))/(INDIRECT("'Damage'!"&amp;ADDRESS(ROW(Damage!$F$1)+K$1,COLUMN(Damage!$F$1))))</f>
        <v>0.62718129066291528</v>
      </c>
      <c r="L4" s="49">
        <f ca="1">(INDIRECT("'Damage'!"&amp;ADDRESS(ROW(Damage!$F$1)+$A4,COLUMN(Damage!$F$1)))*($A$1+L$1)/($A$1+$A4))/(INDIRECT("'Damage'!"&amp;ADDRESS(ROW(Damage!$F$1)+L$1,COLUMN(Damage!$F$1))))</f>
        <v>0.61162097924259218</v>
      </c>
      <c r="M4" s="49">
        <f ca="1">(INDIRECT("'Damage'!"&amp;ADDRESS(ROW(Damage!$F$1)+$A4,COLUMN(Damage!$F$1)))*($A$1+M$1)/($A$1+$A4))/(INDIRECT("'Damage'!"&amp;ADDRESS(ROW(Damage!$F$1)+M$1,COLUMN(Damage!$F$1))))</f>
        <v>0.60913757700205329</v>
      </c>
      <c r="N4" s="49">
        <f ca="1">(INDIRECT("'Damage'!"&amp;ADDRESS(ROW(Damage!$F$1)+$A4,COLUMN(Damage!$F$1)))*($A$1+N$1)/($A$1+$A4))/(INDIRECT("'Damage'!"&amp;ADDRESS(ROW(Damage!$F$1)+N$1,COLUMN(Damage!$F$1))))</f>
        <v>0.59745498521902696</v>
      </c>
      <c r="O4" s="49">
        <f ca="1">(INDIRECT("'Damage'!"&amp;ADDRESS(ROW(Damage!$F$1)+$A4,COLUMN(Damage!$F$1)))*($A$1+O$1)/($A$1+$A4))/(INDIRECT("'Damage'!"&amp;ADDRESS(ROW(Damage!$F$1)+O$1,COLUMN(Damage!$F$1))))</f>
        <v>0.58757996528638712</v>
      </c>
      <c r="P4" s="49">
        <f ca="1">(INDIRECT("'Damage'!"&amp;ADDRESS(ROW(Damage!$F$1)+$A4,COLUMN(Damage!$F$1)))*($A$1+P$1)/($A$1+$A4))/(INDIRECT("'Damage'!"&amp;ADDRESS(ROW(Damage!$F$1)+P$1,COLUMN(Damage!$F$1))))</f>
        <v>0.58702671176950882</v>
      </c>
      <c r="Q4" s="49">
        <f ca="1">(INDIRECT("'Damage'!"&amp;ADDRESS(ROW(Damage!$F$1)+$A4,COLUMN(Damage!$F$1)))*($A$1+Q$1)/($A$1+$A4))/(INDIRECT("'Damage'!"&amp;ADDRESS(ROW(Damage!$F$1)+Q$1,COLUMN(Damage!$F$1))))</f>
        <v>0.57541353789638583</v>
      </c>
      <c r="R4" s="49">
        <f ca="1">(INDIRECT("'Damage'!"&amp;ADDRESS(ROW(Damage!$F$1)+$A4,COLUMN(Damage!$F$1)))*($A$1+R$1)/($A$1+$A4))/(INDIRECT("'Damage'!"&amp;ADDRESS(ROW(Damage!$F$1)+R$1,COLUMN(Damage!$F$1))))</f>
        <v>0.57555953905249679</v>
      </c>
      <c r="S4" s="49">
        <f ca="1">(INDIRECT("'Damage'!"&amp;ADDRESS(ROW(Damage!$F$1)+$A4,COLUMN(Damage!$F$1)))*($A$1+S$1)/($A$1+$A4))/(INDIRECT("'Damage'!"&amp;ADDRESS(ROW(Damage!$F$1)+S$1,COLUMN(Damage!$F$1))))</f>
        <v>0.5660181905217806</v>
      </c>
      <c r="T4" s="49">
        <f ca="1">(INDIRECT("'Damage'!"&amp;ADDRESS(ROW(Damage!$F$1)+$A4,COLUMN(Damage!$F$1)))*($A$1+T$1)/($A$1+$A4))/(INDIRECT("'Damage'!"&amp;ADDRESS(ROW(Damage!$F$1)+T$1,COLUMN(Damage!$F$1))))</f>
        <v>0.56658327246165063</v>
      </c>
      <c r="U4" s="49">
        <f ca="1">(INDIRECT("'Damage'!"&amp;ADDRESS(ROW(Damage!$F$1)+$A4,COLUMN(Damage!$F$1)))*($A$1+U$1)/($A$1+$A4))/(INDIRECT("'Damage'!"&amp;ADDRESS(ROW(Damage!$F$1)+U$1,COLUMN(Damage!$F$1))))</f>
        <v>0.55854398556018714</v>
      </c>
      <c r="V4" s="49">
        <f ca="1">(INDIRECT("'Damage'!"&amp;ADDRESS(ROW(Damage!$F$1)+$A4,COLUMN(Damage!$F$1)))*($A$1+V$1)/($A$1+$A4))/(INDIRECT("'Damage'!"&amp;ADDRESS(ROW(Damage!$F$1)+V$1,COLUMN(Damage!$F$1))))</f>
        <v>0.55936581147304687</v>
      </c>
    </row>
    <row r="5" spans="1:22">
      <c r="A5" s="1">
        <v>7</v>
      </c>
      <c r="B5" s="49">
        <f ca="1">(INDIRECT("'Damage'!"&amp;ADDRESS(ROW(Damage!$F$1)+$A5,COLUMN(Damage!$F$1)))*($A$1+B$1)/($A$1+$A5))/(INDIRECT("'Damage'!"&amp;ADDRESS(ROW(Damage!$F$1)+B$1,COLUMN(Damage!$F$1))))</f>
        <v>1.4836514562872518</v>
      </c>
      <c r="C5" s="49">
        <f ca="1">(INDIRECT("'Damage'!"&amp;ADDRESS(ROW(Damage!$F$1)+$A5,COLUMN(Damage!$F$1)))*($A$1+C$1)/($A$1+$A5))/(INDIRECT("'Damage'!"&amp;ADDRESS(ROW(Damage!$F$1)+C$1,COLUMN(Damage!$F$1))))</f>
        <v>1.141897328044942</v>
      </c>
      <c r="D5" s="49">
        <f ca="1">(INDIRECT("'Damage'!"&amp;ADDRESS(ROW(Damage!$F$1)+$A5,COLUMN(Damage!$F$1)))*($A$1+D$1)/($A$1+$A5))/(INDIRECT("'Damage'!"&amp;ADDRESS(ROW(Damage!$F$1)+D$1,COLUMN(Damage!$F$1))))</f>
        <v>0.96787140844798625</v>
      </c>
      <c r="E5" s="49">
        <f ca="1">(INDIRECT("'Damage'!"&amp;ADDRESS(ROW(Damage!$F$1)+$A5,COLUMN(Damage!$F$1)))*($A$1+E$1)/($A$1+$A5))/(INDIRECT("'Damage'!"&amp;ADDRESS(ROW(Damage!$F$1)+E$1,COLUMN(Damage!$F$1))))</f>
        <v>0.87751108505258535</v>
      </c>
      <c r="F5" s="49">
        <f ca="1">(INDIRECT("'Damage'!"&amp;ADDRESS(ROW(Damage!$F$1)+$A5,COLUMN(Damage!$F$1)))*($A$1+F$1)/($A$1+$A5))/(INDIRECT("'Damage'!"&amp;ADDRESS(ROW(Damage!$F$1)+F$1,COLUMN(Damage!$F$1))))</f>
        <v>0.83899403681617857</v>
      </c>
      <c r="G5" s="49">
        <f ca="1">(INDIRECT("'Damage'!"&amp;ADDRESS(ROW(Damage!$F$1)+$A5,COLUMN(Damage!$F$1)))*($A$1+G$1)/($A$1+$A5))/(INDIRECT("'Damage'!"&amp;ADDRESS(ROW(Damage!$F$1)+G$1,COLUMN(Damage!$F$1))))</f>
        <v>0.79820790334759628</v>
      </c>
      <c r="H5" s="49">
        <f ca="1">(INDIRECT("'Damage'!"&amp;ADDRESS(ROW(Damage!$F$1)+$A5,COLUMN(Damage!$F$1)))*($A$1+H$1)/($A$1+$A5))/(INDIRECT("'Damage'!"&amp;ADDRESS(ROW(Damage!$F$1)+H$1,COLUMN(Damage!$F$1))))</f>
        <v>0.75787124960611807</v>
      </c>
      <c r="I5" s="49">
        <f ca="1">(INDIRECT("'Damage'!"&amp;ADDRESS(ROW(Damage!$F$1)+$A5,COLUMN(Damage!$F$1)))*($A$1+I$1)/($A$1+$A5))/(INDIRECT("'Damage'!"&amp;ADDRESS(ROW(Damage!$F$1)+I$1,COLUMN(Damage!$F$1))))</f>
        <v>0.74701038418455368</v>
      </c>
      <c r="J5" s="49">
        <f ca="1">(INDIRECT("'Damage'!"&amp;ADDRESS(ROW(Damage!$F$1)+$A5,COLUMN(Damage!$F$1)))*($A$1+J$1)/($A$1+$A5))/(INDIRECT("'Damage'!"&amp;ADDRESS(ROW(Damage!$F$1)+J$1,COLUMN(Damage!$F$1))))</f>
        <v>0.72164824923445614</v>
      </c>
      <c r="K5" s="49">
        <f ca="1">(INDIRECT("'Damage'!"&amp;ADDRESS(ROW(Damage!$F$1)+$A5,COLUMN(Damage!$F$1)))*($A$1+K$1)/($A$1+$A5))/(INDIRECT("'Damage'!"&amp;ADDRESS(ROW(Damage!$F$1)+K$1,COLUMN(Damage!$F$1))))</f>
        <v>0.71617664000776116</v>
      </c>
      <c r="L5" s="49">
        <f ca="1">(INDIRECT("'Damage'!"&amp;ADDRESS(ROW(Damage!$F$1)+$A5,COLUMN(Damage!$F$1)))*($A$1+L$1)/($A$1+$A5))/(INDIRECT("'Damage'!"&amp;ADDRESS(ROW(Damage!$F$1)+L$1,COLUMN(Damage!$F$1))))</f>
        <v>0.6984083619733471</v>
      </c>
      <c r="M5" s="49">
        <f ca="1">(INDIRECT("'Damage'!"&amp;ADDRESS(ROW(Damage!$F$1)+$A5,COLUMN(Damage!$F$1)))*($A$1+M$1)/($A$1+$A5))/(INDIRECT("'Damage'!"&amp;ADDRESS(ROW(Damage!$F$1)+M$1,COLUMN(Damage!$F$1))))</f>
        <v>0.69557257159041486</v>
      </c>
      <c r="N5" s="49">
        <f ca="1">(INDIRECT("'Damage'!"&amp;ADDRESS(ROW(Damage!$F$1)+$A5,COLUMN(Damage!$F$1)))*($A$1+N$1)/($A$1+$A5))/(INDIRECT("'Damage'!"&amp;ADDRESS(ROW(Damage!$F$1)+N$1,COLUMN(Damage!$F$1))))</f>
        <v>0.68223225124873732</v>
      </c>
      <c r="O5" s="49">
        <f ca="1">(INDIRECT("'Damage'!"&amp;ADDRESS(ROW(Damage!$F$1)+$A5,COLUMN(Damage!$F$1)))*($A$1+O$1)/($A$1+$A5))/(INDIRECT("'Damage'!"&amp;ADDRESS(ROW(Damage!$F$1)+O$1,COLUMN(Damage!$F$1))))</f>
        <v>0.67095599237326542</v>
      </c>
      <c r="P5" s="49">
        <f ca="1">(INDIRECT("'Damage'!"&amp;ADDRESS(ROW(Damage!$F$1)+$A5,COLUMN(Damage!$F$1)))*($A$1+P$1)/($A$1+$A5))/(INDIRECT("'Damage'!"&amp;ADDRESS(ROW(Damage!$F$1)+P$1,COLUMN(Damage!$F$1))))</f>
        <v>0.67032423366061045</v>
      </c>
      <c r="Q5" s="49">
        <f ca="1">(INDIRECT("'Damage'!"&amp;ADDRESS(ROW(Damage!$F$1)+$A5,COLUMN(Damage!$F$1)))*($A$1+Q$1)/($A$1+$A5))/(INDIRECT("'Damage'!"&amp;ADDRESS(ROW(Damage!$F$1)+Q$1,COLUMN(Damage!$F$1))))</f>
        <v>0.65706318144477005</v>
      </c>
      <c r="R5" s="49">
        <f ca="1">(INDIRECT("'Damage'!"&amp;ADDRESS(ROW(Damage!$F$1)+$A5,COLUMN(Damage!$F$1)))*($A$1+R$1)/($A$1+$A5))/(INDIRECT("'Damage'!"&amp;ADDRESS(ROW(Damage!$F$1)+R$1,COLUMN(Damage!$F$1))))</f>
        <v>0.65722989977482449</v>
      </c>
      <c r="S5" s="49">
        <f ca="1">(INDIRECT("'Damage'!"&amp;ADDRESS(ROW(Damage!$F$1)+$A5,COLUMN(Damage!$F$1)))*($A$1+S$1)/($A$1+$A5))/(INDIRECT("'Damage'!"&amp;ADDRESS(ROW(Damage!$F$1)+S$1,COLUMN(Damage!$F$1))))</f>
        <v>0.64633465938165446</v>
      </c>
      <c r="T5" s="49">
        <f ca="1">(INDIRECT("'Damage'!"&amp;ADDRESS(ROW(Damage!$F$1)+$A5,COLUMN(Damage!$F$1)))*($A$1+T$1)/($A$1+$A5))/(INDIRECT("'Damage'!"&amp;ADDRESS(ROW(Damage!$F$1)+T$1,COLUMN(Damage!$F$1))))</f>
        <v>0.64697992493891843</v>
      </c>
      <c r="U5" s="49">
        <f ca="1">(INDIRECT("'Damage'!"&amp;ADDRESS(ROW(Damage!$F$1)+$A5,COLUMN(Damage!$F$1)))*($A$1+U$1)/($A$1+$A5))/(INDIRECT("'Damage'!"&amp;ADDRESS(ROW(Damage!$F$1)+U$1,COLUMN(Damage!$F$1))))</f>
        <v>0.63779988470675042</v>
      </c>
      <c r="V5" s="49">
        <f ca="1">(INDIRECT("'Damage'!"&amp;ADDRESS(ROW(Damage!$F$1)+$A5,COLUMN(Damage!$F$1)))*($A$1+V$1)/($A$1+$A5))/(INDIRECT("'Damage'!"&amp;ADDRESS(ROW(Damage!$F$1)+V$1,COLUMN(Damage!$F$1))))</f>
        <v>0.63873832552076304</v>
      </c>
    </row>
    <row r="6" spans="1:22">
      <c r="A6" s="1">
        <v>9</v>
      </c>
      <c r="B6" s="49">
        <f ca="1">(INDIRECT("'Damage'!"&amp;ADDRESS(ROW(Damage!$F$1)+$A6,COLUMN(Damage!$F$1)))*($A$1+B$1)/($A$1+$A6))/(INDIRECT("'Damage'!"&amp;ADDRESS(ROW(Damage!$F$1)+B$1,COLUMN(Damage!$F$1))))</f>
        <v>1.5761816909472612</v>
      </c>
      <c r="C6" s="49">
        <f ca="1">(INDIRECT("'Damage'!"&amp;ADDRESS(ROW(Damage!$F$1)+$A6,COLUMN(Damage!$F$1)))*($A$1+C$1)/($A$1+$A6))/(INDIRECT("'Damage'!"&amp;ADDRESS(ROW(Damage!$F$1)+C$1,COLUMN(Damage!$F$1))))</f>
        <v>1.2131135340304398</v>
      </c>
      <c r="D6" s="49">
        <f ca="1">(INDIRECT("'Damage'!"&amp;ADDRESS(ROW(Damage!$F$1)+$A6,COLUMN(Damage!$F$1)))*($A$1+D$1)/($A$1+$A6))/(INDIRECT("'Damage'!"&amp;ADDRESS(ROW(Damage!$F$1)+D$1,COLUMN(Damage!$F$1))))</f>
        <v>1.0282342168184362</v>
      </c>
      <c r="E6" s="49">
        <f ca="1">(INDIRECT("'Damage'!"&amp;ADDRESS(ROW(Damage!$F$1)+$A6,COLUMN(Damage!$F$1)))*($A$1+E$1)/($A$1+$A6))/(INDIRECT("'Damage'!"&amp;ADDRESS(ROW(Damage!$F$1)+E$1,COLUMN(Damage!$F$1))))</f>
        <v>0.93223843106946191</v>
      </c>
      <c r="F6" s="49">
        <f ca="1">(INDIRECT("'Damage'!"&amp;ADDRESS(ROW(Damage!$F$1)+$A6,COLUMN(Damage!$F$1)))*($A$1+F$1)/($A$1+$A6))/(INDIRECT("'Damage'!"&amp;ADDRESS(ROW(Damage!$F$1)+F$1,COLUMN(Damage!$F$1))))</f>
        <v>0.89131920710868096</v>
      </c>
      <c r="G6" s="49">
        <f ca="1">(INDIRECT("'Damage'!"&amp;ADDRESS(ROW(Damage!$F$1)+$A6,COLUMN(Damage!$F$1)))*($A$1+G$1)/($A$1+$A6))/(INDIRECT("'Damage'!"&amp;ADDRESS(ROW(Damage!$F$1)+G$1,COLUMN(Damage!$F$1))))</f>
        <v>0.84798938287989378</v>
      </c>
      <c r="H6" s="49">
        <f ca="1">(INDIRECT("'Damage'!"&amp;ADDRESS(ROW(Damage!$F$1)+$A6,COLUMN(Damage!$F$1)))*($A$1+H$1)/($A$1+$A6))/(INDIRECT("'Damage'!"&amp;ADDRESS(ROW(Damage!$F$1)+H$1,COLUMN(Damage!$F$1))))</f>
        <v>0.80513707088169917</v>
      </c>
      <c r="I6" s="49">
        <f ca="1">(INDIRECT("'Damage'!"&amp;ADDRESS(ROW(Damage!$F$1)+$A6,COLUMN(Damage!$F$1)))*($A$1+I$1)/($A$1+$A6))/(INDIRECT("'Damage'!"&amp;ADDRESS(ROW(Damage!$F$1)+I$1,COLUMN(Damage!$F$1))))</f>
        <v>0.79359885066645364</v>
      </c>
      <c r="J6" s="49">
        <f ca="1">(INDIRECT("'Damage'!"&amp;ADDRESS(ROW(Damage!$F$1)+$A6,COLUMN(Damage!$F$1)))*($A$1+J$1)/($A$1+$A6))/(INDIRECT("'Damage'!"&amp;ADDRESS(ROW(Damage!$F$1)+J$1,COLUMN(Damage!$F$1))))</f>
        <v>0.76665496665496657</v>
      </c>
      <c r="K6" s="49">
        <f ca="1">(INDIRECT("'Damage'!"&amp;ADDRESS(ROW(Damage!$F$1)+$A6,COLUMN(Damage!$F$1)))*($A$1+K$1)/($A$1+$A6))/(INDIRECT("'Damage'!"&amp;ADDRESS(ROW(Damage!$F$1)+K$1,COLUMN(Damage!$F$1))))</f>
        <v>0.76084211199386154</v>
      </c>
      <c r="L6" s="49">
        <f ca="1">(INDIRECT("'Damage'!"&amp;ADDRESS(ROW(Damage!$F$1)+$A6,COLUMN(Damage!$F$1)))*($A$1+L$1)/($A$1+$A6))/(INDIRECT("'Damage'!"&amp;ADDRESS(ROW(Damage!$F$1)+L$1,COLUMN(Damage!$F$1))))</f>
        <v>0.74196568761613924</v>
      </c>
      <c r="M6" s="49">
        <f ca="1">(INDIRECT("'Damage'!"&amp;ADDRESS(ROW(Damage!$F$1)+$A6,COLUMN(Damage!$F$1)))*($A$1+M$1)/($A$1+$A6))/(INDIRECT("'Damage'!"&amp;ADDRESS(ROW(Damage!$F$1)+M$1,COLUMN(Damage!$F$1))))</f>
        <v>0.73895303874769991</v>
      </c>
      <c r="N6" s="49">
        <f ca="1">(INDIRECT("'Damage'!"&amp;ADDRESS(ROW(Damage!$F$1)+$A6,COLUMN(Damage!$F$1)))*($A$1+N$1)/($A$1+$A6))/(INDIRECT("'Damage'!"&amp;ADDRESS(ROW(Damage!$F$1)+N$1,COLUMN(Damage!$F$1))))</f>
        <v>0.724780728543158</v>
      </c>
      <c r="O6" s="49">
        <f ca="1">(INDIRECT("'Damage'!"&amp;ADDRESS(ROW(Damage!$F$1)+$A6,COLUMN(Damage!$F$1)))*($A$1+O$1)/($A$1+$A6))/(INDIRECT("'Damage'!"&amp;ADDRESS(ROW(Damage!$F$1)+O$1,COLUMN(Damage!$F$1))))</f>
        <v>0.71280120821405235</v>
      </c>
      <c r="P6" s="49">
        <f ca="1">(INDIRECT("'Damage'!"&amp;ADDRESS(ROW(Damage!$F$1)+$A6,COLUMN(Damage!$F$1)))*($A$1+P$1)/($A$1+$A6))/(INDIRECT("'Damage'!"&amp;ADDRESS(ROW(Damage!$F$1)+P$1,COLUMN(Damage!$F$1))))</f>
        <v>0.71213004888497711</v>
      </c>
      <c r="Q6" s="49">
        <f ca="1">(INDIRECT("'Damage'!"&amp;ADDRESS(ROW(Damage!$F$1)+$A6,COLUMN(Damage!$F$1)))*($A$1+Q$1)/($A$1+$A6))/(INDIRECT("'Damage'!"&amp;ADDRESS(ROW(Damage!$F$1)+Q$1,COLUMN(Damage!$F$1))))</f>
        <v>0.69804195048644302</v>
      </c>
      <c r="R6" s="49">
        <f ca="1">(INDIRECT("'Damage'!"&amp;ADDRESS(ROW(Damage!$F$1)+$A6,COLUMN(Damage!$F$1)))*($A$1+R$1)/($A$1+$A6))/(INDIRECT("'Damage'!"&amp;ADDRESS(ROW(Damage!$F$1)+R$1,COLUMN(Damage!$F$1))))</f>
        <v>0.69821906646490506</v>
      </c>
      <c r="S6" s="49">
        <f ca="1">(INDIRECT("'Damage'!"&amp;ADDRESS(ROW(Damage!$F$1)+$A6,COLUMN(Damage!$F$1)))*($A$1+S$1)/($A$1+$A6))/(INDIRECT("'Damage'!"&amp;ADDRESS(ROW(Damage!$F$1)+S$1,COLUMN(Damage!$F$1))))</f>
        <v>0.68664432742939208</v>
      </c>
      <c r="T6" s="49">
        <f ca="1">(INDIRECT("'Damage'!"&amp;ADDRESS(ROW(Damage!$F$1)+$A6,COLUMN(Damage!$F$1)))*($A$1+T$1)/($A$1+$A6))/(INDIRECT("'Damage'!"&amp;ADDRESS(ROW(Damage!$F$1)+T$1,COLUMN(Damage!$F$1))))</f>
        <v>0.68732983597848452</v>
      </c>
      <c r="U6" s="49">
        <f ca="1">(INDIRECT("'Damage'!"&amp;ADDRESS(ROW(Damage!$F$1)+$A6,COLUMN(Damage!$F$1)))*($A$1+U$1)/($A$1+$A6))/(INDIRECT("'Damage'!"&amp;ADDRESS(ROW(Damage!$F$1)+U$1,COLUMN(Damage!$F$1))))</f>
        <v>0.67757726823436548</v>
      </c>
      <c r="V6" s="49">
        <f ca="1">(INDIRECT("'Damage'!"&amp;ADDRESS(ROW(Damage!$F$1)+$A6,COLUMN(Damage!$F$1)))*($A$1+V$1)/($A$1+$A6))/(INDIRECT("'Damage'!"&amp;ADDRESS(ROW(Damage!$F$1)+V$1,COLUMN(Damage!$F$1))))</f>
        <v>0.67857423637187253</v>
      </c>
    </row>
    <row r="7" spans="1:22">
      <c r="A7" s="1">
        <v>11</v>
      </c>
      <c r="B7" s="49">
        <f ca="1">(INDIRECT("'Damage'!"&amp;ADDRESS(ROW(Damage!$F$1)+$A7,COLUMN(Damage!$F$1)))*($A$1+B$1)/($A$1+$A7))/(INDIRECT("'Damage'!"&amp;ADDRESS(ROW(Damage!$F$1)+B$1,COLUMN(Damage!$F$1))))</f>
        <v>1.6907495318971877</v>
      </c>
      <c r="C7" s="49">
        <f ca="1">(INDIRECT("'Damage'!"&amp;ADDRESS(ROW(Damage!$F$1)+$A7,COLUMN(Damage!$F$1)))*($A$1+C$1)/($A$1+$A7))/(INDIRECT("'Damage'!"&amp;ADDRESS(ROW(Damage!$F$1)+C$1,COLUMN(Damage!$F$1))))</f>
        <v>1.3012910577380494</v>
      </c>
      <c r="D7" s="49">
        <f ca="1">(INDIRECT("'Damage'!"&amp;ADDRESS(ROW(Damage!$F$1)+$A7,COLUMN(Damage!$F$1)))*($A$1+D$1)/($A$1+$A7))/(INDIRECT("'Damage'!"&amp;ADDRESS(ROW(Damage!$F$1)+D$1,COLUMN(Damage!$F$1))))</f>
        <v>1.102973426700343</v>
      </c>
      <c r="E7" s="49">
        <f ca="1">(INDIRECT("'Damage'!"&amp;ADDRESS(ROW(Damage!$F$1)+$A7,COLUMN(Damage!$F$1)))*($A$1+E$1)/($A$1+$A7))/(INDIRECT("'Damage'!"&amp;ADDRESS(ROW(Damage!$F$1)+E$1,COLUMN(Damage!$F$1))))</f>
        <v>1</v>
      </c>
      <c r="F7" s="49">
        <f ca="1">(INDIRECT("'Damage'!"&amp;ADDRESS(ROW(Damage!$F$1)+$A7,COLUMN(Damage!$F$1)))*($A$1+F$1)/($A$1+$A7))/(INDIRECT("'Damage'!"&amp;ADDRESS(ROW(Damage!$F$1)+F$1,COLUMN(Damage!$F$1))))</f>
        <v>0.95610648242227214</v>
      </c>
      <c r="G7" s="49">
        <f ca="1">(INDIRECT("'Damage'!"&amp;ADDRESS(ROW(Damage!$F$1)+$A7,COLUMN(Damage!$F$1)))*($A$1+G$1)/($A$1+$A7))/(INDIRECT("'Damage'!"&amp;ADDRESS(ROW(Damage!$F$1)+G$1,COLUMN(Damage!$F$1))))</f>
        <v>0.9096271453935687</v>
      </c>
      <c r="H7" s="49">
        <f ca="1">(INDIRECT("'Damage'!"&amp;ADDRESS(ROW(Damage!$F$1)+$A7,COLUMN(Damage!$F$1)))*($A$1+H$1)/($A$1+$A7))/(INDIRECT("'Damage'!"&amp;ADDRESS(ROW(Damage!$F$1)+H$1,COLUMN(Damage!$F$1))))</f>
        <v>0.86366002950344767</v>
      </c>
      <c r="I7" s="49">
        <f ca="1">(INDIRECT("'Damage'!"&amp;ADDRESS(ROW(Damage!$F$1)+$A7,COLUMN(Damage!$F$1)))*($A$1+I$1)/($A$1+$A7))/(INDIRECT("'Damage'!"&amp;ADDRESS(ROW(Damage!$F$1)+I$1,COLUMN(Damage!$F$1))))</f>
        <v>0.85128313124362276</v>
      </c>
      <c r="J7" s="49">
        <f ca="1">(INDIRECT("'Damage'!"&amp;ADDRESS(ROW(Damage!$F$1)+$A7,COLUMN(Damage!$F$1)))*($A$1+J$1)/($A$1+$A7))/(INDIRECT("'Damage'!"&amp;ADDRESS(ROW(Damage!$F$1)+J$1,COLUMN(Damage!$F$1))))</f>
        <v>0.82238077846185942</v>
      </c>
      <c r="K7" s="49">
        <f ca="1">(INDIRECT("'Damage'!"&amp;ADDRESS(ROW(Damage!$F$1)+$A7,COLUMN(Damage!$F$1)))*($A$1+K$1)/($A$1+$A7))/(INDIRECT("'Damage'!"&amp;ADDRESS(ROW(Damage!$F$1)+K$1,COLUMN(Damage!$F$1))))</f>
        <v>0.8161454051202599</v>
      </c>
      <c r="L7" s="49">
        <f ca="1">(INDIRECT("'Damage'!"&amp;ADDRESS(ROW(Damage!$F$1)+$A7,COLUMN(Damage!$F$1)))*($A$1+L$1)/($A$1+$A7))/(INDIRECT("'Damage'!"&amp;ADDRESS(ROW(Damage!$F$1)+L$1,COLUMN(Damage!$F$1))))</f>
        <v>0.79589691101337434</v>
      </c>
      <c r="M7" s="49">
        <f ca="1">(INDIRECT("'Damage'!"&amp;ADDRESS(ROW(Damage!$F$1)+$A7,COLUMN(Damage!$F$1)))*($A$1+M$1)/($A$1+$A7))/(INDIRECT("'Damage'!"&amp;ADDRESS(ROW(Damage!$F$1)+M$1,COLUMN(Damage!$F$1))))</f>
        <v>0.79266528188499441</v>
      </c>
      <c r="N7" s="49">
        <f ca="1">(INDIRECT("'Damage'!"&amp;ADDRESS(ROW(Damage!$F$1)+$A7,COLUMN(Damage!$F$1)))*($A$1+N$1)/($A$1+$A7))/(INDIRECT("'Damage'!"&amp;ADDRESS(ROW(Damage!$F$1)+N$1,COLUMN(Damage!$F$1))))</f>
        <v>0.77746282966653824</v>
      </c>
      <c r="O7" s="49">
        <f ca="1">(INDIRECT("'Damage'!"&amp;ADDRESS(ROW(Damage!$F$1)+$A7,COLUMN(Damage!$F$1)))*($A$1+O$1)/($A$1+$A7))/(INDIRECT("'Damage'!"&amp;ADDRESS(ROW(Damage!$F$1)+O$1,COLUMN(Damage!$F$1))))</f>
        <v>0.76461255453320909</v>
      </c>
      <c r="P7" s="49">
        <f ca="1">(INDIRECT("'Damage'!"&amp;ADDRESS(ROW(Damage!$F$1)+$A7,COLUMN(Damage!$F$1)))*($A$1+P$1)/($A$1+$A7))/(INDIRECT("'Damage'!"&amp;ADDRESS(ROW(Damage!$F$1)+P$1,COLUMN(Damage!$F$1))))</f>
        <v>0.76389261067903302</v>
      </c>
      <c r="Q7" s="49">
        <f ca="1">(INDIRECT("'Damage'!"&amp;ADDRESS(ROW(Damage!$F$1)+$A7,COLUMN(Damage!$F$1)))*($A$1+Q$1)/($A$1+$A7))/(INDIRECT("'Damage'!"&amp;ADDRESS(ROW(Damage!$F$1)+Q$1,COLUMN(Damage!$F$1))))</f>
        <v>0.74878049136598102</v>
      </c>
      <c r="R7" s="49">
        <f ca="1">(INDIRECT("'Damage'!"&amp;ADDRESS(ROW(Damage!$F$1)+$A7,COLUMN(Damage!$F$1)))*($A$1+R$1)/($A$1+$A7))/(INDIRECT("'Damage'!"&amp;ADDRESS(ROW(Damage!$F$1)+R$1,COLUMN(Damage!$F$1))))</f>
        <v>0.74897048136484756</v>
      </c>
      <c r="S7" s="49">
        <f ca="1">(INDIRECT("'Damage'!"&amp;ADDRESS(ROW(Damage!$F$1)+$A7,COLUMN(Damage!$F$1)))*($A$1+S$1)/($A$1+$A7))/(INDIRECT("'Damage'!"&amp;ADDRESS(ROW(Damage!$F$1)+S$1,COLUMN(Damage!$F$1))))</f>
        <v>0.73655440984306464</v>
      </c>
      <c r="T7" s="49">
        <f ca="1">(INDIRECT("'Damage'!"&amp;ADDRESS(ROW(Damage!$F$1)+$A7,COLUMN(Damage!$F$1)))*($A$1+T$1)/($A$1+$A7))/(INDIRECT("'Damage'!"&amp;ADDRESS(ROW(Damage!$F$1)+T$1,COLUMN(Damage!$F$1))))</f>
        <v>0.73728974591830676</v>
      </c>
      <c r="U7" s="49">
        <f ca="1">(INDIRECT("'Damage'!"&amp;ADDRESS(ROW(Damage!$F$1)+$A7,COLUMN(Damage!$F$1)))*($A$1+U$1)/($A$1+$A7))/(INDIRECT("'Damage'!"&amp;ADDRESS(ROW(Damage!$F$1)+U$1,COLUMN(Damage!$F$1))))</f>
        <v>0.72682829376284164</v>
      </c>
      <c r="V7" s="49">
        <f ca="1">(INDIRECT("'Damage'!"&amp;ADDRESS(ROW(Damage!$F$1)+$A7,COLUMN(Damage!$F$1)))*($A$1+V$1)/($A$1+$A7))/(INDIRECT("'Damage'!"&amp;ADDRESS(ROW(Damage!$F$1)+V$1,COLUMN(Damage!$F$1))))</f>
        <v>0.72789772847426337</v>
      </c>
    </row>
    <row r="8" spans="1:22">
      <c r="A8" s="1">
        <v>13</v>
      </c>
      <c r="B8" s="49">
        <f ca="1">(INDIRECT("'Damage'!"&amp;ADDRESS(ROW(Damage!$F$1)+$A8,COLUMN(Damage!$F$1)))*($A$1+B$1)/($A$1+$A8))/(INDIRECT("'Damage'!"&amp;ADDRESS(ROW(Damage!$F$1)+B$1,COLUMN(Damage!$F$1))))</f>
        <v>1.7450203963201287</v>
      </c>
      <c r="C8" s="49">
        <f ca="1">(INDIRECT("'Damage'!"&amp;ADDRESS(ROW(Damage!$F$1)+$A8,COLUMN(Damage!$F$1)))*($A$1+C$1)/($A$1+$A8))/(INDIRECT("'Damage'!"&amp;ADDRESS(ROW(Damage!$F$1)+C$1,COLUMN(Damage!$F$1))))</f>
        <v>1.3430608108782687</v>
      </c>
      <c r="D8" s="49">
        <f ca="1">(INDIRECT("'Damage'!"&amp;ADDRESS(ROW(Damage!$F$1)+$A8,COLUMN(Damage!$F$1)))*($A$1+D$1)/($A$1+$A8))/(INDIRECT("'Damage'!"&amp;ADDRESS(ROW(Damage!$F$1)+D$1,COLUMN(Damage!$F$1))))</f>
        <v>1.1383774414129144</v>
      </c>
      <c r="E8" s="49">
        <f ca="1">(INDIRECT("'Damage'!"&amp;ADDRESS(ROW(Damage!$F$1)+$A8,COLUMN(Damage!$F$1)))*($A$1+E$1)/($A$1+$A8))/(INDIRECT("'Damage'!"&amp;ADDRESS(ROW(Damage!$F$1)+E$1,COLUMN(Damage!$F$1))))</f>
        <v>1.0320987014333483</v>
      </c>
      <c r="F8" s="49">
        <f ca="1">(INDIRECT("'Damage'!"&amp;ADDRESS(ROW(Damage!$F$1)+$A8,COLUMN(Damage!$F$1)))*($A$1+F$1)/($A$1+$A8))/(INDIRECT("'Damage'!"&amp;ADDRESS(ROW(Damage!$F$1)+F$1,COLUMN(Damage!$F$1))))</f>
        <v>0.98679625894003331</v>
      </c>
      <c r="G8" s="49">
        <f ca="1">(INDIRECT("'Damage'!"&amp;ADDRESS(ROW(Damage!$F$1)+$A8,COLUMN(Damage!$F$1)))*($A$1+G$1)/($A$1+$A8))/(INDIRECT("'Damage'!"&amp;ADDRESS(ROW(Damage!$F$1)+G$1,COLUMN(Damage!$F$1))))</f>
        <v>0.9388249955492256</v>
      </c>
      <c r="H8" s="49">
        <f ca="1">(INDIRECT("'Damage'!"&amp;ADDRESS(ROW(Damage!$F$1)+$A8,COLUMN(Damage!$F$1)))*($A$1+H$1)/($A$1+$A8))/(INDIRECT("'Damage'!"&amp;ADDRESS(ROW(Damage!$F$1)+H$1,COLUMN(Damage!$F$1))))</f>
        <v>0.89138239493039539</v>
      </c>
      <c r="I8" s="49">
        <f ca="1">(INDIRECT("'Damage'!"&amp;ADDRESS(ROW(Damage!$F$1)+$A8,COLUMN(Damage!$F$1)))*($A$1+I$1)/($A$1+$A8))/(INDIRECT("'Damage'!"&amp;ADDRESS(ROW(Damage!$F$1)+I$1,COLUMN(Damage!$F$1))))</f>
        <v>0.87860821430865754</v>
      </c>
      <c r="J8" s="49">
        <f ca="1">(INDIRECT("'Damage'!"&amp;ADDRESS(ROW(Damage!$F$1)+$A8,COLUMN(Damage!$F$1)))*($A$1+J$1)/($A$1+$A8))/(INDIRECT("'Damage'!"&amp;ADDRESS(ROW(Damage!$F$1)+J$1,COLUMN(Damage!$F$1))))</f>
        <v>0.84877813353423115</v>
      </c>
      <c r="K8" s="49">
        <f ca="1">(INDIRECT("'Damage'!"&amp;ADDRESS(ROW(Damage!$F$1)+$A8,COLUMN(Damage!$F$1)))*($A$1+K$1)/($A$1+$A8))/(INDIRECT("'Damage'!"&amp;ADDRESS(ROW(Damage!$F$1)+K$1,COLUMN(Damage!$F$1))))</f>
        <v>0.84234261280541411</v>
      </c>
      <c r="L8" s="49">
        <f ca="1">(INDIRECT("'Damage'!"&amp;ADDRESS(ROW(Damage!$F$1)+$A8,COLUMN(Damage!$F$1)))*($A$1+L$1)/($A$1+$A8))/(INDIRECT("'Damage'!"&amp;ADDRESS(ROW(Damage!$F$1)+L$1,COLUMN(Damage!$F$1))))</f>
        <v>0.82144416833171674</v>
      </c>
      <c r="M8" s="49">
        <f ca="1">(INDIRECT("'Damage'!"&amp;ADDRESS(ROW(Damage!$F$1)+$A8,COLUMN(Damage!$F$1)))*($A$1+M$1)/($A$1+$A8))/(INDIRECT("'Damage'!"&amp;ADDRESS(ROW(Damage!$F$1)+M$1,COLUMN(Damage!$F$1))))</f>
        <v>0.81810880810480158</v>
      </c>
      <c r="N8" s="49">
        <f ca="1">(INDIRECT("'Damage'!"&amp;ADDRESS(ROW(Damage!$F$1)+$A8,COLUMN(Damage!$F$1)))*($A$1+N$1)/($A$1+$A8))/(INDIRECT("'Damage'!"&amp;ADDRESS(ROW(Damage!$F$1)+N$1,COLUMN(Damage!$F$1))))</f>
        <v>0.80241837691153051</v>
      </c>
      <c r="O8" s="49">
        <f ca="1">(INDIRECT("'Damage'!"&amp;ADDRESS(ROW(Damage!$F$1)+$A8,COLUMN(Damage!$F$1)))*($A$1+O$1)/($A$1+$A8))/(INDIRECT("'Damage'!"&amp;ADDRESS(ROW(Damage!$F$1)+O$1,COLUMN(Damage!$F$1))))</f>
        <v>0.7891556246333602</v>
      </c>
      <c r="P8" s="49">
        <f ca="1">(INDIRECT("'Damage'!"&amp;ADDRESS(ROW(Damage!$F$1)+$A8,COLUMN(Damage!$F$1)))*($A$1+P$1)/($A$1+$A8))/(INDIRECT("'Damage'!"&amp;ADDRESS(ROW(Damage!$F$1)+P$1,COLUMN(Damage!$F$1))))</f>
        <v>0.78841257151636024</v>
      </c>
      <c r="Q8" s="49">
        <f ca="1">(INDIRECT("'Damage'!"&amp;ADDRESS(ROW(Damage!$F$1)+$A8,COLUMN(Damage!$F$1)))*($A$1+Q$1)/($A$1+$A8))/(INDIRECT("'Damage'!"&amp;ADDRESS(ROW(Damage!$F$1)+Q$1,COLUMN(Damage!$F$1))))</f>
        <v>0.77281537279745338</v>
      </c>
      <c r="R8" s="49">
        <f ca="1">(INDIRECT("'Damage'!"&amp;ADDRESS(ROW(Damage!$F$1)+$A8,COLUMN(Damage!$F$1)))*($A$1+R$1)/($A$1+$A8))/(INDIRECT("'Damage'!"&amp;ADDRESS(ROW(Damage!$F$1)+R$1,COLUMN(Damage!$F$1))))</f>
        <v>0.7730114612285689</v>
      </c>
      <c r="S8" s="49">
        <f ca="1">(INDIRECT("'Damage'!"&amp;ADDRESS(ROW(Damage!$F$1)+$A8,COLUMN(Damage!$F$1)))*($A$1+S$1)/($A$1+$A8))/(INDIRECT("'Damage'!"&amp;ADDRESS(ROW(Damage!$F$1)+S$1,COLUMN(Damage!$F$1))))</f>
        <v>0.76019684993403314</v>
      </c>
      <c r="T8" s="49">
        <f ca="1">(INDIRECT("'Damage'!"&amp;ADDRESS(ROW(Damage!$F$1)+$A8,COLUMN(Damage!$F$1)))*($A$1+T$1)/($A$1+$A8))/(INDIRECT("'Damage'!"&amp;ADDRESS(ROW(Damage!$F$1)+T$1,COLUMN(Damage!$F$1))))</f>
        <v>0.76095578934240771</v>
      </c>
      <c r="U8" s="49">
        <f ca="1">(INDIRECT("'Damage'!"&amp;ADDRESS(ROW(Damage!$F$1)+$A8,COLUMN(Damage!$F$1)))*($A$1+U$1)/($A$1+$A8))/(INDIRECT("'Damage'!"&amp;ADDRESS(ROW(Damage!$F$1)+U$1,COLUMN(Damage!$F$1))))</f>
        <v>0.75015853815764499</v>
      </c>
      <c r="V8" s="49">
        <f ca="1">(INDIRECT("'Damage'!"&amp;ADDRESS(ROW(Damage!$F$1)+$A8,COLUMN(Damage!$F$1)))*($A$1+V$1)/($A$1+$A8))/(INDIRECT("'Damage'!"&amp;ADDRESS(ROW(Damage!$F$1)+V$1,COLUMN(Damage!$F$1))))</f>
        <v>0.75126230033457098</v>
      </c>
    </row>
    <row r="9" spans="1:22">
      <c r="A9" s="1">
        <v>15</v>
      </c>
      <c r="B9" s="49">
        <f ca="1">(INDIRECT("'Damage'!"&amp;ADDRESS(ROW(Damage!$F$1)+$A9,COLUMN(Damage!$F$1)))*($A$1+B$1)/($A$1+$A9))/(INDIRECT("'Damage'!"&amp;ADDRESS(ROW(Damage!$F$1)+B$1,COLUMN(Damage!$F$1))))</f>
        <v>1.8242127361791469</v>
      </c>
      <c r="C9" s="49">
        <f ca="1">(INDIRECT("'Damage'!"&amp;ADDRESS(ROW(Damage!$F$1)+$A9,COLUMN(Damage!$F$1)))*($A$1+C$1)/($A$1+$A9))/(INDIRECT("'Damage'!"&amp;ADDRESS(ROW(Damage!$F$1)+C$1,COLUMN(Damage!$F$1))))</f>
        <v>1.4040114613180521</v>
      </c>
      <c r="D9" s="49">
        <f ca="1">(INDIRECT("'Damage'!"&amp;ADDRESS(ROW(Damage!$F$1)+$A9,COLUMN(Damage!$F$1)))*($A$1+D$1)/($A$1+$A9))/(INDIRECT("'Damage'!"&amp;ADDRESS(ROW(Damage!$F$1)+D$1,COLUMN(Damage!$F$1))))</f>
        <v>1.1900391717963066</v>
      </c>
      <c r="E9" s="49">
        <f ca="1">(INDIRECT("'Damage'!"&amp;ADDRESS(ROW(Damage!$F$1)+$A9,COLUMN(Damage!$F$1)))*($A$1+E$1)/($A$1+$A9))/(INDIRECT("'Damage'!"&amp;ADDRESS(ROW(Damage!$F$1)+E$1,COLUMN(Damage!$F$1))))</f>
        <v>1.0789373007438896</v>
      </c>
      <c r="F9" s="49">
        <f ca="1">(INDIRECT("'Damage'!"&amp;ADDRESS(ROW(Damage!$F$1)+$A9,COLUMN(Damage!$F$1)))*($A$1+F$1)/($A$1+$A9))/(INDIRECT("'Damage'!"&amp;ADDRESS(ROW(Damage!$F$1)+F$1,COLUMN(Damage!$F$1))))</f>
        <v>1.0315789473684216</v>
      </c>
      <c r="G9" s="49">
        <f ca="1">(INDIRECT("'Damage'!"&amp;ADDRESS(ROW(Damage!$F$1)+$A9,COLUMN(Damage!$F$1)))*($A$1+G$1)/($A$1+$A9))/(INDIRECT("'Damage'!"&amp;ADDRESS(ROW(Damage!$F$1)+G$1,COLUMN(Damage!$F$1))))</f>
        <v>0.98143065693430676</v>
      </c>
      <c r="H9" s="49">
        <f ca="1">(INDIRECT("'Damage'!"&amp;ADDRESS(ROW(Damage!$F$1)+$A9,COLUMN(Damage!$F$1)))*($A$1+H$1)/($A$1+$A9))/(INDIRECT("'Damage'!"&amp;ADDRESS(ROW(Damage!$F$1)+H$1,COLUMN(Damage!$F$1))))</f>
        <v>0.93183502099283788</v>
      </c>
      <c r="I9" s="49">
        <f ca="1">(INDIRECT("'Damage'!"&amp;ADDRESS(ROW(Damage!$F$1)+$A9,COLUMN(Damage!$F$1)))*($A$1+I$1)/($A$1+$A9))/(INDIRECT("'Damage'!"&amp;ADDRESS(ROW(Damage!$F$1)+I$1,COLUMN(Damage!$F$1))))</f>
        <v>0.91848112379280078</v>
      </c>
      <c r="J9" s="49">
        <f ca="1">(INDIRECT("'Damage'!"&amp;ADDRESS(ROW(Damage!$F$1)+$A9,COLUMN(Damage!$F$1)))*($A$1+J$1)/($A$1+$A9))/(INDIRECT("'Damage'!"&amp;ADDRESS(ROW(Damage!$F$1)+J$1,COLUMN(Damage!$F$1))))</f>
        <v>0.88729729729729734</v>
      </c>
      <c r="K9" s="49">
        <f ca="1">(INDIRECT("'Damage'!"&amp;ADDRESS(ROW(Damage!$F$1)+$A9,COLUMN(Damage!$F$1)))*($A$1+K$1)/($A$1+$A9))/(INDIRECT("'Damage'!"&amp;ADDRESS(ROW(Damage!$F$1)+K$1,COLUMN(Damage!$F$1))))</f>
        <v>0.8805697204149816</v>
      </c>
      <c r="L9" s="49">
        <f ca="1">(INDIRECT("'Damage'!"&amp;ADDRESS(ROW(Damage!$F$1)+$A9,COLUMN(Damage!$F$1)))*($A$1+L$1)/($A$1+$A9))/(INDIRECT("'Damage'!"&amp;ADDRESS(ROW(Damage!$F$1)+L$1,COLUMN(Damage!$F$1))))</f>
        <v>0.85872286483916982</v>
      </c>
      <c r="M9" s="49">
        <f ca="1">(INDIRECT("'Damage'!"&amp;ADDRESS(ROW(Damage!$F$1)+$A9,COLUMN(Damage!$F$1)))*($A$1+M$1)/($A$1+$A9))/(INDIRECT("'Damage'!"&amp;ADDRESS(ROW(Damage!$F$1)+M$1,COLUMN(Damage!$F$1))))</f>
        <v>0.85523613963039025</v>
      </c>
      <c r="N9" s="49">
        <f ca="1">(INDIRECT("'Damage'!"&amp;ADDRESS(ROW(Damage!$F$1)+$A9,COLUMN(Damage!$F$1)))*($A$1+N$1)/($A$1+$A9))/(INDIRECT("'Damage'!"&amp;ADDRESS(ROW(Damage!$F$1)+N$1,COLUMN(Damage!$F$1))))</f>
        <v>0.83883364686912132</v>
      </c>
      <c r="O9" s="49">
        <f ca="1">(INDIRECT("'Damage'!"&amp;ADDRESS(ROW(Damage!$F$1)+$A9,COLUMN(Damage!$F$1)))*($A$1+O$1)/($A$1+$A9))/(INDIRECT("'Damage'!"&amp;ADDRESS(ROW(Damage!$F$1)+O$1,COLUMN(Damage!$F$1))))</f>
        <v>0.82496900570295073</v>
      </c>
      <c r="P9" s="49">
        <f ca="1">(INDIRECT("'Damage'!"&amp;ADDRESS(ROW(Damage!$F$1)+$A9,COLUMN(Damage!$F$1)))*($A$1+P$1)/($A$1+$A9))/(INDIRECT("'Damage'!"&amp;ADDRESS(ROW(Damage!$F$1)+P$1,COLUMN(Damage!$F$1))))</f>
        <v>0.82419223142423903</v>
      </c>
      <c r="Q9" s="49">
        <f ca="1">(INDIRECT("'Damage'!"&amp;ADDRESS(ROW(Damage!$F$1)+$A9,COLUMN(Damage!$F$1)))*($A$1+Q$1)/($A$1+$A9))/(INDIRECT("'Damage'!"&amp;ADDRESS(ROW(Damage!$F$1)+Q$1,COLUMN(Damage!$F$1))))</f>
        <v>0.80788720220409493</v>
      </c>
      <c r="R9" s="49">
        <f ca="1">(INDIRECT("'Damage'!"&amp;ADDRESS(ROW(Damage!$F$1)+$A9,COLUMN(Damage!$F$1)))*($A$1+R$1)/($A$1+$A9))/(INDIRECT("'Damage'!"&amp;ADDRESS(ROW(Damage!$F$1)+R$1,COLUMN(Damage!$F$1))))</f>
        <v>0.80809218950064043</v>
      </c>
      <c r="S9" s="49">
        <f ca="1">(INDIRECT("'Damage'!"&amp;ADDRESS(ROW(Damage!$F$1)+$A9,COLUMN(Damage!$F$1)))*($A$1+S$1)/($A$1+$A9))/(INDIRECT("'Damage'!"&amp;ADDRESS(ROW(Damage!$F$1)+S$1,COLUMN(Damage!$F$1))))</f>
        <v>0.79469602680708484</v>
      </c>
      <c r="T9" s="49">
        <f ca="1">(INDIRECT("'Damage'!"&amp;ADDRESS(ROW(Damage!$F$1)+$A9,COLUMN(Damage!$F$1)))*($A$1+T$1)/($A$1+$A9))/(INDIRECT("'Damage'!"&amp;ADDRESS(ROW(Damage!$F$1)+T$1,COLUMN(Damage!$F$1))))</f>
        <v>0.79548940832724624</v>
      </c>
      <c r="U9" s="49">
        <f ca="1">(INDIRECT("'Damage'!"&amp;ADDRESS(ROW(Damage!$F$1)+$A9,COLUMN(Damage!$F$1)))*($A$1+U$1)/($A$1+$A9))/(INDIRECT("'Damage'!"&amp;ADDRESS(ROW(Damage!$F$1)+U$1,COLUMN(Damage!$F$1))))</f>
        <v>0.78420215737676724</v>
      </c>
      <c r="V9" s="49">
        <f ca="1">(INDIRECT("'Damage'!"&amp;ADDRESS(ROW(Damage!$F$1)+$A9,COLUMN(Damage!$F$1)))*($A$1+V$1)/($A$1+$A9))/(INDIRECT("'Damage'!"&amp;ADDRESS(ROW(Damage!$F$1)+V$1,COLUMN(Damage!$F$1))))</f>
        <v>0.78535601037763059</v>
      </c>
    </row>
    <row r="10" spans="1:22">
      <c r="A10" s="1">
        <v>17</v>
      </c>
      <c r="B10" s="49">
        <f ca="1">(INDIRECT("'Damage'!"&amp;ADDRESS(ROW(Damage!$F$1)+$A10,COLUMN(Damage!$F$1)))*($A$1+B$1)/($A$1+$A10))/(INDIRECT("'Damage'!"&amp;ADDRESS(ROW(Damage!$F$1)+B$1,COLUMN(Damage!$F$1))))</f>
        <v>1.8587280958569574</v>
      </c>
      <c r="C10" s="49">
        <f ca="1">(INDIRECT("'Damage'!"&amp;ADDRESS(ROW(Damage!$F$1)+$A10,COLUMN(Damage!$F$1)))*($A$1+C$1)/($A$1+$A10))/(INDIRECT("'Damage'!"&amp;ADDRESS(ROW(Damage!$F$1)+C$1,COLUMN(Damage!$F$1))))</f>
        <v>1.430576323857419</v>
      </c>
      <c r="D10" s="49">
        <f ca="1">(INDIRECT("'Damage'!"&amp;ADDRESS(ROW(Damage!$F$1)+$A10,COLUMN(Damage!$F$1)))*($A$1+D$1)/($A$1+$A10))/(INDIRECT("'Damage'!"&amp;ADDRESS(ROW(Damage!$F$1)+D$1,COLUMN(Damage!$F$1))))</f>
        <v>1.2125555314459304</v>
      </c>
      <c r="E10" s="49">
        <f ca="1">(INDIRECT("'Damage'!"&amp;ADDRESS(ROW(Damage!$F$1)+$A10,COLUMN(Damage!$F$1)))*($A$1+E$1)/($A$1+$A10))/(INDIRECT("'Damage'!"&amp;ADDRESS(ROW(Damage!$F$1)+E$1,COLUMN(Damage!$F$1))))</f>
        <v>1.0993515365763735</v>
      </c>
      <c r="F10" s="49">
        <f ca="1">(INDIRECT("'Damage'!"&amp;ADDRESS(ROW(Damage!$F$1)+$A10,COLUMN(Damage!$F$1)))*($A$1+F$1)/($A$1+$A10))/(INDIRECT("'Damage'!"&amp;ADDRESS(ROW(Damage!$F$1)+F$1,COLUMN(Damage!$F$1))))</f>
        <v>1.051097130581556</v>
      </c>
      <c r="G10" s="49">
        <f ca="1">(INDIRECT("'Damage'!"&amp;ADDRESS(ROW(Damage!$F$1)+$A10,COLUMN(Damage!$F$1)))*($A$1+G$1)/($A$1+$A10))/(INDIRECT("'Damage'!"&amp;ADDRESS(ROW(Damage!$F$1)+G$1,COLUMN(Damage!$F$1))))</f>
        <v>1</v>
      </c>
      <c r="H10" s="49">
        <f ca="1">(INDIRECT("'Damage'!"&amp;ADDRESS(ROW(Damage!$F$1)+$A10,COLUMN(Damage!$F$1)))*($A$1+H$1)/($A$1+$A10))/(INDIRECT("'Damage'!"&amp;ADDRESS(ROW(Damage!$F$1)+H$1,COLUMN(Damage!$F$1))))</f>
        <v>0.94946598051421116</v>
      </c>
      <c r="I10" s="49">
        <f ca="1">(INDIRECT("'Damage'!"&amp;ADDRESS(ROW(Damage!$F$1)+$A10,COLUMN(Damage!$F$1)))*($A$1+I$1)/($A$1+$A10))/(INDIRECT("'Damage'!"&amp;ADDRESS(ROW(Damage!$F$1)+I$1,COLUMN(Damage!$F$1))))</f>
        <v>0.93585941839422326</v>
      </c>
      <c r="J10" s="49">
        <f ca="1">(INDIRECT("'Damage'!"&amp;ADDRESS(ROW(Damage!$F$1)+$A10,COLUMN(Damage!$F$1)))*($A$1+J$1)/($A$1+$A10))/(INDIRECT("'Damage'!"&amp;ADDRESS(ROW(Damage!$F$1)+J$1,COLUMN(Damage!$F$1))))</f>
        <v>0.90408557245291943</v>
      </c>
      <c r="K10" s="49">
        <f ca="1">(INDIRECT("'Damage'!"&amp;ADDRESS(ROW(Damage!$F$1)+$A10,COLUMN(Damage!$F$1)))*($A$1+K$1)/($A$1+$A10))/(INDIRECT("'Damage'!"&amp;ADDRESS(ROW(Damage!$F$1)+K$1,COLUMN(Damage!$F$1))))</f>
        <v>0.89723070518870462</v>
      </c>
      <c r="L10" s="49">
        <f ca="1">(INDIRECT("'Damage'!"&amp;ADDRESS(ROW(Damage!$F$1)+$A10,COLUMN(Damage!$F$1)))*($A$1+L$1)/($A$1+$A10))/(INDIRECT("'Damage'!"&amp;ADDRESS(ROW(Damage!$F$1)+L$1,COLUMN(Damage!$F$1))))</f>
        <v>0.87497049207894217</v>
      </c>
      <c r="M10" s="49">
        <f ca="1">(INDIRECT("'Damage'!"&amp;ADDRESS(ROW(Damage!$F$1)+$A10,COLUMN(Damage!$F$1)))*($A$1+M$1)/($A$1+$A10))/(INDIRECT("'Damage'!"&amp;ADDRESS(ROW(Damage!$F$1)+M$1,COLUMN(Damage!$F$1))))</f>
        <v>0.87141779563101285</v>
      </c>
      <c r="N10" s="49">
        <f ca="1">(INDIRECT("'Damage'!"&amp;ADDRESS(ROW(Damage!$F$1)+$A10,COLUMN(Damage!$F$1)))*($A$1+N$1)/($A$1+$A10))/(INDIRECT("'Damage'!"&amp;ADDRESS(ROW(Damage!$F$1)+N$1,COLUMN(Damage!$F$1))))</f>
        <v>0.85470495642492428</v>
      </c>
      <c r="O10" s="49">
        <f ca="1">(INDIRECT("'Damage'!"&amp;ADDRESS(ROW(Damage!$F$1)+$A10,COLUMN(Damage!$F$1)))*($A$1+O$1)/($A$1+$A10))/(INDIRECT("'Damage'!"&amp;ADDRESS(ROW(Damage!$F$1)+O$1,COLUMN(Damage!$F$1))))</f>
        <v>0.8405779867116695</v>
      </c>
      <c r="P10" s="49">
        <f ca="1">(INDIRECT("'Damage'!"&amp;ADDRESS(ROW(Damage!$F$1)+$A10,COLUMN(Damage!$F$1)))*($A$1+P$1)/($A$1+$A10))/(INDIRECT("'Damage'!"&amp;ADDRESS(ROW(Damage!$F$1)+P$1,COLUMN(Damage!$F$1))))</f>
        <v>0.83978651532933257</v>
      </c>
      <c r="Q10" s="49">
        <f ca="1">(INDIRECT("'Damage'!"&amp;ADDRESS(ROW(Damage!$F$1)+$A10,COLUMN(Damage!$F$1)))*($A$1+Q$1)/($A$1+$A10))/(INDIRECT("'Damage'!"&amp;ADDRESS(ROW(Damage!$F$1)+Q$1,COLUMN(Damage!$F$1))))</f>
        <v>0.8231729837416033</v>
      </c>
      <c r="R10" s="49">
        <f ca="1">(INDIRECT("'Damage'!"&amp;ADDRESS(ROW(Damage!$F$1)+$A10,COLUMN(Damage!$F$1)))*($A$1+R$1)/($A$1+$A10))/(INDIRECT("'Damage'!"&amp;ADDRESS(ROW(Damage!$F$1)+R$1,COLUMN(Damage!$F$1))))</f>
        <v>0.82338184953879134</v>
      </c>
      <c r="S10" s="49">
        <f ca="1">(INDIRECT("'Damage'!"&amp;ADDRESS(ROW(Damage!$F$1)+$A10,COLUMN(Damage!$F$1)))*($A$1+S$1)/($A$1+$A10))/(INDIRECT("'Damage'!"&amp;ADDRESS(ROW(Damage!$F$1)+S$1,COLUMN(Damage!$F$1))))</f>
        <v>0.80973222223307695</v>
      </c>
      <c r="T10" s="49">
        <f ca="1">(INDIRECT("'Damage'!"&amp;ADDRESS(ROW(Damage!$F$1)+$A10,COLUMN(Damage!$F$1)))*($A$1+T$1)/($A$1+$A10))/(INDIRECT("'Damage'!"&amp;ADDRESS(ROW(Damage!$F$1)+T$1,COLUMN(Damage!$F$1))))</f>
        <v>0.81054061507729458</v>
      </c>
      <c r="U10" s="49">
        <f ca="1">(INDIRECT("'Damage'!"&amp;ADDRESS(ROW(Damage!$F$1)+$A10,COLUMN(Damage!$F$1)))*($A$1+U$1)/($A$1+$A10))/(INDIRECT("'Damage'!"&amp;ADDRESS(ROW(Damage!$F$1)+U$1,COLUMN(Damage!$F$1))))</f>
        <v>0.7990398015753637</v>
      </c>
      <c r="V10" s="49">
        <f ca="1">(INDIRECT("'Damage'!"&amp;ADDRESS(ROW(Damage!$F$1)+$A10,COLUMN(Damage!$F$1)))*($A$1+V$1)/($A$1+$A10))/(INDIRECT("'Damage'!"&amp;ADDRESS(ROW(Damage!$F$1)+V$1,COLUMN(Damage!$F$1))))</f>
        <v>0.80021548626863337</v>
      </c>
    </row>
    <row r="11" spans="1:22">
      <c r="A11" s="1">
        <v>19</v>
      </c>
      <c r="B11" s="49">
        <f ca="1">(INDIRECT("'Damage'!"&amp;ADDRESS(ROW(Damage!$F$1)+$A11,COLUMN(Damage!$F$1)))*($A$1+B$1)/($A$1+$A11))/(INDIRECT("'Damage'!"&amp;ADDRESS(ROW(Damage!$F$1)+B$1,COLUMN(Damage!$F$1))))</f>
        <v>1.8880335899230236</v>
      </c>
      <c r="C11" s="49">
        <f ca="1">(INDIRECT("'Damage'!"&amp;ADDRESS(ROW(Damage!$F$1)+$A11,COLUMN(Damage!$F$1)))*($A$1+C$1)/($A$1+$A11))/(INDIRECT("'Damage'!"&amp;ADDRESS(ROW(Damage!$F$1)+C$1,COLUMN(Damage!$F$1))))</f>
        <v>1.453131395824806</v>
      </c>
      <c r="D11" s="49">
        <f ca="1">(INDIRECT("'Damage'!"&amp;ADDRESS(ROW(Damage!$F$1)+$A11,COLUMN(Damage!$F$1)))*($A$1+D$1)/($A$1+$A11))/(INDIRECT("'Damage'!"&amp;ADDRESS(ROW(Damage!$F$1)+D$1,COLUMN(Damage!$F$1))))</f>
        <v>1.2316731952993842</v>
      </c>
      <c r="E11" s="49">
        <f ca="1">(INDIRECT("'Damage'!"&amp;ADDRESS(ROW(Damage!$F$1)+$A11,COLUMN(Damage!$F$1)))*($A$1+E$1)/($A$1+$A11))/(INDIRECT("'Damage'!"&amp;ADDRESS(ROW(Damage!$F$1)+E$1,COLUMN(Damage!$F$1))))</f>
        <v>1.1166843783209353</v>
      </c>
      <c r="F11" s="49">
        <f ca="1">(INDIRECT("'Damage'!"&amp;ADDRESS(ROW(Damage!$F$1)+$A11,COLUMN(Damage!$F$1)))*($A$1+F$1)/($A$1+$A11))/(INDIRECT("'Damage'!"&amp;ADDRESS(ROW(Damage!$F$1)+F$1,COLUMN(Damage!$F$1))))</f>
        <v>1.0676691729323311</v>
      </c>
      <c r="G11" s="49">
        <f ca="1">(INDIRECT("'Damage'!"&amp;ADDRESS(ROW(Damage!$F$1)+$A11,COLUMN(Damage!$F$1)))*($A$1+G$1)/($A$1+$A11))/(INDIRECT("'Damage'!"&amp;ADDRESS(ROW(Damage!$F$1)+G$1,COLUMN(Damage!$F$1))))</f>
        <v>1.0157664233576642</v>
      </c>
      <c r="H11" s="49">
        <f ca="1">(INDIRECT("'Damage'!"&amp;ADDRESS(ROW(Damage!$F$1)+$A11,COLUMN(Damage!$F$1)))*($A$1+H$1)/($A$1+$A11))/(INDIRECT("'Damage'!"&amp;ADDRESS(ROW(Damage!$F$1)+H$1,COLUMN(Damage!$F$1))))</f>
        <v>0.96443566312669815</v>
      </c>
      <c r="I11" s="49">
        <f ca="1">(INDIRECT("'Damage'!"&amp;ADDRESS(ROW(Damage!$F$1)+$A11,COLUMN(Damage!$F$1)))*($A$1+I$1)/($A$1+$A11))/(INDIRECT("'Damage'!"&amp;ADDRESS(ROW(Damage!$F$1)+I$1,COLUMN(Damage!$F$1))))</f>
        <v>0.95061457418788409</v>
      </c>
      <c r="J11" s="49">
        <f ca="1">(INDIRECT("'Damage'!"&amp;ADDRESS(ROW(Damage!$F$1)+$A11,COLUMN(Damage!$F$1)))*($A$1+J$1)/($A$1+$A11))/(INDIRECT("'Damage'!"&amp;ADDRESS(ROW(Damage!$F$1)+J$1,COLUMN(Damage!$F$1))))</f>
        <v>0.91833976833976838</v>
      </c>
      <c r="K11" s="49">
        <f ca="1">(INDIRECT("'Damage'!"&amp;ADDRESS(ROW(Damage!$F$1)+$A11,COLUMN(Damage!$F$1)))*($A$1+K$1)/($A$1+$A11))/(INDIRECT("'Damage'!"&amp;ADDRESS(ROW(Damage!$F$1)+K$1,COLUMN(Damage!$F$1))))</f>
        <v>0.91137682433620537</v>
      </c>
      <c r="L11" s="49">
        <f ca="1">(INDIRECT("'Damage'!"&amp;ADDRESS(ROW(Damage!$F$1)+$A11,COLUMN(Damage!$F$1)))*($A$1+L$1)/($A$1+$A11))/(INDIRECT("'Damage'!"&amp;ADDRESS(ROW(Damage!$F$1)+L$1,COLUMN(Damage!$F$1))))</f>
        <v>0.88876564728252272</v>
      </c>
      <c r="M11" s="49">
        <f ca="1">(INDIRECT("'Damage'!"&amp;ADDRESS(ROW(Damage!$F$1)+$A11,COLUMN(Damage!$F$1)))*($A$1+M$1)/($A$1+$A11))/(INDIRECT("'Damage'!"&amp;ADDRESS(ROW(Damage!$F$1)+M$1,COLUMN(Damage!$F$1))))</f>
        <v>0.88515693751833402</v>
      </c>
      <c r="N11" s="49">
        <f ca="1">(INDIRECT("'Damage'!"&amp;ADDRESS(ROW(Damage!$F$1)+$A11,COLUMN(Damage!$F$1)))*($A$1+N$1)/($A$1+$A11))/(INDIRECT("'Damage'!"&amp;ADDRESS(ROW(Damage!$F$1)+N$1,COLUMN(Damage!$F$1))))</f>
        <v>0.86818059661381353</v>
      </c>
      <c r="O11" s="49">
        <f ca="1">(INDIRECT("'Damage'!"&amp;ADDRESS(ROW(Damage!$F$1)+$A11,COLUMN(Damage!$F$1)))*($A$1+O$1)/($A$1+$A11))/(INDIRECT("'Damage'!"&amp;ADDRESS(ROW(Damage!$F$1)+O$1,COLUMN(Damage!$F$1))))</f>
        <v>0.85383089511529886</v>
      </c>
      <c r="P11" s="49">
        <f ca="1">(INDIRECT("'Damage'!"&amp;ADDRESS(ROW(Damage!$F$1)+$A11,COLUMN(Damage!$F$1)))*($A$1+P$1)/($A$1+$A11))/(INDIRECT("'Damage'!"&amp;ADDRESS(ROW(Damage!$F$1)+P$1,COLUMN(Damage!$F$1))))</f>
        <v>0.85302694506007237</v>
      </c>
      <c r="Q11" s="49">
        <f ca="1">(INDIRECT("'Damage'!"&amp;ADDRESS(ROW(Damage!$F$1)+$A11,COLUMN(Damage!$F$1)))*($A$1+Q$1)/($A$1+$A11))/(INDIRECT("'Damage'!"&amp;ADDRESS(ROW(Damage!$F$1)+Q$1,COLUMN(Damage!$F$1))))</f>
        <v>0.83615147749986496</v>
      </c>
      <c r="R11" s="49">
        <f ca="1">(INDIRECT("'Damage'!"&amp;ADDRESS(ROW(Damage!$F$1)+$A11,COLUMN(Damage!$F$1)))*($A$1+R$1)/($A$1+$A11))/(INDIRECT("'Damage'!"&amp;ADDRESS(ROW(Damage!$F$1)+R$1,COLUMN(Damage!$F$1))))</f>
        <v>0.83636363636363653</v>
      </c>
      <c r="S11" s="49">
        <f ca="1">(INDIRECT("'Damage'!"&amp;ADDRESS(ROW(Damage!$F$1)+$A11,COLUMN(Damage!$F$1)))*($A$1+S$1)/($A$1+$A11))/(INDIRECT("'Damage'!"&amp;ADDRESS(ROW(Damage!$F$1)+S$1,COLUMN(Damage!$F$1))))</f>
        <v>0.82249880325514613</v>
      </c>
      <c r="T11" s="49">
        <f ca="1">(INDIRECT("'Damage'!"&amp;ADDRESS(ROW(Damage!$F$1)+$A11,COLUMN(Damage!$F$1)))*($A$1+T$1)/($A$1+$A11))/(INDIRECT("'Damage'!"&amp;ADDRESS(ROW(Damage!$F$1)+T$1,COLUMN(Damage!$F$1))))</f>
        <v>0.82331994156318478</v>
      </c>
      <c r="U11" s="49">
        <f ca="1">(INDIRECT("'Damage'!"&amp;ADDRESS(ROW(Damage!$F$1)+$A11,COLUMN(Damage!$F$1)))*($A$1+U$1)/($A$1+$A11))/(INDIRECT("'Damage'!"&amp;ADDRESS(ROW(Damage!$F$1)+U$1,COLUMN(Damage!$F$1))))</f>
        <v>0.811637801366625</v>
      </c>
      <c r="V11" s="49">
        <f ca="1">(INDIRECT("'Damage'!"&amp;ADDRESS(ROW(Damage!$F$1)+$A11,COLUMN(Damage!$F$1)))*($A$1+V$1)/($A$1+$A11))/(INDIRECT("'Damage'!"&amp;ADDRESS(ROW(Damage!$F$1)+V$1,COLUMN(Damage!$F$1))))</f>
        <v>0.81283202240250374</v>
      </c>
    </row>
    <row r="12" spans="1:22">
      <c r="A12" s="1">
        <v>21</v>
      </c>
      <c r="B12" s="49">
        <f ca="1">(INDIRECT("'Damage'!"&amp;ADDRESS(ROW(Damage!$F$1)+$A12,COLUMN(Damage!$F$1)))*($A$1+B$1)/($A$1+$A12))/(INDIRECT("'Damage'!"&amp;ADDRESS(ROW(Damage!$F$1)+B$1,COLUMN(Damage!$F$1))))</f>
        <v>1.9678096571028689</v>
      </c>
      <c r="C12" s="49">
        <f ca="1">(INDIRECT("'Damage'!"&amp;ADDRESS(ROW(Damage!$F$1)+$A12,COLUMN(Damage!$F$1)))*($A$1+C$1)/($A$1+$A12))/(INDIRECT("'Damage'!"&amp;ADDRESS(ROW(Damage!$F$1)+C$1,COLUMN(Damage!$F$1))))</f>
        <v>1.5145313139582479</v>
      </c>
      <c r="D12" s="49">
        <f ca="1">(INDIRECT("'Damage'!"&amp;ADDRESS(ROW(Damage!$F$1)+$A12,COLUMN(Damage!$F$1)))*($A$1+D$1)/($A$1+$A12))/(INDIRECT("'Damage'!"&amp;ADDRESS(ROW(Damage!$F$1)+D$1,COLUMN(Damage!$F$1))))</f>
        <v>1.2837157246782316</v>
      </c>
      <c r="E12" s="49">
        <f ca="1">(INDIRECT("'Damage'!"&amp;ADDRESS(ROW(Damage!$F$1)+$A12,COLUMN(Damage!$F$1)))*($A$1+E$1)/($A$1+$A12))/(INDIRECT("'Damage'!"&amp;ADDRESS(ROW(Damage!$F$1)+E$1,COLUMN(Damage!$F$1))))</f>
        <v>1.1638682252922423</v>
      </c>
      <c r="F12" s="49">
        <f ca="1">(INDIRECT("'Damage'!"&amp;ADDRESS(ROW(Damage!$F$1)+$A12,COLUMN(Damage!$F$1)))*($A$1+F$1)/($A$1+$A12))/(INDIRECT("'Damage'!"&amp;ADDRESS(ROW(Damage!$F$1)+F$1,COLUMN(Damage!$F$1))))</f>
        <v>1.1127819548872182</v>
      </c>
      <c r="G12" s="49">
        <f ca="1">(INDIRECT("'Damage'!"&amp;ADDRESS(ROW(Damage!$F$1)+$A12,COLUMN(Damage!$F$1)))*($A$1+G$1)/($A$1+$A12))/(INDIRECT("'Damage'!"&amp;ADDRESS(ROW(Damage!$F$1)+G$1,COLUMN(Damage!$F$1))))</f>
        <v>1.0586861313868612</v>
      </c>
      <c r="H12" s="49">
        <f ca="1">(INDIRECT("'Damage'!"&amp;ADDRESS(ROW(Damage!$F$1)+$A12,COLUMN(Damage!$F$1)))*($A$1+H$1)/($A$1+$A12))/(INDIRECT("'Damage'!"&amp;ADDRESS(ROW(Damage!$F$1)+H$1,COLUMN(Damage!$F$1))))</f>
        <v>1.005186465794023</v>
      </c>
      <c r="I12" s="49">
        <f ca="1">(INDIRECT("'Damage'!"&amp;ADDRESS(ROW(Damage!$F$1)+$A12,COLUMN(Damage!$F$1)))*($A$1+I$1)/($A$1+$A12))/(INDIRECT("'Damage'!"&amp;ADDRESS(ROW(Damage!$F$1)+I$1,COLUMN(Damage!$F$1))))</f>
        <v>0.99078138718173803</v>
      </c>
      <c r="J12" s="49">
        <f ca="1">(INDIRECT("'Damage'!"&amp;ADDRESS(ROW(Damage!$F$1)+$A12,COLUMN(Damage!$F$1)))*($A$1+J$1)/($A$1+$A12))/(INDIRECT("'Damage'!"&amp;ADDRESS(ROW(Damage!$F$1)+J$1,COLUMN(Damage!$F$1))))</f>
        <v>0.95714285714285696</v>
      </c>
      <c r="K12" s="49">
        <f ca="1">(INDIRECT("'Damage'!"&amp;ADDRESS(ROW(Damage!$F$1)+$A12,COLUMN(Damage!$F$1)))*($A$1+K$1)/($A$1+$A12))/(INDIRECT("'Damage'!"&amp;ADDRESS(ROW(Damage!$F$1)+K$1,COLUMN(Damage!$F$1))))</f>
        <v>0.94988570423773511</v>
      </c>
      <c r="L12" s="49">
        <f ca="1">(INDIRECT("'Damage'!"&amp;ADDRESS(ROW(Damage!$F$1)+$A12,COLUMN(Damage!$F$1)))*($A$1+L$1)/($A$1+$A12))/(INDIRECT("'Damage'!"&amp;ADDRESS(ROW(Damage!$F$1)+L$1,COLUMN(Damage!$F$1))))</f>
        <v>0.92631912533671357</v>
      </c>
      <c r="M12" s="49">
        <f ca="1">(INDIRECT("'Damage'!"&amp;ADDRESS(ROW(Damage!$F$1)+$A12,COLUMN(Damage!$F$1)))*($A$1+M$1)/($A$1+$A12))/(INDIRECT("'Damage'!"&amp;ADDRESS(ROW(Damage!$F$1)+M$1,COLUMN(Damage!$F$1))))</f>
        <v>0.92255793487826321</v>
      </c>
      <c r="N12" s="49">
        <f ca="1">(INDIRECT("'Damage'!"&amp;ADDRESS(ROW(Damage!$F$1)+$A12,COLUMN(Damage!$F$1)))*($A$1+N$1)/($A$1+$A12))/(INDIRECT("'Damage'!"&amp;ADDRESS(ROW(Damage!$F$1)+N$1,COLUMN(Damage!$F$1))))</f>
        <v>0.90486428379467887</v>
      </c>
      <c r="O12" s="49">
        <f ca="1">(INDIRECT("'Damage'!"&amp;ADDRESS(ROW(Damage!$F$1)+$A12,COLUMN(Damage!$F$1)))*($A$1+O$1)/($A$1+$A12))/(INDIRECT("'Damage'!"&amp;ADDRESS(ROW(Damage!$F$1)+O$1,COLUMN(Damage!$F$1))))</f>
        <v>0.88990825688073372</v>
      </c>
      <c r="P12" s="49">
        <f ca="1">(INDIRECT("'Damage'!"&amp;ADDRESS(ROW(Damage!$F$1)+$A12,COLUMN(Damage!$F$1)))*($A$1+P$1)/($A$1+$A12))/(INDIRECT("'Damage'!"&amp;ADDRESS(ROW(Damage!$F$1)+P$1,COLUMN(Damage!$F$1))))</f>
        <v>0.88907033710486394</v>
      </c>
      <c r="Q12" s="49">
        <f ca="1">(INDIRECT("'Damage'!"&amp;ADDRESS(ROW(Damage!$F$1)+$A12,COLUMN(Damage!$F$1)))*($A$1+Q$1)/($A$1+$A12))/(INDIRECT("'Damage'!"&amp;ADDRESS(ROW(Damage!$F$1)+Q$1,COLUMN(Damage!$F$1))))</f>
        <v>0.87148182161957755</v>
      </c>
      <c r="R12" s="49">
        <f ca="1">(INDIRECT("'Damage'!"&amp;ADDRESS(ROW(Damage!$F$1)+$A12,COLUMN(Damage!$F$1)))*($A$1+R$1)/($A$1+$A12))/(INDIRECT("'Damage'!"&amp;ADDRESS(ROW(Damage!$F$1)+R$1,COLUMN(Damage!$F$1))))</f>
        <v>0.87170294494238143</v>
      </c>
      <c r="S12" s="49">
        <f ca="1">(INDIRECT("'Damage'!"&amp;ADDRESS(ROW(Damage!$F$1)+$A12,COLUMN(Damage!$F$1)))*($A$1+S$1)/($A$1+$A12))/(INDIRECT("'Damage'!"&amp;ADDRESS(ROW(Damage!$F$1)+S$1,COLUMN(Damage!$F$1))))</f>
        <v>0.85725227381522251</v>
      </c>
      <c r="T12" s="49">
        <f ca="1">(INDIRECT("'Damage'!"&amp;ADDRESS(ROW(Damage!$F$1)+$A12,COLUMN(Damage!$F$1)))*($A$1+T$1)/($A$1+$A12))/(INDIRECT("'Damage'!"&amp;ADDRESS(ROW(Damage!$F$1)+T$1,COLUMN(Damage!$F$1))))</f>
        <v>0.85810810810810789</v>
      </c>
      <c r="U12" s="49">
        <f ca="1">(INDIRECT("'Damage'!"&amp;ADDRESS(ROW(Damage!$F$1)+$A12,COLUMN(Damage!$F$1)))*($A$1+U$1)/($A$1+$A12))/(INDIRECT("'Damage'!"&amp;ADDRESS(ROW(Damage!$F$1)+U$1,COLUMN(Damage!$F$1))))</f>
        <v>0.84593235635394703</v>
      </c>
      <c r="V12" s="49">
        <f ca="1">(INDIRECT("'Damage'!"&amp;ADDRESS(ROW(Damage!$F$1)+$A12,COLUMN(Damage!$F$1)))*($A$1+V$1)/($A$1+$A12))/(INDIRECT("'Damage'!"&amp;ADDRESS(ROW(Damage!$F$1)+V$1,COLUMN(Damage!$F$1))))</f>
        <v>0.84717703743359529</v>
      </c>
    </row>
    <row r="13" spans="1:22">
      <c r="A13" s="1">
        <v>23</v>
      </c>
      <c r="B13" s="49">
        <f ca="1">(INDIRECT("'Damage'!"&amp;ADDRESS(ROW(Damage!$F$1)+$A13,COLUMN(Damage!$F$1)))*($A$1+B$1)/($A$1+$A13))/(INDIRECT("'Damage'!"&amp;ADDRESS(ROW(Damage!$F$1)+B$1,COLUMN(Damage!$F$1))))</f>
        <v>1.9861189184228343</v>
      </c>
      <c r="C13" s="49">
        <f ca="1">(INDIRECT("'Damage'!"&amp;ADDRESS(ROW(Damage!$F$1)+$A13,COLUMN(Damage!$F$1)))*($A$1+C$1)/($A$1+$A13))/(INDIRECT("'Damage'!"&amp;ADDRESS(ROW(Damage!$F$1)+C$1,COLUMN(Damage!$F$1))))</f>
        <v>1.5286230984478912</v>
      </c>
      <c r="D13" s="49">
        <f ca="1">(INDIRECT("'Damage'!"&amp;ADDRESS(ROW(Damage!$F$1)+$A13,COLUMN(Damage!$F$1)))*($A$1+D$1)/($A$1+$A13))/(INDIRECT("'Damage'!"&amp;ADDRESS(ROW(Damage!$F$1)+D$1,COLUMN(Damage!$F$1))))</f>
        <v>1.2956599117487866</v>
      </c>
      <c r="E13" s="49">
        <f ca="1">(INDIRECT("'Damage'!"&amp;ADDRESS(ROW(Damage!$F$1)+$A13,COLUMN(Damage!$F$1)))*($A$1+E$1)/($A$1+$A13))/(INDIRECT("'Damage'!"&amp;ADDRESS(ROW(Damage!$F$1)+E$1,COLUMN(Damage!$F$1))))</f>
        <v>1.1746973049250016</v>
      </c>
      <c r="F13" s="49">
        <f ca="1">(INDIRECT("'Damage'!"&amp;ADDRESS(ROW(Damage!$F$1)+$A13,COLUMN(Damage!$F$1)))*($A$1+F$1)/($A$1+$A13))/(INDIRECT("'Damage'!"&amp;ADDRESS(ROW(Damage!$F$1)+F$1,COLUMN(Damage!$F$1))))</f>
        <v>1.1231357081227662</v>
      </c>
      <c r="G13" s="49">
        <f ca="1">(INDIRECT("'Damage'!"&amp;ADDRESS(ROW(Damage!$F$1)+$A13,COLUMN(Damage!$F$1)))*($A$1+G$1)/($A$1+$A13))/(INDIRECT("'Damage'!"&amp;ADDRESS(ROW(Damage!$F$1)+G$1,COLUMN(Damage!$F$1))))</f>
        <v>1.0685365561804478</v>
      </c>
      <c r="H13" s="49">
        <f ca="1">(INDIRECT("'Damage'!"&amp;ADDRESS(ROW(Damage!$F$1)+$A13,COLUMN(Damage!$F$1)))*($A$1+H$1)/($A$1+$A13))/(INDIRECT("'Damage'!"&amp;ADDRESS(ROW(Damage!$F$1)+H$1,COLUMN(Damage!$F$1))))</f>
        <v>1.0145391090291473</v>
      </c>
      <c r="I13" s="49">
        <f ca="1">(INDIRECT("'Damage'!"&amp;ADDRESS(ROW(Damage!$F$1)+$A13,COLUMN(Damage!$F$1)))*($A$1+I$1)/($A$1+$A13))/(INDIRECT("'Damage'!"&amp;ADDRESS(ROW(Damage!$F$1)+I$1,COLUMN(Damage!$F$1))))</f>
        <v>1</v>
      </c>
      <c r="J13" s="49">
        <f ca="1">(INDIRECT("'Damage'!"&amp;ADDRESS(ROW(Damage!$F$1)+$A13,COLUMN(Damage!$F$1)))*($A$1+J$1)/($A$1+$A13))/(INDIRECT("'Damage'!"&amp;ADDRESS(ROW(Damage!$F$1)+J$1,COLUMN(Damage!$F$1))))</f>
        <v>0.9660484840812712</v>
      </c>
      <c r="K13" s="49">
        <f ca="1">(INDIRECT("'Damage'!"&amp;ADDRESS(ROW(Damage!$F$1)+$A13,COLUMN(Damage!$F$1)))*($A$1+K$1)/($A$1+$A13))/(INDIRECT("'Damage'!"&amp;ADDRESS(ROW(Damage!$F$1)+K$1,COLUMN(Damage!$F$1))))</f>
        <v>0.95872380782169297</v>
      </c>
      <c r="L13" s="49">
        <f ca="1">(INDIRECT("'Damage'!"&amp;ADDRESS(ROW(Damage!$F$1)+$A13,COLUMN(Damage!$F$1)))*($A$1+L$1)/($A$1+$A13))/(INDIRECT("'Damage'!"&amp;ADDRESS(ROW(Damage!$F$1)+L$1,COLUMN(Damage!$F$1))))</f>
        <v>0.93493795636554478</v>
      </c>
      <c r="M13" s="49">
        <f ca="1">(INDIRECT("'Damage'!"&amp;ADDRESS(ROW(Damage!$F$1)+$A13,COLUMN(Damage!$F$1)))*($A$1+M$1)/($A$1+$A13))/(INDIRECT("'Damage'!"&amp;ADDRESS(ROW(Damage!$F$1)+M$1,COLUMN(Damage!$F$1))))</f>
        <v>0.93114177033791956</v>
      </c>
      <c r="N13" s="49">
        <f ca="1">(INDIRECT("'Damage'!"&amp;ADDRESS(ROW(Damage!$F$1)+$A13,COLUMN(Damage!$F$1)))*($A$1+N$1)/($A$1+$A13))/(INDIRECT("'Damage'!"&amp;ADDRESS(ROW(Damage!$F$1)+N$1,COLUMN(Damage!$F$1))))</f>
        <v>0.91328349068864811</v>
      </c>
      <c r="O13" s="49">
        <f ca="1">(INDIRECT("'Damage'!"&amp;ADDRESS(ROW(Damage!$F$1)+$A13,COLUMN(Damage!$F$1)))*($A$1+O$1)/($A$1+$A13))/(INDIRECT("'Damage'!"&amp;ADDRESS(ROW(Damage!$F$1)+O$1,COLUMN(Damage!$F$1))))</f>
        <v>0.8981883071219815</v>
      </c>
      <c r="P13" s="49">
        <f ca="1">(INDIRECT("'Damage'!"&amp;ADDRESS(ROW(Damage!$F$1)+$A13,COLUMN(Damage!$F$1)))*($A$1+P$1)/($A$1+$A13))/(INDIRECT("'Damage'!"&amp;ADDRESS(ROW(Damage!$F$1)+P$1,COLUMN(Damage!$F$1))))</f>
        <v>0.8973425910167836</v>
      </c>
      <c r="Q13" s="49">
        <f ca="1">(INDIRECT("'Damage'!"&amp;ADDRESS(ROW(Damage!$F$1)+$A13,COLUMN(Damage!$F$1)))*($A$1+Q$1)/($A$1+$A13))/(INDIRECT("'Damage'!"&amp;ADDRESS(ROW(Damage!$F$1)+Q$1,COLUMN(Damage!$F$1))))</f>
        <v>0.87959042518803632</v>
      </c>
      <c r="R13" s="49">
        <f ca="1">(INDIRECT("'Damage'!"&amp;ADDRESS(ROW(Damage!$F$1)+$A13,COLUMN(Damage!$F$1)))*($A$1+R$1)/($A$1+$A13))/(INDIRECT("'Damage'!"&amp;ADDRESS(ROW(Damage!$F$1)+R$1,COLUMN(Damage!$F$1))))</f>
        <v>0.87981360592766766</v>
      </c>
      <c r="S13" s="49">
        <f ca="1">(INDIRECT("'Damage'!"&amp;ADDRESS(ROW(Damage!$F$1)+$A13,COLUMN(Damage!$F$1)))*($A$1+S$1)/($A$1+$A13))/(INDIRECT("'Damage'!"&amp;ADDRESS(ROW(Damage!$F$1)+S$1,COLUMN(Damage!$F$1))))</f>
        <v>0.86522848017327314</v>
      </c>
      <c r="T13" s="49">
        <f ca="1">(INDIRECT("'Damage'!"&amp;ADDRESS(ROW(Damage!$F$1)+$A13,COLUMN(Damage!$F$1)))*($A$1+T$1)/($A$1+$A13))/(INDIRECT("'Damage'!"&amp;ADDRESS(ROW(Damage!$F$1)+T$1,COLUMN(Damage!$F$1))))</f>
        <v>0.86609227747907425</v>
      </c>
      <c r="U13" s="49">
        <f ca="1">(INDIRECT("'Damage'!"&amp;ADDRESS(ROW(Damage!$F$1)+$A13,COLUMN(Damage!$F$1)))*($A$1+U$1)/($A$1+$A13))/(INDIRECT("'Damage'!"&amp;ADDRESS(ROW(Damage!$F$1)+U$1,COLUMN(Damage!$F$1))))</f>
        <v>0.8538032378264474</v>
      </c>
      <c r="V13" s="49">
        <f ca="1">(INDIRECT("'Damage'!"&amp;ADDRESS(ROW(Damage!$F$1)+$A13,COLUMN(Damage!$F$1)))*($A$1+V$1)/($A$1+$A13))/(INDIRECT("'Damage'!"&amp;ADDRESS(ROW(Damage!$F$1)+V$1,COLUMN(Damage!$F$1))))</f>
        <v>0.85505949989974772</v>
      </c>
    </row>
    <row r="14" spans="1:22">
      <c r="A14" s="1">
        <v>25</v>
      </c>
      <c r="B14" s="49">
        <f ca="1">(INDIRECT("'Damage'!"&amp;ADDRESS(ROW(Damage!$F$1)+$A14,COLUMN(Damage!$F$1)))*($A$1+B$1)/($A$1+$A14))/(INDIRECT("'Damage'!"&amp;ADDRESS(ROW(Damage!$F$1)+B$1,COLUMN(Damage!$F$1))))</f>
        <v>2.0021747321957264</v>
      </c>
      <c r="C14" s="49">
        <f ca="1">(INDIRECT("'Damage'!"&amp;ADDRESS(ROW(Damage!$F$1)+$A14,COLUMN(Damage!$F$1)))*($A$1+C$1)/($A$1+$A14))/(INDIRECT("'Damage'!"&amp;ADDRESS(ROW(Damage!$F$1)+C$1,COLUMN(Damage!$F$1))))</f>
        <v>1.5409805094618851</v>
      </c>
      <c r="D14" s="49">
        <f ca="1">(INDIRECT("'Damage'!"&amp;ADDRESS(ROW(Damage!$F$1)+$A14,COLUMN(Damage!$F$1)))*($A$1+D$1)/($A$1+$A14))/(INDIRECT("'Damage'!"&amp;ADDRESS(ROW(Damage!$F$1)+D$1,COLUMN(Damage!$F$1))))</f>
        <v>1.3061340450260426</v>
      </c>
      <c r="E14" s="49">
        <f ca="1">(INDIRECT("'Damage'!"&amp;ADDRESS(ROW(Damage!$F$1)+$A14,COLUMN(Damage!$F$1)))*($A$1+E$1)/($A$1+$A14))/(INDIRECT("'Damage'!"&amp;ADDRESS(ROW(Damage!$F$1)+E$1,COLUMN(Damage!$F$1))))</f>
        <v>1.1841935747568055</v>
      </c>
      <c r="F14" s="49">
        <f ca="1">(INDIRECT("'Damage'!"&amp;ADDRESS(ROW(Damage!$F$1)+$A14,COLUMN(Damage!$F$1)))*($A$1+F$1)/($A$1+$A14))/(INDIRECT("'Damage'!"&amp;ADDRESS(ROW(Damage!$F$1)+F$1,COLUMN(Damage!$F$1))))</f>
        <v>1.1322151532677851</v>
      </c>
      <c r="G14" s="49">
        <f ca="1">(INDIRECT("'Damage'!"&amp;ADDRESS(ROW(Damage!$F$1)+$A14,COLUMN(Damage!$F$1)))*($A$1+G$1)/($A$1+$A14))/(INDIRECT("'Damage'!"&amp;ADDRESS(ROW(Damage!$F$1)+G$1,COLUMN(Damage!$F$1))))</f>
        <v>1.0771746209994388</v>
      </c>
      <c r="H14" s="49">
        <f ca="1">(INDIRECT("'Damage'!"&amp;ADDRESS(ROW(Damage!$F$1)+$A14,COLUMN(Damage!$F$1)))*($A$1+H$1)/($A$1+$A14))/(INDIRECT("'Damage'!"&amp;ADDRESS(ROW(Damage!$F$1)+H$1,COLUMN(Damage!$F$1))))</f>
        <v>1.022740657712256</v>
      </c>
      <c r="I14" s="49">
        <f ca="1">(INDIRECT("'Damage'!"&amp;ADDRESS(ROW(Damage!$F$1)+$A14,COLUMN(Damage!$F$1)))*($A$1+I$1)/($A$1+$A14))/(INDIRECT("'Damage'!"&amp;ADDRESS(ROW(Damage!$F$1)+I$1,COLUMN(Damage!$F$1))))</f>
        <v>1.0080840143175527</v>
      </c>
      <c r="J14" s="49">
        <f ca="1">(INDIRECT("'Damage'!"&amp;ADDRESS(ROW(Damage!$F$1)+$A14,COLUMN(Damage!$F$1)))*($A$1+J$1)/($A$1+$A14))/(INDIRECT("'Damage'!"&amp;ADDRESS(ROW(Damage!$F$1)+J$1,COLUMN(Damage!$F$1))))</f>
        <v>0.97385803385803382</v>
      </c>
      <c r="K14" s="49">
        <f ca="1">(INDIRECT("'Damage'!"&amp;ADDRESS(ROW(Damage!$F$1)+$A14,COLUMN(Damage!$F$1)))*($A$1+K$1)/($A$1+$A14))/(INDIRECT("'Damage'!"&amp;ADDRESS(ROW(Damage!$F$1)+K$1,COLUMN(Damage!$F$1))))</f>
        <v>0.96647414481070204</v>
      </c>
      <c r="L14" s="49">
        <f ca="1">(INDIRECT("'Damage'!"&amp;ADDRESS(ROW(Damage!$F$1)+$A14,COLUMN(Damage!$F$1)))*($A$1+L$1)/($A$1+$A14))/(INDIRECT("'Damage'!"&amp;ADDRESS(ROW(Damage!$F$1)+L$1,COLUMN(Damage!$F$1))))</f>
        <v>0.94249600819082702</v>
      </c>
      <c r="M14" s="49">
        <f ca="1">(INDIRECT("'Damage'!"&amp;ADDRESS(ROW(Damage!$F$1)+$A14,COLUMN(Damage!$F$1)))*($A$1+M$1)/($A$1+$A14))/(INDIRECT("'Damage'!"&amp;ADDRESS(ROW(Damage!$F$1)+M$1,COLUMN(Damage!$F$1))))</f>
        <v>0.93866913374100236</v>
      </c>
      <c r="N14" s="49">
        <f ca="1">(INDIRECT("'Damage'!"&amp;ADDRESS(ROW(Damage!$F$1)+$A14,COLUMN(Damage!$F$1)))*($A$1+N$1)/($A$1+$A14))/(INDIRECT("'Damage'!"&amp;ADDRESS(ROW(Damage!$F$1)+N$1,COLUMN(Damage!$F$1))))</f>
        <v>0.92066648750335955</v>
      </c>
      <c r="O14" s="49">
        <f ca="1">(INDIRECT("'Damage'!"&amp;ADDRESS(ROW(Damage!$F$1)+$A14,COLUMN(Damage!$F$1)))*($A$1+O$1)/($A$1+$A14))/(INDIRECT("'Damage'!"&amp;ADDRESS(ROW(Damage!$F$1)+O$1,COLUMN(Damage!$F$1))))</f>
        <v>0.9054492742566137</v>
      </c>
      <c r="P14" s="49">
        <f ca="1">(INDIRECT("'Damage'!"&amp;ADDRESS(ROW(Damage!$F$1)+$A14,COLUMN(Damage!$F$1)))*($A$1+P$1)/($A$1+$A14))/(INDIRECT("'Damage'!"&amp;ADDRESS(ROW(Damage!$F$1)+P$1,COLUMN(Damage!$F$1))))</f>
        <v>0.90459672137031299</v>
      </c>
      <c r="Q14" s="49">
        <f ca="1">(INDIRECT("'Damage'!"&amp;ADDRESS(ROW(Damage!$F$1)+$A14,COLUMN(Damage!$F$1)))*($A$1+Q$1)/($A$1+$A14))/(INDIRECT("'Damage'!"&amp;ADDRESS(ROW(Damage!$F$1)+Q$1,COLUMN(Damage!$F$1))))</f>
        <v>0.88670104677883843</v>
      </c>
      <c r="R14" s="49">
        <f ca="1">(INDIRECT("'Damage'!"&amp;ADDRESS(ROW(Damage!$F$1)+$A14,COLUMN(Damage!$F$1)))*($A$1+R$1)/($A$1+$A14))/(INDIRECT("'Damage'!"&amp;ADDRESS(ROW(Damage!$F$1)+R$1,COLUMN(Damage!$F$1))))</f>
        <v>0.88692603171476436</v>
      </c>
      <c r="S14" s="49">
        <f ca="1">(INDIRECT("'Damage'!"&amp;ADDRESS(ROW(Damage!$F$1)+$A14,COLUMN(Damage!$F$1)))*($A$1+S$1)/($A$1+$A14))/(INDIRECT("'Damage'!"&amp;ADDRESS(ROW(Damage!$F$1)+S$1,COLUMN(Damage!$F$1))))</f>
        <v>0.87222299959494809</v>
      </c>
      <c r="T14" s="49">
        <f ca="1">(INDIRECT("'Damage'!"&amp;ADDRESS(ROW(Damage!$F$1)+$A14,COLUMN(Damage!$F$1)))*($A$1+T$1)/($A$1+$A14))/(INDIRECT("'Damage'!"&amp;ADDRESS(ROW(Damage!$F$1)+T$1,COLUMN(Damage!$F$1))))</f>
        <v>0.87309377985053671</v>
      </c>
      <c r="U14" s="49">
        <f ca="1">(INDIRECT("'Damage'!"&amp;ADDRESS(ROW(Damage!$F$1)+$A14,COLUMN(Damage!$F$1)))*($A$1+U$1)/($A$1+$A14))/(INDIRECT("'Damage'!"&amp;ADDRESS(ROW(Damage!$F$1)+U$1,COLUMN(Damage!$F$1))))</f>
        <v>0.86070539542540903</v>
      </c>
      <c r="V14" s="49">
        <f ca="1">(INDIRECT("'Damage'!"&amp;ADDRESS(ROW(Damage!$F$1)+$A14,COLUMN(Damage!$F$1)))*($A$1+V$1)/($A$1+$A14))/(INDIRECT("'Damage'!"&amp;ADDRESS(ROW(Damage!$F$1)+V$1,COLUMN(Damage!$F$1))))</f>
        <v>0.86197181313929661</v>
      </c>
    </row>
    <row r="15" spans="1:22">
      <c r="A15" s="1">
        <v>27</v>
      </c>
      <c r="B15" s="49">
        <f ca="1">(INDIRECT("'Damage'!"&amp;ADDRESS(ROW(Damage!$F$1)+$A15,COLUMN(Damage!$F$1)))*($A$1+B$1)/($A$1+$A15))/(INDIRECT("'Damage'!"&amp;ADDRESS(ROW(Damage!$F$1)+B$1,COLUMN(Damage!$F$1))))</f>
        <v>2.0614598229226888</v>
      </c>
      <c r="C15" s="49">
        <f ca="1">(INDIRECT("'Damage'!"&amp;ADDRESS(ROW(Damage!$F$1)+$A15,COLUMN(Damage!$F$1)))*($A$1+C$1)/($A$1+$A15))/(INDIRECT("'Damage'!"&amp;ADDRESS(ROW(Damage!$F$1)+C$1,COLUMN(Damage!$F$1))))</f>
        <v>1.5866094787235938</v>
      </c>
      <c r="D15" s="49">
        <f ca="1">(INDIRECT("'Damage'!"&amp;ADDRESS(ROW(Damage!$F$1)+$A15,COLUMN(Damage!$F$1)))*($A$1+D$1)/($A$1+$A15))/(INDIRECT("'Damage'!"&amp;ADDRESS(ROW(Damage!$F$1)+D$1,COLUMN(Damage!$F$1))))</f>
        <v>1.344809128731661</v>
      </c>
      <c r="E15" s="49">
        <f ca="1">(INDIRECT("'Damage'!"&amp;ADDRESS(ROW(Damage!$F$1)+$A15,COLUMN(Damage!$F$1)))*($A$1+E$1)/($A$1+$A15))/(INDIRECT("'Damage'!"&amp;ADDRESS(ROW(Damage!$F$1)+E$1,COLUMN(Damage!$F$1))))</f>
        <v>1.2192579586933421</v>
      </c>
      <c r="F15" s="49">
        <f ca="1">(INDIRECT("'Damage'!"&amp;ADDRESS(ROW(Damage!$F$1)+$A15,COLUMN(Damage!$F$1)))*($A$1+F$1)/($A$1+$A15))/(INDIRECT("'Damage'!"&amp;ADDRESS(ROW(Damage!$F$1)+F$1,COLUMN(Damage!$F$1))))</f>
        <v>1.1657404380516512</v>
      </c>
      <c r="G15" s="49">
        <f ca="1">(INDIRECT("'Damage'!"&amp;ADDRESS(ROW(Damage!$F$1)+$A15,COLUMN(Damage!$F$1)))*($A$1+G$1)/($A$1+$A15))/(INDIRECT("'Damage'!"&amp;ADDRESS(ROW(Damage!$F$1)+G$1,COLUMN(Damage!$F$1))))</f>
        <v>1.1090701364646143</v>
      </c>
      <c r="H15" s="49">
        <f ca="1">(INDIRECT("'Damage'!"&amp;ADDRESS(ROW(Damage!$F$1)+$A15,COLUMN(Damage!$F$1)))*($A$1+H$1)/($A$1+$A15))/(INDIRECT("'Damage'!"&amp;ADDRESS(ROW(Damage!$F$1)+H$1,COLUMN(Damage!$F$1))))</f>
        <v>1.0530243645774051</v>
      </c>
      <c r="I15" s="49">
        <f ca="1">(INDIRECT("'Damage'!"&amp;ADDRESS(ROW(Damage!$F$1)+$A15,COLUMN(Damage!$F$1)))*($A$1+I$1)/($A$1+$A15))/(INDIRECT("'Damage'!"&amp;ADDRESS(ROW(Damage!$F$1)+I$1,COLUMN(Damage!$F$1))))</f>
        <v>1.0379337328701759</v>
      </c>
      <c r="J15" s="49">
        <f ca="1">(INDIRECT("'Damage'!"&amp;ADDRESS(ROW(Damage!$F$1)+$A15,COLUMN(Damage!$F$1)))*($A$1+J$1)/($A$1+$A15))/(INDIRECT("'Damage'!"&amp;ADDRESS(ROW(Damage!$F$1)+J$1,COLUMN(Damage!$F$1))))</f>
        <v>1.0026943092160483</v>
      </c>
      <c r="K15" s="49">
        <f ca="1">(INDIRECT("'Damage'!"&amp;ADDRESS(ROW(Damage!$F$1)+$A15,COLUMN(Damage!$F$1)))*($A$1+K$1)/($A$1+$A15))/(INDIRECT("'Damage'!"&amp;ADDRESS(ROW(Damage!$F$1)+K$1,COLUMN(Damage!$F$1))))</f>
        <v>0.99509178064387893</v>
      </c>
      <c r="L15" s="49">
        <f ca="1">(INDIRECT("'Damage'!"&amp;ADDRESS(ROW(Damage!$F$1)+$A15,COLUMN(Damage!$F$1)))*($A$1+L$1)/($A$1+$A15))/(INDIRECT("'Damage'!"&amp;ADDRESS(ROW(Damage!$F$1)+L$1,COLUMN(Damage!$F$1))))</f>
        <v>0.97040364305250326</v>
      </c>
      <c r="M15" s="49">
        <f ca="1">(INDIRECT("'Damage'!"&amp;ADDRESS(ROW(Damage!$F$1)+$A15,COLUMN(Damage!$F$1)))*($A$1+M$1)/($A$1+$A15))/(INDIRECT("'Damage'!"&amp;ADDRESS(ROW(Damage!$F$1)+M$1,COLUMN(Damage!$F$1))))</f>
        <v>0.96646345351818075</v>
      </c>
      <c r="N15" s="49">
        <f ca="1">(INDIRECT("'Damage'!"&amp;ADDRESS(ROW(Damage!$F$1)+$A15,COLUMN(Damage!$F$1)))*($A$1+N$1)/($A$1+$A15))/(INDIRECT("'Damage'!"&amp;ADDRESS(ROW(Damage!$F$1)+N$1,COLUMN(Damage!$F$1))))</f>
        <v>0.94792774265917301</v>
      </c>
      <c r="O15" s="49">
        <f ca="1">(INDIRECT("'Damage'!"&amp;ADDRESS(ROW(Damage!$F$1)+$A15,COLUMN(Damage!$F$1)))*($A$1+O$1)/($A$1+$A15))/(INDIRECT("'Damage'!"&amp;ADDRESS(ROW(Damage!$F$1)+O$1,COLUMN(Damage!$F$1))))</f>
        <v>0.93225994243146215</v>
      </c>
      <c r="P15" s="49">
        <f ca="1">(INDIRECT("'Damage'!"&amp;ADDRESS(ROW(Damage!$F$1)+$A15,COLUMN(Damage!$F$1)))*($A$1+P$1)/($A$1+$A15))/(INDIRECT("'Damage'!"&amp;ADDRESS(ROW(Damage!$F$1)+P$1,COLUMN(Damage!$F$1))))</f>
        <v>0.93138214515744577</v>
      </c>
      <c r="Q15" s="49">
        <f ca="1">(INDIRECT("'Damage'!"&amp;ADDRESS(ROW(Damage!$F$1)+$A15,COLUMN(Damage!$F$1)))*($A$1+Q$1)/($A$1+$A15))/(INDIRECT("'Damage'!"&amp;ADDRESS(ROW(Damage!$F$1)+Q$1,COLUMN(Damage!$F$1))))</f>
        <v>0.91295657341228376</v>
      </c>
      <c r="R15" s="49">
        <f ca="1">(INDIRECT("'Damage'!"&amp;ADDRESS(ROW(Damage!$F$1)+$A15,COLUMN(Damage!$F$1)))*($A$1+R$1)/($A$1+$A15))/(INDIRECT("'Damage'!"&amp;ADDRESS(ROW(Damage!$F$1)+R$1,COLUMN(Damage!$F$1))))</f>
        <v>0.91318822023047375</v>
      </c>
      <c r="S15" s="49">
        <f ca="1">(INDIRECT("'Damage'!"&amp;ADDRESS(ROW(Damage!$F$1)+$A15,COLUMN(Damage!$F$1)))*($A$1+S$1)/($A$1+$A15))/(INDIRECT("'Damage'!"&amp;ADDRESS(ROW(Damage!$F$1)+S$1,COLUMN(Damage!$F$1))))</f>
        <v>0.89804982621183427</v>
      </c>
      <c r="T15" s="49">
        <f ca="1">(INDIRECT("'Damage'!"&amp;ADDRESS(ROW(Damage!$F$1)+$A15,COLUMN(Damage!$F$1)))*($A$1+T$1)/($A$1+$A15))/(INDIRECT("'Damage'!"&amp;ADDRESS(ROW(Damage!$F$1)+T$1,COLUMN(Damage!$F$1))))</f>
        <v>0.8989463905738877</v>
      </c>
      <c r="U15" s="49">
        <f ca="1">(INDIRECT("'Damage'!"&amp;ADDRESS(ROW(Damage!$F$1)+$A15,COLUMN(Damage!$F$1)))*($A$1+U$1)/($A$1+$A15))/(INDIRECT("'Damage'!"&amp;ADDRESS(ROW(Damage!$F$1)+U$1,COLUMN(Damage!$F$1))))</f>
        <v>0.88619118177384715</v>
      </c>
      <c r="V15" s="49">
        <f ca="1">(INDIRECT("'Damage'!"&amp;ADDRESS(ROW(Damage!$F$1)+$A15,COLUMN(Damage!$F$1)))*($A$1+V$1)/($A$1+$A15))/(INDIRECT("'Damage'!"&amp;ADDRESS(ROW(Damage!$F$1)+V$1,COLUMN(Damage!$F$1))))</f>
        <v>0.88749509855705089</v>
      </c>
    </row>
    <row r="16" spans="1:22">
      <c r="A16" s="1">
        <v>29</v>
      </c>
      <c r="B16" s="49">
        <f ca="1">(INDIRECT("'Damage'!"&amp;ADDRESS(ROW(Damage!$F$1)+$A16,COLUMN(Damage!$F$1)))*($A$1+B$1)/($A$1+$A16))/(INDIRECT("'Damage'!"&amp;ADDRESS(ROW(Damage!$F$1)+B$1,COLUMN(Damage!$F$1))))</f>
        <v>2.0716278267204773</v>
      </c>
      <c r="C16" s="49">
        <f ca="1">(INDIRECT("'Damage'!"&amp;ADDRESS(ROW(Damage!$F$1)+$A16,COLUMN(Damage!$F$1)))*($A$1+C$1)/($A$1+$A16))/(INDIRECT("'Damage'!"&amp;ADDRESS(ROW(Damage!$F$1)+C$1,COLUMN(Damage!$F$1))))</f>
        <v>1.594435317008619</v>
      </c>
      <c r="D16" s="49">
        <f ca="1">(INDIRECT("'Damage'!"&amp;ADDRESS(ROW(Damage!$F$1)+$A16,COLUMN(Damage!$F$1)))*($A$1+D$1)/($A$1+$A16))/(INDIRECT("'Damage'!"&amp;ADDRESS(ROW(Damage!$F$1)+D$1,COLUMN(Damage!$F$1))))</f>
        <v>1.3514423040068684</v>
      </c>
      <c r="E16" s="49">
        <f ca="1">(INDIRECT("'Damage'!"&amp;ADDRESS(ROW(Damage!$F$1)+$A16,COLUMN(Damage!$F$1)))*($A$1+E$1)/($A$1+$A16))/(INDIRECT("'Damage'!"&amp;ADDRESS(ROW(Damage!$F$1)+E$1,COLUMN(Damage!$F$1))))</f>
        <v>1.2252718617617517</v>
      </c>
      <c r="F16" s="49">
        <f ca="1">(INDIRECT("'Damage'!"&amp;ADDRESS(ROW(Damage!$F$1)+$A16,COLUMN(Damage!$F$1)))*($A$1+F$1)/($A$1+$A16))/(INDIRECT("'Damage'!"&amp;ADDRESS(ROW(Damage!$F$1)+F$1,COLUMN(Damage!$F$1))))</f>
        <v>1.1714903697600167</v>
      </c>
      <c r="G16" s="49">
        <f ca="1">(INDIRECT("'Damage'!"&amp;ADDRESS(ROW(Damage!$F$1)+$A16,COLUMN(Damage!$F$1)))*($A$1+G$1)/($A$1+$A16))/(INDIRECT("'Damage'!"&amp;ADDRESS(ROW(Damage!$F$1)+G$1,COLUMN(Damage!$F$1))))</f>
        <v>1.1145405459454054</v>
      </c>
      <c r="H16" s="49">
        <f ca="1">(INDIRECT("'Damage'!"&amp;ADDRESS(ROW(Damage!$F$1)+$A16,COLUMN(Damage!$F$1)))*($A$1+H$1)/($A$1+$A16))/(INDIRECT("'Damage'!"&amp;ADDRESS(ROW(Damage!$F$1)+H$1,COLUMN(Damage!$F$1))))</f>
        <v>1.0582183322788987</v>
      </c>
      <c r="I16" s="49">
        <f ca="1">(INDIRECT("'Damage'!"&amp;ADDRESS(ROW(Damage!$F$1)+$A16,COLUMN(Damage!$F$1)))*($A$1+I$1)/($A$1+$A16))/(INDIRECT("'Damage'!"&amp;ADDRESS(ROW(Damage!$F$1)+I$1,COLUMN(Damage!$F$1))))</f>
        <v>1.043053267105247</v>
      </c>
      <c r="J16" s="49">
        <f ca="1">(INDIRECT("'Damage'!"&amp;ADDRESS(ROW(Damage!$F$1)+$A16,COLUMN(Damage!$F$1)))*($A$1+J$1)/($A$1+$A16))/(INDIRECT("'Damage'!"&amp;ADDRESS(ROW(Damage!$F$1)+J$1,COLUMN(Damage!$F$1))))</f>
        <v>1.0076400275030413</v>
      </c>
      <c r="K16" s="49">
        <f ca="1">(INDIRECT("'Damage'!"&amp;ADDRESS(ROW(Damage!$F$1)+$A16,COLUMN(Damage!$F$1)))*($A$1+K$1)/($A$1+$A16))/(INDIRECT("'Damage'!"&amp;ADDRESS(ROW(Damage!$F$1)+K$1,COLUMN(Damage!$F$1))))</f>
        <v>1</v>
      </c>
      <c r="L16" s="49">
        <f ca="1">(INDIRECT("'Damage'!"&amp;ADDRESS(ROW(Damage!$F$1)+$A16,COLUMN(Damage!$F$1)))*($A$1+L$1)/($A$1+$A16))/(INDIRECT("'Damage'!"&amp;ADDRESS(ROW(Damage!$F$1)+L$1,COLUMN(Damage!$F$1))))</f>
        <v>0.97519008992778444</v>
      </c>
      <c r="M16" s="49">
        <f ca="1">(INDIRECT("'Damage'!"&amp;ADDRESS(ROW(Damage!$F$1)+$A16,COLUMN(Damage!$F$1)))*($A$1+M$1)/($A$1+$A16))/(INDIRECT("'Damage'!"&amp;ADDRESS(ROW(Damage!$F$1)+M$1,COLUMN(Damage!$F$1))))</f>
        <v>0.97123046568913085</v>
      </c>
      <c r="N16" s="49">
        <f ca="1">(INDIRECT("'Damage'!"&amp;ADDRESS(ROW(Damage!$F$1)+$A16,COLUMN(Damage!$F$1)))*($A$1+N$1)/($A$1+$A16))/(INDIRECT("'Damage'!"&amp;ADDRESS(ROW(Damage!$F$1)+N$1,COLUMN(Damage!$F$1))))</f>
        <v>0.95260332875607912</v>
      </c>
      <c r="O16" s="49">
        <f ca="1">(INDIRECT("'Damage'!"&amp;ADDRESS(ROW(Damage!$F$1)+$A16,COLUMN(Damage!$F$1)))*($A$1+O$1)/($A$1+$A16))/(INDIRECT("'Damage'!"&amp;ADDRESS(ROW(Damage!$F$1)+O$1,COLUMN(Damage!$F$1))))</f>
        <v>0.93685824821931385</v>
      </c>
      <c r="P16" s="49">
        <f ca="1">(INDIRECT("'Damage'!"&amp;ADDRESS(ROW(Damage!$F$1)+$A16,COLUMN(Damage!$F$1)))*($A$1+P$1)/($A$1+$A16))/(INDIRECT("'Damage'!"&amp;ADDRESS(ROW(Damage!$F$1)+P$1,COLUMN(Damage!$F$1))))</f>
        <v>0.93597612127274388</v>
      </c>
      <c r="Q16" s="49">
        <f ca="1">(INDIRECT("'Damage'!"&amp;ADDRESS(ROW(Damage!$F$1)+$A16,COLUMN(Damage!$F$1)))*($A$1+Q$1)/($A$1+$A16))/(INDIRECT("'Damage'!"&amp;ADDRESS(ROW(Damage!$F$1)+Q$1,COLUMN(Damage!$F$1))))</f>
        <v>0.91745966670687484</v>
      </c>
      <c r="R16" s="49">
        <f ca="1">(INDIRECT("'Damage'!"&amp;ADDRESS(ROW(Damage!$F$1)+$A16,COLUMN(Damage!$F$1)))*($A$1+R$1)/($A$1+$A16))/(INDIRECT("'Damage'!"&amp;ADDRESS(ROW(Damage!$F$1)+R$1,COLUMN(Damage!$F$1))))</f>
        <v>0.91769245610650219</v>
      </c>
      <c r="S16" s="49">
        <f ca="1">(INDIRECT("'Damage'!"&amp;ADDRESS(ROW(Damage!$F$1)+$A16,COLUMN(Damage!$F$1)))*($A$1+S$1)/($A$1+$A16))/(INDIRECT("'Damage'!"&amp;ADDRESS(ROW(Damage!$F$1)+S$1,COLUMN(Damage!$F$1))))</f>
        <v>0.90247939303724012</v>
      </c>
      <c r="T16" s="49">
        <f ca="1">(INDIRECT("'Damage'!"&amp;ADDRESS(ROW(Damage!$F$1)+$A16,COLUMN(Damage!$F$1)))*($A$1+T$1)/($A$1+$A16))/(INDIRECT("'Damage'!"&amp;ADDRESS(ROW(Damage!$F$1)+T$1,COLUMN(Damage!$F$1))))</f>
        <v>0.90338037963917261</v>
      </c>
      <c r="U16" s="49">
        <f ca="1">(INDIRECT("'Damage'!"&amp;ADDRESS(ROW(Damage!$F$1)+$A16,COLUMN(Damage!$F$1)))*($A$1+U$1)/($A$1+$A16))/(INDIRECT("'Damage'!"&amp;ADDRESS(ROW(Damage!$F$1)+U$1,COLUMN(Damage!$F$1))))</f>
        <v>0.8905622566799144</v>
      </c>
      <c r="V16" s="49">
        <f ca="1">(INDIRECT("'Damage'!"&amp;ADDRESS(ROW(Damage!$F$1)+$A16,COLUMN(Damage!$F$1)))*($A$1+V$1)/($A$1+$A16))/(INDIRECT("'Damage'!"&amp;ADDRESS(ROW(Damage!$F$1)+V$1,COLUMN(Damage!$F$1))))</f>
        <v>0.89187260493981069</v>
      </c>
    </row>
    <row r="17" spans="1:22">
      <c r="A17" s="1">
        <v>31</v>
      </c>
      <c r="B17" s="49">
        <f ca="1">(INDIRECT("'Damage'!"&amp;ADDRESS(ROW(Damage!$F$1)+$A17,COLUMN(Damage!$F$1)))*($A$1+B$1)/($A$1+$A17))/(INDIRECT("'Damage'!"&amp;ADDRESS(ROW(Damage!$F$1)+B$1,COLUMN(Damage!$F$1))))</f>
        <v>2.0807394145392748</v>
      </c>
      <c r="C17" s="49">
        <f ca="1">(INDIRECT("'Damage'!"&amp;ADDRESS(ROW(Damage!$F$1)+$A17,COLUMN(Damage!$F$1)))*($A$1+C$1)/($A$1+$A17))/(INDIRECT("'Damage'!"&amp;ADDRESS(ROW(Damage!$F$1)+C$1,COLUMN(Damage!$F$1))))</f>
        <v>1.6014480811861087</v>
      </c>
      <c r="D17" s="49">
        <f ca="1">(INDIRECT("'Damage'!"&amp;ADDRESS(ROW(Damage!$F$1)+$A17,COLUMN(Damage!$F$1)))*($A$1+D$1)/($A$1+$A17))/(INDIRECT("'Damage'!"&amp;ADDRESS(ROW(Damage!$F$1)+D$1,COLUMN(Damage!$F$1))))</f>
        <v>1.3573863182145218</v>
      </c>
      <c r="E17" s="49">
        <f ca="1">(INDIRECT("'Damage'!"&amp;ADDRESS(ROW(Damage!$F$1)+$A17,COLUMN(Damage!$F$1)))*($A$1+E$1)/($A$1+$A17))/(INDIRECT("'Damage'!"&amp;ADDRESS(ROW(Damage!$F$1)+E$1,COLUMN(Damage!$F$1))))</f>
        <v>1.2306609437321447</v>
      </c>
      <c r="F17" s="49">
        <f ca="1">(INDIRECT("'Damage'!"&amp;ADDRESS(ROW(Damage!$F$1)+$A17,COLUMN(Damage!$F$1)))*($A$1+F$1)/($A$1+$A17))/(INDIRECT("'Damage'!"&amp;ADDRESS(ROW(Damage!$F$1)+F$1,COLUMN(Damage!$F$1))))</f>
        <v>1.1766429059662145</v>
      </c>
      <c r="G17" s="49">
        <f ca="1">(INDIRECT("'Damage'!"&amp;ADDRESS(ROW(Damage!$F$1)+$A17,COLUMN(Damage!$F$1)))*($A$1+G$1)/($A$1+$A17))/(INDIRECT("'Damage'!"&amp;ADDRESS(ROW(Damage!$F$1)+G$1,COLUMN(Damage!$F$1))))</f>
        <v>1.1194426011944261</v>
      </c>
      <c r="H17" s="49">
        <f ca="1">(INDIRECT("'Damage'!"&amp;ADDRESS(ROW(Damage!$F$1)+$A17,COLUMN(Damage!$F$1)))*($A$1+H$1)/($A$1+$A17))/(INDIRECT("'Damage'!"&amp;ADDRESS(ROW(Damage!$F$1)+H$1,COLUMN(Damage!$F$1))))</f>
        <v>1.0628726669724446</v>
      </c>
      <c r="I17" s="49">
        <f ca="1">(INDIRECT("'Damage'!"&amp;ADDRESS(ROW(Damage!$F$1)+$A17,COLUMN(Damage!$F$1)))*($A$1+I$1)/($A$1+$A17))/(INDIRECT("'Damage'!"&amp;ADDRESS(ROW(Damage!$F$1)+I$1,COLUMN(Damage!$F$1))))</f>
        <v>1.0476409016795321</v>
      </c>
      <c r="J17" s="49">
        <f ca="1">(INDIRECT("'Damage'!"&amp;ADDRESS(ROW(Damage!$F$1)+$A17,COLUMN(Damage!$F$1)))*($A$1+J$1)/($A$1+$A17))/(INDIRECT("'Damage'!"&amp;ADDRESS(ROW(Damage!$F$1)+J$1,COLUMN(Damage!$F$1))))</f>
        <v>1.0120719049290479</v>
      </c>
      <c r="K17" s="49">
        <f ca="1">(INDIRECT("'Damage'!"&amp;ADDRESS(ROW(Damage!$F$1)+$A17,COLUMN(Damage!$F$1)))*($A$1+K$1)/($A$1+$A17))/(INDIRECT("'Damage'!"&amp;ADDRESS(ROW(Damage!$F$1)+K$1,COLUMN(Damage!$F$1))))</f>
        <v>1.0043982744879527</v>
      </c>
      <c r="L17" s="49">
        <f ca="1">(INDIRECT("'Damage'!"&amp;ADDRESS(ROW(Damage!$F$1)+$A17,COLUMN(Damage!$F$1)))*($A$1+L$1)/($A$1+$A17))/(INDIRECT("'Damage'!"&amp;ADDRESS(ROW(Damage!$F$1)+L$1,COLUMN(Damage!$F$1))))</f>
        <v>0.97947924362121808</v>
      </c>
      <c r="M17" s="49">
        <f ca="1">(INDIRECT("'Damage'!"&amp;ADDRESS(ROW(Damage!$F$1)+$A17,COLUMN(Damage!$F$1)))*($A$1+M$1)/($A$1+$A17))/(INDIRECT("'Damage'!"&amp;ADDRESS(ROW(Damage!$F$1)+M$1,COLUMN(Damage!$F$1))))</f>
        <v>0.97550220386829367</v>
      </c>
      <c r="N17" s="49">
        <f ca="1">(INDIRECT("'Damage'!"&amp;ADDRESS(ROW(Damage!$F$1)+$A17,COLUMN(Damage!$F$1)))*($A$1+N$1)/($A$1+$A17))/(INDIRECT("'Damage'!"&amp;ADDRESS(ROW(Damage!$F$1)+N$1,COLUMN(Damage!$F$1))))</f>
        <v>0.95679313967408564</v>
      </c>
      <c r="O17" s="49">
        <f ca="1">(INDIRECT("'Damage'!"&amp;ADDRESS(ROW(Damage!$F$1)+$A17,COLUMN(Damage!$F$1)))*($A$1+O$1)/($A$1+$A17))/(INDIRECT("'Damage'!"&amp;ADDRESS(ROW(Damage!$F$1)+O$1,COLUMN(Damage!$F$1))))</f>
        <v>0.94097880795128497</v>
      </c>
      <c r="P17" s="49">
        <f ca="1">(INDIRECT("'Damage'!"&amp;ADDRESS(ROW(Damage!$F$1)+$A17,COLUMN(Damage!$F$1)))*($A$1+P$1)/($A$1+$A17))/(INDIRECT("'Damage'!"&amp;ADDRESS(ROW(Damage!$F$1)+P$1,COLUMN(Damage!$F$1))))</f>
        <v>0.94009280116827065</v>
      </c>
      <c r="Q17" s="49">
        <f ca="1">(INDIRECT("'Damage'!"&amp;ADDRESS(ROW(Damage!$F$1)+$A17,COLUMN(Damage!$F$1)))*($A$1+Q$1)/($A$1+$A17))/(INDIRECT("'Damage'!"&amp;ADDRESS(ROW(Damage!$F$1)+Q$1,COLUMN(Damage!$F$1))))</f>
        <v>0.92149490615267726</v>
      </c>
      <c r="R17" s="49">
        <f ca="1">(INDIRECT("'Damage'!"&amp;ADDRESS(ROW(Damage!$F$1)+$A17,COLUMN(Damage!$F$1)))*($A$1+R$1)/($A$1+$A17))/(INDIRECT("'Damage'!"&amp;ADDRESS(ROW(Damage!$F$1)+R$1,COLUMN(Damage!$F$1))))</f>
        <v>0.92172871942398193</v>
      </c>
      <c r="S17" s="49">
        <f ca="1">(INDIRECT("'Damage'!"&amp;ADDRESS(ROW(Damage!$F$1)+$A17,COLUMN(Damage!$F$1)))*($A$1+S$1)/($A$1+$A17))/(INDIRECT("'Damage'!"&amp;ADDRESS(ROW(Damage!$F$1)+S$1,COLUMN(Damage!$F$1))))</f>
        <v>0.90644874512753881</v>
      </c>
      <c r="T17" s="49">
        <f ca="1">(INDIRECT("'Damage'!"&amp;ADDRESS(ROW(Damage!$F$1)+$A17,COLUMN(Damage!$F$1)))*($A$1+T$1)/($A$1+$A17))/(INDIRECT("'Damage'!"&amp;ADDRESS(ROW(Damage!$F$1)+T$1,COLUMN(Damage!$F$1))))</f>
        <v>0.90735369451585668</v>
      </c>
      <c r="U17" s="49">
        <f ca="1">(INDIRECT("'Damage'!"&amp;ADDRESS(ROW(Damage!$F$1)+$A17,COLUMN(Damage!$F$1)))*($A$1+U$1)/($A$1+$A17))/(INDIRECT("'Damage'!"&amp;ADDRESS(ROW(Damage!$F$1)+U$1,COLUMN(Damage!$F$1))))</f>
        <v>0.89447919393340325</v>
      </c>
      <c r="V17" s="49">
        <f ca="1">(INDIRECT("'Damage'!"&amp;ADDRESS(ROW(Damage!$F$1)+$A17,COLUMN(Damage!$F$1)))*($A$1+V$1)/($A$1+$A17))/(INDIRECT("'Damage'!"&amp;ADDRESS(ROW(Damage!$F$1)+V$1,COLUMN(Damage!$F$1))))</f>
        <v>0.89579530546462127</v>
      </c>
    </row>
    <row r="18" spans="1:22">
      <c r="A18" s="1">
        <v>33</v>
      </c>
      <c r="B18" s="49">
        <f ca="1">(INDIRECT("'Damage'!"&amp;ADDRESS(ROW(Damage!$F$1)+$A18,COLUMN(Damage!$F$1)))*($A$1+B$1)/($A$1+$A18))/(INDIRECT("'Damage'!"&amp;ADDRESS(ROW(Damage!$F$1)+B$1,COLUMN(Damage!$F$1))))</f>
        <v>2.1273617914625613</v>
      </c>
      <c r="C18" s="49">
        <f ca="1">(INDIRECT("'Damage'!"&amp;ADDRESS(ROW(Damage!$F$1)+$A18,COLUMN(Damage!$F$1)))*($A$1+C$1)/($A$1+$A18))/(INDIRECT("'Damage'!"&amp;ADDRESS(ROW(Damage!$F$1)+C$1,COLUMN(Damage!$F$1))))</f>
        <v>1.6373311502251333</v>
      </c>
      <c r="D18" s="49">
        <f ca="1">(INDIRECT("'Damage'!"&amp;ADDRESS(ROW(Damage!$F$1)+$A18,COLUMN(Damage!$F$1)))*($A$1+D$1)/($A$1+$A18))/(INDIRECT("'Damage'!"&amp;ADDRESS(ROW(Damage!$F$1)+D$1,COLUMN(Damage!$F$1))))</f>
        <v>1.3878007834359261</v>
      </c>
      <c r="E18" s="49">
        <f ca="1">(INDIRECT("'Damage'!"&amp;ADDRESS(ROW(Damage!$F$1)+$A18,COLUMN(Damage!$F$1)))*($A$1+E$1)/($A$1+$A18))/(INDIRECT("'Damage'!"&amp;ADDRESS(ROW(Damage!$F$1)+E$1,COLUMN(Damage!$F$1))))</f>
        <v>1.2582359192348567</v>
      </c>
      <c r="F18" s="49">
        <f ca="1">(INDIRECT("'Damage'!"&amp;ADDRESS(ROW(Damage!$F$1)+$A18,COLUMN(Damage!$F$1)))*($A$1+F$1)/($A$1+$A18))/(INDIRECT("'Damage'!"&amp;ADDRESS(ROW(Damage!$F$1)+F$1,COLUMN(Damage!$F$1))))</f>
        <v>1.2030075187969926</v>
      </c>
      <c r="G18" s="49">
        <f ca="1">(INDIRECT("'Damage'!"&amp;ADDRESS(ROW(Damage!$F$1)+$A18,COLUMN(Damage!$F$1)))*($A$1+G$1)/($A$1+$A18))/(INDIRECT("'Damage'!"&amp;ADDRESS(ROW(Damage!$F$1)+G$1,COLUMN(Damage!$F$1))))</f>
        <v>1.1445255474452556</v>
      </c>
      <c r="H18" s="49">
        <f ca="1">(INDIRECT("'Damage'!"&amp;ADDRESS(ROW(Damage!$F$1)+$A18,COLUMN(Damage!$F$1)))*($A$1+H$1)/($A$1+$A18))/(INDIRECT("'Damage'!"&amp;ADDRESS(ROW(Damage!$F$1)+H$1,COLUMN(Damage!$F$1))))</f>
        <v>1.0866880711286737</v>
      </c>
      <c r="I18" s="49">
        <f ca="1">(INDIRECT("'Damage'!"&amp;ADDRESS(ROW(Damage!$F$1)+$A18,COLUMN(Damage!$F$1)))*($A$1+I$1)/($A$1+$A18))/(INDIRECT("'Damage'!"&amp;ADDRESS(ROW(Damage!$F$1)+I$1,COLUMN(Damage!$F$1))))</f>
        <v>1.0711150131694467</v>
      </c>
      <c r="J18" s="49">
        <f ca="1">(INDIRECT("'Damage'!"&amp;ADDRESS(ROW(Damage!$F$1)+$A18,COLUMN(Damage!$F$1)))*($A$1+J$1)/($A$1+$A18))/(INDIRECT("'Damage'!"&amp;ADDRESS(ROW(Damage!$F$1)+J$1,COLUMN(Damage!$F$1))))</f>
        <v>1.0347490347490347</v>
      </c>
      <c r="K18" s="49">
        <f ca="1">(INDIRECT("'Damage'!"&amp;ADDRESS(ROW(Damage!$F$1)+$A18,COLUMN(Damage!$F$1)))*($A$1+K$1)/($A$1+$A18))/(INDIRECT("'Damage'!"&amp;ADDRESS(ROW(Damage!$F$1)+K$1,COLUMN(Damage!$F$1))))</f>
        <v>1.0269034640407946</v>
      </c>
      <c r="L18" s="49">
        <f ca="1">(INDIRECT("'Damage'!"&amp;ADDRESS(ROW(Damage!$F$1)+$A18,COLUMN(Damage!$F$1)))*($A$1+L$1)/($A$1+$A18))/(INDIRECT("'Damage'!"&amp;ADDRESS(ROW(Damage!$F$1)+L$1,COLUMN(Damage!$F$1))))</f>
        <v>1.0014260814450959</v>
      </c>
      <c r="M18" s="49">
        <f ca="1">(INDIRECT("'Damage'!"&amp;ADDRESS(ROW(Damage!$F$1)+$A18,COLUMN(Damage!$F$1)))*($A$1+M$1)/($A$1+$A18))/(INDIRECT("'Damage'!"&amp;ADDRESS(ROW(Damage!$F$1)+M$1,COLUMN(Damage!$F$1))))</f>
        <v>0.99735992959812259</v>
      </c>
      <c r="N18" s="49">
        <f ca="1">(INDIRECT("'Damage'!"&amp;ADDRESS(ROW(Damage!$F$1)+$A18,COLUMN(Damage!$F$1)))*($A$1+N$1)/($A$1+$A18))/(INDIRECT("'Damage'!"&amp;ADDRESS(ROW(Damage!$F$1)+N$1,COLUMN(Damage!$F$1))))</f>
        <v>0.97823165815640944</v>
      </c>
      <c r="O18" s="49">
        <f ca="1">(INDIRECT("'Damage'!"&amp;ADDRESS(ROW(Damage!$F$1)+$A18,COLUMN(Damage!$F$1)))*($A$1+O$1)/($A$1+$A18))/(INDIRECT("'Damage'!"&amp;ADDRESS(ROW(Damage!$F$1)+O$1,COLUMN(Damage!$F$1))))</f>
        <v>0.96206298041160421</v>
      </c>
      <c r="P18" s="49">
        <f ca="1">(INDIRECT("'Damage'!"&amp;ADDRESS(ROW(Damage!$F$1)+$A18,COLUMN(Damage!$F$1)))*($A$1+P$1)/($A$1+$A18))/(INDIRECT("'Damage'!"&amp;ADDRESS(ROW(Damage!$F$1)+P$1,COLUMN(Damage!$F$1))))</f>
        <v>0.96115712119444752</v>
      </c>
      <c r="Q18" s="49">
        <f ca="1">(INDIRECT("'Damage'!"&amp;ADDRESS(ROW(Damage!$F$1)+$A18,COLUMN(Damage!$F$1)))*($A$1+Q$1)/($A$1+$A18))/(INDIRECT("'Damage'!"&amp;ADDRESS(ROW(Damage!$F$1)+Q$1,COLUMN(Damage!$F$1))))</f>
        <v>0.94214250985900283</v>
      </c>
      <c r="R18" s="49">
        <f ca="1">(INDIRECT("'Damage'!"&amp;ADDRESS(ROW(Damage!$F$1)+$A18,COLUMN(Damage!$F$1)))*($A$1+R$1)/($A$1+$A18))/(INDIRECT("'Damage'!"&amp;ADDRESS(ROW(Damage!$F$1)+R$1,COLUMN(Damage!$F$1))))</f>
        <v>0.94238156209987201</v>
      </c>
      <c r="S18" s="49">
        <f ca="1">(INDIRECT("'Damage'!"&amp;ADDRESS(ROW(Damage!$F$1)+$A18,COLUMN(Damage!$F$1)))*($A$1+S$1)/($A$1+$A18))/(INDIRECT("'Damage'!"&amp;ADDRESS(ROW(Damage!$F$1)+S$1,COLUMN(Damage!$F$1))))</f>
        <v>0.92675921493537583</v>
      </c>
      <c r="T18" s="49">
        <f ca="1">(INDIRECT("'Damage'!"&amp;ADDRESS(ROW(Damage!$F$1)+$A18,COLUMN(Damage!$F$1)))*($A$1+T$1)/($A$1+$A18))/(INDIRECT("'Damage'!"&amp;ADDRESS(ROW(Damage!$F$1)+T$1,COLUMN(Damage!$F$1))))</f>
        <v>0.92768444119795479</v>
      </c>
      <c r="U18" s="49">
        <f ca="1">(INDIRECT("'Damage'!"&amp;ADDRESS(ROW(Damage!$F$1)+$A18,COLUMN(Damage!$F$1)))*($A$1+U$1)/($A$1+$A18))/(INDIRECT("'Damage'!"&amp;ADDRESS(ROW(Damage!$F$1)+U$1,COLUMN(Damage!$F$1))))</f>
        <v>0.91452146632859155</v>
      </c>
      <c r="V18" s="49">
        <f ca="1">(INDIRECT("'Damage'!"&amp;ADDRESS(ROW(Damage!$F$1)+$A18,COLUMN(Damage!$F$1)))*($A$1+V$1)/($A$1+$A18))/(INDIRECT("'Damage'!"&amp;ADDRESS(ROW(Damage!$F$1)+V$1,COLUMN(Damage!$F$1))))</f>
        <v>0.91586706749577884</v>
      </c>
    </row>
    <row r="19" spans="1:22">
      <c r="A19" s="1">
        <v>35</v>
      </c>
      <c r="B19" s="49">
        <f ca="1">(INDIRECT("'Damage'!"&amp;ADDRESS(ROW(Damage!$F$1)+$A19,COLUMN(Damage!$F$1)))*($A$1+B$1)/($A$1+$A19))/(INDIRECT("'Damage'!"&amp;ADDRESS(ROW(Damage!$F$1)+B$1,COLUMN(Damage!$F$1))))</f>
        <v>2.1329930432634914</v>
      </c>
      <c r="C19" s="49">
        <f ca="1">(INDIRECT("'Damage'!"&amp;ADDRESS(ROW(Damage!$F$1)+$A19,COLUMN(Damage!$F$1)))*($A$1+C$1)/($A$1+$A19))/(INDIRECT("'Damage'!"&amp;ADDRESS(ROW(Damage!$F$1)+C$1,COLUMN(Damage!$F$1))))</f>
        <v>1.6416652620933763</v>
      </c>
      <c r="D19" s="49">
        <f ca="1">(INDIRECT("'Damage'!"&amp;ADDRESS(ROW(Damage!$F$1)+$A19,COLUMN(Damage!$F$1)))*($A$1+D$1)/($A$1+$A19))/(INDIRECT("'Damage'!"&amp;ADDRESS(ROW(Damage!$F$1)+D$1,COLUMN(Damage!$F$1))))</f>
        <v>1.3914743737450213</v>
      </c>
      <c r="E19" s="49">
        <f ca="1">(INDIRECT("'Damage'!"&amp;ADDRESS(ROW(Damage!$F$1)+$A19,COLUMN(Damage!$F$1)))*($A$1+E$1)/($A$1+$A19))/(INDIRECT("'Damage'!"&amp;ADDRESS(ROW(Damage!$F$1)+E$1,COLUMN(Damage!$F$1))))</f>
        <v>1.261566543726949</v>
      </c>
      <c r="F19" s="49">
        <f ca="1">(INDIRECT("'Damage'!"&amp;ADDRESS(ROW(Damage!$F$1)+$A19,COLUMN(Damage!$F$1)))*($A$1+F$1)/($A$1+$A19))/(INDIRECT("'Damage'!"&amp;ADDRESS(ROW(Damage!$F$1)+F$1,COLUMN(Damage!$F$1))))</f>
        <v>1.2061919504643965</v>
      </c>
      <c r="G19" s="49">
        <f ca="1">(INDIRECT("'Damage'!"&amp;ADDRESS(ROW(Damage!$F$1)+$A19,COLUMN(Damage!$F$1)))*($A$1+G$1)/($A$1+$A19))/(INDIRECT("'Damage'!"&amp;ADDRESS(ROW(Damage!$F$1)+G$1,COLUMN(Damage!$F$1))))</f>
        <v>1.1475551738943752</v>
      </c>
      <c r="H19" s="49">
        <f ca="1">(INDIRECT("'Damage'!"&amp;ADDRESS(ROW(Damage!$F$1)+$A19,COLUMN(Damage!$F$1)))*($A$1+H$1)/($A$1+$A19))/(INDIRECT("'Damage'!"&amp;ADDRESS(ROW(Damage!$F$1)+H$1,COLUMN(Damage!$F$1))))</f>
        <v>1.0895645983757791</v>
      </c>
      <c r="I19" s="49">
        <f ca="1">(INDIRECT("'Damage'!"&amp;ADDRESS(ROW(Damage!$F$1)+$A19,COLUMN(Damage!$F$1)))*($A$1+I$1)/($A$1+$A19))/(INDIRECT("'Damage'!"&amp;ADDRESS(ROW(Damage!$F$1)+I$1,COLUMN(Damage!$F$1))))</f>
        <v>1.0739503176160716</v>
      </c>
      <c r="J19" s="49">
        <f ca="1">(INDIRECT("'Damage'!"&amp;ADDRESS(ROW(Damage!$F$1)+$A19,COLUMN(Damage!$F$1)))*($A$1+J$1)/($A$1+$A19))/(INDIRECT("'Damage'!"&amp;ADDRESS(ROW(Damage!$F$1)+J$1,COLUMN(Damage!$F$1))))</f>
        <v>1.0374880763116057</v>
      </c>
      <c r="K19" s="49">
        <f ca="1">(INDIRECT("'Damage'!"&amp;ADDRESS(ROW(Damage!$F$1)+$A19,COLUMN(Damage!$F$1)))*($A$1+K$1)/($A$1+$A19))/(INDIRECT("'Damage'!"&amp;ADDRESS(ROW(Damage!$F$1)+K$1,COLUMN(Damage!$F$1))))</f>
        <v>1.0296217379161969</v>
      </c>
      <c r="L19" s="49">
        <f ca="1">(INDIRECT("'Damage'!"&amp;ADDRESS(ROW(Damage!$F$1)+$A19,COLUMN(Damage!$F$1)))*($A$1+L$1)/($A$1+$A19))/(INDIRECT("'Damage'!"&amp;ADDRESS(ROW(Damage!$F$1)+L$1,COLUMN(Damage!$F$1))))</f>
        <v>1.0040769151900977</v>
      </c>
      <c r="M19" s="49">
        <f ca="1">(INDIRECT("'Damage'!"&amp;ADDRESS(ROW(Damage!$F$1)+$A19,COLUMN(Damage!$F$1)))*($A$1+M$1)/($A$1+$A19))/(INDIRECT("'Damage'!"&amp;ADDRESS(ROW(Damage!$F$1)+M$1,COLUMN(Damage!$F$1))))</f>
        <v>1</v>
      </c>
      <c r="N19" s="49">
        <f ca="1">(INDIRECT("'Damage'!"&amp;ADDRESS(ROW(Damage!$F$1)+$A19,COLUMN(Damage!$F$1)))*($A$1+N$1)/($A$1+$A19))/(INDIRECT("'Damage'!"&amp;ADDRESS(ROW(Damage!$F$1)+N$1,COLUMN(Damage!$F$1))))</f>
        <v>0.98082109489858837</v>
      </c>
      <c r="O19" s="49">
        <f ca="1">(INDIRECT("'Damage'!"&amp;ADDRESS(ROW(Damage!$F$1)+$A19,COLUMN(Damage!$F$1)))*($A$1+O$1)/($A$1+$A19))/(INDIRECT("'Damage'!"&amp;ADDRESS(ROW(Damage!$F$1)+O$1,COLUMN(Damage!$F$1))))</f>
        <v>0.96460961771269382</v>
      </c>
      <c r="P19" s="49">
        <f ca="1">(INDIRECT("'Damage'!"&amp;ADDRESS(ROW(Damage!$F$1)+$A19,COLUMN(Damage!$F$1)))*($A$1+P$1)/($A$1+$A19))/(INDIRECT("'Damage'!"&amp;ADDRESS(ROW(Damage!$F$1)+P$1,COLUMN(Damage!$F$1))))</f>
        <v>0.96370136063290346</v>
      </c>
      <c r="Q19" s="49">
        <f ca="1">(INDIRECT("'Damage'!"&amp;ADDRESS(ROW(Damage!$F$1)+$A19,COLUMN(Damage!$F$1)))*($A$1+Q$1)/($A$1+$A19))/(INDIRECT("'Damage'!"&amp;ADDRESS(ROW(Damage!$F$1)+Q$1,COLUMN(Damage!$F$1))))</f>
        <v>0.94463641650274732</v>
      </c>
      <c r="R19" s="49">
        <f ca="1">(INDIRECT("'Damage'!"&amp;ADDRESS(ROW(Damage!$F$1)+$A19,COLUMN(Damage!$F$1)))*($A$1+R$1)/($A$1+$A19))/(INDIRECT("'Damage'!"&amp;ADDRESS(ROW(Damage!$F$1)+R$1,COLUMN(Damage!$F$1))))</f>
        <v>0.94487610152895996</v>
      </c>
      <c r="S19" s="49">
        <f ca="1">(INDIRECT("'Damage'!"&amp;ADDRESS(ROW(Damage!$F$1)+$A19,COLUMN(Damage!$F$1)))*($A$1+S$1)/($A$1+$A19))/(INDIRECT("'Damage'!"&amp;ADDRESS(ROW(Damage!$F$1)+S$1,COLUMN(Damage!$F$1))))</f>
        <v>0.92921240109255765</v>
      </c>
      <c r="T19" s="49">
        <f ca="1">(INDIRECT("'Damage'!"&amp;ADDRESS(ROW(Damage!$F$1)+$A19,COLUMN(Damage!$F$1)))*($A$1+T$1)/($A$1+$A19))/(INDIRECT("'Damage'!"&amp;ADDRESS(ROW(Damage!$F$1)+T$1,COLUMN(Damage!$F$1))))</f>
        <v>0.93014007648347874</v>
      </c>
      <c r="U19" s="49">
        <f ca="1">(INDIRECT("'Damage'!"&amp;ADDRESS(ROW(Damage!$F$1)+$A19,COLUMN(Damage!$F$1)))*($A$1+U$1)/($A$1+$A19))/(INDIRECT("'Damage'!"&amp;ADDRESS(ROW(Damage!$F$1)+U$1,COLUMN(Damage!$F$1))))</f>
        <v>0.91694225844534372</v>
      </c>
      <c r="V19" s="49">
        <f ca="1">(INDIRECT("'Damage'!"&amp;ADDRESS(ROW(Damage!$F$1)+$A19,COLUMN(Damage!$F$1)))*($A$1+V$1)/($A$1+$A19))/(INDIRECT("'Damage'!"&amp;ADDRESS(ROW(Damage!$F$1)+V$1,COLUMN(Damage!$F$1))))</f>
        <v>0.91829142149797349</v>
      </c>
    </row>
    <row r="20" spans="1:22">
      <c r="A20" s="1">
        <v>37</v>
      </c>
      <c r="B20" s="49">
        <f ca="1">(INDIRECT("'Damage'!"&amp;ADDRESS(ROW(Damage!$F$1)+$A20,COLUMN(Damage!$F$1)))*($A$1+B$1)/($A$1+$A20))/(INDIRECT("'Damage'!"&amp;ADDRESS(ROW(Damage!$F$1)+B$1,COLUMN(Damage!$F$1))))</f>
        <v>2.1381181151272597</v>
      </c>
      <c r="C20" s="49">
        <f ca="1">(INDIRECT("'Damage'!"&amp;ADDRESS(ROW(Damage!$F$1)+$A20,COLUMN(Damage!$F$1)))*($A$1+C$1)/($A$1+$A20))/(INDIRECT("'Damage'!"&amp;ADDRESS(ROW(Damage!$F$1)+C$1,COLUMN(Damage!$F$1))))</f>
        <v>1.6456097908723391</v>
      </c>
      <c r="D20" s="49">
        <f ca="1">(INDIRECT("'Damage'!"&amp;ADDRESS(ROW(Damage!$F$1)+$A20,COLUMN(Damage!$F$1)))*($A$1+D$1)/($A$1+$A20))/(INDIRECT("'Damage'!"&amp;ADDRESS(ROW(Damage!$F$1)+D$1,COLUMN(Damage!$F$1))))</f>
        <v>1.3948177536892536</v>
      </c>
      <c r="E20" s="49">
        <f ca="1">(INDIRECT("'Damage'!"&amp;ADDRESS(ROW(Damage!$F$1)+$A20,COLUMN(Damage!$F$1)))*($A$1+E$1)/($A$1+$A20))/(INDIRECT("'Damage'!"&amp;ADDRESS(ROW(Damage!$F$1)+E$1,COLUMN(Damage!$F$1))))</f>
        <v>1.264597786242224</v>
      </c>
      <c r="F20" s="49">
        <f ca="1">(INDIRECT("'Damage'!"&amp;ADDRESS(ROW(Damage!$F$1)+$A20,COLUMN(Damage!$F$1)))*($A$1+F$1)/($A$1+$A20))/(INDIRECT("'Damage'!"&amp;ADDRESS(ROW(Damage!$F$1)+F$1,COLUMN(Damage!$F$1))))</f>
        <v>1.209090141083045</v>
      </c>
      <c r="G20" s="49">
        <f ca="1">(INDIRECT("'Damage'!"&amp;ADDRESS(ROW(Damage!$F$1)+$A20,COLUMN(Damage!$F$1)))*($A$1+G$1)/($A$1+$A20))/(INDIRECT("'Damage'!"&amp;ADDRESS(ROW(Damage!$F$1)+G$1,COLUMN(Damage!$F$1))))</f>
        <v>1.1503124743705404</v>
      </c>
      <c r="H20" s="49">
        <f ca="1">(INDIRECT("'Damage'!"&amp;ADDRESS(ROW(Damage!$F$1)+$A20,COLUMN(Damage!$F$1)))*($A$1+H$1)/($A$1+$A20))/(INDIRECT("'Damage'!"&amp;ADDRESS(ROW(Damage!$F$1)+H$1,COLUMN(Damage!$F$1))))</f>
        <v>1.0921825613759537</v>
      </c>
      <c r="I20" s="49">
        <f ca="1">(INDIRECT("'Damage'!"&amp;ADDRESS(ROW(Damage!$F$1)+$A20,COLUMN(Damage!$F$1)))*($A$1+I$1)/($A$1+$A20))/(INDIRECT("'Damage'!"&amp;ADDRESS(ROW(Damage!$F$1)+I$1,COLUMN(Damage!$F$1))))</f>
        <v>1.0765307632360337</v>
      </c>
      <c r="J20" s="49">
        <f ca="1">(INDIRECT("'Damage'!"&amp;ADDRESS(ROW(Damage!$F$1)+$A20,COLUMN(Damage!$F$1)))*($A$1+J$1)/($A$1+$A20))/(INDIRECT("'Damage'!"&amp;ADDRESS(ROW(Damage!$F$1)+J$1,COLUMN(Damage!$F$1))))</f>
        <v>1.0399809118910244</v>
      </c>
      <c r="K20" s="49">
        <f ca="1">(INDIRECT("'Damage'!"&amp;ADDRESS(ROW(Damage!$F$1)+$A20,COLUMN(Damage!$F$1)))*($A$1+K$1)/($A$1+$A20))/(INDIRECT("'Damage'!"&amp;ADDRESS(ROW(Damage!$F$1)+K$1,COLUMN(Damage!$F$1))))</f>
        <v>1.0320956725668438</v>
      </c>
      <c r="L20" s="49">
        <f ca="1">(INDIRECT("'Damage'!"&amp;ADDRESS(ROW(Damage!$F$1)+$A20,COLUMN(Damage!$F$1)))*($A$1+L$1)/($A$1+$A20))/(INDIRECT("'Damage'!"&amp;ADDRESS(ROW(Damage!$F$1)+L$1,COLUMN(Damage!$F$1))))</f>
        <v>1.0064894717445374</v>
      </c>
      <c r="M20" s="49">
        <f ca="1">(INDIRECT("'Damage'!"&amp;ADDRESS(ROW(Damage!$F$1)+$A20,COLUMN(Damage!$F$1)))*($A$1+M$1)/($A$1+$A20))/(INDIRECT("'Damage'!"&amp;ADDRESS(ROW(Damage!$F$1)+M$1,COLUMN(Damage!$F$1))))</f>
        <v>1.0024027607028323</v>
      </c>
      <c r="N20" s="49">
        <f ca="1">(INDIRECT("'Damage'!"&amp;ADDRESS(ROW(Damage!$F$1)+$A20,COLUMN(Damage!$F$1)))*($A$1+N$1)/($A$1+$A20))/(INDIRECT("'Damage'!"&amp;ADDRESS(ROW(Damage!$F$1)+N$1,COLUMN(Damage!$F$1))))</f>
        <v>0.98317777328191946</v>
      </c>
      <c r="O20" s="49">
        <f ca="1">(INDIRECT("'Damage'!"&amp;ADDRESS(ROW(Damage!$F$1)+$A20,COLUMN(Damage!$F$1)))*($A$1+O$1)/($A$1+$A20))/(INDIRECT("'Damage'!"&amp;ADDRESS(ROW(Damage!$F$1)+O$1,COLUMN(Damage!$F$1))))</f>
        <v>0.96692734379570788</v>
      </c>
      <c r="P20" s="49">
        <f ca="1">(INDIRECT("'Damage'!"&amp;ADDRESS(ROW(Damage!$F$1)+$A20,COLUMN(Damage!$F$1)))*($A$1+P$1)/($A$1+$A20))/(INDIRECT("'Damage'!"&amp;ADDRESS(ROW(Damage!$F$1)+P$1,COLUMN(Damage!$F$1))))</f>
        <v>0.96601690439149823</v>
      </c>
      <c r="Q20" s="49">
        <f ca="1">(INDIRECT("'Damage'!"&amp;ADDRESS(ROW(Damage!$F$1)+$A20,COLUMN(Damage!$F$1)))*($A$1+Q$1)/($A$1+$A20))/(INDIRECT("'Damage'!"&amp;ADDRESS(ROW(Damage!$F$1)+Q$1,COLUMN(Damage!$F$1))))</f>
        <v>0.94690615176278425</v>
      </c>
      <c r="R20" s="49">
        <f ca="1">(INDIRECT("'Damage'!"&amp;ADDRESS(ROW(Damage!$F$1)+$A20,COLUMN(Damage!$F$1)))*($A$1+R$1)/($A$1+$A20))/(INDIRECT("'Damage'!"&amp;ADDRESS(ROW(Damage!$F$1)+R$1,COLUMN(Damage!$F$1))))</f>
        <v>0.94714641269475897</v>
      </c>
      <c r="S20" s="49">
        <f ca="1">(INDIRECT("'Damage'!"&amp;ADDRESS(ROW(Damage!$F$1)+$A20,COLUMN(Damage!$F$1)))*($A$1+S$1)/($A$1+$A20))/(INDIRECT("'Damage'!"&amp;ADDRESS(ROW(Damage!$F$1)+S$1,COLUMN(Damage!$F$1))))</f>
        <v>0.93144507613448735</v>
      </c>
      <c r="T20" s="49">
        <f ca="1">(INDIRECT("'Damage'!"&amp;ADDRESS(ROW(Damage!$F$1)+$A20,COLUMN(Damage!$F$1)))*($A$1+T$1)/($A$1+$A20))/(INDIRECT("'Damage'!"&amp;ADDRESS(ROW(Damage!$F$1)+T$1,COLUMN(Damage!$F$1))))</f>
        <v>0.93237498050738266</v>
      </c>
      <c r="U20" s="49">
        <f ca="1">(INDIRECT("'Damage'!"&amp;ADDRESS(ROW(Damage!$F$1)+$A20,COLUMN(Damage!$F$1)))*($A$1+U$1)/($A$1+$A20))/(INDIRECT("'Damage'!"&amp;ADDRESS(ROW(Damage!$F$1)+U$1,COLUMN(Damage!$F$1))))</f>
        <v>0.91914545127070235</v>
      </c>
      <c r="V20" s="49">
        <f ca="1">(INDIRECT("'Damage'!"&amp;ADDRESS(ROW(Damage!$F$1)+$A20,COLUMN(Damage!$F$1)))*($A$1+V$1)/($A$1+$A20))/(INDIRECT("'Damage'!"&amp;ADDRESS(ROW(Damage!$F$1)+V$1,COLUMN(Damage!$F$1))))</f>
        <v>0.92049785603929679</v>
      </c>
    </row>
    <row r="21" spans="1:22">
      <c r="A21" s="1">
        <v>39</v>
      </c>
      <c r="B21" s="49">
        <f ca="1">(INDIRECT("'Damage'!"&amp;ADDRESS(ROW(Damage!$F$1)+$A21,COLUMN(Damage!$F$1)))*($A$1+B$1)/($A$1+$A21))/(INDIRECT("'Damage'!"&amp;ADDRESS(ROW(Damage!$F$1)+B$1,COLUMN(Damage!$F$1))))</f>
        <v>2.1762568003792411</v>
      </c>
      <c r="C21" s="49">
        <f ca="1">(INDIRECT("'Damage'!"&amp;ADDRESS(ROW(Damage!$F$1)+$A21,COLUMN(Damage!$F$1)))*($A$1+C$1)/($A$1+$A21))/(INDIRECT("'Damage'!"&amp;ADDRESS(ROW(Damage!$F$1)+C$1,COLUMN(Damage!$F$1))))</f>
        <v>1.6749633581133723</v>
      </c>
      <c r="D21" s="49">
        <f ca="1">(INDIRECT("'Damage'!"&amp;ADDRESS(ROW(Damage!$F$1)+$A21,COLUMN(Damage!$F$1)))*($A$1+D$1)/($A$1+$A21))/(INDIRECT("'Damage'!"&amp;ADDRESS(ROW(Damage!$F$1)+D$1,COLUMN(Damage!$F$1))))</f>
        <v>1.4196978175713484</v>
      </c>
      <c r="E21" s="49">
        <f ca="1">(INDIRECT("'Damage'!"&amp;ADDRESS(ROW(Damage!$F$1)+$A21,COLUMN(Damage!$F$1)))*($A$1+E$1)/($A$1+$A21))/(INDIRECT("'Damage'!"&amp;ADDRESS(ROW(Damage!$F$1)+E$1,COLUMN(Damage!$F$1))))</f>
        <v>1.2871550512495287</v>
      </c>
      <c r="F21" s="49">
        <f ca="1">(INDIRECT("'Damage'!"&amp;ADDRESS(ROW(Damage!$F$1)+$A21,COLUMN(Damage!$F$1)))*($A$1+F$1)/($A$1+$A21))/(INDIRECT("'Damage'!"&amp;ADDRESS(ROW(Damage!$F$1)+F$1,COLUMN(Damage!$F$1))))</f>
        <v>1.2306572883822462</v>
      </c>
      <c r="G21" s="49">
        <f ca="1">(INDIRECT("'Damage'!"&amp;ADDRESS(ROW(Damage!$F$1)+$A21,COLUMN(Damage!$F$1)))*($A$1+G$1)/($A$1+$A21))/(INDIRECT("'Damage'!"&amp;ADDRESS(ROW(Damage!$F$1)+G$1,COLUMN(Damage!$F$1))))</f>
        <v>1.1708311749470213</v>
      </c>
      <c r="H21" s="49">
        <f ca="1">(INDIRECT("'Damage'!"&amp;ADDRESS(ROW(Damage!$F$1)+$A21,COLUMN(Damage!$F$1)))*($A$1+H$1)/($A$1+$A21))/(INDIRECT("'Damage'!"&amp;ADDRESS(ROW(Damage!$F$1)+H$1,COLUMN(Damage!$F$1))))</f>
        <v>1.1116643695376796</v>
      </c>
      <c r="I21" s="49">
        <f ca="1">(INDIRECT("'Damage'!"&amp;ADDRESS(ROW(Damage!$F$1)+$A21,COLUMN(Damage!$F$1)))*($A$1+I$1)/($A$1+$A21))/(INDIRECT("'Damage'!"&amp;ADDRESS(ROW(Damage!$F$1)+I$1,COLUMN(Damage!$F$1))))</f>
        <v>1.0957333824237443</v>
      </c>
      <c r="J21" s="49">
        <f ca="1">(INDIRECT("'Damage'!"&amp;ADDRESS(ROW(Damage!$F$1)+$A21,COLUMN(Damage!$F$1)))*($A$1+J$1)/($A$1+$A21))/(INDIRECT("'Damage'!"&amp;ADDRESS(ROW(Damage!$F$1)+J$1,COLUMN(Damage!$F$1))))</f>
        <v>1.0585315730477021</v>
      </c>
      <c r="K21" s="49">
        <f ca="1">(INDIRECT("'Damage'!"&amp;ADDRESS(ROW(Damage!$F$1)+$A21,COLUMN(Damage!$F$1)))*($A$1+K$1)/($A$1+$A21))/(INDIRECT("'Damage'!"&amp;ADDRESS(ROW(Damage!$F$1)+K$1,COLUMN(Damage!$F$1))))</f>
        <v>1.0505056807546356</v>
      </c>
      <c r="L21" s="49">
        <f ca="1">(INDIRECT("'Damage'!"&amp;ADDRESS(ROW(Damage!$F$1)+$A21,COLUMN(Damage!$F$1)))*($A$1+L$1)/($A$1+$A21))/(INDIRECT("'Damage'!"&amp;ADDRESS(ROW(Damage!$F$1)+L$1,COLUMN(Damage!$F$1))))</f>
        <v>1.0244427292847613</v>
      </c>
      <c r="M21" s="49">
        <f ca="1">(INDIRECT("'Damage'!"&amp;ADDRESS(ROW(Damage!$F$1)+$A21,COLUMN(Damage!$F$1)))*($A$1+M$1)/($A$1+$A21))/(INDIRECT("'Damage'!"&amp;ADDRESS(ROW(Damage!$F$1)+M$1,COLUMN(Damage!$F$1))))</f>
        <v>1.0202831215284021</v>
      </c>
      <c r="N21" s="49">
        <f ca="1">(INDIRECT("'Damage'!"&amp;ADDRESS(ROW(Damage!$F$1)+$A21,COLUMN(Damage!$F$1)))*($A$1+N$1)/($A$1+$A21))/(INDIRECT("'Damage'!"&amp;ADDRESS(ROW(Damage!$F$1)+N$1,COLUMN(Damage!$F$1))))</f>
        <v>1.0007152083640369</v>
      </c>
      <c r="O21" s="49">
        <f ca="1">(INDIRECT("'Damage'!"&amp;ADDRESS(ROW(Damage!$F$1)+$A21,COLUMN(Damage!$F$1)))*($A$1+O$1)/($A$1+$A21))/(INDIRECT("'Damage'!"&amp;ADDRESS(ROW(Damage!$F$1)+O$1,COLUMN(Damage!$F$1))))</f>
        <v>0.98417491181622585</v>
      </c>
      <c r="P21" s="49">
        <f ca="1">(INDIRECT("'Damage'!"&amp;ADDRESS(ROW(Damage!$F$1)+$A21,COLUMN(Damage!$F$1)))*($A$1+P$1)/($A$1+$A21))/(INDIRECT("'Damage'!"&amp;ADDRESS(ROW(Damage!$F$1)+P$1,COLUMN(Damage!$F$1))))</f>
        <v>0.9832482324477072</v>
      </c>
      <c r="Q21" s="49">
        <f ca="1">(INDIRECT("'Damage'!"&amp;ADDRESS(ROW(Damage!$F$1)+$A21,COLUMN(Damage!$F$1)))*($A$1+Q$1)/($A$1+$A21))/(INDIRECT("'Damage'!"&amp;ADDRESS(ROW(Damage!$F$1)+Q$1,COLUMN(Damage!$F$1))))</f>
        <v>0.9637965917388267</v>
      </c>
      <c r="R21" s="49">
        <f ca="1">(INDIRECT("'Damage'!"&amp;ADDRESS(ROW(Damage!$F$1)+$A21,COLUMN(Damage!$F$1)))*($A$1+R$1)/($A$1+$A21))/(INDIRECT("'Damage'!"&amp;ADDRESS(ROW(Damage!$F$1)+R$1,COLUMN(Damage!$F$1))))</f>
        <v>0.9640411383255546</v>
      </c>
      <c r="S21" s="49">
        <f ca="1">(INDIRECT("'Damage'!"&amp;ADDRESS(ROW(Damage!$F$1)+$A21,COLUMN(Damage!$F$1)))*($A$1+S$1)/($A$1+$A21))/(INDIRECT("'Damage'!"&amp;ADDRESS(ROW(Damage!$F$1)+S$1,COLUMN(Damage!$F$1))))</f>
        <v>0.94805972914961634</v>
      </c>
      <c r="T21" s="49">
        <f ca="1">(INDIRECT("'Damage'!"&amp;ADDRESS(ROW(Damage!$F$1)+$A21,COLUMN(Damage!$F$1)))*($A$1+T$1)/($A$1+$A21))/(INDIRECT("'Damage'!"&amp;ADDRESS(ROW(Damage!$F$1)+T$1,COLUMN(Damage!$F$1))))</f>
        <v>0.94900622069323026</v>
      </c>
      <c r="U21" s="49">
        <f ca="1">(INDIRECT("'Damage'!"&amp;ADDRESS(ROW(Damage!$F$1)+$A21,COLUMN(Damage!$F$1)))*($A$1+U$1)/($A$1+$A21))/(INDIRECT("'Damage'!"&amp;ADDRESS(ROW(Damage!$F$1)+U$1,COLUMN(Damage!$F$1))))</f>
        <v>0.93554070970791792</v>
      </c>
      <c r="V21" s="49">
        <f ca="1">(INDIRECT("'Damage'!"&amp;ADDRESS(ROW(Damage!$F$1)+$A21,COLUMN(Damage!$F$1)))*($A$1+V$1)/($A$1+$A21))/(INDIRECT("'Damage'!"&amp;ADDRESS(ROW(Damage!$F$1)+V$1,COLUMN(Damage!$F$1))))</f>
        <v>0.93691723799870597</v>
      </c>
    </row>
    <row r="22" spans="1:22">
      <c r="A22" s="1">
        <v>41</v>
      </c>
      <c r="B22" s="49">
        <f ca="1">(INDIRECT("'Damage'!"&amp;ADDRESS(ROW(Damage!$F$1)+$A22,COLUMN(Damage!$F$1)))*($A$1+B$1)/($A$1+$A22))/(INDIRECT("'Damage'!"&amp;ADDRESS(ROW(Damage!$F$1)+B$1,COLUMN(Damage!$F$1))))</f>
        <v>2.2112500270537399</v>
      </c>
      <c r="C22" s="49">
        <f ca="1">(INDIRECT("'Damage'!"&amp;ADDRESS(ROW(Damage!$F$1)+$A22,COLUMN(Damage!$F$1)))*($A$1+C$1)/($A$1+$A22))/(INDIRECT("'Damage'!"&amp;ADDRESS(ROW(Damage!$F$1)+C$1,COLUMN(Damage!$F$1))))</f>
        <v>1.7018960125922584</v>
      </c>
      <c r="D22" s="49">
        <f ca="1">(INDIRECT("'Damage'!"&amp;ADDRESS(ROW(Damage!$F$1)+$A22,COLUMN(Damage!$F$1)))*($A$1+D$1)/($A$1+$A22))/(INDIRECT("'Damage'!"&amp;ADDRESS(ROW(Damage!$F$1)+D$1,COLUMN(Damage!$F$1))))</f>
        <v>1.4425259174219303</v>
      </c>
      <c r="E22" s="49">
        <f ca="1">(INDIRECT("'Damage'!"&amp;ADDRESS(ROW(Damage!$F$1)+$A22,COLUMN(Damage!$F$1)))*($A$1+E$1)/($A$1+$A22))/(INDIRECT("'Damage'!"&amp;ADDRESS(ROW(Damage!$F$1)+E$1,COLUMN(Damage!$F$1))))</f>
        <v>1.3078519232665407</v>
      </c>
      <c r="F22" s="49">
        <f ca="1">(INDIRECT("'Damage'!"&amp;ADDRESS(ROW(Damage!$F$1)+$A22,COLUMN(Damage!$F$1)))*($A$1+F$1)/($A$1+$A22))/(INDIRECT("'Damage'!"&amp;ADDRESS(ROW(Damage!$F$1)+F$1,COLUMN(Damage!$F$1))))</f>
        <v>1.2504457018835751</v>
      </c>
      <c r="G22" s="49">
        <f ca="1">(INDIRECT("'Damage'!"&amp;ADDRESS(ROW(Damage!$F$1)+$A22,COLUMN(Damage!$F$1)))*($A$1+G$1)/($A$1+$A22))/(INDIRECT("'Damage'!"&amp;ADDRESS(ROW(Damage!$F$1)+G$1,COLUMN(Damage!$F$1))))</f>
        <v>1.1896576115584319</v>
      </c>
      <c r="H22" s="49">
        <f ca="1">(INDIRECT("'Damage'!"&amp;ADDRESS(ROW(Damage!$F$1)+$A22,COLUMN(Damage!$F$1)))*($A$1+H$1)/($A$1+$A22))/(INDIRECT("'Damage'!"&amp;ADDRESS(ROW(Damage!$F$1)+H$1,COLUMN(Damage!$F$1))))</f>
        <v>1.129539430634521</v>
      </c>
      <c r="I22" s="49">
        <f ca="1">(INDIRECT("'Damage'!"&amp;ADDRESS(ROW(Damage!$F$1)+$A22,COLUMN(Damage!$F$1)))*($A$1+I$1)/($A$1+$A22))/(INDIRECT("'Damage'!"&amp;ADDRESS(ROW(Damage!$F$1)+I$1,COLUMN(Damage!$F$1))))</f>
        <v>1.1133522804413347</v>
      </c>
      <c r="J22" s="49">
        <f ca="1">(INDIRECT("'Damage'!"&amp;ADDRESS(ROW(Damage!$F$1)+$A22,COLUMN(Damage!$F$1)))*($A$1+J$1)/($A$1+$A22))/(INDIRECT("'Damage'!"&amp;ADDRESS(ROW(Damage!$F$1)+J$1,COLUMN(Damage!$F$1))))</f>
        <v>1.0755522827687776</v>
      </c>
      <c r="K22" s="49">
        <f ca="1">(INDIRECT("'Damage'!"&amp;ADDRESS(ROW(Damage!$F$1)+$A22,COLUMN(Damage!$F$1)))*($A$1+K$1)/($A$1+$A22))/(INDIRECT("'Damage'!"&amp;ADDRESS(ROW(Damage!$F$1)+K$1,COLUMN(Damage!$F$1))))</f>
        <v>1.0673973377516819</v>
      </c>
      <c r="L22" s="49">
        <f ca="1">(INDIRECT("'Damage'!"&amp;ADDRESS(ROW(Damage!$F$1)+$A22,COLUMN(Damage!$F$1)))*($A$1+L$1)/($A$1+$A22))/(INDIRECT("'Damage'!"&amp;ADDRESS(ROW(Damage!$F$1)+L$1,COLUMN(Damage!$F$1))))</f>
        <v>1.0409153057907403</v>
      </c>
      <c r="M22" s="49">
        <f ca="1">(INDIRECT("'Damage'!"&amp;ADDRESS(ROW(Damage!$F$1)+$A22,COLUMN(Damage!$F$1)))*($A$1+M$1)/($A$1+$A22))/(INDIRECT("'Damage'!"&amp;ADDRESS(ROW(Damage!$F$1)+M$1,COLUMN(Damage!$F$1))))</f>
        <v>1.0366888134199044</v>
      </c>
      <c r="N22" s="49">
        <f ca="1">(INDIRECT("'Damage'!"&amp;ADDRESS(ROW(Damage!$F$1)+$A22,COLUMN(Damage!$F$1)))*($A$1+N$1)/($A$1+$A22))/(INDIRECT("'Damage'!"&amp;ADDRESS(ROW(Damage!$F$1)+N$1,COLUMN(Damage!$F$1))))</f>
        <v>1.0168062570476288</v>
      </c>
      <c r="O22" s="49">
        <f ca="1">(INDIRECT("'Damage'!"&amp;ADDRESS(ROW(Damage!$F$1)+$A22,COLUMN(Damage!$F$1)))*($A$1+O$1)/($A$1+$A22))/(INDIRECT("'Damage'!"&amp;ADDRESS(ROW(Damage!$F$1)+O$1,COLUMN(Damage!$F$1))))</f>
        <v>1</v>
      </c>
      <c r="P22" s="49">
        <f ca="1">(INDIRECT("'Damage'!"&amp;ADDRESS(ROW(Damage!$F$1)+$A22,COLUMN(Damage!$F$1)))*($A$1+P$1)/($A$1+$A22))/(INDIRECT("'Damage'!"&amp;ADDRESS(ROW(Damage!$F$1)+P$1,COLUMN(Damage!$F$1))))</f>
        <v>0.99905842004567202</v>
      </c>
      <c r="Q22" s="49">
        <f ca="1">(INDIRECT("'Damage'!"&amp;ADDRESS(ROW(Damage!$F$1)+$A22,COLUMN(Damage!$F$1)))*($A$1+Q$1)/($A$1+$A22))/(INDIRECT("'Damage'!"&amp;ADDRESS(ROW(Damage!$F$1)+Q$1,COLUMN(Damage!$F$1))))</f>
        <v>0.9792940057374635</v>
      </c>
      <c r="R22" s="49">
        <f ca="1">(INDIRECT("'Damage'!"&amp;ADDRESS(ROW(Damage!$F$1)+$A22,COLUMN(Damage!$F$1)))*($A$1+R$1)/($A$1+$A22))/(INDIRECT("'Damage'!"&amp;ADDRESS(ROW(Damage!$F$1)+R$1,COLUMN(Damage!$F$1))))</f>
        <v>0.97954248452288251</v>
      </c>
      <c r="S22" s="49">
        <f ca="1">(INDIRECT("'Damage'!"&amp;ADDRESS(ROW(Damage!$F$1)+$A22,COLUMN(Damage!$F$1)))*($A$1+S$1)/($A$1+$A22))/(INDIRECT("'Damage'!"&amp;ADDRESS(ROW(Damage!$F$1)+S$1,COLUMN(Damage!$F$1))))</f>
        <v>0.96330410150370371</v>
      </c>
      <c r="T22" s="49">
        <f ca="1">(INDIRECT("'Damage'!"&amp;ADDRESS(ROW(Damage!$F$1)+$A22,COLUMN(Damage!$F$1)))*($A$1+T$1)/($A$1+$A22))/(INDIRECT("'Damage'!"&amp;ADDRESS(ROW(Damage!$F$1)+T$1,COLUMN(Damage!$F$1))))</f>
        <v>0.96426581220395646</v>
      </c>
      <c r="U22" s="49">
        <f ca="1">(INDIRECT("'Damage'!"&amp;ADDRESS(ROW(Damage!$F$1)+$A22,COLUMN(Damage!$F$1)))*($A$1+U$1)/($A$1+$A22))/(INDIRECT("'Damage'!"&amp;ADDRESS(ROW(Damage!$F$1)+U$1,COLUMN(Damage!$F$1))))</f>
        <v>0.95058378188227055</v>
      </c>
      <c r="V22" s="49">
        <f ca="1">(INDIRECT("'Damage'!"&amp;ADDRESS(ROW(Damage!$F$1)+$A22,COLUMN(Damage!$F$1)))*($A$1+V$1)/($A$1+$A22))/(INDIRECT("'Damage'!"&amp;ADDRESS(ROW(Damage!$F$1)+V$1,COLUMN(Damage!$F$1))))</f>
        <v>0.95198244412641142</v>
      </c>
    </row>
    <row r="23" spans="1:22">
      <c r="A23" s="1">
        <v>43</v>
      </c>
      <c r="B23" s="49">
        <f ca="1">(INDIRECT("'Damage'!"&amp;ADDRESS(ROW(Damage!$F$1)+$A23,COLUMN(Damage!$F$1)))*($A$1+B$1)/($A$1+$A23))/(INDIRECT("'Damage'!"&amp;ADDRESS(ROW(Damage!$F$1)+B$1,COLUMN(Damage!$F$1))))</f>
        <v>2.2126668930014062</v>
      </c>
      <c r="C23" s="49">
        <f ca="1">(INDIRECT("'Damage'!"&amp;ADDRESS(ROW(Damage!$F$1)+$A23,COLUMN(Damage!$F$1)))*($A$1+C$1)/($A$1+$A23))/(INDIRECT("'Damage'!"&amp;ADDRESS(ROW(Damage!$F$1)+C$1,COLUMN(Damage!$F$1))))</f>
        <v>1.7029865082292102</v>
      </c>
      <c r="D23" s="49">
        <f ca="1">(INDIRECT("'Damage'!"&amp;ADDRESS(ROW(Damage!$F$1)+$A23,COLUMN(Damage!$F$1)))*($A$1+D$1)/($A$1+$A23))/(INDIRECT("'Damage'!"&amp;ADDRESS(ROW(Damage!$F$1)+D$1,COLUMN(Damage!$F$1))))</f>
        <v>1.4434502207915247</v>
      </c>
      <c r="E23" s="49">
        <f ca="1">(INDIRECT("'Damage'!"&amp;ADDRESS(ROW(Damage!$F$1)+$A23,COLUMN(Damage!$F$1)))*($A$1+E$1)/($A$1+$A23))/(INDIRECT("'Damage'!"&amp;ADDRESS(ROW(Damage!$F$1)+E$1,COLUMN(Damage!$F$1))))</f>
        <v>1.3086899338180364</v>
      </c>
      <c r="F23" s="49">
        <f ca="1">(INDIRECT("'Damage'!"&amp;ADDRESS(ROW(Damage!$F$1)+$A23,COLUMN(Damage!$F$1)))*($A$1+F$1)/($A$1+$A23))/(INDIRECT("'Damage'!"&amp;ADDRESS(ROW(Damage!$F$1)+F$1,COLUMN(Damage!$F$1))))</f>
        <v>1.2512469292041988</v>
      </c>
      <c r="G23" s="49">
        <f ca="1">(INDIRECT("'Damage'!"&amp;ADDRESS(ROW(Damage!$F$1)+$A23,COLUMN(Damage!$F$1)))*($A$1+G$1)/($A$1+$A23))/(INDIRECT("'Damage'!"&amp;ADDRESS(ROW(Damage!$F$1)+G$1,COLUMN(Damage!$F$1))))</f>
        <v>1.1904198887041988</v>
      </c>
      <c r="H23" s="49">
        <f ca="1">(INDIRECT("'Damage'!"&amp;ADDRESS(ROW(Damage!$F$1)+$A23,COLUMN(Damage!$F$1)))*($A$1+H$1)/($A$1+$A23))/(INDIRECT("'Damage'!"&amp;ADDRESS(ROW(Damage!$F$1)+H$1,COLUMN(Damage!$F$1))))</f>
        <v>1.13026318685215</v>
      </c>
      <c r="I23" s="49">
        <f ca="1">(INDIRECT("'Damage'!"&amp;ADDRESS(ROW(Damage!$F$1)+$A23,COLUMN(Damage!$F$1)))*($A$1+I$1)/($A$1+$A23))/(INDIRECT("'Damage'!"&amp;ADDRESS(ROW(Damage!$F$1)+I$1,COLUMN(Damage!$F$1))))</f>
        <v>1.1140656646876272</v>
      </c>
      <c r="J23" s="49">
        <f ca="1">(INDIRECT("'Damage'!"&amp;ADDRESS(ROW(Damage!$F$1)+$A23,COLUMN(Damage!$F$1)))*($A$1+J$1)/($A$1+$A23))/(INDIRECT("'Damage'!"&amp;ADDRESS(ROW(Damage!$F$1)+J$1,COLUMN(Damage!$F$1))))</f>
        <v>1.076241446538476</v>
      </c>
      <c r="K23" s="49">
        <f ca="1">(INDIRECT("'Damage'!"&amp;ADDRESS(ROW(Damage!$F$1)+$A23,COLUMN(Damage!$F$1)))*($A$1+K$1)/($A$1+$A23))/(INDIRECT("'Damage'!"&amp;ADDRESS(ROW(Damage!$F$1)+K$1,COLUMN(Damage!$F$1))))</f>
        <v>1.0680812762127274</v>
      </c>
      <c r="L23" s="49">
        <f ca="1">(INDIRECT("'Damage'!"&amp;ADDRESS(ROW(Damage!$F$1)+$A23,COLUMN(Damage!$F$1)))*($A$1+L$1)/($A$1+$A23))/(INDIRECT("'Damage'!"&amp;ADDRESS(ROW(Damage!$F$1)+L$1,COLUMN(Damage!$F$1))))</f>
        <v>1.0415822758000723</v>
      </c>
      <c r="M23" s="49">
        <f ca="1">(INDIRECT("'Damage'!"&amp;ADDRESS(ROW(Damage!$F$1)+$A23,COLUMN(Damage!$F$1)))*($A$1+M$1)/($A$1+$A23))/(INDIRECT("'Damage'!"&amp;ADDRESS(ROW(Damage!$F$1)+M$1,COLUMN(Damage!$F$1))))</f>
        <v>1.0373530752899283</v>
      </c>
      <c r="N23" s="49">
        <f ca="1">(INDIRECT("'Damage'!"&amp;ADDRESS(ROW(Damage!$F$1)+$A23,COLUMN(Damage!$F$1)))*($A$1+N$1)/($A$1+$A23))/(INDIRECT("'Damage'!"&amp;ADDRESS(ROW(Damage!$F$1)+N$1,COLUMN(Damage!$F$1))))</f>
        <v>1.0174577791022852</v>
      </c>
      <c r="O23" s="49">
        <f ca="1">(INDIRECT("'Damage'!"&amp;ADDRESS(ROW(Damage!$F$1)+$A23,COLUMN(Damage!$F$1)))*($A$1+O$1)/($A$1+$A23))/(INDIRECT("'Damage'!"&amp;ADDRESS(ROW(Damage!$F$1)+O$1,COLUMN(Damage!$F$1))))</f>
        <v>1.0006407533885051</v>
      </c>
      <c r="P23" s="49">
        <f ca="1">(INDIRECT("'Damage'!"&amp;ADDRESS(ROW(Damage!$F$1)+$A23,COLUMN(Damage!$F$1)))*($A$1+P$1)/($A$1+$A23))/(INDIRECT("'Damage'!"&amp;ADDRESS(ROW(Damage!$F$1)+P$1,COLUMN(Damage!$F$1))))</f>
        <v>0.99969857011363084</v>
      </c>
      <c r="Q23" s="49">
        <f ca="1">(INDIRECT("'Damage'!"&amp;ADDRESS(ROW(Damage!$F$1)+$A23,COLUMN(Damage!$F$1)))*($A$1+Q$1)/($A$1+$A23))/(INDIRECT("'Damage'!"&amp;ADDRESS(ROW(Damage!$F$1)+Q$1,COLUMN(Damage!$F$1))))</f>
        <v>0.97992149168998244</v>
      </c>
      <c r="R23" s="49">
        <f ca="1">(INDIRECT("'Damage'!"&amp;ADDRESS(ROW(Damage!$F$1)+$A23,COLUMN(Damage!$F$1)))*($A$1+R$1)/($A$1+$A23))/(INDIRECT("'Damage'!"&amp;ADDRESS(ROW(Damage!$F$1)+R$1,COLUMN(Damage!$F$1))))</f>
        <v>0.98017012968902506</v>
      </c>
      <c r="S23" s="49">
        <f ca="1">(INDIRECT("'Damage'!"&amp;ADDRESS(ROW(Damage!$F$1)+$A23,COLUMN(Damage!$F$1)))*($A$1+S$1)/($A$1+$A23))/(INDIRECT("'Damage'!"&amp;ADDRESS(ROW(Damage!$F$1)+S$1,COLUMN(Damage!$F$1))))</f>
        <v>0.96392134187090306</v>
      </c>
      <c r="T23" s="49">
        <f ca="1">(INDIRECT("'Damage'!"&amp;ADDRESS(ROW(Damage!$F$1)+$A23,COLUMN(Damage!$F$1)))*($A$1+T$1)/($A$1+$A23))/(INDIRECT("'Damage'!"&amp;ADDRESS(ROW(Damage!$F$1)+T$1,COLUMN(Damage!$F$1))))</f>
        <v>0.96488366879054566</v>
      </c>
      <c r="U23" s="49">
        <f ca="1">(INDIRECT("'Damage'!"&amp;ADDRESS(ROW(Damage!$F$1)+$A23,COLUMN(Damage!$F$1)))*($A$1+U$1)/($A$1+$A23))/(INDIRECT("'Damage'!"&amp;ADDRESS(ROW(Damage!$F$1)+U$1,COLUMN(Damage!$F$1))))</f>
        <v>0.95119287166156952</v>
      </c>
      <c r="V23" s="49">
        <f ca="1">(INDIRECT("'Damage'!"&amp;ADDRESS(ROW(Damage!$F$1)+$A23,COLUMN(Damage!$F$1)))*($A$1+V$1)/($A$1+$A23))/(INDIRECT("'Damage'!"&amp;ADDRESS(ROW(Damage!$F$1)+V$1,COLUMN(Damage!$F$1))))</f>
        <v>0.95259243010328276</v>
      </c>
    </row>
    <row r="24" spans="1:22">
      <c r="A24" s="1">
        <v>45</v>
      </c>
      <c r="B24" s="49">
        <f ca="1">(INDIRECT("'Damage'!"&amp;ADDRESS(ROW(Damage!$F$1)+$A24,COLUMN(Damage!$F$1)))*($A$1+B$1)/($A$1+$A24))/(INDIRECT("'Damage'!"&amp;ADDRESS(ROW(Damage!$F$1)+B$1,COLUMN(Damage!$F$1))))</f>
        <v>2.2139758072578224</v>
      </c>
      <c r="C24" s="49">
        <f ca="1">(INDIRECT("'Damage'!"&amp;ADDRESS(ROW(Damage!$F$1)+$A24,COLUMN(Damage!$F$1)))*($A$1+C$1)/($A$1+$A24))/(INDIRECT("'Damage'!"&amp;ADDRESS(ROW(Damage!$F$1)+C$1,COLUMN(Damage!$F$1))))</f>
        <v>1.7039939184842996</v>
      </c>
      <c r="D24" s="49">
        <f ca="1">(INDIRECT("'Damage'!"&amp;ADDRESS(ROW(Damage!$F$1)+$A24,COLUMN(Damage!$F$1)))*($A$1+D$1)/($A$1+$A24))/(INDIRECT("'Damage'!"&amp;ADDRESS(ROW(Damage!$F$1)+D$1,COLUMN(Damage!$F$1))))</f>
        <v>1.4443041010472455</v>
      </c>
      <c r="E24" s="49">
        <f ca="1">(INDIRECT("'Damage'!"&amp;ADDRESS(ROW(Damage!$F$1)+$A24,COLUMN(Damage!$F$1)))*($A$1+E$1)/($A$1+$A24))/(INDIRECT("'Damage'!"&amp;ADDRESS(ROW(Damage!$F$1)+E$1,COLUMN(Damage!$F$1))))</f>
        <v>1.3094640959465613</v>
      </c>
      <c r="F24" s="49">
        <f ca="1">(INDIRECT("'Damage'!"&amp;ADDRESS(ROW(Damage!$F$1)+$A24,COLUMN(Damage!$F$1)))*($A$1+F$1)/($A$1+$A24))/(INDIRECT("'Damage'!"&amp;ADDRESS(ROW(Damage!$F$1)+F$1,COLUMN(Damage!$F$1))))</f>
        <v>1.251987110633727</v>
      </c>
      <c r="G24" s="49">
        <f ca="1">(INDIRECT("'Damage'!"&amp;ADDRESS(ROW(Damage!$F$1)+$A24,COLUMN(Damage!$F$1)))*($A$1+G$1)/($A$1+$A24))/(INDIRECT("'Damage'!"&amp;ADDRESS(ROW(Damage!$F$1)+G$1,COLUMN(Damage!$F$1))))</f>
        <v>1.1911240875912408</v>
      </c>
      <c r="H24" s="49">
        <f ca="1">(INDIRECT("'Damage'!"&amp;ADDRESS(ROW(Damage!$F$1)+$A24,COLUMN(Damage!$F$1)))*($A$1+H$1)/($A$1+$A24))/(INDIRECT("'Damage'!"&amp;ADDRESS(ROW(Damage!$F$1)+H$1,COLUMN(Damage!$F$1))))</f>
        <v>1.1309317997389126</v>
      </c>
      <c r="I24" s="49">
        <f ca="1">(INDIRECT("'Damage'!"&amp;ADDRESS(ROW(Damage!$F$1)+$A24,COLUMN(Damage!$F$1)))*($A$1+I$1)/($A$1+$A24))/(INDIRECT("'Damage'!"&amp;ADDRESS(ROW(Damage!$F$1)+I$1,COLUMN(Damage!$F$1))))</f>
        <v>1.1147246958484884</v>
      </c>
      <c r="J24" s="49">
        <f ca="1">(INDIRECT("'Damage'!"&amp;ADDRESS(ROW(Damage!$F$1)+$A24,COLUMN(Damage!$F$1)))*($A$1+J$1)/($A$1+$A24))/(INDIRECT("'Damage'!"&amp;ADDRESS(ROW(Damage!$F$1)+J$1,COLUMN(Damage!$F$1))))</f>
        <v>1.0768781025923881</v>
      </c>
      <c r="K24" s="49">
        <f ca="1">(INDIRECT("'Damage'!"&amp;ADDRESS(ROW(Damage!$F$1)+$A24,COLUMN(Damage!$F$1)))*($A$1+K$1)/($A$1+$A24))/(INDIRECT("'Damage'!"&amp;ADDRESS(ROW(Damage!$F$1)+K$1,COLUMN(Damage!$F$1))))</f>
        <v>1.0687131050767413</v>
      </c>
      <c r="L24" s="49">
        <f ca="1">(INDIRECT("'Damage'!"&amp;ADDRESS(ROW(Damage!$F$1)+$A24,COLUMN(Damage!$F$1)))*($A$1+L$1)/($A$1+$A24))/(INDIRECT("'Damage'!"&amp;ADDRESS(ROW(Damage!$F$1)+L$1,COLUMN(Damage!$F$1))))</f>
        <v>1.0421984290467889</v>
      </c>
      <c r="M24" s="49">
        <f ca="1">(INDIRECT("'Damage'!"&amp;ADDRESS(ROW(Damage!$F$1)+$A24,COLUMN(Damage!$F$1)))*($A$1+M$1)/($A$1+$A24))/(INDIRECT("'Damage'!"&amp;ADDRESS(ROW(Damage!$F$1)+M$1,COLUMN(Damage!$F$1))))</f>
        <v>1.0379667267317605</v>
      </c>
      <c r="N24" s="49">
        <f ca="1">(INDIRECT("'Damage'!"&amp;ADDRESS(ROW(Damage!$F$1)+$A24,COLUMN(Damage!$F$1)))*($A$1+N$1)/($A$1+$A24))/(INDIRECT("'Damage'!"&amp;ADDRESS(ROW(Damage!$F$1)+N$1,COLUMN(Damage!$F$1))))</f>
        <v>1.0180596613813491</v>
      </c>
      <c r="O24" s="49">
        <f ca="1">(INDIRECT("'Damage'!"&amp;ADDRESS(ROW(Damage!$F$1)+$A24,COLUMN(Damage!$F$1)))*($A$1+O$1)/($A$1+$A24))/(INDIRECT("'Damage'!"&amp;ADDRESS(ROW(Damage!$F$1)+O$1,COLUMN(Damage!$F$1))))</f>
        <v>1.0012326874712194</v>
      </c>
      <c r="P24" s="49">
        <f ca="1">(INDIRECT("'Damage'!"&amp;ADDRESS(ROW(Damage!$F$1)+$A24,COLUMN(Damage!$F$1)))*($A$1+P$1)/($A$1+$A24))/(INDIRECT("'Damage'!"&amp;ADDRESS(ROW(Damage!$F$1)+P$1,COLUMN(Damage!$F$1))))</f>
        <v>1.0002899468430786</v>
      </c>
      <c r="Q24" s="49">
        <f ca="1">(INDIRECT("'Damage'!"&amp;ADDRESS(ROW(Damage!$F$1)+$A24,COLUMN(Damage!$F$1)))*($A$1+Q$1)/($A$1+$A24))/(INDIRECT("'Damage'!"&amp;ADDRESS(ROW(Damage!$F$1)+Q$1,COLUMN(Damage!$F$1))))</f>
        <v>0.98050116918897634</v>
      </c>
      <c r="R24" s="49">
        <f ca="1">(INDIRECT("'Damage'!"&amp;ADDRESS(ROW(Damage!$F$1)+$A24,COLUMN(Damage!$F$1)))*($A$1+R$1)/($A$1+$A24))/(INDIRECT("'Damage'!"&amp;ADDRESS(ROW(Damage!$F$1)+R$1,COLUMN(Damage!$F$1))))</f>
        <v>0.98074995427108103</v>
      </c>
      <c r="S24" s="49">
        <f ca="1">(INDIRECT("'Damage'!"&amp;ADDRESS(ROW(Damage!$F$1)+$A24,COLUMN(Damage!$F$1)))*($A$1+S$1)/($A$1+$A24))/(INDIRECT("'Damage'!"&amp;ADDRESS(ROW(Damage!$F$1)+S$1,COLUMN(Damage!$F$1))))</f>
        <v>0.96449155440060164</v>
      </c>
      <c r="T24" s="49">
        <f ca="1">(INDIRECT("'Damage'!"&amp;ADDRESS(ROW(Damage!$F$1)+$A24,COLUMN(Damage!$F$1)))*($A$1+T$1)/($A$1+$A24))/(INDIRECT("'Damage'!"&amp;ADDRESS(ROW(Damage!$F$1)+T$1,COLUMN(Damage!$F$1))))</f>
        <v>0.96545445058958568</v>
      </c>
      <c r="U24" s="49">
        <f ca="1">(INDIRECT("'Damage'!"&amp;ADDRESS(ROW(Damage!$F$1)+$A24,COLUMN(Damage!$F$1)))*($A$1+U$1)/($A$1+$A24))/(INDIRECT("'Damage'!"&amp;ADDRESS(ROW(Damage!$F$1)+U$1,COLUMN(Damage!$F$1))))</f>
        <v>0.95175555460054118</v>
      </c>
      <c r="V24" s="49">
        <f ca="1">(INDIRECT("'Damage'!"&amp;ADDRESS(ROW(Damage!$F$1)+$A24,COLUMN(Damage!$F$1)))*($A$1+V$1)/($A$1+$A24))/(INDIRECT("'Damage'!"&amp;ADDRESS(ROW(Damage!$F$1)+V$1,COLUMN(Damage!$F$1))))</f>
        <v>0.95315594095810685</v>
      </c>
    </row>
    <row r="25" spans="1:22">
      <c r="A25" s="1">
        <v>47</v>
      </c>
      <c r="B25" s="49">
        <f ca="1">(INDIRECT("'Damage'!"&amp;ADDRESS(ROW(Damage!$F$1)+$A25,COLUMN(Damage!$F$1)))*($A$1+B$1)/($A$1+$A25))/(INDIRECT("'Damage'!"&amp;ADDRESS(ROW(Damage!$F$1)+B$1,COLUMN(Damage!$F$1))))</f>
        <v>2.2580042501011164</v>
      </c>
      <c r="C25" s="49">
        <f ca="1">(INDIRECT("'Damage'!"&amp;ADDRESS(ROW(Damage!$F$1)+$A25,COLUMN(Damage!$F$1)))*($A$1+C$1)/($A$1+$A25))/(INDIRECT("'Damage'!"&amp;ADDRESS(ROW(Damage!$F$1)+C$1,COLUMN(Damage!$F$1))))</f>
        <v>1.7378805574436609</v>
      </c>
      <c r="D25" s="49">
        <f ca="1">(INDIRECT("'Damage'!"&amp;ADDRESS(ROW(Damage!$F$1)+$A25,COLUMN(Damage!$F$1)))*($A$1+D$1)/($A$1+$A25))/(INDIRECT("'Damage'!"&amp;ADDRESS(ROW(Damage!$F$1)+D$1,COLUMN(Damage!$F$1))))</f>
        <v>1.4730263934737629</v>
      </c>
      <c r="E25" s="49">
        <f ca="1">(INDIRECT("'Damage'!"&amp;ADDRESS(ROW(Damage!$F$1)+$A25,COLUMN(Damage!$F$1)))*($A$1+E$1)/($A$1+$A25))/(INDIRECT("'Damage'!"&amp;ADDRESS(ROW(Damage!$F$1)+E$1,COLUMN(Damage!$F$1))))</f>
        <v>1.335504879641997</v>
      </c>
      <c r="F25" s="49">
        <f ca="1">(INDIRECT("'Damage'!"&amp;ADDRESS(ROW(Damage!$F$1)+$A25,COLUMN(Damage!$F$1)))*($A$1+F$1)/($A$1+$A25))/(INDIRECT("'Damage'!"&amp;ADDRESS(ROW(Damage!$F$1)+F$1,COLUMN(Damage!$F$1))))</f>
        <v>1.2768848727322897</v>
      </c>
      <c r="G25" s="49">
        <f ca="1">(INDIRECT("'Damage'!"&amp;ADDRESS(ROW(Damage!$F$1)+$A25,COLUMN(Damage!$F$1)))*($A$1+G$1)/($A$1+$A25))/(INDIRECT("'Damage'!"&amp;ADDRESS(ROW(Damage!$F$1)+G$1,COLUMN(Damage!$F$1))))</f>
        <v>1.2148114913279313</v>
      </c>
      <c r="H25" s="49">
        <f ca="1">(INDIRECT("'Damage'!"&amp;ADDRESS(ROW(Damage!$F$1)+$A25,COLUMN(Damage!$F$1)))*($A$1+H$1)/($A$1+$A25))/(INDIRECT("'Damage'!"&amp;ADDRESS(ROW(Damage!$F$1)+H$1,COLUMN(Damage!$F$1))))</f>
        <v>1.1534221837536054</v>
      </c>
      <c r="I25" s="49">
        <f ca="1">(INDIRECT("'Damage'!"&amp;ADDRESS(ROW(Damage!$F$1)+$A25,COLUMN(Damage!$F$1)))*($A$1+I$1)/($A$1+$A25))/(INDIRECT("'Damage'!"&amp;ADDRESS(ROW(Damage!$F$1)+I$1,COLUMN(Damage!$F$1))))</f>
        <v>1.1368927757327767</v>
      </c>
      <c r="J25" s="49">
        <f ca="1">(INDIRECT("'Damage'!"&amp;ADDRESS(ROW(Damage!$F$1)+$A25,COLUMN(Damage!$F$1)))*($A$1+J$1)/($A$1+$A25))/(INDIRECT("'Damage'!"&amp;ADDRESS(ROW(Damage!$F$1)+J$1,COLUMN(Damage!$F$1))))</f>
        <v>1.0982935425595974</v>
      </c>
      <c r="K25" s="49">
        <f ca="1">(INDIRECT("'Damage'!"&amp;ADDRESS(ROW(Damage!$F$1)+$A25,COLUMN(Damage!$F$1)))*($A$1+K$1)/($A$1+$A25))/(INDIRECT("'Damage'!"&amp;ADDRESS(ROW(Damage!$F$1)+K$1,COLUMN(Damage!$F$1))))</f>
        <v>1.0899661710355015</v>
      </c>
      <c r="L25" s="49">
        <f ca="1">(INDIRECT("'Damage'!"&amp;ADDRESS(ROW(Damage!$F$1)+$A25,COLUMN(Damage!$F$1)))*($A$1+L$1)/($A$1+$A25))/(INDIRECT("'Damage'!"&amp;ADDRESS(ROW(Damage!$F$1)+L$1,COLUMN(Damage!$F$1))))</f>
        <v>1.0629242083503538</v>
      </c>
      <c r="M25" s="49">
        <f ca="1">(INDIRECT("'Damage'!"&amp;ADDRESS(ROW(Damage!$F$1)+$A25,COLUMN(Damage!$F$1)))*($A$1+M$1)/($A$1+$A25))/(INDIRECT("'Damage'!"&amp;ADDRESS(ROW(Damage!$F$1)+M$1,COLUMN(Damage!$F$1))))</f>
        <v>1.0586083518802092</v>
      </c>
      <c r="N25" s="49">
        <f ca="1">(INDIRECT("'Damage'!"&amp;ADDRESS(ROW(Damage!$F$1)+$A25,COLUMN(Damage!$F$1)))*($A$1+N$1)/($A$1+$A25))/(INDIRECT("'Damage'!"&amp;ADDRESS(ROW(Damage!$F$1)+N$1,COLUMN(Damage!$F$1))))</f>
        <v>1.0383054027599368</v>
      </c>
      <c r="O25" s="49">
        <f ca="1">(INDIRECT("'Damage'!"&amp;ADDRESS(ROW(Damage!$F$1)+$A25,COLUMN(Damage!$F$1)))*($A$1+O$1)/($A$1+$A25))/(INDIRECT("'Damage'!"&amp;ADDRESS(ROW(Damage!$F$1)+O$1,COLUMN(Damage!$F$1))))</f>
        <v>1.0211437976146334</v>
      </c>
      <c r="P25" s="49">
        <f ca="1">(INDIRECT("'Damage'!"&amp;ADDRESS(ROW(Damage!$F$1)+$A25,COLUMN(Damage!$F$1)))*($A$1+P$1)/($A$1+$A25))/(INDIRECT("'Damage'!"&amp;ADDRESS(ROW(Damage!$F$1)+P$1,COLUMN(Damage!$F$1))))</f>
        <v>1.0201823090843132</v>
      </c>
      <c r="Q25" s="49">
        <f ca="1">(INDIRECT("'Damage'!"&amp;ADDRESS(ROW(Damage!$F$1)+$A25,COLUMN(Damage!$F$1)))*($A$1+Q$1)/($A$1+$A25))/(INDIRECT("'Damage'!"&amp;ADDRESS(ROW(Damage!$F$1)+Q$1,COLUMN(Damage!$F$1))))</f>
        <v>1</v>
      </c>
      <c r="R25" s="49">
        <f ca="1">(INDIRECT("'Damage'!"&amp;ADDRESS(ROW(Damage!$F$1)+$A25,COLUMN(Damage!$F$1)))*($A$1+R$1)/($A$1+$A25))/(INDIRECT("'Damage'!"&amp;ADDRESS(ROW(Damage!$F$1)+R$1,COLUMN(Damage!$F$1))))</f>
        <v>1.0002537325705694</v>
      </c>
      <c r="S25" s="49">
        <f ca="1">(INDIRECT("'Damage'!"&amp;ADDRESS(ROW(Damage!$F$1)+$A25,COLUMN(Damage!$F$1)))*($A$1+S$1)/($A$1+$A25))/(INDIRECT("'Damage'!"&amp;ADDRESS(ROW(Damage!$F$1)+S$1,COLUMN(Damage!$F$1))))</f>
        <v>0.98367200846724423</v>
      </c>
      <c r="T25" s="49">
        <f ca="1">(INDIRECT("'Damage'!"&amp;ADDRESS(ROW(Damage!$F$1)+$A25,COLUMN(Damage!$F$1)))*($A$1+T$1)/($A$1+$A25))/(INDIRECT("'Damage'!"&amp;ADDRESS(ROW(Damage!$F$1)+T$1,COLUMN(Damage!$F$1))))</f>
        <v>0.98465405338390699</v>
      </c>
      <c r="U25" s="49">
        <f ca="1">(INDIRECT("'Damage'!"&amp;ADDRESS(ROW(Damage!$F$1)+$A25,COLUMN(Damage!$F$1)))*($A$1+U$1)/($A$1+$A25))/(INDIRECT("'Damage'!"&amp;ADDRESS(ROW(Damage!$F$1)+U$1,COLUMN(Damage!$F$1))))</f>
        <v>0.97068273298214192</v>
      </c>
      <c r="V25" s="49">
        <f ca="1">(INDIRECT("'Damage'!"&amp;ADDRESS(ROW(Damage!$F$1)+$A25,COLUMN(Damage!$F$1)))*($A$1+V$1)/($A$1+$A25))/(INDIRECT("'Damage'!"&amp;ADDRESS(ROW(Damage!$F$1)+V$1,COLUMN(Damage!$F$1))))</f>
        <v>0.97211096825770416</v>
      </c>
    </row>
    <row r="26" spans="1:22">
      <c r="A26" s="1">
        <v>49</v>
      </c>
      <c r="B26" s="49">
        <f ca="1">(INDIRECT("'Damage'!"&amp;ADDRESS(ROW(Damage!$F$1)+$A26,COLUMN(Damage!$F$1)))*($A$1+B$1)/($A$1+$A26))/(INDIRECT("'Damage'!"&amp;ADDRESS(ROW(Damage!$F$1)+B$1,COLUMN(Damage!$F$1))))</f>
        <v>2.2576156356632833</v>
      </c>
      <c r="C26" s="49">
        <f ca="1">(INDIRECT("'Damage'!"&amp;ADDRESS(ROW(Damage!$F$1)+$A26,COLUMN(Damage!$F$1)))*($A$1+C$1)/($A$1+$A26))/(INDIRECT("'Damage'!"&amp;ADDRESS(ROW(Damage!$F$1)+C$1,COLUMN(Damage!$F$1))))</f>
        <v>1.7375814590359311</v>
      </c>
      <c r="D26" s="49">
        <f ca="1">(INDIRECT("'Damage'!"&amp;ADDRESS(ROW(Damage!$F$1)+$A26,COLUMN(Damage!$F$1)))*($A$1+D$1)/($A$1+$A26))/(INDIRECT("'Damage'!"&amp;ADDRESS(ROW(Damage!$F$1)+D$1,COLUMN(Damage!$F$1))))</f>
        <v>1.4727728778642206</v>
      </c>
      <c r="E26" s="49">
        <f ca="1">(INDIRECT("'Damage'!"&amp;ADDRESS(ROW(Damage!$F$1)+$A26,COLUMN(Damage!$F$1)))*($A$1+E$1)/($A$1+$A26))/(INDIRECT("'Damage'!"&amp;ADDRESS(ROW(Damage!$F$1)+E$1,COLUMN(Damage!$F$1))))</f>
        <v>1.3352750322101323</v>
      </c>
      <c r="F26" s="49">
        <f ca="1">(INDIRECT("'Damage'!"&amp;ADDRESS(ROW(Damage!$F$1)+$A26,COLUMN(Damage!$F$1)))*($A$1+F$1)/($A$1+$A26))/(INDIRECT("'Damage'!"&amp;ADDRESS(ROW(Damage!$F$1)+F$1,COLUMN(Damage!$F$1))))</f>
        <v>1.2766651141127157</v>
      </c>
      <c r="G26" s="49">
        <f ca="1">(INDIRECT("'Damage'!"&amp;ADDRESS(ROW(Damage!$F$1)+$A26,COLUMN(Damage!$F$1)))*($A$1+G$1)/($A$1+$A26))/(INDIRECT("'Damage'!"&amp;ADDRESS(ROW(Damage!$F$1)+G$1,COLUMN(Damage!$F$1))))</f>
        <v>1.2146024158646083</v>
      </c>
      <c r="H26" s="49">
        <f ca="1">(INDIRECT("'Damage'!"&amp;ADDRESS(ROW(Damage!$F$1)+$A26,COLUMN(Damage!$F$1)))*($A$1+H$1)/($A$1+$A26))/(INDIRECT("'Damage'!"&amp;ADDRESS(ROW(Damage!$F$1)+H$1,COLUMN(Damage!$F$1))))</f>
        <v>1.15322367371382</v>
      </c>
      <c r="I26" s="49">
        <f ca="1">(INDIRECT("'Damage'!"&amp;ADDRESS(ROW(Damage!$F$1)+$A26,COLUMN(Damage!$F$1)))*($A$1+I$1)/($A$1+$A26))/(INDIRECT("'Damage'!"&amp;ADDRESS(ROW(Damage!$F$1)+I$1,COLUMN(Damage!$F$1))))</f>
        <v>1.1366971104912706</v>
      </c>
      <c r="J26" s="49">
        <f ca="1">(INDIRECT("'Damage'!"&amp;ADDRESS(ROW(Damage!$F$1)+$A26,COLUMN(Damage!$F$1)))*($A$1+J$1)/($A$1+$A26))/(INDIRECT("'Damage'!"&amp;ADDRESS(ROW(Damage!$F$1)+J$1,COLUMN(Damage!$F$1))))</f>
        <v>1.0981045204496531</v>
      </c>
      <c r="K26" s="49">
        <f ca="1">(INDIRECT("'Damage'!"&amp;ADDRESS(ROW(Damage!$F$1)+$A26,COLUMN(Damage!$F$1)))*($A$1+K$1)/($A$1+$A26))/(INDIRECT("'Damage'!"&amp;ADDRESS(ROW(Damage!$F$1)+K$1,COLUMN(Damage!$F$1))))</f>
        <v>1.0897785821101065</v>
      </c>
      <c r="L26" s="49">
        <f ca="1">(INDIRECT("'Damage'!"&amp;ADDRESS(ROW(Damage!$F$1)+$A26,COLUMN(Damage!$F$1)))*($A$1+L$1)/($A$1+$A26))/(INDIRECT("'Damage'!"&amp;ADDRESS(ROW(Damage!$F$1)+L$1,COLUMN(Damage!$F$1))))</f>
        <v>1.0627412734893282</v>
      </c>
      <c r="M26" s="49">
        <f ca="1">(INDIRECT("'Damage'!"&amp;ADDRESS(ROW(Damage!$F$1)+$A26,COLUMN(Damage!$F$1)))*($A$1+M$1)/($A$1+$A26))/(INDIRECT("'Damage'!"&amp;ADDRESS(ROW(Damage!$F$1)+M$1,COLUMN(Damage!$F$1))))</f>
        <v>1.0584261598008395</v>
      </c>
      <c r="N26" s="49">
        <f ca="1">(INDIRECT("'Damage'!"&amp;ADDRESS(ROW(Damage!$F$1)+$A26,COLUMN(Damage!$F$1)))*($A$1+N$1)/($A$1+$A26))/(INDIRECT("'Damage'!"&amp;ADDRESS(ROW(Damage!$F$1)+N$1,COLUMN(Damage!$F$1))))</f>
        <v>1.0381267049251677</v>
      </c>
      <c r="O26" s="49">
        <f ca="1">(INDIRECT("'Damage'!"&amp;ADDRESS(ROW(Damage!$F$1)+$A26,COLUMN(Damage!$F$1)))*($A$1+O$1)/($A$1+$A26))/(INDIRECT("'Damage'!"&amp;ADDRESS(ROW(Damage!$F$1)+O$1,COLUMN(Damage!$F$1))))</f>
        <v>1.0209680533826022</v>
      </c>
      <c r="P26" s="49">
        <f ca="1">(INDIRECT("'Damage'!"&amp;ADDRESS(ROW(Damage!$F$1)+$A26,COLUMN(Damage!$F$1)))*($A$1+P$1)/($A$1+$A26))/(INDIRECT("'Damage'!"&amp;ADDRESS(ROW(Damage!$F$1)+P$1,COLUMN(Damage!$F$1))))</f>
        <v>1.0200067303295279</v>
      </c>
      <c r="Q26" s="49">
        <f ca="1">(INDIRECT("'Damage'!"&amp;ADDRESS(ROW(Damage!$F$1)+$A26,COLUMN(Damage!$F$1)))*($A$1+Q$1)/($A$1+$A26))/(INDIRECT("'Damage'!"&amp;ADDRESS(ROW(Damage!$F$1)+Q$1,COLUMN(Damage!$F$1))))</f>
        <v>0.99982789472702904</v>
      </c>
      <c r="R26" s="49">
        <f ca="1">(INDIRECT("'Damage'!"&amp;ADDRESS(ROW(Damage!$F$1)+$A26,COLUMN(Damage!$F$1)))*($A$1+R$1)/($A$1+$A26))/(INDIRECT("'Damage'!"&amp;ADDRESS(ROW(Damage!$F$1)+R$1,COLUMN(Damage!$F$1))))</f>
        <v>1.0000815836288852</v>
      </c>
      <c r="S26" s="49">
        <f ca="1">(INDIRECT("'Damage'!"&amp;ADDRESS(ROW(Damage!$F$1)+$A26,COLUMN(Damage!$F$1)))*($A$1+S$1)/($A$1+$A26))/(INDIRECT("'Damage'!"&amp;ADDRESS(ROW(Damage!$F$1)+S$1,COLUMN(Damage!$F$1))))</f>
        <v>0.98350271332771322</v>
      </c>
      <c r="T26" s="49">
        <f ca="1">(INDIRECT("'Damage'!"&amp;ADDRESS(ROW(Damage!$F$1)+$A26,COLUMN(Damage!$F$1)))*($A$1+T$1)/($A$1+$A26))/(INDIRECT("'Damage'!"&amp;ADDRESS(ROW(Damage!$F$1)+T$1,COLUMN(Damage!$F$1))))</f>
        <v>0.98448458922926751</v>
      </c>
      <c r="U26" s="49">
        <f ca="1">(INDIRECT("'Damage'!"&amp;ADDRESS(ROW(Damage!$F$1)+$A26,COLUMN(Damage!$F$1)))*($A$1+U$1)/($A$1+$A26))/(INDIRECT("'Damage'!"&amp;ADDRESS(ROW(Damage!$F$1)+U$1,COLUMN(Damage!$F$1))))</f>
        <v>0.970515673365414</v>
      </c>
      <c r="V26" s="49">
        <f ca="1">(INDIRECT("'Damage'!"&amp;ADDRESS(ROW(Damage!$F$1)+$A26,COLUMN(Damage!$F$1)))*($A$1+V$1)/($A$1+$A26))/(INDIRECT("'Damage'!"&amp;ADDRESS(ROW(Damage!$F$1)+V$1,COLUMN(Damage!$F$1))))</f>
        <v>0.97194366283415423</v>
      </c>
    </row>
    <row r="27" spans="1:22">
      <c r="A27" s="1">
        <v>51</v>
      </c>
      <c r="B27" s="49">
        <f ca="1">(INDIRECT("'Damage'!"&amp;ADDRESS(ROW(Damage!$F$1)+$A27,COLUMN(Damage!$F$1)))*($A$1+B$1)/($A$1+$A27))/(INDIRECT("'Damage'!"&amp;ADDRESS(ROW(Damage!$F$1)+B$1,COLUMN(Damage!$F$1))))</f>
        <v>2.2572535931528237</v>
      </c>
      <c r="C27" s="49">
        <f ca="1">(INDIRECT("'Damage'!"&amp;ADDRESS(ROW(Damage!$F$1)+$A27,COLUMN(Damage!$F$1)))*($A$1+C$1)/($A$1+$A27))/(INDIRECT("'Damage'!"&amp;ADDRESS(ROW(Damage!$F$1)+C$1,COLUMN(Damage!$F$1))))</f>
        <v>1.7373028118013798</v>
      </c>
      <c r="D27" s="49">
        <f ca="1">(INDIRECT("'Damage'!"&amp;ADDRESS(ROW(Damage!$F$1)+$A27,COLUMN(Damage!$F$1)))*($A$1+D$1)/($A$1+$A27))/(INDIRECT("'Damage'!"&amp;ADDRESS(ROW(Damage!$F$1)+D$1,COLUMN(Damage!$F$1))))</f>
        <v>1.472536696655331</v>
      </c>
      <c r="E27" s="49">
        <f ca="1">(INDIRECT("'Damage'!"&amp;ADDRESS(ROW(Damage!$F$1)+$A27,COLUMN(Damage!$F$1)))*($A$1+E$1)/($A$1+$A27))/(INDIRECT("'Damage'!"&amp;ADDRESS(ROW(Damage!$F$1)+E$1,COLUMN(Damage!$F$1))))</f>
        <v>1.3350609008419849</v>
      </c>
      <c r="F27" s="49">
        <f ca="1">(INDIRECT("'Damage'!"&amp;ADDRESS(ROW(Damage!$F$1)+$A27,COLUMN(Damage!$F$1)))*($A$1+F$1)/($A$1+$A27))/(INDIRECT("'Damage'!"&amp;ADDRESS(ROW(Damage!$F$1)+F$1,COLUMN(Damage!$F$1))))</f>
        <v>1.27646038172354</v>
      </c>
      <c r="G27" s="49">
        <f ca="1">(INDIRECT("'Damage'!"&amp;ADDRESS(ROW(Damage!$F$1)+$A27,COLUMN(Damage!$F$1)))*($A$1+G$1)/($A$1+$A27))/(INDIRECT("'Damage'!"&amp;ADDRESS(ROW(Damage!$F$1)+G$1,COLUMN(Damage!$F$1))))</f>
        <v>1.2144076361594609</v>
      </c>
      <c r="H27" s="49">
        <f ca="1">(INDIRECT("'Damage'!"&amp;ADDRESS(ROW(Damage!$F$1)+$A27,COLUMN(Damage!$F$1)))*($A$1+H$1)/($A$1+$A27))/(INDIRECT("'Damage'!"&amp;ADDRESS(ROW(Damage!$F$1)+H$1,COLUMN(Damage!$F$1))))</f>
        <v>1.1530387370100881</v>
      </c>
      <c r="I27" s="49">
        <f ca="1">(INDIRECT("'Damage'!"&amp;ADDRESS(ROW(Damage!$F$1)+$A27,COLUMN(Damage!$F$1)))*($A$1+I$1)/($A$1+$A27))/(INDIRECT("'Damage'!"&amp;ADDRESS(ROW(Damage!$F$1)+I$1,COLUMN(Damage!$F$1))))</f>
        <v>1.1365148240696967</v>
      </c>
      <c r="J27" s="49">
        <f ca="1">(INDIRECT("'Damage'!"&amp;ADDRESS(ROW(Damage!$F$1)+$A27,COLUMN(Damage!$F$1)))*($A$1+J$1)/($A$1+$A27))/(INDIRECT("'Damage'!"&amp;ADDRESS(ROW(Damage!$F$1)+J$1,COLUMN(Damage!$F$1))))</f>
        <v>1.097928422928423</v>
      </c>
      <c r="K27" s="49">
        <f ca="1">(INDIRECT("'Damage'!"&amp;ADDRESS(ROW(Damage!$F$1)+$A27,COLUMN(Damage!$F$1)))*($A$1+K$1)/($A$1+$A27))/(INDIRECT("'Damage'!"&amp;ADDRESS(ROW(Damage!$F$1)+K$1,COLUMN(Damage!$F$1))))</f>
        <v>1.089603819777901</v>
      </c>
      <c r="L27" s="49">
        <f ca="1">(INDIRECT("'Damage'!"&amp;ADDRESS(ROW(Damage!$F$1)+$A27,COLUMN(Damage!$F$1)))*($A$1+L$1)/($A$1+$A27))/(INDIRECT("'Damage'!"&amp;ADDRESS(ROW(Damage!$F$1)+L$1,COLUMN(Damage!$F$1))))</f>
        <v>1.0625708469948687</v>
      </c>
      <c r="M27" s="49">
        <f ca="1">(INDIRECT("'Damage'!"&amp;ADDRESS(ROW(Damage!$F$1)+$A27,COLUMN(Damage!$F$1)))*($A$1+M$1)/($A$1+$A27))/(INDIRECT("'Damage'!"&amp;ADDRESS(ROW(Damage!$F$1)+M$1,COLUMN(Damage!$F$1))))</f>
        <v>1.0582564252995468</v>
      </c>
      <c r="N27" s="49">
        <f ca="1">(INDIRECT("'Damage'!"&amp;ADDRESS(ROW(Damage!$F$1)+$A27,COLUMN(Damage!$F$1)))*($A$1+N$1)/($A$1+$A27))/(INDIRECT("'Damage'!"&amp;ADDRESS(ROW(Damage!$F$1)+N$1,COLUMN(Damage!$F$1))))</f>
        <v>1.0379602257457674</v>
      </c>
      <c r="O27" s="49">
        <f ca="1">(INDIRECT("'Damage'!"&amp;ADDRESS(ROW(Damage!$F$1)+$A27,COLUMN(Damage!$F$1)))*($A$1+O$1)/($A$1+$A27))/(INDIRECT("'Damage'!"&amp;ADDRESS(ROW(Damage!$F$1)+O$1,COLUMN(Damage!$F$1))))</f>
        <v>1.0208043258501973</v>
      </c>
      <c r="P27" s="49">
        <f ca="1">(INDIRECT("'Damage'!"&amp;ADDRESS(ROW(Damage!$F$1)+$A27,COLUMN(Damage!$F$1)))*($A$1+P$1)/($A$1+$A27))/(INDIRECT("'Damage'!"&amp;ADDRESS(ROW(Damage!$F$1)+P$1,COLUMN(Damage!$F$1))))</f>
        <v>1.0198431569596857</v>
      </c>
      <c r="Q27" s="49">
        <f ca="1">(INDIRECT("'Damage'!"&amp;ADDRESS(ROW(Damage!$F$1)+$A27,COLUMN(Damage!$F$1)))*($A$1+Q$1)/($A$1+$A27))/(INDIRECT("'Damage'!"&amp;ADDRESS(ROW(Damage!$F$1)+Q$1,COLUMN(Damage!$F$1))))</f>
        <v>0.99966755733597079</v>
      </c>
      <c r="R27" s="49">
        <f ca="1">(INDIRECT("'Damage'!"&amp;ADDRESS(ROW(Damage!$F$1)+$A27,COLUMN(Damage!$F$1)))*($A$1+R$1)/($A$1+$A27))/(INDIRECT("'Damage'!"&amp;ADDRESS(ROW(Damage!$F$1)+R$1,COLUMN(Damage!$F$1))))</f>
        <v>0.99992120555500852</v>
      </c>
      <c r="S27" s="49">
        <f ca="1">(INDIRECT("'Damage'!"&amp;ADDRESS(ROW(Damage!$F$1)+$A27,COLUMN(Damage!$F$1)))*($A$1+S$1)/($A$1+$A27))/(INDIRECT("'Damage'!"&amp;ADDRESS(ROW(Damage!$F$1)+S$1,COLUMN(Damage!$F$1))))</f>
        <v>0.98334499392421859</v>
      </c>
      <c r="T27" s="49">
        <f ca="1">(INDIRECT("'Damage'!"&amp;ADDRESS(ROW(Damage!$F$1)+$A27,COLUMN(Damage!$F$1)))*($A$1+T$1)/($A$1+$A27))/(INDIRECT("'Damage'!"&amp;ADDRESS(ROW(Damage!$F$1)+T$1,COLUMN(Damage!$F$1))))</f>
        <v>0.98432671236725289</v>
      </c>
      <c r="U27" s="49">
        <f ca="1">(INDIRECT("'Damage'!"&amp;ADDRESS(ROW(Damage!$F$1)+$A27,COLUMN(Damage!$F$1)))*($A$1+U$1)/($A$1+$A27))/(INDIRECT("'Damage'!"&amp;ADDRESS(ROW(Damage!$F$1)+U$1,COLUMN(Damage!$F$1))))</f>
        <v>0.97036003662846226</v>
      </c>
      <c r="V27" s="49">
        <f ca="1">(INDIRECT("'Damage'!"&amp;ADDRESS(ROW(Damage!$F$1)+$A27,COLUMN(Damage!$F$1)))*($A$1+V$1)/($A$1+$A27))/(INDIRECT("'Damage'!"&amp;ADDRESS(ROW(Damage!$F$1)+V$1,COLUMN(Damage!$F$1))))</f>
        <v>0.9717877970976847</v>
      </c>
    </row>
    <row r="28" spans="1:22">
      <c r="A28" s="1">
        <v>53</v>
      </c>
      <c r="B28" s="49">
        <f ca="1">(INDIRECT("'Damage'!"&amp;ADDRESS(ROW(Damage!$F$1)+$A28,COLUMN(Damage!$F$1)))*($A$1+B$1)/($A$1+$A28))/(INDIRECT("'Damage'!"&amp;ADDRESS(ROW(Damage!$F$1)+B$1,COLUMN(Damage!$F$1))))</f>
        <v>2.2954849082465349</v>
      </c>
      <c r="C28" s="49">
        <f ca="1">(INDIRECT("'Damage'!"&amp;ADDRESS(ROW(Damage!$F$1)+$A28,COLUMN(Damage!$F$1)))*($A$1+C$1)/($A$1+$A28))/(INDIRECT("'Damage'!"&amp;ADDRESS(ROW(Damage!$F$1)+C$1,COLUMN(Damage!$F$1))))</f>
        <v>1.7667276719113136</v>
      </c>
      <c r="D28" s="49">
        <f ca="1">(INDIRECT("'Damage'!"&amp;ADDRESS(ROW(Damage!$F$1)+$A28,COLUMN(Damage!$F$1)))*($A$1+D$1)/($A$1+$A28))/(INDIRECT("'Damage'!"&amp;ADDRESS(ROW(Damage!$F$1)+D$1,COLUMN(Damage!$F$1))))</f>
        <v>1.497477188325232</v>
      </c>
      <c r="E28" s="49">
        <f ca="1">(INDIRECT("'Damage'!"&amp;ADDRESS(ROW(Damage!$F$1)+$A28,COLUMN(Damage!$F$1)))*($A$1+E$1)/($A$1+$A28))/(INDIRECT("'Damage'!"&amp;ADDRESS(ROW(Damage!$F$1)+E$1,COLUMN(Damage!$F$1))))</f>
        <v>1.3576729521082727</v>
      </c>
      <c r="F28" s="49">
        <f ca="1">(INDIRECT("'Damage'!"&amp;ADDRESS(ROW(Damage!$F$1)+$A28,COLUMN(Damage!$F$1)))*($A$1+F$1)/($A$1+$A28))/(INDIRECT("'Damage'!"&amp;ADDRESS(ROW(Damage!$F$1)+F$1,COLUMN(Damage!$F$1))))</f>
        <v>1.2980799105201022</v>
      </c>
      <c r="G28" s="49">
        <f ca="1">(INDIRECT("'Damage'!"&amp;ADDRESS(ROW(Damage!$F$1)+$A28,COLUMN(Damage!$F$1)))*($A$1+G$1)/($A$1+$A28))/(INDIRECT("'Damage'!"&amp;ADDRESS(ROW(Damage!$F$1)+G$1,COLUMN(Damage!$F$1))))</f>
        <v>1.2349761718043071</v>
      </c>
      <c r="H28" s="49">
        <f ca="1">(INDIRECT("'Damage'!"&amp;ADDRESS(ROW(Damage!$F$1)+$A28,COLUMN(Damage!$F$1)))*($A$1+H$1)/($A$1+$A28))/(INDIRECT("'Damage'!"&amp;ADDRESS(ROW(Damage!$F$1)+H$1,COLUMN(Damage!$F$1))))</f>
        <v>1.1725678618738635</v>
      </c>
      <c r="I28" s="49">
        <f ca="1">(INDIRECT("'Damage'!"&amp;ADDRESS(ROW(Damage!$F$1)+$A28,COLUMN(Damage!$F$1)))*($A$1+I$1)/($A$1+$A28))/(INDIRECT("'Damage'!"&amp;ADDRESS(ROW(Damage!$F$1)+I$1,COLUMN(Damage!$F$1))))</f>
        <v>1.1557640818755033</v>
      </c>
      <c r="J28" s="49">
        <f ca="1">(INDIRECT("'Damage'!"&amp;ADDRESS(ROW(Damage!$F$1)+$A28,COLUMN(Damage!$F$1)))*($A$1+J$1)/($A$1+$A28))/(INDIRECT("'Damage'!"&amp;ADDRESS(ROW(Damage!$F$1)+J$1,COLUMN(Damage!$F$1))))</f>
        <v>1.1165241392514118</v>
      </c>
      <c r="K28" s="49">
        <f ca="1">(INDIRECT("'Damage'!"&amp;ADDRESS(ROW(Damage!$F$1)+$A28,COLUMN(Damage!$F$1)))*($A$1+K$1)/($A$1+$A28))/(INDIRECT("'Damage'!"&amp;ADDRESS(ROW(Damage!$F$1)+K$1,COLUMN(Damage!$F$1))))</f>
        <v>1.1080585415192254</v>
      </c>
      <c r="L28" s="49">
        <f ca="1">(INDIRECT("'Damage'!"&amp;ADDRESS(ROW(Damage!$F$1)+$A28,COLUMN(Damage!$F$1)))*($A$1+L$1)/($A$1+$A28))/(INDIRECT("'Damage'!"&amp;ADDRESS(ROW(Damage!$F$1)+L$1,COLUMN(Damage!$F$1))))</f>
        <v>1.080567708749383</v>
      </c>
      <c r="M28" s="49">
        <f ca="1">(INDIRECT("'Damage'!"&amp;ADDRESS(ROW(Damage!$F$1)+$A28,COLUMN(Damage!$F$1)))*($A$1+M$1)/($A$1+$A28))/(INDIRECT("'Damage'!"&amp;ADDRESS(ROW(Damage!$F$1)+M$1,COLUMN(Damage!$F$1))))</f>
        <v>1.076180213290536</v>
      </c>
      <c r="N28" s="49">
        <f ca="1">(INDIRECT("'Damage'!"&amp;ADDRESS(ROW(Damage!$F$1)+$A28,COLUMN(Damage!$F$1)))*($A$1+N$1)/($A$1+$A28))/(INDIRECT("'Damage'!"&amp;ADDRESS(ROW(Damage!$F$1)+N$1,COLUMN(Damage!$F$1))))</f>
        <v>1.0555402551078199</v>
      </c>
      <c r="O28" s="49">
        <f ca="1">(INDIRECT("'Damage'!"&amp;ADDRESS(ROW(Damage!$F$1)+$A28,COLUMN(Damage!$F$1)))*($A$1+O$1)/($A$1+$A28))/(INDIRECT("'Damage'!"&amp;ADDRESS(ROW(Damage!$F$1)+O$1,COLUMN(Damage!$F$1))))</f>
        <v>1.0380937841321494</v>
      </c>
      <c r="P28" s="49">
        <f ca="1">(INDIRECT("'Damage'!"&amp;ADDRESS(ROW(Damage!$F$1)+$A28,COLUMN(Damage!$F$1)))*($A$1+P$1)/($A$1+$A28))/(INDIRECT("'Damage'!"&amp;ADDRESS(ROW(Damage!$F$1)+P$1,COLUMN(Damage!$F$1))))</f>
        <v>1.0371163358342983</v>
      </c>
      <c r="Q28" s="49">
        <f ca="1">(INDIRECT("'Damage'!"&amp;ADDRESS(ROW(Damage!$F$1)+$A28,COLUMN(Damage!$F$1)))*($A$1+Q$1)/($A$1+$A28))/(INDIRECT("'Damage'!"&amp;ADDRESS(ROW(Damage!$F$1)+Q$1,COLUMN(Damage!$F$1))))</f>
        <v>1.0165990201939343</v>
      </c>
      <c r="R28" s="49">
        <f ca="1">(INDIRECT("'Damage'!"&amp;ADDRESS(ROW(Damage!$F$1)+$A28,COLUMN(Damage!$F$1)))*($A$1+R$1)/($A$1+$A28))/(INDIRECT("'Damage'!"&amp;ADDRESS(ROW(Damage!$F$1)+R$1,COLUMN(Damage!$F$1))))</f>
        <v>1.0168569644765666</v>
      </c>
      <c r="S28" s="49">
        <f ca="1">(INDIRECT("'Damage'!"&amp;ADDRESS(ROW(Damage!$F$1)+$A28,COLUMN(Damage!$F$1)))*($A$1+S$1)/($A$1+$A28))/(INDIRECT("'Damage'!"&amp;ADDRESS(ROW(Damage!$F$1)+S$1,COLUMN(Damage!$F$1))))</f>
        <v>1</v>
      </c>
      <c r="T28" s="49">
        <f ca="1">(INDIRECT("'Damage'!"&amp;ADDRESS(ROW(Damage!$F$1)+$A28,COLUMN(Damage!$F$1)))*($A$1+T$1)/($A$1+$A28))/(INDIRECT("'Damage'!"&amp;ADDRESS(ROW(Damage!$F$1)+T$1,COLUMN(Damage!$F$1))))</f>
        <v>1.000998345900066</v>
      </c>
      <c r="U28" s="49">
        <f ca="1">(INDIRECT("'Damage'!"&amp;ADDRESS(ROW(Damage!$F$1)+$A28,COLUMN(Damage!$F$1)))*($A$1+U$1)/($A$1+$A28))/(INDIRECT("'Damage'!"&amp;ADDRESS(ROW(Damage!$F$1)+U$1,COLUMN(Damage!$F$1))))</f>
        <v>0.98679511526881603</v>
      </c>
      <c r="V28" s="49">
        <f ca="1">(INDIRECT("'Damage'!"&amp;ADDRESS(ROW(Damage!$F$1)+$A28,COLUMN(Damage!$F$1)))*($A$1+V$1)/($A$1+$A28))/(INDIRECT("'Damage'!"&amp;ADDRESS(ROW(Damage!$F$1)+V$1,COLUMN(Damage!$F$1))))</f>
        <v>0.98824705785055889</v>
      </c>
    </row>
    <row r="29" spans="1:22">
      <c r="A29" s="1">
        <v>55</v>
      </c>
      <c r="B29" s="49">
        <f ca="1">(INDIRECT("'Damage'!"&amp;ADDRESS(ROW(Damage!$F$1)+$A29,COLUMN(Damage!$F$1)))*($A$1+B$1)/($A$1+$A29))/(INDIRECT("'Damage'!"&amp;ADDRESS(ROW(Damage!$F$1)+B$1,COLUMN(Damage!$F$1))))</f>
        <v>2.29393421973408</v>
      </c>
      <c r="C29" s="49">
        <f ca="1">(INDIRECT("'Damage'!"&amp;ADDRESS(ROW(Damage!$F$1)+$A29,COLUMN(Damage!$F$1)))*($A$1+C$1)/($A$1+$A29))/(INDIRECT("'Damage'!"&amp;ADDRESS(ROW(Damage!$F$1)+C$1,COLUMN(Damage!$F$1))))</f>
        <v>1.7655341792877612</v>
      </c>
      <c r="D29" s="49">
        <f ca="1">(INDIRECT("'Damage'!"&amp;ADDRESS(ROW(Damage!$F$1)+$A29,COLUMN(Damage!$F$1)))*($A$1+D$1)/($A$1+$A29))/(INDIRECT("'Damage'!"&amp;ADDRESS(ROW(Damage!$F$1)+D$1,COLUMN(Damage!$F$1))))</f>
        <v>1.4964655847789587</v>
      </c>
      <c r="E29" s="49">
        <f ca="1">(INDIRECT("'Damage'!"&amp;ADDRESS(ROW(Damage!$F$1)+$A29,COLUMN(Damage!$F$1)))*($A$1+E$1)/($A$1+$A29))/(INDIRECT("'Damage'!"&amp;ADDRESS(ROW(Damage!$F$1)+E$1,COLUMN(Damage!$F$1))))</f>
        <v>1.3567557917109456</v>
      </c>
      <c r="F29" s="49">
        <f ca="1">(INDIRECT("'Damage'!"&amp;ADDRESS(ROW(Damage!$F$1)+$A29,COLUMN(Damage!$F$1)))*($A$1+F$1)/($A$1+$A29))/(INDIRECT("'Damage'!"&amp;ADDRESS(ROW(Damage!$F$1)+F$1,COLUMN(Damage!$F$1))))</f>
        <v>1.297203007518797</v>
      </c>
      <c r="G29" s="49">
        <f ca="1">(INDIRECT("'Damage'!"&amp;ADDRESS(ROW(Damage!$F$1)+$A29,COLUMN(Damage!$F$1)))*($A$1+G$1)/($A$1+$A29))/(INDIRECT("'Damage'!"&amp;ADDRESS(ROW(Damage!$F$1)+G$1,COLUMN(Damage!$F$1))))</f>
        <v>1.2341418978102188</v>
      </c>
      <c r="H29" s="49">
        <f ca="1">(INDIRECT("'Damage'!"&amp;ADDRESS(ROW(Damage!$F$1)+$A29,COLUMN(Damage!$F$1)))*($A$1+H$1)/($A$1+$A29))/(INDIRECT("'Damage'!"&amp;ADDRESS(ROW(Damage!$F$1)+H$1,COLUMN(Damage!$F$1))))</f>
        <v>1.171775747098049</v>
      </c>
      <c r="I29" s="49">
        <f ca="1">(INDIRECT("'Damage'!"&amp;ADDRESS(ROW(Damage!$F$1)+$A29,COLUMN(Damage!$F$1)))*($A$1+I$1)/($A$1+$A29))/(INDIRECT("'Damage'!"&amp;ADDRESS(ROW(Damage!$F$1)+I$1,COLUMN(Damage!$F$1))))</f>
        <v>1.1549833187006142</v>
      </c>
      <c r="J29" s="49">
        <f ca="1">(INDIRECT("'Damage'!"&amp;ADDRESS(ROW(Damage!$F$1)+$A29,COLUMN(Damage!$F$1)))*($A$1+J$1)/($A$1+$A29))/(INDIRECT("'Damage'!"&amp;ADDRESS(ROW(Damage!$F$1)+J$1,COLUMN(Damage!$F$1))))</f>
        <v>1.115769884169884</v>
      </c>
      <c r="K29" s="49">
        <f ca="1">(INDIRECT("'Damage'!"&amp;ADDRESS(ROW(Damage!$F$1)+$A29,COLUMN(Damage!$F$1)))*($A$1+K$1)/($A$1+$A29))/(INDIRECT("'Damage'!"&amp;ADDRESS(ROW(Damage!$F$1)+K$1,COLUMN(Damage!$F$1))))</f>
        <v>1.107310005275189</v>
      </c>
      <c r="L29" s="49">
        <f ca="1">(INDIRECT("'Damage'!"&amp;ADDRESS(ROW(Damage!$F$1)+$A29,COLUMN(Damage!$F$1)))*($A$1+L$1)/($A$1+$A29))/(INDIRECT("'Damage'!"&amp;ADDRESS(ROW(Damage!$F$1)+L$1,COLUMN(Damage!$F$1))))</f>
        <v>1.0798377436222468</v>
      </c>
      <c r="M29" s="49">
        <f ca="1">(INDIRECT("'Damage'!"&amp;ADDRESS(ROW(Damage!$F$1)+$A29,COLUMN(Damage!$F$1)))*($A$1+M$1)/($A$1+$A29))/(INDIRECT("'Damage'!"&amp;ADDRESS(ROW(Damage!$F$1)+M$1,COLUMN(Damage!$F$1))))</f>
        <v>1.0754532120856555</v>
      </c>
      <c r="N29" s="49">
        <f ca="1">(INDIRECT("'Damage'!"&amp;ADDRESS(ROW(Damage!$F$1)+$A29,COLUMN(Damage!$F$1)))*($A$1+N$1)/($A$1+$A29))/(INDIRECT("'Damage'!"&amp;ADDRESS(ROW(Damage!$F$1)+N$1,COLUMN(Damage!$F$1))))</f>
        <v>1.0548271969900564</v>
      </c>
      <c r="O29" s="49">
        <f ca="1">(INDIRECT("'Damage'!"&amp;ADDRESS(ROW(Damage!$F$1)+$A29,COLUMN(Damage!$F$1)))*($A$1+O$1)/($A$1+$A29))/(INDIRECT("'Damage'!"&amp;ADDRESS(ROW(Damage!$F$1)+O$1,COLUMN(Damage!$F$1))))</f>
        <v>1.0373925117778326</v>
      </c>
      <c r="P29" s="49">
        <f ca="1">(INDIRECT("'Damage'!"&amp;ADDRESS(ROW(Damage!$F$1)+$A29,COLUMN(Damage!$F$1)))*($A$1+P$1)/($A$1+$A29))/(INDIRECT("'Damage'!"&amp;ADDRESS(ROW(Damage!$F$1)+P$1,COLUMN(Damage!$F$1))))</f>
        <v>1.0364157237839728</v>
      </c>
      <c r="Q29" s="49">
        <f ca="1">(INDIRECT("'Damage'!"&amp;ADDRESS(ROW(Damage!$F$1)+$A29,COLUMN(Damage!$F$1)))*($A$1+Q$1)/($A$1+$A29))/(INDIRECT("'Damage'!"&amp;ADDRESS(ROW(Damage!$F$1)+Q$1,COLUMN(Damage!$F$1))))</f>
        <v>1.0159122683809625</v>
      </c>
      <c r="R29" s="49">
        <f ca="1">(INDIRECT("'Damage'!"&amp;ADDRESS(ROW(Damage!$F$1)+$A29,COLUMN(Damage!$F$1)))*($A$1+R$1)/($A$1+$A29))/(INDIRECT("'Damage'!"&amp;ADDRESS(ROW(Damage!$F$1)+R$1,COLUMN(Damage!$F$1))))</f>
        <v>1.0161700384122918</v>
      </c>
      <c r="S29" s="49">
        <f ca="1">(INDIRECT("'Damage'!"&amp;ADDRESS(ROW(Damage!$F$1)+$A29,COLUMN(Damage!$F$1)))*($A$1+S$1)/($A$1+$A29))/(INDIRECT("'Damage'!"&amp;ADDRESS(ROW(Damage!$F$1)+S$1,COLUMN(Damage!$F$1))))</f>
        <v>0.99932446146481557</v>
      </c>
      <c r="T29" s="49">
        <f ca="1">(INDIRECT("'Damage'!"&amp;ADDRESS(ROW(Damage!$F$1)+$A29,COLUMN(Damage!$F$1)))*($A$1+T$1)/($A$1+$A29))/(INDIRECT("'Damage'!"&amp;ADDRESS(ROW(Damage!$F$1)+T$1,COLUMN(Damage!$F$1))))</f>
        <v>1.0003221329437546</v>
      </c>
      <c r="U29" s="49">
        <f ca="1">(INDIRECT("'Damage'!"&amp;ADDRESS(ROW(Damage!$F$1)+$A29,COLUMN(Damage!$F$1)))*($A$1+U$1)/($A$1+$A29))/(INDIRECT("'Damage'!"&amp;ADDRESS(ROW(Damage!$F$1)+U$1,COLUMN(Damage!$F$1))))</f>
        <v>0.98612849714212003</v>
      </c>
      <c r="V29" s="49">
        <f ca="1">(INDIRECT("'Damage'!"&amp;ADDRESS(ROW(Damage!$F$1)+$A29,COLUMN(Damage!$F$1)))*($A$1+V$1)/($A$1+$A29))/(INDIRECT("'Damage'!"&amp;ADDRESS(ROW(Damage!$F$1)+V$1,COLUMN(Damage!$F$1))))</f>
        <v>0.98757945888069831</v>
      </c>
    </row>
    <row r="30" spans="1:22">
      <c r="A30" s="1">
        <v>57</v>
      </c>
      <c r="B30" s="49">
        <f ca="1">(INDIRECT("'Damage'!"&amp;ADDRESS(ROW(Damage!$F$1)+$A30,COLUMN(Damage!$F$1)))*($A$1+B$1)/($A$1+$A30))/(INDIRECT("'Damage'!"&amp;ADDRESS(ROW(Damage!$F$1)+B$1,COLUMN(Damage!$F$1))))</f>
        <v>2.2924796979510798</v>
      </c>
      <c r="C30" s="49">
        <f ca="1">(INDIRECT("'Damage'!"&amp;ADDRESS(ROW(Damage!$F$1)+$A30,COLUMN(Damage!$F$1)))*($A$1+C$1)/($A$1+$A30))/(INDIRECT("'Damage'!"&amp;ADDRESS(ROW(Damage!$F$1)+C$1,COLUMN(Damage!$F$1))))</f>
        <v>1.7644147017106304</v>
      </c>
      <c r="D30" s="49">
        <f ca="1">(INDIRECT("'Damage'!"&amp;ADDRESS(ROW(Damage!$F$1)+$A30,COLUMN(Damage!$F$1)))*($A$1+D$1)/($A$1+$A30))/(INDIRECT("'Damage'!"&amp;ADDRESS(ROW(Damage!$F$1)+D$1,COLUMN(Damage!$F$1))))</f>
        <v>1.4955167163363305</v>
      </c>
      <c r="E30" s="49">
        <f ca="1">(INDIRECT("'Damage'!"&amp;ADDRESS(ROW(Damage!$F$1)+$A30,COLUMN(Damage!$F$1)))*($A$1+E$1)/($A$1+$A30))/(INDIRECT("'Damage'!"&amp;ADDRESS(ROW(Damage!$F$1)+E$1,COLUMN(Damage!$F$1))))</f>
        <v>1.3558955094777945</v>
      </c>
      <c r="F30" s="49">
        <f ca="1">(INDIRECT("'Damage'!"&amp;ADDRESS(ROW(Damage!$F$1)+$A30,COLUMN(Damage!$F$1)))*($A$1+F$1)/($A$1+$A30))/(INDIRECT("'Damage'!"&amp;ADDRESS(ROW(Damage!$F$1)+F$1,COLUMN(Damage!$F$1))))</f>
        <v>1.2963804860989685</v>
      </c>
      <c r="G30" s="49">
        <f ca="1">(INDIRECT("'Damage'!"&amp;ADDRESS(ROW(Damage!$F$1)+$A30,COLUMN(Damage!$F$1)))*($A$1+G$1)/($A$1+$A30))/(INDIRECT("'Damage'!"&amp;ADDRESS(ROW(Damage!$F$1)+G$1,COLUMN(Damage!$F$1))))</f>
        <v>1.2333593617382446</v>
      </c>
      <c r="H30" s="49">
        <f ca="1">(INDIRECT("'Damage'!"&amp;ADDRESS(ROW(Damage!$F$1)+$A30,COLUMN(Damage!$F$1)))*($A$1+H$1)/($A$1+$A30))/(INDIRECT("'Damage'!"&amp;ADDRESS(ROW(Damage!$F$1)+H$1,COLUMN(Damage!$F$1))))</f>
        <v>1.1710327557191842</v>
      </c>
      <c r="I30" s="49">
        <f ca="1">(INDIRECT("'Damage'!"&amp;ADDRESS(ROW(Damage!$F$1)+$A30,COLUMN(Damage!$F$1)))*($A$1+I$1)/($A$1+$A30))/(INDIRECT("'Damage'!"&amp;ADDRESS(ROW(Damage!$F$1)+I$1,COLUMN(Damage!$F$1))))</f>
        <v>1.1542509749474239</v>
      </c>
      <c r="J30" s="49">
        <f ca="1">(INDIRECT("'Damage'!"&amp;ADDRESS(ROW(Damage!$F$1)+$A30,COLUMN(Damage!$F$1)))*($A$1+J$1)/($A$1+$A30))/(INDIRECT("'Damage'!"&amp;ADDRESS(ROW(Damage!$F$1)+J$1,COLUMN(Damage!$F$1))))</f>
        <v>1.1150624045972881</v>
      </c>
      <c r="K30" s="49">
        <f ca="1">(INDIRECT("'Damage'!"&amp;ADDRESS(ROW(Damage!$F$1)+$A30,COLUMN(Damage!$F$1)))*($A$1+K$1)/($A$1+$A30))/(INDIRECT("'Damage'!"&amp;ADDRESS(ROW(Damage!$F$1)+K$1,COLUMN(Damage!$F$1))))</f>
        <v>1.1066078898834957</v>
      </c>
      <c r="L30" s="49">
        <f ca="1">(INDIRECT("'Damage'!"&amp;ADDRESS(ROW(Damage!$F$1)+$A30,COLUMN(Damage!$F$1)))*($A$1+L$1)/($A$1+$A30))/(INDIRECT("'Damage'!"&amp;ADDRESS(ROW(Damage!$F$1)+L$1,COLUMN(Damage!$F$1))))</f>
        <v>1.079153047650282</v>
      </c>
      <c r="M30" s="49">
        <f ca="1">(INDIRECT("'Damage'!"&amp;ADDRESS(ROW(Damage!$F$1)+$A30,COLUMN(Damage!$F$1)))*($A$1+M$1)/($A$1+$A30))/(INDIRECT("'Damage'!"&amp;ADDRESS(ROW(Damage!$F$1)+M$1,COLUMN(Damage!$F$1))))</f>
        <v>1.0747712962268141</v>
      </c>
      <c r="N30" s="49">
        <f ca="1">(INDIRECT("'Damage'!"&amp;ADDRESS(ROW(Damage!$F$1)+$A30,COLUMN(Damage!$F$1)))*($A$1+N$1)/($A$1+$A30))/(INDIRECT("'Damage'!"&amp;ADDRESS(ROW(Damage!$F$1)+N$1,COLUMN(Damage!$F$1))))</f>
        <v>1.0541583595307586</v>
      </c>
      <c r="O30" s="49">
        <f ca="1">(INDIRECT("'Damage'!"&amp;ADDRESS(ROW(Damage!$F$1)+$A30,COLUMN(Damage!$F$1)))*($A$1+O$1)/($A$1+$A30))/(INDIRECT("'Damage'!"&amp;ADDRESS(ROW(Damage!$F$1)+O$1,COLUMN(Damage!$F$1))))</f>
        <v>1.0367347291819233</v>
      </c>
      <c r="P30" s="49">
        <f ca="1">(INDIRECT("'Damage'!"&amp;ADDRESS(ROW(Damage!$F$1)+$A30,COLUMN(Damage!$F$1)))*($A$1+P$1)/($A$1+$A30))/(INDIRECT("'Damage'!"&amp;ADDRESS(ROW(Damage!$F$1)+P$1,COLUMN(Damage!$F$1))))</f>
        <v>1.0357585605429702</v>
      </c>
      <c r="Q30" s="49">
        <f ca="1">(INDIRECT("'Damage'!"&amp;ADDRESS(ROW(Damage!$F$1)+$A30,COLUMN(Damage!$F$1)))*($A$1+Q$1)/($A$1+$A30))/(INDIRECT("'Damage'!"&amp;ADDRESS(ROW(Damage!$F$1)+Q$1,COLUMN(Damage!$F$1))))</f>
        <v>1.0152681058277102</v>
      </c>
      <c r="R30" s="49">
        <f ca="1">(INDIRECT("'Damage'!"&amp;ADDRESS(ROW(Damage!$F$1)+$A30,COLUMN(Damage!$F$1)))*($A$1+R$1)/($A$1+$A30))/(INDIRECT("'Damage'!"&amp;ADDRESS(ROW(Damage!$F$1)+R$1,COLUMN(Damage!$F$1))))</f>
        <v>1.0155257124140189</v>
      </c>
      <c r="S30" s="49">
        <f ca="1">(INDIRECT("'Damage'!"&amp;ADDRESS(ROW(Damage!$F$1)+$A30,COLUMN(Damage!$F$1)))*($A$1+S$1)/($A$1+$A30))/(INDIRECT("'Damage'!"&amp;ADDRESS(ROW(Damage!$F$1)+S$1,COLUMN(Damage!$F$1))))</f>
        <v>0.99869081679227834</v>
      </c>
      <c r="T30" s="49">
        <f ca="1">(INDIRECT("'Damage'!"&amp;ADDRESS(ROW(Damage!$F$1)+$A30,COLUMN(Damage!$F$1)))*($A$1+T$1)/($A$1+$A30))/(INDIRECT("'Damage'!"&amp;ADDRESS(ROW(Damage!$F$1)+T$1,COLUMN(Damage!$F$1))))</f>
        <v>0.99968785567465634</v>
      </c>
      <c r="U30" s="49">
        <f ca="1">(INDIRECT("'Damage'!"&amp;ADDRESS(ROW(Damage!$F$1)+$A30,COLUMN(Damage!$F$1)))*($A$1+U$1)/($A$1+$A30))/(INDIRECT("'Damage'!"&amp;ADDRESS(ROW(Damage!$F$1)+U$1,COLUMN(Damage!$F$1))))</f>
        <v>0.98550321967444421</v>
      </c>
      <c r="V30" s="49">
        <f ca="1">(INDIRECT("'Damage'!"&amp;ADDRESS(ROW(Damage!$F$1)+$A30,COLUMN(Damage!$F$1)))*($A$1+V$1)/($A$1+$A30))/(INDIRECT("'Damage'!"&amp;ADDRESS(ROW(Damage!$F$1)+V$1,COLUMN(Damage!$F$1))))</f>
        <v>0.98695326139734052</v>
      </c>
    </row>
    <row r="31" spans="1:22">
      <c r="A31" s="1">
        <v>59</v>
      </c>
      <c r="B31" s="49">
        <f ca="1">(INDIRECT("'Damage'!"&amp;ADDRESS(ROW(Damage!$F$1)+$A31,COLUMN(Damage!$F$1)))*($A$1+B$1)/($A$1+$A31))/(INDIRECT("'Damage'!"&amp;ADDRESS(ROW(Damage!$F$1)+B$1,COLUMN(Damage!$F$1))))</f>
        <v>2.3262021393581933</v>
      </c>
      <c r="C31" s="49">
        <f ca="1">(INDIRECT("'Damage'!"&amp;ADDRESS(ROW(Damage!$F$1)+$A31,COLUMN(Damage!$F$1)))*($A$1+C$1)/($A$1+$A31))/(INDIRECT("'Damage'!"&amp;ADDRESS(ROW(Damage!$F$1)+C$1,COLUMN(Damage!$F$1))))</f>
        <v>1.7903692920389396</v>
      </c>
      <c r="D31" s="49">
        <f ca="1">(INDIRECT("'Damage'!"&amp;ADDRESS(ROW(Damage!$F$1)+$A31,COLUMN(Damage!$F$1)))*($A$1+D$1)/($A$1+$A31))/(INDIRECT("'Damage'!"&amp;ADDRESS(ROW(Damage!$F$1)+D$1,COLUMN(Damage!$F$1))))</f>
        <v>1.5175158096696697</v>
      </c>
      <c r="E31" s="49">
        <f ca="1">(INDIRECT("'Damage'!"&amp;ADDRESS(ROW(Damage!$F$1)+$A31,COLUMN(Damage!$F$1)))*($A$1+E$1)/($A$1+$A31))/(INDIRECT("'Damage'!"&amp;ADDRESS(ROW(Damage!$F$1)+E$1,COLUMN(Damage!$F$1))))</f>
        <v>1.3758407708964231</v>
      </c>
      <c r="F31" s="49">
        <f ca="1">(INDIRECT("'Damage'!"&amp;ADDRESS(ROW(Damage!$F$1)+$A31,COLUMN(Damage!$F$1)))*($A$1+F$1)/($A$1+$A31))/(INDIRECT("'Damage'!"&amp;ADDRESS(ROW(Damage!$F$1)+F$1,COLUMN(Damage!$F$1))))</f>
        <v>1.3154502798349264</v>
      </c>
      <c r="G31" s="49">
        <f ca="1">(INDIRECT("'Damage'!"&amp;ADDRESS(ROW(Damage!$F$1)+$A31,COLUMN(Damage!$F$1)))*($A$1+G$1)/($A$1+$A31))/(INDIRECT("'Damage'!"&amp;ADDRESS(ROW(Damage!$F$1)+G$1,COLUMN(Damage!$F$1))))</f>
        <v>1.2515021129466002</v>
      </c>
      <c r="H31" s="49">
        <f ca="1">(INDIRECT("'Damage'!"&amp;ADDRESS(ROW(Damage!$F$1)+$A31,COLUMN(Damage!$F$1)))*($A$1+H$1)/($A$1+$A31))/(INDIRECT("'Damage'!"&amp;ADDRESS(ROW(Damage!$F$1)+H$1,COLUMN(Damage!$F$1))))</f>
        <v>1.1882586807844508</v>
      </c>
      <c r="I31" s="49">
        <f ca="1">(INDIRECT("'Damage'!"&amp;ADDRESS(ROW(Damage!$F$1)+$A31,COLUMN(Damage!$F$1)))*($A$1+I$1)/($A$1+$A31))/(INDIRECT("'Damage'!"&amp;ADDRESS(ROW(Damage!$F$1)+I$1,COLUMN(Damage!$F$1))))</f>
        <v>1.1712300395413469</v>
      </c>
      <c r="J31" s="49">
        <f ca="1">(INDIRECT("'Damage'!"&amp;ADDRESS(ROW(Damage!$F$1)+$A31,COLUMN(Damage!$F$1)))*($A$1+J$1)/($A$1+$A31))/(INDIRECT("'Damage'!"&amp;ADDRESS(ROW(Damage!$F$1)+J$1,COLUMN(Damage!$F$1))))</f>
        <v>1.1314650042093655</v>
      </c>
      <c r="K31" s="49">
        <f ca="1">(INDIRECT("'Damage'!"&amp;ADDRESS(ROW(Damage!$F$1)+$A31,COLUMN(Damage!$F$1)))*($A$1+K$1)/($A$1+$A31))/(INDIRECT("'Damage'!"&amp;ADDRESS(ROW(Damage!$F$1)+K$1,COLUMN(Damage!$F$1))))</f>
        <v>1.1228861233442322</v>
      </c>
      <c r="L31" s="49">
        <f ca="1">(INDIRECT("'Damage'!"&amp;ADDRESS(ROW(Damage!$F$1)+$A31,COLUMN(Damage!$F$1)))*($A$1+L$1)/($A$1+$A31))/(INDIRECT("'Damage'!"&amp;ADDRESS(ROW(Damage!$F$1)+L$1,COLUMN(Damage!$F$1))))</f>
        <v>1.0950274196027228</v>
      </c>
      <c r="M31" s="49">
        <f ca="1">(INDIRECT("'Damage'!"&amp;ADDRESS(ROW(Damage!$F$1)+$A31,COLUMN(Damage!$F$1)))*($A$1+M$1)/($A$1+$A31))/(INDIRECT("'Damage'!"&amp;ADDRESS(ROW(Damage!$F$1)+M$1,COLUMN(Damage!$F$1))))</f>
        <v>1.0905812124914811</v>
      </c>
      <c r="N31" s="49">
        <f ca="1">(INDIRECT("'Damage'!"&amp;ADDRESS(ROW(Damage!$F$1)+$A31,COLUMN(Damage!$F$1)))*($A$1+N$1)/($A$1+$A31))/(INDIRECT("'Damage'!"&amp;ADDRESS(ROW(Damage!$F$1)+N$1,COLUMN(Damage!$F$1))))</f>
        <v>1.0696650589117247</v>
      </c>
      <c r="O31" s="49">
        <f ca="1">(INDIRECT("'Damage'!"&amp;ADDRESS(ROW(Damage!$F$1)+$A31,COLUMN(Damage!$F$1)))*($A$1+O$1)/($A$1+$A31))/(INDIRECT("'Damage'!"&amp;ADDRESS(ROW(Damage!$F$1)+O$1,COLUMN(Damage!$F$1))))</f>
        <v>1.0519851264660538</v>
      </c>
      <c r="P31" s="49">
        <f ca="1">(INDIRECT("'Damage'!"&amp;ADDRESS(ROW(Damage!$F$1)+$A31,COLUMN(Damage!$F$1)))*($A$1+P$1)/($A$1+$A31))/(INDIRECT("'Damage'!"&amp;ADDRESS(ROW(Damage!$F$1)+P$1,COLUMN(Damage!$F$1))))</f>
        <v>1.0509945983587221</v>
      </c>
      <c r="Q31" s="49">
        <f ca="1">(INDIRECT("'Damage'!"&amp;ADDRESS(ROW(Damage!$F$1)+$A31,COLUMN(Damage!$F$1)))*($A$1+Q$1)/($A$1+$A31))/(INDIRECT("'Damage'!"&amp;ADDRESS(ROW(Damage!$F$1)+Q$1,COLUMN(Damage!$F$1))))</f>
        <v>1.0302027284731738</v>
      </c>
      <c r="R31" s="49">
        <f ca="1">(INDIRECT("'Damage'!"&amp;ADDRESS(ROW(Damage!$F$1)+$A31,COLUMN(Damage!$F$1)))*($A$1+R$1)/($A$1+$A31))/(INDIRECT("'Damage'!"&amp;ADDRESS(ROW(Damage!$F$1)+R$1,COLUMN(Damage!$F$1))))</f>
        <v>1.0304641244596771</v>
      </c>
      <c r="S31" s="49">
        <f ca="1">(INDIRECT("'Damage'!"&amp;ADDRESS(ROW(Damage!$F$1)+$A31,COLUMN(Damage!$F$1)))*($A$1+S$1)/($A$1+$A31))/(INDIRECT("'Damage'!"&amp;ADDRESS(ROW(Damage!$F$1)+S$1,COLUMN(Damage!$F$1))))</f>
        <v>1.013381587045642</v>
      </c>
      <c r="T31" s="49">
        <f ca="1">(INDIRECT("'Damage'!"&amp;ADDRESS(ROW(Damage!$F$1)+$A31,COLUMN(Damage!$F$1)))*($A$1+T$1)/($A$1+$A31))/(INDIRECT("'Damage'!"&amp;ADDRESS(ROW(Damage!$F$1)+T$1,COLUMN(Damage!$F$1))))</f>
        <v>1.0143932923982713</v>
      </c>
      <c r="U31" s="49">
        <f ca="1">(INDIRECT("'Damage'!"&amp;ADDRESS(ROW(Damage!$F$1)+$A31,COLUMN(Damage!$F$1)))*($A$1+U$1)/($A$1+$A31))/(INDIRECT("'Damage'!"&amp;ADDRESS(ROW(Damage!$F$1)+U$1,COLUMN(Damage!$F$1))))</f>
        <v>1</v>
      </c>
      <c r="V31" s="49">
        <f ca="1">(INDIRECT("'Damage'!"&amp;ADDRESS(ROW(Damage!$F$1)+$A31,COLUMN(Damage!$F$1)))*($A$1+V$1)/($A$1+$A31))/(INDIRECT("'Damage'!"&amp;ADDRESS(ROW(Damage!$F$1)+V$1,COLUMN(Damage!$F$1))))</f>
        <v>1.0014713718777857</v>
      </c>
    </row>
    <row r="32" spans="1:22">
      <c r="A32" s="1">
        <v>61</v>
      </c>
      <c r="B32" s="49">
        <f ca="1">(INDIRECT("'Damage'!"&amp;ADDRESS(ROW(Damage!$F$1)+$A32,COLUMN(Damage!$F$1)))*($A$1+B$1)/($A$1+$A32))/(INDIRECT("'Damage'!"&amp;ADDRESS(ROW(Damage!$F$1)+B$1,COLUMN(Damage!$F$1))))</f>
        <v>2.3238904241136424</v>
      </c>
      <c r="C32" s="49">
        <f ca="1">(INDIRECT("'Damage'!"&amp;ADDRESS(ROW(Damage!$F$1)+$A32,COLUMN(Damage!$F$1)))*($A$1+C$1)/($A$1+$A32))/(INDIRECT("'Damage'!"&amp;ADDRESS(ROW(Damage!$F$1)+C$1,COLUMN(Damage!$F$1))))</f>
        <v>1.7885900726341617</v>
      </c>
      <c r="D32" s="49">
        <f ca="1">(INDIRECT("'Damage'!"&amp;ADDRESS(ROW(Damage!$F$1)+$A32,COLUMN(Damage!$F$1)))*($A$1+D$1)/($A$1+$A32))/(INDIRECT("'Damage'!"&amp;ADDRESS(ROW(Damage!$F$1)+D$1,COLUMN(Damage!$F$1))))</f>
        <v>1.5160077444969551</v>
      </c>
      <c r="E32" s="49">
        <f ca="1">(INDIRECT("'Damage'!"&amp;ADDRESS(ROW(Damage!$F$1)+$A32,COLUMN(Damage!$F$1)))*($A$1+E$1)/($A$1+$A32))/(INDIRECT("'Damage'!"&amp;ADDRESS(ROW(Damage!$F$1)+E$1,COLUMN(Damage!$F$1))))</f>
        <v>1.3744734984524929</v>
      </c>
      <c r="F32" s="49">
        <f ca="1">(INDIRECT("'Damage'!"&amp;ADDRESS(ROW(Damage!$F$1)+$A32,COLUMN(Damage!$F$1)))*($A$1+F$1)/($A$1+$A32))/(INDIRECT("'Damage'!"&amp;ADDRESS(ROW(Damage!$F$1)+F$1,COLUMN(Damage!$F$1))))</f>
        <v>1.314143021788047</v>
      </c>
      <c r="G32" s="49">
        <f ca="1">(INDIRECT("'Damage'!"&amp;ADDRESS(ROW(Damage!$F$1)+$A32,COLUMN(Damage!$F$1)))*($A$1+G$1)/($A$1+$A32))/(INDIRECT("'Damage'!"&amp;ADDRESS(ROW(Damage!$F$1)+G$1,COLUMN(Damage!$F$1))))</f>
        <v>1.2502584048164527</v>
      </c>
      <c r="H32" s="49">
        <f ca="1">(INDIRECT("'Damage'!"&amp;ADDRESS(ROW(Damage!$F$1)+$A32,COLUMN(Damage!$F$1)))*($A$1+H$1)/($A$1+$A32))/(INDIRECT("'Damage'!"&amp;ADDRESS(ROW(Damage!$F$1)+H$1,COLUMN(Damage!$F$1))))</f>
        <v>1.187077822225187</v>
      </c>
      <c r="I32" s="49">
        <f ca="1">(INDIRECT("'Damage'!"&amp;ADDRESS(ROW(Damage!$F$1)+$A32,COLUMN(Damage!$F$1)))*($A$1+I$1)/($A$1+$A32))/(INDIRECT("'Damage'!"&amp;ADDRESS(ROW(Damage!$F$1)+I$1,COLUMN(Damage!$F$1))))</f>
        <v>1.170066103574015</v>
      </c>
      <c r="J32" s="49">
        <f ca="1">(INDIRECT("'Damage'!"&amp;ADDRESS(ROW(Damage!$F$1)+$A32,COLUMN(Damage!$F$1)))*($A$1+J$1)/($A$1+$A32))/(INDIRECT("'Damage'!"&amp;ADDRESS(ROW(Damage!$F$1)+J$1,COLUMN(Damage!$F$1))))</f>
        <v>1.1303405856325563</v>
      </c>
      <c r="K32" s="49">
        <f ca="1">(INDIRECT("'Damage'!"&amp;ADDRESS(ROW(Damage!$F$1)+$A32,COLUMN(Damage!$F$1)))*($A$1+K$1)/($A$1+$A32))/(INDIRECT("'Damage'!"&amp;ADDRESS(ROW(Damage!$F$1)+K$1,COLUMN(Damage!$F$1))))</f>
        <v>1.1217702302215709</v>
      </c>
      <c r="L32" s="49">
        <f ca="1">(INDIRECT("'Damage'!"&amp;ADDRESS(ROW(Damage!$F$1)+$A32,COLUMN(Damage!$F$1)))*($A$1+L$1)/($A$1+$A32))/(INDIRECT("'Damage'!"&amp;ADDRESS(ROW(Damage!$F$1)+L$1,COLUMN(Damage!$F$1))))</f>
        <v>1.0939392116880851</v>
      </c>
      <c r="M32" s="49">
        <f ca="1">(INDIRECT("'Damage'!"&amp;ADDRESS(ROW(Damage!$F$1)+$A32,COLUMN(Damage!$F$1)))*($A$1+M$1)/($A$1+$A32))/(INDIRECT("'Damage'!"&amp;ADDRESS(ROW(Damage!$F$1)+M$1,COLUMN(Damage!$F$1))))</f>
        <v>1.0894974230942998</v>
      </c>
      <c r="N32" s="49">
        <f ca="1">(INDIRECT("'Damage'!"&amp;ADDRESS(ROW(Damage!$F$1)+$A32,COLUMN(Damage!$F$1)))*($A$1+N$1)/($A$1+$A32))/(INDIRECT("'Damage'!"&amp;ADDRESS(ROW(Damage!$F$1)+N$1,COLUMN(Damage!$F$1))))</f>
        <v>1.0686020554085416</v>
      </c>
      <c r="O32" s="49">
        <f ca="1">(INDIRECT("'Damage'!"&amp;ADDRESS(ROW(Damage!$F$1)+$A32,COLUMN(Damage!$F$1)))*($A$1+O$1)/($A$1+$A32))/(INDIRECT("'Damage'!"&amp;ADDRESS(ROW(Damage!$F$1)+O$1,COLUMN(Damage!$F$1))))</f>
        <v>1.0509396927899575</v>
      </c>
      <c r="P32" s="49">
        <f ca="1">(INDIRECT("'Damage'!"&amp;ADDRESS(ROW(Damage!$F$1)+$A32,COLUMN(Damage!$F$1)))*($A$1+P$1)/($A$1+$A32))/(INDIRECT("'Damage'!"&amp;ADDRESS(ROW(Damage!$F$1)+P$1,COLUMN(Damage!$F$1))))</f>
        <v>1.0499501490420189</v>
      </c>
      <c r="Q32" s="49">
        <f ca="1">(INDIRECT("'Damage'!"&amp;ADDRESS(ROW(Damage!$F$1)+$A32,COLUMN(Damage!$F$1)))*($A$1+Q$1)/($A$1+$A32))/(INDIRECT("'Damage'!"&amp;ADDRESS(ROW(Damage!$F$1)+Q$1,COLUMN(Damage!$F$1))))</f>
        <v>1.0291789415407768</v>
      </c>
      <c r="R32" s="49">
        <f ca="1">(INDIRECT("'Damage'!"&amp;ADDRESS(ROW(Damage!$F$1)+$A32,COLUMN(Damage!$F$1)))*($A$1+R$1)/($A$1+$A32))/(INDIRECT("'Damage'!"&amp;ADDRESS(ROW(Damage!$F$1)+R$1,COLUMN(Damage!$F$1))))</f>
        <v>1.0294400777591897</v>
      </c>
      <c r="S32" s="49">
        <f ca="1">(INDIRECT("'Damage'!"&amp;ADDRESS(ROW(Damage!$F$1)+$A32,COLUMN(Damage!$F$1)))*($A$1+S$1)/($A$1+$A32))/(INDIRECT("'Damage'!"&amp;ADDRESS(ROW(Damage!$F$1)+S$1,COLUMN(Damage!$F$1))))</f>
        <v>1.0123745164976083</v>
      </c>
      <c r="T32" s="49">
        <f ca="1">(INDIRECT("'Damage'!"&amp;ADDRESS(ROW(Damage!$F$1)+$A32,COLUMN(Damage!$F$1)))*($A$1+T$1)/($A$1+$A32))/(INDIRECT("'Damage'!"&amp;ADDRESS(ROW(Damage!$F$1)+T$1,COLUMN(Damage!$F$1))))</f>
        <v>1.0133852164454851</v>
      </c>
      <c r="U32" s="49">
        <f ca="1">(INDIRECT("'Damage'!"&amp;ADDRESS(ROW(Damage!$F$1)+$A32,COLUMN(Damage!$F$1)))*($A$1+U$1)/($A$1+$A32))/(INDIRECT("'Damage'!"&amp;ADDRESS(ROW(Damage!$F$1)+U$1,COLUMN(Damage!$F$1))))</f>
        <v>0.99900622770246916</v>
      </c>
      <c r="V32" s="49">
        <f ca="1">(INDIRECT("'Damage'!"&amp;ADDRESS(ROW(Damage!$F$1)+$A32,COLUMN(Damage!$F$1)))*($A$1+V$1)/($A$1+$A32))/(INDIRECT("'Damage'!"&amp;ADDRESS(ROW(Damage!$F$1)+V$1,COLUMN(Damage!$F$1))))</f>
        <v>1.0004761373716435</v>
      </c>
    </row>
    <row r="33" spans="1:22">
      <c r="A33" s="1">
        <v>63</v>
      </c>
      <c r="B33" s="49">
        <f ca="1">(INDIRECT("'Damage'!"&amp;ADDRESS(ROW(Damage!$F$1)+$A33,COLUMN(Damage!$F$1)))*($A$1+B$1)/($A$1+$A33))/(INDIRECT("'Damage'!"&amp;ADDRESS(ROW(Damage!$F$1)+B$1,COLUMN(Damage!$F$1))))</f>
        <v>2.3217098700177181</v>
      </c>
      <c r="C33" s="49">
        <f ca="1">(INDIRECT("'Damage'!"&amp;ADDRESS(ROW(Damage!$F$1)+$A33,COLUMN(Damage!$F$1)))*($A$1+C$1)/($A$1+$A33))/(INDIRECT("'Damage'!"&amp;ADDRESS(ROW(Damage!$F$1)+C$1,COLUMN(Damage!$F$1))))</f>
        <v>1.7869118018480941</v>
      </c>
      <c r="D33" s="49">
        <f ca="1">(INDIRECT("'Damage'!"&amp;ADDRESS(ROW(Damage!$F$1)+$A33,COLUMN(Damage!$F$1)))*($A$1+D$1)/($A$1+$A33))/(INDIRECT("'Damage'!"&amp;ADDRESS(ROW(Damage!$F$1)+D$1,COLUMN(Damage!$F$1))))</f>
        <v>1.5145852433056708</v>
      </c>
      <c r="E33" s="49">
        <f ca="1">(INDIRECT("'Damage'!"&amp;ADDRESS(ROW(Damage!$F$1)+$A33,COLUMN(Damage!$F$1)))*($A$1+E$1)/($A$1+$A33))/(INDIRECT("'Damage'!"&amp;ADDRESS(ROW(Damage!$F$1)+E$1,COLUMN(Damage!$F$1))))</f>
        <v>1.3731838017500622</v>
      </c>
      <c r="F33" s="49">
        <f ca="1">(INDIRECT("'Damage'!"&amp;ADDRESS(ROW(Damage!$F$1)+$A33,COLUMN(Damage!$F$1)))*($A$1+F$1)/($A$1+$A33))/(INDIRECT("'Damage'!"&amp;ADDRESS(ROW(Damage!$F$1)+F$1,COLUMN(Damage!$F$1))))</f>
        <v>1.3129099344104944</v>
      </c>
      <c r="G33" s="49">
        <f ca="1">(INDIRECT("'Damage'!"&amp;ADDRESS(ROW(Damage!$F$1)+$A33,COLUMN(Damage!$F$1)))*($A$1+G$1)/($A$1+$A33))/(INDIRECT("'Damage'!"&amp;ADDRESS(ROW(Damage!$F$1)+G$1,COLUMN(Damage!$F$1))))</f>
        <v>1.2490852616865971</v>
      </c>
      <c r="H33" s="49">
        <f ca="1">(INDIRECT("'Damage'!"&amp;ADDRESS(ROW(Damage!$F$1)+$A33,COLUMN(Damage!$F$1)))*($A$1+H$1)/($A$1+$A33))/(INDIRECT("'Damage'!"&amp;ADDRESS(ROW(Damage!$F$1)+H$1,COLUMN(Damage!$F$1))))</f>
        <v>1.1859639627331151</v>
      </c>
      <c r="I33" s="49">
        <f ca="1">(INDIRECT("'Damage'!"&amp;ADDRESS(ROW(Damage!$F$1)+$A33,COLUMN(Damage!$F$1)))*($A$1+I$1)/($A$1+$A33))/(INDIRECT("'Damage'!"&amp;ADDRESS(ROW(Damage!$F$1)+I$1,COLUMN(Damage!$F$1))))</f>
        <v>1.168968206526815</v>
      </c>
      <c r="J33" s="49">
        <f ca="1">(INDIRECT("'Damage'!"&amp;ADDRESS(ROW(Damage!$F$1)+$A33,COLUMN(Damage!$F$1)))*($A$1+J$1)/($A$1+$A33))/(INDIRECT("'Damage'!"&amp;ADDRESS(ROW(Damage!$F$1)+J$1,COLUMN(Damage!$F$1))))</f>
        <v>1.129279963854432</v>
      </c>
      <c r="K33" s="49">
        <f ca="1">(INDIRECT("'Damage'!"&amp;ADDRESS(ROW(Damage!$F$1)+$A33,COLUMN(Damage!$F$1)))*($A$1+K$1)/($A$1+$A33))/(INDIRECT("'Damage'!"&amp;ADDRESS(ROW(Damage!$F$1)+K$1,COLUMN(Damage!$F$1))))</f>
        <v>1.1207176501838831</v>
      </c>
      <c r="L33" s="49">
        <f ca="1">(INDIRECT("'Damage'!"&amp;ADDRESS(ROW(Damage!$F$1)+$A33,COLUMN(Damage!$F$1)))*($A$1+L$1)/($A$1+$A33))/(INDIRECT("'Damage'!"&amp;ADDRESS(ROW(Damage!$F$1)+L$1,COLUMN(Damage!$F$1))))</f>
        <v>1.0929127460664763</v>
      </c>
      <c r="M33" s="49">
        <f ca="1">(INDIRECT("'Damage'!"&amp;ADDRESS(ROW(Damage!$F$1)+$A33,COLUMN(Damage!$F$1)))*($A$1+M$1)/($A$1+$A33))/(INDIRECT("'Damage'!"&amp;ADDRESS(ROW(Damage!$F$1)+M$1,COLUMN(Damage!$F$1))))</f>
        <v>1.0884751252941212</v>
      </c>
      <c r="N33" s="49">
        <f ca="1">(INDIRECT("'Damage'!"&amp;ADDRESS(ROW(Damage!$F$1)+$A33,COLUMN(Damage!$F$1)))*($A$1+N$1)/($A$1+$A33))/(INDIRECT("'Damage'!"&amp;ADDRESS(ROW(Damage!$F$1)+N$1,COLUMN(Damage!$F$1))))</f>
        <v>1.0675993641608581</v>
      </c>
      <c r="O33" s="49">
        <f ca="1">(INDIRECT("'Damage'!"&amp;ADDRESS(ROW(Damage!$F$1)+$A33,COLUMN(Damage!$F$1)))*($A$1+O$1)/($A$1+$A33))/(INDIRECT("'Damage'!"&amp;ADDRESS(ROW(Damage!$F$1)+O$1,COLUMN(Damage!$F$1))))</f>
        <v>1.0499535744997388</v>
      </c>
      <c r="P33" s="49">
        <f ca="1">(INDIRECT("'Damage'!"&amp;ADDRESS(ROW(Damage!$F$1)+$A33,COLUMN(Damage!$F$1)))*($A$1+P$1)/($A$1+$A33))/(INDIRECT("'Damage'!"&amp;ADDRESS(ROW(Damage!$F$1)+P$1,COLUMN(Damage!$F$1))))</f>
        <v>1.0489649592610149</v>
      </c>
      <c r="Q33" s="49">
        <f ca="1">(INDIRECT("'Damage'!"&amp;ADDRESS(ROW(Damage!$F$1)+$A33,COLUMN(Damage!$F$1)))*($A$1+Q$1)/($A$1+$A33))/(INDIRECT("'Damage'!"&amp;ADDRESS(ROW(Damage!$F$1)+Q$1,COLUMN(Damage!$F$1))))</f>
        <v>1.0282132418102177</v>
      </c>
      <c r="R33" s="49">
        <f ca="1">(INDIRECT("'Damage'!"&amp;ADDRESS(ROW(Damage!$F$1)+$A33,COLUMN(Damage!$F$1)))*($A$1+R$1)/($A$1+$A33))/(INDIRECT("'Damage'!"&amp;ADDRESS(ROW(Damage!$F$1)+R$1,COLUMN(Damage!$F$1))))</f>
        <v>1.0284741329991556</v>
      </c>
      <c r="S33" s="49">
        <f ca="1">(INDIRECT("'Damage'!"&amp;ADDRESS(ROW(Damage!$F$1)+$A33,COLUMN(Damage!$F$1)))*($A$1+S$1)/($A$1+$A33))/(INDIRECT("'Damage'!"&amp;ADDRESS(ROW(Damage!$F$1)+S$1,COLUMN(Damage!$F$1))))</f>
        <v>1.011424584704073</v>
      </c>
      <c r="T33" s="49">
        <f ca="1">(INDIRECT("'Damage'!"&amp;ADDRESS(ROW(Damage!$F$1)+$A33,COLUMN(Damage!$F$1)))*($A$1+T$1)/($A$1+$A33))/(INDIRECT("'Damage'!"&amp;ADDRESS(ROW(Damage!$F$1)+T$1,COLUMN(Damage!$F$1))))</f>
        <v>1.0124343362914381</v>
      </c>
      <c r="U33" s="49">
        <f ca="1">(INDIRECT("'Damage'!"&amp;ADDRESS(ROW(Damage!$F$1)+$A33,COLUMN(Damage!$F$1)))*($A$1+U$1)/($A$1+$A33))/(INDIRECT("'Damage'!"&amp;ADDRESS(ROW(Damage!$F$1)+U$1,COLUMN(Damage!$F$1))))</f>
        <v>0.99806883964876991</v>
      </c>
      <c r="V33" s="49">
        <f ca="1">(INDIRECT("'Damage'!"&amp;ADDRESS(ROW(Damage!$F$1)+$A33,COLUMN(Damage!$F$1)))*($A$1+V$1)/($A$1+$A33))/(INDIRECT("'Damage'!"&amp;ADDRESS(ROW(Damage!$F$1)+V$1,COLUMN(Damage!$F$1))))</f>
        <v>0.99953737007152355</v>
      </c>
    </row>
    <row r="34" spans="1:22">
      <c r="A34" s="1">
        <v>65</v>
      </c>
      <c r="B34" s="49">
        <f ca="1">(INDIRECT("'Damage'!"&amp;ADDRESS(ROW(Damage!$F$1)+$A34,COLUMN(Damage!$F$1)))*($A$1+B$1)/($A$1+$A34))/(INDIRECT("'Damage'!"&amp;ADDRESS(ROW(Damage!$F$1)+B$1,COLUMN(Damage!$F$1))))</f>
        <v>2.3625636446996934</v>
      </c>
      <c r="C34" s="49">
        <f ca="1">(INDIRECT("'Damage'!"&amp;ADDRESS(ROW(Damage!$F$1)+$A34,COLUMN(Damage!$F$1)))*($A$1+C$1)/($A$1+$A34))/(INDIRECT("'Damage'!"&amp;ADDRESS(ROW(Damage!$F$1)+C$1,COLUMN(Damage!$F$1))))</f>
        <v>1.8183550467909722</v>
      </c>
      <c r="D34" s="49">
        <f ca="1">(INDIRECT("'Damage'!"&amp;ADDRESS(ROW(Damage!$F$1)+$A34,COLUMN(Damage!$F$1)))*($A$1+D$1)/($A$1+$A34))/(INDIRECT("'Damage'!"&amp;ADDRESS(ROW(Damage!$F$1)+D$1,COLUMN(Damage!$F$1))))</f>
        <v>1.541236516604596</v>
      </c>
      <c r="E34" s="49">
        <f ca="1">(INDIRECT("'Damage'!"&amp;ADDRESS(ROW(Damage!$F$1)+$A34,COLUMN(Damage!$F$1)))*($A$1+E$1)/($A$1+$A34))/(INDIRECT("'Damage'!"&amp;ADDRESS(ROW(Damage!$F$1)+E$1,COLUMN(Damage!$F$1))))</f>
        <v>1.397346916339917</v>
      </c>
      <c r="F34" s="49">
        <f ca="1">(INDIRECT("'Damage'!"&amp;ADDRESS(ROW(Damage!$F$1)+$A34,COLUMN(Damage!$F$1)))*($A$1+F$1)/($A$1+$A34))/(INDIRECT("'Damage'!"&amp;ADDRESS(ROW(Damage!$F$1)+F$1,COLUMN(Damage!$F$1))))</f>
        <v>1.336012444905367</v>
      </c>
      <c r="G34" s="49">
        <f ca="1">(INDIRECT("'Damage'!"&amp;ADDRESS(ROW(Damage!$F$1)+$A34,COLUMN(Damage!$F$1)))*($A$1+G$1)/($A$1+$A34))/(INDIRECT("'Damage'!"&amp;ADDRESS(ROW(Damage!$F$1)+G$1,COLUMN(Damage!$F$1))))</f>
        <v>1.2710646866347846</v>
      </c>
      <c r="H34" s="49">
        <f ca="1">(INDIRECT("'Damage'!"&amp;ADDRESS(ROW(Damage!$F$1)+$A34,COLUMN(Damage!$F$1)))*($A$1+H$1)/($A$1+$A34))/(INDIRECT("'Damage'!"&amp;ADDRESS(ROW(Damage!$F$1)+H$1,COLUMN(Damage!$F$1))))</f>
        <v>1.2068326789926844</v>
      </c>
      <c r="I34" s="49">
        <f ca="1">(INDIRECT("'Damage'!"&amp;ADDRESS(ROW(Damage!$F$1)+$A34,COLUMN(Damage!$F$1)))*($A$1+I$1)/($A$1+$A34))/(INDIRECT("'Damage'!"&amp;ADDRESS(ROW(Damage!$F$1)+I$1,COLUMN(Damage!$F$1))))</f>
        <v>1.1895378583754652</v>
      </c>
      <c r="J34" s="49">
        <f ca="1">(INDIRECT("'Damage'!"&amp;ADDRESS(ROW(Damage!$F$1)+$A34,COLUMN(Damage!$F$1)))*($A$1+J$1)/($A$1+$A34))/(INDIRECT("'Damage'!"&amp;ADDRESS(ROW(Damage!$F$1)+J$1,COLUMN(Damage!$F$1))))</f>
        <v>1.1491512448408998</v>
      </c>
      <c r="K34" s="49">
        <f ca="1">(INDIRECT("'Damage'!"&amp;ADDRESS(ROW(Damage!$F$1)+$A34,COLUMN(Damage!$F$1)))*($A$1+K$1)/($A$1+$A34))/(INDIRECT("'Damage'!"&amp;ADDRESS(ROW(Damage!$F$1)+K$1,COLUMN(Damage!$F$1))))</f>
        <v>1.1404382651297875</v>
      </c>
      <c r="L34" s="49">
        <f ca="1">(INDIRECT("'Damage'!"&amp;ADDRESS(ROW(Damage!$F$1)+$A34,COLUMN(Damage!$F$1)))*($A$1+L$1)/($A$1+$A34))/(INDIRECT("'Damage'!"&amp;ADDRESS(ROW(Damage!$F$1)+L$1,COLUMN(Damage!$F$1))))</f>
        <v>1.112144094329004</v>
      </c>
      <c r="M34" s="49">
        <f ca="1">(INDIRECT("'Damage'!"&amp;ADDRESS(ROW(Damage!$F$1)+$A34,COLUMN(Damage!$F$1)))*($A$1+M$1)/($A$1+$A34))/(INDIRECT("'Damage'!"&amp;ADDRESS(ROW(Damage!$F$1)+M$1,COLUMN(Damage!$F$1))))</f>
        <v>1.1076283873317081</v>
      </c>
      <c r="N34" s="49">
        <f ca="1">(INDIRECT("'Damage'!"&amp;ADDRESS(ROW(Damage!$F$1)+$A34,COLUMN(Damage!$F$1)))*($A$1+N$1)/($A$1+$A34))/(INDIRECT("'Damage'!"&amp;ADDRESS(ROW(Damage!$F$1)+N$1,COLUMN(Damage!$F$1))))</f>
        <v>1.0863852876034437</v>
      </c>
      <c r="O34" s="49">
        <f ca="1">(INDIRECT("'Damage'!"&amp;ADDRESS(ROW(Damage!$F$1)+$A34,COLUMN(Damage!$F$1)))*($A$1+O$1)/($A$1+$A34))/(INDIRECT("'Damage'!"&amp;ADDRESS(ROW(Damage!$F$1)+O$1,COLUMN(Damage!$F$1))))</f>
        <v>1.0684289952717665</v>
      </c>
      <c r="P34" s="49">
        <f ca="1">(INDIRECT("'Damage'!"&amp;ADDRESS(ROW(Damage!$F$1)+$A34,COLUMN(Damage!$F$1)))*($A$1+P$1)/($A$1+$A34))/(INDIRECT("'Damage'!"&amp;ADDRESS(ROW(Damage!$F$1)+P$1,COLUMN(Damage!$F$1))))</f>
        <v>1.0674229839471956</v>
      </c>
      <c r="Q34" s="49">
        <f ca="1">(INDIRECT("'Damage'!"&amp;ADDRESS(ROW(Damage!$F$1)+$A34,COLUMN(Damage!$F$1)))*($A$1+Q$1)/($A$1+$A34))/(INDIRECT("'Damage'!"&amp;ADDRESS(ROW(Damage!$F$1)+Q$1,COLUMN(Damage!$F$1))))</f>
        <v>1.0463061106257416</v>
      </c>
      <c r="R34" s="49">
        <f ca="1">(INDIRECT("'Damage'!"&amp;ADDRESS(ROW(Damage!$F$1)+$A34,COLUMN(Damage!$F$1)))*($A$1+R$1)/($A$1+$A34))/(INDIRECT("'Damage'!"&amp;ADDRESS(ROW(Damage!$F$1)+R$1,COLUMN(Damage!$F$1))))</f>
        <v>1.0465715925647932</v>
      </c>
      <c r="S34" s="49">
        <f ca="1">(INDIRECT("'Damage'!"&amp;ADDRESS(ROW(Damage!$F$1)+$A34,COLUMN(Damage!$F$1)))*($A$1+S$1)/($A$1+$A34))/(INDIRECT("'Damage'!"&amp;ADDRESS(ROW(Damage!$F$1)+S$1,COLUMN(Damage!$F$1))))</f>
        <v>1.0292220333107738</v>
      </c>
      <c r="T34" s="49">
        <f ca="1">(INDIRECT("'Damage'!"&amp;ADDRESS(ROW(Damage!$F$1)+$A34,COLUMN(Damage!$F$1)))*($A$1+T$1)/($A$1+$A34))/(INDIRECT("'Damage'!"&amp;ADDRESS(ROW(Damage!$F$1)+T$1,COLUMN(Damage!$F$1))))</f>
        <v>1.0302495529079869</v>
      </c>
      <c r="U34" s="49">
        <f ca="1">(INDIRECT("'Damage'!"&amp;ADDRESS(ROW(Damage!$F$1)+$A34,COLUMN(Damage!$F$1)))*($A$1+U$1)/($A$1+$A34))/(INDIRECT("'Damage'!"&amp;ADDRESS(ROW(Damage!$F$1)+U$1,COLUMN(Damage!$F$1))))</f>
        <v>1.0156312749981102</v>
      </c>
      <c r="V34" s="49">
        <f ca="1">(INDIRECT("'Damage'!"&amp;ADDRESS(ROW(Damage!$F$1)+$A34,COLUMN(Damage!$F$1)))*($A$1+V$1)/($A$1+$A34))/(INDIRECT("'Damage'!"&amp;ADDRESS(ROW(Damage!$F$1)+V$1,COLUMN(Damage!$F$1))))</f>
        <v>1.0171256462943423</v>
      </c>
    </row>
    <row r="35" spans="1:22">
      <c r="A35" s="1">
        <v>67</v>
      </c>
      <c r="B35" s="49">
        <f ca="1">(INDIRECT("'Damage'!"&amp;ADDRESS(ROW(Damage!$F$1)+$A35,COLUMN(Damage!$F$1)))*($A$1+B$1)/($A$1+$A35))/(INDIRECT("'Damage'!"&amp;ADDRESS(ROW(Damage!$F$1)+B$1,COLUMN(Damage!$F$1))))</f>
        <v>2.3594619600696971</v>
      </c>
      <c r="C35" s="49">
        <f ca="1">(INDIRECT("'Damage'!"&amp;ADDRESS(ROW(Damage!$F$1)+$A35,COLUMN(Damage!$F$1)))*($A$1+C$1)/($A$1+$A35))/(INDIRECT("'Damage'!"&amp;ADDRESS(ROW(Damage!$F$1)+C$1,COLUMN(Damage!$F$1))))</f>
        <v>1.8159678247945781</v>
      </c>
      <c r="D35" s="49">
        <f ca="1">(INDIRECT("'Damage'!"&amp;ADDRESS(ROW(Damage!$F$1)+$A35,COLUMN(Damage!$F$1)))*($A$1+D$1)/($A$1+$A35))/(INDIRECT("'Damage'!"&amp;ADDRESS(ROW(Damage!$F$1)+D$1,COLUMN(Damage!$F$1))))</f>
        <v>1.5392131088435115</v>
      </c>
      <c r="E35" s="49">
        <f ca="1">(INDIRECT("'Damage'!"&amp;ADDRESS(ROW(Damage!$F$1)+$A35,COLUMN(Damage!$F$1)))*($A$1+E$1)/($A$1+$A35))/(INDIRECT("'Damage'!"&amp;ADDRESS(ROW(Damage!$F$1)+E$1,COLUMN(Damage!$F$1))))</f>
        <v>1.395512413611109</v>
      </c>
      <c r="F35" s="49">
        <f ca="1">(INDIRECT("'Damage'!"&amp;ADDRESS(ROW(Damage!$F$1)+$A35,COLUMN(Damage!$F$1)))*($A$1+F$1)/($A$1+$A35))/(INDIRECT("'Damage'!"&amp;ADDRESS(ROW(Damage!$F$1)+F$1,COLUMN(Damage!$F$1))))</f>
        <v>1.3342584649543321</v>
      </c>
      <c r="G35" s="49">
        <f ca="1">(INDIRECT("'Damage'!"&amp;ADDRESS(ROW(Damage!$F$1)+$A35,COLUMN(Damage!$F$1)))*($A$1+G$1)/($A$1+$A35))/(INDIRECT("'Damage'!"&amp;ADDRESS(ROW(Damage!$F$1)+G$1,COLUMN(Damage!$F$1))))</f>
        <v>1.269395973154362</v>
      </c>
      <c r="H35" s="49">
        <f ca="1">(INDIRECT("'Damage'!"&amp;ADDRESS(ROW(Damage!$F$1)+$A35,COLUMN(Damage!$F$1)))*($A$1+H$1)/($A$1+$A35))/(INDIRECT("'Damage'!"&amp;ADDRESS(ROW(Damage!$F$1)+H$1,COLUMN(Damage!$F$1))))</f>
        <v>1.2052482923117978</v>
      </c>
      <c r="I35" s="49">
        <f ca="1">(INDIRECT("'Damage'!"&amp;ADDRESS(ROW(Damage!$F$1)+$A35,COLUMN(Damage!$F$1)))*($A$1+I$1)/($A$1+$A35))/(INDIRECT("'Damage'!"&amp;ADDRESS(ROW(Damage!$F$1)+I$1,COLUMN(Damage!$F$1))))</f>
        <v>1.1879761771482102</v>
      </c>
      <c r="J35" s="49">
        <f ca="1">(INDIRECT("'Damage'!"&amp;ADDRESS(ROW(Damage!$F$1)+$A35,COLUMN(Damage!$F$1)))*($A$1+J$1)/($A$1+$A35))/(INDIRECT("'Damage'!"&amp;ADDRESS(ROW(Damage!$F$1)+J$1,COLUMN(Damage!$F$1))))</f>
        <v>1.1476425850586922</v>
      </c>
      <c r="K35" s="49">
        <f ca="1">(INDIRECT("'Damage'!"&amp;ADDRESS(ROW(Damage!$F$1)+$A35,COLUMN(Damage!$F$1)))*($A$1+K$1)/($A$1+$A35))/(INDIRECT("'Damage'!"&amp;ADDRESS(ROW(Damage!$F$1)+K$1,COLUMN(Damage!$F$1))))</f>
        <v>1.1389410441569903</v>
      </c>
      <c r="L35" s="49">
        <f ca="1">(INDIRECT("'Damage'!"&amp;ADDRESS(ROW(Damage!$F$1)+$A35,COLUMN(Damage!$F$1)))*($A$1+L$1)/($A$1+$A35))/(INDIRECT("'Damage'!"&amp;ADDRESS(ROW(Damage!$F$1)+L$1,COLUMN(Damage!$F$1))))</f>
        <v>1.1106840192739</v>
      </c>
      <c r="M35" s="49">
        <f ca="1">(INDIRECT("'Damage'!"&amp;ADDRESS(ROW(Damage!$F$1)+$A35,COLUMN(Damage!$F$1)))*($A$1+M$1)/($A$1+$A35))/(INDIRECT("'Damage'!"&amp;ADDRESS(ROW(Damage!$F$1)+M$1,COLUMN(Damage!$F$1))))</f>
        <v>1.1061742407090585</v>
      </c>
      <c r="N35" s="49">
        <f ca="1">(INDIRECT("'Damage'!"&amp;ADDRESS(ROW(Damage!$F$1)+$A35,COLUMN(Damage!$F$1)))*($A$1+N$1)/($A$1+$A35))/(INDIRECT("'Damage'!"&amp;ADDRESS(ROW(Damage!$F$1)+N$1,COLUMN(Damage!$F$1))))</f>
        <v>1.0849590299208733</v>
      </c>
      <c r="O35" s="49">
        <f ca="1">(INDIRECT("'Damage'!"&amp;ADDRESS(ROW(Damage!$F$1)+$A35,COLUMN(Damage!$F$1)))*($A$1+O$1)/($A$1+$A35))/(INDIRECT("'Damage'!"&amp;ADDRESS(ROW(Damage!$F$1)+O$1,COLUMN(Damage!$F$1))))</f>
        <v>1.0670263114539942</v>
      </c>
      <c r="P35" s="49">
        <f ca="1">(INDIRECT("'Damage'!"&amp;ADDRESS(ROW(Damage!$F$1)+$A35,COLUMN(Damage!$F$1)))*($A$1+P$1)/($A$1+$A35))/(INDIRECT("'Damage'!"&amp;ADDRESS(ROW(Damage!$F$1)+P$1,COLUMN(Damage!$F$1))))</f>
        <v>1.0660216208683886</v>
      </c>
      <c r="Q35" s="49">
        <f ca="1">(INDIRECT("'Damage'!"&amp;ADDRESS(ROW(Damage!$F$1)+$A35,COLUMN(Damage!$F$1)))*($A$1+Q$1)/($A$1+$A35))/(INDIRECT("'Damage'!"&amp;ADDRESS(ROW(Damage!$F$1)+Q$1,COLUMN(Damage!$F$1))))</f>
        <v>1.0449324707710523</v>
      </c>
      <c r="R35" s="49">
        <f ca="1">(INDIRECT("'Damage'!"&amp;ADDRESS(ROW(Damage!$F$1)+$A35,COLUMN(Damage!$F$1)))*($A$1+R$1)/($A$1+$A35))/(INDIRECT("'Damage'!"&amp;ADDRESS(ROW(Damage!$F$1)+R$1,COLUMN(Damage!$F$1))))</f>
        <v>1.0451976041729325</v>
      </c>
      <c r="S35" s="49">
        <f ca="1">(INDIRECT("'Damage'!"&amp;ADDRESS(ROW(Damage!$F$1)+$A35,COLUMN(Damage!$F$1)))*($A$1+S$1)/($A$1+$A35))/(INDIRECT("'Damage'!"&amp;ADDRESS(ROW(Damage!$F$1)+S$1,COLUMN(Damage!$F$1))))</f>
        <v>1.0278708222360011</v>
      </c>
      <c r="T35" s="49">
        <f ca="1">(INDIRECT("'Damage'!"&amp;ADDRESS(ROW(Damage!$F$1)+$A35,COLUMN(Damage!$F$1)))*($A$1+T$1)/($A$1+$A35))/(INDIRECT("'Damage'!"&amp;ADDRESS(ROW(Damage!$F$1)+T$1,COLUMN(Damage!$F$1))))</f>
        <v>1.0288969928571776</v>
      </c>
      <c r="U35" s="49">
        <f ca="1">(INDIRECT("'Damage'!"&amp;ADDRESS(ROW(Damage!$F$1)+$A35,COLUMN(Damage!$F$1)))*($A$1+U$1)/($A$1+$A35))/(INDIRECT("'Damage'!"&amp;ADDRESS(ROW(Damage!$F$1)+U$1,COLUMN(Damage!$F$1))))</f>
        <v>1.0142979065098274</v>
      </c>
      <c r="V35" s="49">
        <f ca="1">(INDIRECT("'Damage'!"&amp;ADDRESS(ROW(Damage!$F$1)+$A35,COLUMN(Damage!$F$1)))*($A$1+V$1)/($A$1+$A35))/(INDIRECT("'Damage'!"&amp;ADDRESS(ROW(Damage!$F$1)+V$1,COLUMN(Damage!$F$1))))</f>
        <v>1.0157903159251629</v>
      </c>
    </row>
    <row r="36" spans="1:22">
      <c r="A36" s="1">
        <v>69</v>
      </c>
      <c r="B36" s="49">
        <f ca="1">(INDIRECT("'Damage'!"&amp;ADDRESS(ROW(Damage!$F$1)+$A36,COLUMN(Damage!$F$1)))*($A$1+B$1)/($A$1+$A36))/(INDIRECT("'Damage'!"&amp;ADDRESS(ROW(Damage!$F$1)+B$1,COLUMN(Damage!$F$1))))</f>
        <v>2.3565224550281982</v>
      </c>
      <c r="C36" s="49">
        <f ca="1">(INDIRECT("'Damage'!"&amp;ADDRESS(ROW(Damage!$F$1)+$A36,COLUMN(Damage!$F$1)))*($A$1+C$1)/($A$1+$A36))/(INDIRECT("'Damage'!"&amp;ADDRESS(ROW(Damage!$F$1)+C$1,COLUMN(Damage!$F$1))))</f>
        <v>1.813705424863356</v>
      </c>
      <c r="D36" s="49">
        <f ca="1">(INDIRECT("'Damage'!"&amp;ADDRESS(ROW(Damage!$F$1)+$A36,COLUMN(Damage!$F$1)))*($A$1+D$1)/($A$1+$A36))/(INDIRECT("'Damage'!"&amp;ADDRESS(ROW(Damage!$F$1)+D$1,COLUMN(Damage!$F$1))))</f>
        <v>1.5372955001810462</v>
      </c>
      <c r="E36" s="49">
        <f ca="1">(INDIRECT("'Damage'!"&amp;ADDRESS(ROW(Damage!$F$1)+$A36,COLUMN(Damage!$F$1)))*($A$1+E$1)/($A$1+$A36))/(INDIRECT("'Damage'!"&amp;ADDRESS(ROW(Damage!$F$1)+E$1,COLUMN(Damage!$F$1))))</f>
        <v>1.3937738325936118</v>
      </c>
      <c r="F36" s="49">
        <f ca="1">(INDIRECT("'Damage'!"&amp;ADDRESS(ROW(Damage!$F$1)+$A36,COLUMN(Damage!$F$1)))*($A$1+F$1)/($A$1+$A36))/(INDIRECT("'Damage'!"&amp;ADDRESS(ROW(Damage!$F$1)+F$1,COLUMN(Damage!$F$1))))</f>
        <v>1.3325961963732869</v>
      </c>
      <c r="G36" s="49">
        <f ca="1">(INDIRECT("'Damage'!"&amp;ADDRESS(ROW(Damage!$F$1)+$A36,COLUMN(Damage!$F$1)))*($A$1+G$1)/($A$1+$A36))/(INDIRECT("'Damage'!"&amp;ADDRESS(ROW(Damage!$F$1)+G$1,COLUMN(Damage!$F$1))))</f>
        <v>1.2678145126663805</v>
      </c>
      <c r="H36" s="49">
        <f ca="1">(INDIRECT("'Damage'!"&amp;ADDRESS(ROW(Damage!$F$1)+$A36,COLUMN(Damage!$F$1)))*($A$1+H$1)/($A$1+$A36))/(INDIRECT("'Damage'!"&amp;ADDRESS(ROW(Damage!$F$1)+H$1,COLUMN(Damage!$F$1))))</f>
        <v>1.203746749378932</v>
      </c>
      <c r="I36" s="49">
        <f ca="1">(INDIRECT("'Damage'!"&amp;ADDRESS(ROW(Damage!$F$1)+$A36,COLUMN(Damage!$F$1)))*($A$1+I$1)/($A$1+$A36))/(INDIRECT("'Damage'!"&amp;ADDRESS(ROW(Damage!$F$1)+I$1,COLUMN(Damage!$F$1))))</f>
        <v>1.1864961524557147</v>
      </c>
      <c r="J36" s="49">
        <f ca="1">(INDIRECT("'Damage'!"&amp;ADDRESS(ROW(Damage!$F$1)+$A36,COLUMN(Damage!$F$1)))*($A$1+J$1)/($A$1+$A36))/(INDIRECT("'Damage'!"&amp;ADDRESS(ROW(Damage!$F$1)+J$1,COLUMN(Damage!$F$1))))</f>
        <v>1.1462128094481039</v>
      </c>
      <c r="K36" s="49">
        <f ca="1">(INDIRECT("'Damage'!"&amp;ADDRESS(ROW(Damage!$F$1)+$A36,COLUMN(Damage!$F$1)))*($A$1+K$1)/($A$1+$A36))/(INDIRECT("'Damage'!"&amp;ADDRESS(ROW(Damage!$F$1)+K$1,COLUMN(Damage!$F$1))))</f>
        <v>1.1375221092481307</v>
      </c>
      <c r="L36" s="49">
        <f ca="1">(INDIRECT("'Damage'!"&amp;ADDRESS(ROW(Damage!$F$1)+$A36,COLUMN(Damage!$F$1)))*($A$1+L$1)/($A$1+$A36))/(INDIRECT("'Damage'!"&amp;ADDRESS(ROW(Damage!$F$1)+L$1,COLUMN(Damage!$F$1))))</f>
        <v>1.1093002880125276</v>
      </c>
      <c r="M36" s="49">
        <f ca="1">(INDIRECT("'Damage'!"&amp;ADDRESS(ROW(Damage!$F$1)+$A36,COLUMN(Damage!$F$1)))*($A$1+M$1)/($A$1+$A36))/(INDIRECT("'Damage'!"&amp;ADDRESS(ROW(Damage!$F$1)+M$1,COLUMN(Damage!$F$1))))</f>
        <v>1.1047961278967442</v>
      </c>
      <c r="N36" s="49">
        <f ca="1">(INDIRECT("'Damage'!"&amp;ADDRESS(ROW(Damage!$F$1)+$A36,COLUMN(Damage!$F$1)))*($A$1+N$1)/($A$1+$A36))/(INDIRECT("'Damage'!"&amp;ADDRESS(ROW(Damage!$F$1)+N$1,COLUMN(Damage!$F$1))))</f>
        <v>1.0836073478034054</v>
      </c>
      <c r="O36" s="49">
        <f ca="1">(INDIRECT("'Damage'!"&amp;ADDRESS(ROW(Damage!$F$1)+$A36,COLUMN(Damage!$F$1)))*($A$1+O$1)/($A$1+$A36))/(INDIRECT("'Damage'!"&amp;ADDRESS(ROW(Damage!$F$1)+O$1,COLUMN(Damage!$F$1))))</f>
        <v>1.0656969705809425</v>
      </c>
      <c r="P36" s="49">
        <f ca="1">(INDIRECT("'Damage'!"&amp;ADDRESS(ROW(Damage!$F$1)+$A36,COLUMN(Damage!$F$1)))*($A$1+P$1)/($A$1+$A36))/(INDIRECT("'Damage'!"&amp;ADDRESS(ROW(Damage!$F$1)+P$1,COLUMN(Damage!$F$1))))</f>
        <v>1.0646935316760555</v>
      </c>
      <c r="Q36" s="49">
        <f ca="1">(INDIRECT("'Damage'!"&amp;ADDRESS(ROW(Damage!$F$1)+$A36,COLUMN(Damage!$F$1)))*($A$1+Q$1)/($A$1+$A36))/(INDIRECT("'Damage'!"&amp;ADDRESS(ROW(Damage!$F$1)+Q$1,COLUMN(Damage!$F$1))))</f>
        <v>1.0436306552224912</v>
      </c>
      <c r="R36" s="49">
        <f ca="1">(INDIRECT("'Damage'!"&amp;ADDRESS(ROW(Damage!$F$1)+$A36,COLUMN(Damage!$F$1)))*($A$1+R$1)/($A$1+$A36))/(INDIRECT("'Damage'!"&amp;ADDRESS(ROW(Damage!$F$1)+R$1,COLUMN(Damage!$F$1))))</f>
        <v>1.0438954583113658</v>
      </c>
      <c r="S36" s="49">
        <f ca="1">(INDIRECT("'Damage'!"&amp;ADDRESS(ROW(Damage!$F$1)+$A36,COLUMN(Damage!$F$1)))*($A$1+S$1)/($A$1+$A36))/(INDIRECT("'Damage'!"&amp;ADDRESS(ROW(Damage!$F$1)+S$1,COLUMN(Damage!$F$1))))</f>
        <v>1.026590262720694</v>
      </c>
      <c r="T36" s="49">
        <f ca="1">(INDIRECT("'Damage'!"&amp;ADDRESS(ROW(Damage!$F$1)+$A36,COLUMN(Damage!$F$1)))*($A$1+T$1)/($A$1+$A36))/(INDIRECT("'Damage'!"&amp;ADDRESS(ROW(Damage!$F$1)+T$1,COLUMN(Damage!$F$1))))</f>
        <v>1.0276151549005286</v>
      </c>
      <c r="U36" s="49">
        <f ca="1">(INDIRECT("'Damage'!"&amp;ADDRESS(ROW(Damage!$F$1)+$A36,COLUMN(Damage!$F$1)))*($A$1+U$1)/($A$1+$A36))/(INDIRECT("'Damage'!"&amp;ADDRESS(ROW(Damage!$F$1)+U$1,COLUMN(Damage!$F$1))))</f>
        <v>1.0130342566353114</v>
      </c>
      <c r="V36" s="49">
        <f ca="1">(INDIRECT("'Damage'!"&amp;ADDRESS(ROW(Damage!$F$1)+$A36,COLUMN(Damage!$F$1)))*($A$1+V$1)/($A$1+$A36))/(INDIRECT("'Damage'!"&amp;ADDRESS(ROW(Damage!$F$1)+V$1,COLUMN(Damage!$F$1))))</f>
        <v>1.0145248067517583</v>
      </c>
    </row>
    <row r="37" spans="1:22">
      <c r="A37" s="1">
        <v>71</v>
      </c>
      <c r="B37" s="49">
        <f ca="1">(INDIRECT("'Damage'!"&amp;ADDRESS(ROW(Damage!$F$1)+$A37,COLUMN(Damage!$F$1)))*($A$1+B$1)/($A$1+$A37))/(INDIRECT("'Damage'!"&amp;ADDRESS(ROW(Damage!$F$1)+B$1,COLUMN(Damage!$F$1))))</f>
        <v>2.3933667033647872</v>
      </c>
      <c r="C37" s="49">
        <f ca="1">(INDIRECT("'Damage'!"&amp;ADDRESS(ROW(Damage!$F$1)+$A37,COLUMN(Damage!$F$1)))*($A$1+C$1)/($A$1+$A37))/(INDIRECT("'Damage'!"&amp;ADDRESS(ROW(Damage!$F$1)+C$1,COLUMN(Damage!$F$1))))</f>
        <v>1.8420627243834591</v>
      </c>
      <c r="D37" s="49">
        <f ca="1">(INDIRECT("'Damage'!"&amp;ADDRESS(ROW(Damage!$F$1)+$A37,COLUMN(Damage!$F$1)))*($A$1+D$1)/($A$1+$A37))/(INDIRECT("'Damage'!"&amp;ADDRESS(ROW(Damage!$F$1)+D$1,COLUMN(Damage!$F$1))))</f>
        <v>1.5613311282118909</v>
      </c>
      <c r="E37" s="49">
        <f ca="1">(INDIRECT("'Damage'!"&amp;ADDRESS(ROW(Damage!$F$1)+$A37,COLUMN(Damage!$F$1)))*($A$1+E$1)/($A$1+$A37))/(INDIRECT("'Damage'!"&amp;ADDRESS(ROW(Damage!$F$1)+E$1,COLUMN(Damage!$F$1))))</f>
        <v>1.4155654981487371</v>
      </c>
      <c r="F37" s="49">
        <f ca="1">(INDIRECT("'Damage'!"&amp;ADDRESS(ROW(Damage!$F$1)+$A37,COLUMN(Damage!$F$1)))*($A$1+F$1)/($A$1+$A37))/(INDIRECT("'Damage'!"&amp;ADDRESS(ROW(Damage!$F$1)+F$1,COLUMN(Damage!$F$1))))</f>
        <v>1.3534313490733203</v>
      </c>
      <c r="G37" s="49">
        <f ca="1">(INDIRECT("'Damage'!"&amp;ADDRESS(ROW(Damage!$F$1)+$A37,COLUMN(Damage!$F$1)))*($A$1+G$1)/($A$1+$A37))/(INDIRECT("'Damage'!"&amp;ADDRESS(ROW(Damage!$F$1)+G$1,COLUMN(Damage!$F$1))))</f>
        <v>1.2876368031986609</v>
      </c>
      <c r="H37" s="49">
        <f ca="1">(INDIRECT("'Damage'!"&amp;ADDRESS(ROW(Damage!$F$1)+$A37,COLUMN(Damage!$F$1)))*($A$1+H$1)/($A$1+$A37))/(INDIRECT("'Damage'!"&amp;ADDRESS(ROW(Damage!$F$1)+H$1,COLUMN(Damage!$F$1))))</f>
        <v>1.2225673398952008</v>
      </c>
      <c r="I37" s="49">
        <f ca="1">(INDIRECT("'Damage'!"&amp;ADDRESS(ROW(Damage!$F$1)+$A37,COLUMN(Damage!$F$1)))*($A$1+I$1)/($A$1+$A37))/(INDIRECT("'Damage'!"&amp;ADDRESS(ROW(Damage!$F$1)+I$1,COLUMN(Damage!$F$1))))</f>
        <v>1.2050470297444957</v>
      </c>
      <c r="J37" s="49">
        <f ca="1">(INDIRECT("'Damage'!"&amp;ADDRESS(ROW(Damage!$F$1)+$A37,COLUMN(Damage!$F$1)))*($A$1+J$1)/($A$1+$A37))/(INDIRECT("'Damage'!"&amp;ADDRESS(ROW(Damage!$F$1)+J$1,COLUMN(Damage!$F$1))))</f>
        <v>1.1641338563313082</v>
      </c>
      <c r="K37" s="49">
        <f ca="1">(INDIRECT("'Damage'!"&amp;ADDRESS(ROW(Damage!$F$1)+$A37,COLUMN(Damage!$F$1)))*($A$1+K$1)/($A$1+$A37))/(INDIRECT("'Damage'!"&amp;ADDRESS(ROW(Damage!$F$1)+K$1,COLUMN(Damage!$F$1))))</f>
        <v>1.1553072769608637</v>
      </c>
      <c r="L37" s="49">
        <f ca="1">(INDIRECT("'Damage'!"&amp;ADDRESS(ROW(Damage!$F$1)+$A37,COLUMN(Damage!$F$1)))*($A$1+L$1)/($A$1+$A37))/(INDIRECT("'Damage'!"&amp;ADDRESS(ROW(Damage!$F$1)+L$1,COLUMN(Damage!$F$1))))</f>
        <v>1.1266442073136884</v>
      </c>
      <c r="M37" s="49">
        <f ca="1">(INDIRECT("'Damage'!"&amp;ADDRESS(ROW(Damage!$F$1)+$A37,COLUMN(Damage!$F$1)))*($A$1+M$1)/($A$1+$A37))/(INDIRECT("'Damage'!"&amp;ADDRESS(ROW(Damage!$F$1)+M$1,COLUMN(Damage!$F$1))))</f>
        <v>1.1220696246167414</v>
      </c>
      <c r="N37" s="49">
        <f ca="1">(INDIRECT("'Damage'!"&amp;ADDRESS(ROW(Damage!$F$1)+$A37,COLUMN(Damage!$F$1)))*($A$1+N$1)/($A$1+$A37))/(INDIRECT("'Damage'!"&amp;ADDRESS(ROW(Damage!$F$1)+N$1,COLUMN(Damage!$F$1))))</f>
        <v>1.1005495577690403</v>
      </c>
      <c r="O37" s="49">
        <f ca="1">(INDIRECT("'Damage'!"&amp;ADDRESS(ROW(Damage!$F$1)+$A37,COLUMN(Damage!$F$1)))*($A$1+O$1)/($A$1+$A37))/(INDIRECT("'Damage'!"&amp;ADDRESS(ROW(Damage!$F$1)+O$1,COLUMN(Damage!$F$1))))</f>
        <v>1.0823591516485807</v>
      </c>
      <c r="P37" s="49">
        <f ca="1">(INDIRECT("'Damage'!"&amp;ADDRESS(ROW(Damage!$F$1)+$A37,COLUMN(Damage!$F$1)))*($A$1+P$1)/($A$1+$A37))/(INDIRECT("'Damage'!"&amp;ADDRESS(ROW(Damage!$F$1)+P$1,COLUMN(Damage!$F$1))))</f>
        <v>1.0813400239680049</v>
      </c>
      <c r="Q37" s="49">
        <f ca="1">(INDIRECT("'Damage'!"&amp;ADDRESS(ROW(Damage!$F$1)+$A37,COLUMN(Damage!$F$1)))*($A$1+Q$1)/($A$1+$A37))/(INDIRECT("'Damage'!"&amp;ADDRESS(ROW(Damage!$F$1)+Q$1,COLUMN(Damage!$F$1))))</f>
        <v>1.0599478292645412</v>
      </c>
      <c r="R37" s="49">
        <f ca="1">(INDIRECT("'Damage'!"&amp;ADDRESS(ROW(Damage!$F$1)+$A37,COLUMN(Damage!$F$1)))*($A$1+R$1)/($A$1+$A37))/(INDIRECT("'Damage'!"&amp;ADDRESS(ROW(Damage!$F$1)+R$1,COLUMN(Damage!$F$1))))</f>
        <v>1.06021677255193</v>
      </c>
      <c r="S37" s="49">
        <f ca="1">(INDIRECT("'Damage'!"&amp;ADDRESS(ROW(Damage!$F$1)+$A37,COLUMN(Damage!$F$1)))*($A$1+S$1)/($A$1+$A37))/(INDIRECT("'Damage'!"&amp;ADDRESS(ROW(Damage!$F$1)+S$1,COLUMN(Damage!$F$1))))</f>
        <v>1.0426410100831469</v>
      </c>
      <c r="T37" s="49">
        <f ca="1">(INDIRECT("'Damage'!"&amp;ADDRESS(ROW(Damage!$F$1)+$A37,COLUMN(Damage!$F$1)))*($A$1+T$1)/($A$1+$A37))/(INDIRECT("'Damage'!"&amp;ADDRESS(ROW(Damage!$F$1)+T$1,COLUMN(Damage!$F$1))))</f>
        <v>1.0436819264608039</v>
      </c>
      <c r="U37" s="49">
        <f ca="1">(INDIRECT("'Damage'!"&amp;ADDRESS(ROW(Damage!$F$1)+$A37,COLUMN(Damage!$F$1)))*($A$1+U$1)/($A$1+$A37))/(INDIRECT("'Damage'!"&amp;ADDRESS(ROW(Damage!$F$1)+U$1,COLUMN(Damage!$F$1))))</f>
        <v>1.0288730557289936</v>
      </c>
      <c r="V37" s="49">
        <f ca="1">(INDIRECT("'Damage'!"&amp;ADDRESS(ROW(Damage!$F$1)+$A37,COLUMN(Damage!$F$1)))*($A$1+V$1)/($A$1+$A37))/(INDIRECT("'Damage'!"&amp;ADDRESS(ROW(Damage!$F$1)+V$1,COLUMN(Damage!$F$1))))</f>
        <v>1.0303869106090049</v>
      </c>
    </row>
    <row r="38" spans="1:22">
      <c r="A38" s="1">
        <v>73</v>
      </c>
      <c r="B38" s="49">
        <f ca="1">(INDIRECT("'Damage'!"&amp;ADDRESS(ROW(Damage!$F$1)+$A38,COLUMN(Damage!$F$1)))*($A$1+B$1)/($A$1+$A38))/(INDIRECT("'Damage'!"&amp;ADDRESS(ROW(Damage!$F$1)+B$1,COLUMN(Damage!$F$1))))</f>
        <v>2.3897309068149122</v>
      </c>
      <c r="C38" s="49">
        <f ca="1">(INDIRECT("'Damage'!"&amp;ADDRESS(ROW(Damage!$F$1)+$A38,COLUMN(Damage!$F$1)))*($A$1+C$1)/($A$1+$A38))/(INDIRECT("'Damage'!"&amp;ADDRESS(ROW(Damage!$F$1)+C$1,COLUMN(Damage!$F$1))))</f>
        <v>1.8392644213534426</v>
      </c>
      <c r="D38" s="49">
        <f ca="1">(INDIRECT("'Damage'!"&amp;ADDRESS(ROW(Damage!$F$1)+$A38,COLUMN(Damage!$F$1)))*($A$1+D$1)/($A$1+$A38))/(INDIRECT("'Damage'!"&amp;ADDRESS(ROW(Damage!$F$1)+D$1,COLUMN(Damage!$F$1))))</f>
        <v>1.5589592884427554</v>
      </c>
      <c r="E38" s="49">
        <f ca="1">(INDIRECT("'Damage'!"&amp;ADDRESS(ROW(Damage!$F$1)+$A38,COLUMN(Damage!$F$1)))*($A$1+E$1)/($A$1+$A38))/(INDIRECT("'Damage'!"&amp;ADDRESS(ROW(Damage!$F$1)+E$1,COLUMN(Damage!$F$1))))</f>
        <v>1.4134150929696832</v>
      </c>
      <c r="F38" s="49">
        <f ca="1">(INDIRECT("'Damage'!"&amp;ADDRESS(ROW(Damage!$F$1)+$A38,COLUMN(Damage!$F$1)))*($A$1+F$1)/($A$1+$A38))/(INDIRECT("'Damage'!"&amp;ADDRESS(ROW(Damage!$F$1)+F$1,COLUMN(Damage!$F$1))))</f>
        <v>1.3513753327417926</v>
      </c>
      <c r="G38" s="49">
        <f ca="1">(INDIRECT("'Damage'!"&amp;ADDRESS(ROW(Damage!$F$1)+$A38,COLUMN(Damage!$F$1)))*($A$1+G$1)/($A$1+$A38))/(INDIRECT("'Damage'!"&amp;ADDRESS(ROW(Damage!$F$1)+G$1,COLUMN(Damage!$F$1))))</f>
        <v>1.2856807362741984</v>
      </c>
      <c r="H38" s="49">
        <f ca="1">(INDIRECT("'Damage'!"&amp;ADDRESS(ROW(Damage!$F$1)+$A38,COLUMN(Damage!$F$1)))*($A$1+H$1)/($A$1+$A38))/(INDIRECT("'Damage'!"&amp;ADDRESS(ROW(Damage!$F$1)+H$1,COLUMN(Damage!$F$1))))</f>
        <v>1.2207101208948148</v>
      </c>
      <c r="I38" s="49">
        <f ca="1">(INDIRECT("'Damage'!"&amp;ADDRESS(ROW(Damage!$F$1)+$A38,COLUMN(Damage!$F$1)))*($A$1+I$1)/($A$1+$A38))/(INDIRECT("'Damage'!"&amp;ADDRESS(ROW(Damage!$F$1)+I$1,COLUMN(Damage!$F$1))))</f>
        <v>1.2032164260902283</v>
      </c>
      <c r="J38" s="49">
        <f ca="1">(INDIRECT("'Damage'!"&amp;ADDRESS(ROW(Damage!$F$1)+$A38,COLUMN(Damage!$F$1)))*($A$1+J$1)/($A$1+$A38))/(INDIRECT("'Damage'!"&amp;ADDRESS(ROW(Damage!$F$1)+J$1,COLUMN(Damage!$F$1))))</f>
        <v>1.1623654044461496</v>
      </c>
      <c r="K38" s="49">
        <f ca="1">(INDIRECT("'Damage'!"&amp;ADDRESS(ROW(Damage!$F$1)+$A38,COLUMN(Damage!$F$1)))*($A$1+K$1)/($A$1+$A38))/(INDIRECT("'Damage'!"&amp;ADDRESS(ROW(Damage!$F$1)+K$1,COLUMN(Damage!$F$1))))</f>
        <v>1.1535522336548318</v>
      </c>
      <c r="L38" s="49">
        <f ca="1">(INDIRECT("'Damage'!"&amp;ADDRESS(ROW(Damage!$F$1)+$A38,COLUMN(Damage!$F$1)))*($A$1+L$1)/($A$1+$A38))/(INDIRECT("'Damage'!"&amp;ADDRESS(ROW(Damage!$F$1)+L$1,COLUMN(Damage!$F$1))))</f>
        <v>1.1249327064742523</v>
      </c>
      <c r="M38" s="49">
        <f ca="1">(INDIRECT("'Damage'!"&amp;ADDRESS(ROW(Damage!$F$1)+$A38,COLUMN(Damage!$F$1)))*($A$1+M$1)/($A$1+$A38))/(INDIRECT("'Damage'!"&amp;ADDRESS(ROW(Damage!$F$1)+M$1,COLUMN(Damage!$F$1))))</f>
        <v>1.1203650730893195</v>
      </c>
      <c r="N38" s="49">
        <f ca="1">(INDIRECT("'Damage'!"&amp;ADDRESS(ROW(Damage!$F$1)+$A38,COLUMN(Damage!$F$1)))*($A$1+N$1)/($A$1+$A38))/(INDIRECT("'Damage'!"&amp;ADDRESS(ROW(Damage!$F$1)+N$1,COLUMN(Damage!$F$1))))</f>
        <v>1.0988776976736032</v>
      </c>
      <c r="O38" s="49">
        <f ca="1">(INDIRECT("'Damage'!"&amp;ADDRESS(ROW(Damage!$F$1)+$A38,COLUMN(Damage!$F$1)))*($A$1+O$1)/($A$1+$A38))/(INDIRECT("'Damage'!"&amp;ADDRESS(ROW(Damage!$F$1)+O$1,COLUMN(Damage!$F$1))))</f>
        <v>1.0807149248513426</v>
      </c>
      <c r="P38" s="49">
        <f ca="1">(INDIRECT("'Damage'!"&amp;ADDRESS(ROW(Damage!$F$1)+$A38,COLUMN(Damage!$F$1)))*($A$1+P$1)/($A$1+$A38))/(INDIRECT("'Damage'!"&amp;ADDRESS(ROW(Damage!$F$1)+P$1,COLUMN(Damage!$F$1))))</f>
        <v>1.0796973453417595</v>
      </c>
      <c r="Q38" s="49">
        <f ca="1">(INDIRECT("'Damage'!"&amp;ADDRESS(ROW(Damage!$F$1)+$A38,COLUMN(Damage!$F$1)))*($A$1+Q$1)/($A$1+$A38))/(INDIRECT("'Damage'!"&amp;ADDRESS(ROW(Damage!$F$1)+Q$1,COLUMN(Damage!$F$1))))</f>
        <v>1.0583376478179332</v>
      </c>
      <c r="R38" s="49">
        <f ca="1">(INDIRECT("'Damage'!"&amp;ADDRESS(ROW(Damage!$F$1)+$A38,COLUMN(Damage!$F$1)))*($A$1+R$1)/($A$1+$A38))/(INDIRECT("'Damage'!"&amp;ADDRESS(ROW(Damage!$F$1)+R$1,COLUMN(Damage!$F$1))))</f>
        <v>1.0586061825498445</v>
      </c>
      <c r="S38" s="49">
        <f ca="1">(INDIRECT("'Damage'!"&amp;ADDRESS(ROW(Damage!$F$1)+$A38,COLUMN(Damage!$F$1)))*($A$1+S$1)/($A$1+$A38))/(INDIRECT("'Damage'!"&amp;ADDRESS(ROW(Damage!$F$1)+S$1,COLUMN(Damage!$F$1))))</f>
        <v>1.0410571196655654</v>
      </c>
      <c r="T38" s="49">
        <f ca="1">(INDIRECT("'Damage'!"&amp;ADDRESS(ROW(Damage!$F$1)+$A38,COLUMN(Damage!$F$1)))*($A$1+T$1)/($A$1+$A38))/(INDIRECT("'Damage'!"&amp;ADDRESS(ROW(Damage!$F$1)+T$1,COLUMN(Damage!$F$1))))</f>
        <v>1.0420964547727178</v>
      </c>
      <c r="U38" s="49">
        <f ca="1">(INDIRECT("'Damage'!"&amp;ADDRESS(ROW(Damage!$F$1)+$A38,COLUMN(Damage!$F$1)))*($A$1+U$1)/($A$1+$A38))/(INDIRECT("'Damage'!"&amp;ADDRESS(ROW(Damage!$F$1)+U$1,COLUMN(Damage!$F$1))))</f>
        <v>1.0273100804018032</v>
      </c>
      <c r="V38" s="49">
        <f ca="1">(INDIRECT("'Damage'!"&amp;ADDRESS(ROW(Damage!$F$1)+$A38,COLUMN(Damage!$F$1)))*($A$1+V$1)/($A$1+$A38))/(INDIRECT("'Damage'!"&amp;ADDRESS(ROW(Damage!$F$1)+V$1,COLUMN(Damage!$F$1))))</f>
        <v>1.0288216355638722</v>
      </c>
    </row>
    <row r="39" spans="1:22">
      <c r="A39" s="1">
        <v>75</v>
      </c>
      <c r="B39" s="49">
        <f ca="1">(INDIRECT("'Damage'!"&amp;ADDRESS(ROW(Damage!$F$1)+$A39,COLUMN(Damage!$F$1)))*($A$1+B$1)/($A$1+$A39))/(INDIRECT("'Damage'!"&amp;ADDRESS(ROW(Damage!$F$1)+B$1,COLUMN(Damage!$F$1))))</f>
        <v>2.3862713913098803</v>
      </c>
      <c r="C39" s="49">
        <f ca="1">(INDIRECT("'Damage'!"&amp;ADDRESS(ROW(Damage!$F$1)+$A39,COLUMN(Damage!$F$1)))*($A$1+C$1)/($A$1+$A39))/(INDIRECT("'Damage'!"&amp;ADDRESS(ROW(Damage!$F$1)+C$1,COLUMN(Damage!$F$1))))</f>
        <v>1.8366017936218515</v>
      </c>
      <c r="D39" s="49">
        <f ca="1">(INDIRECT("'Damage'!"&amp;ADDRESS(ROW(Damage!$F$1)+$A39,COLUMN(Damage!$F$1)))*($A$1+D$1)/($A$1+$A39))/(INDIRECT("'Damage'!"&amp;ADDRESS(ROW(Damage!$F$1)+D$1,COLUMN(Damage!$F$1))))</f>
        <v>1.5567024469654573</v>
      </c>
      <c r="E39" s="49">
        <f ca="1">(INDIRECT("'Damage'!"&amp;ADDRESS(ROW(Damage!$F$1)+$A39,COLUMN(Damage!$F$1)))*($A$1+E$1)/($A$1+$A39))/(INDIRECT("'Damage'!"&amp;ADDRESS(ROW(Damage!$F$1)+E$1,COLUMN(Damage!$F$1))))</f>
        <v>1.4113689498599171</v>
      </c>
      <c r="F39" s="49">
        <f ca="1">(INDIRECT("'Damage'!"&amp;ADDRESS(ROW(Damage!$F$1)+$A39,COLUMN(Damage!$F$1)))*($A$1+F$1)/($A$1+$A39))/(INDIRECT("'Damage'!"&amp;ADDRESS(ROW(Damage!$F$1)+F$1,COLUMN(Damage!$F$1))))</f>
        <v>1.3494190020505816</v>
      </c>
      <c r="G39" s="49">
        <f ca="1">(INDIRECT("'Damage'!"&amp;ADDRESS(ROW(Damage!$F$1)+$A39,COLUMN(Damage!$F$1)))*($A$1+G$1)/($A$1+$A39))/(INDIRECT("'Damage'!"&amp;ADDRESS(ROW(Damage!$F$1)+G$1,COLUMN(Damage!$F$1))))</f>
        <v>1.283819508958195</v>
      </c>
      <c r="H39" s="49">
        <f ca="1">(INDIRECT("'Damage'!"&amp;ADDRESS(ROW(Damage!$F$1)+$A39,COLUMN(Damage!$F$1)))*($A$1+H$1)/($A$1+$A39))/(INDIRECT("'Damage'!"&amp;ADDRESS(ROW(Damage!$F$1)+H$1,COLUMN(Damage!$F$1))))</f>
        <v>1.2189429488762658</v>
      </c>
      <c r="I39" s="49">
        <f ca="1">(INDIRECT("'Damage'!"&amp;ADDRESS(ROW(Damage!$F$1)+$A39,COLUMN(Damage!$F$1)))*($A$1+I$1)/($A$1+$A39))/(INDIRECT("'Damage'!"&amp;ADDRESS(ROW(Damage!$F$1)+I$1,COLUMN(Damage!$F$1))))</f>
        <v>1.201474578976774</v>
      </c>
      <c r="J39" s="49">
        <f ca="1">(INDIRECT("'Damage'!"&amp;ADDRESS(ROW(Damage!$F$1)+$A39,COLUMN(Damage!$F$1)))*($A$1+J$1)/($A$1+$A39))/(INDIRECT("'Damage'!"&amp;ADDRESS(ROW(Damage!$F$1)+J$1,COLUMN(Damage!$F$1))))</f>
        <v>1.1606826956826957</v>
      </c>
      <c r="K39" s="49">
        <f ca="1">(INDIRECT("'Damage'!"&amp;ADDRESS(ROW(Damage!$F$1)+$A39,COLUMN(Damage!$F$1)))*($A$1+K$1)/($A$1+$A39))/(INDIRECT("'Damage'!"&amp;ADDRESS(ROW(Damage!$F$1)+K$1,COLUMN(Damage!$F$1))))</f>
        <v>1.1518822833575779</v>
      </c>
      <c r="L39" s="49">
        <f ca="1">(INDIRECT("'Damage'!"&amp;ADDRESS(ROW(Damage!$F$1)+$A39,COLUMN(Damage!$F$1)))*($A$1+L$1)/($A$1+$A39))/(INDIRECT("'Damage'!"&amp;ADDRESS(ROW(Damage!$F$1)+L$1,COLUMN(Damage!$F$1))))</f>
        <v>1.123304187493698</v>
      </c>
      <c r="M39" s="49">
        <f ca="1">(INDIRECT("'Damage'!"&amp;ADDRESS(ROW(Damage!$F$1)+$A39,COLUMN(Damage!$F$1)))*($A$1+M$1)/($A$1+$A39))/(INDIRECT("'Damage'!"&amp;ADDRESS(ROW(Damage!$F$1)+M$1,COLUMN(Damage!$F$1))))</f>
        <v>1.1187431664844396</v>
      </c>
      <c r="N39" s="49">
        <f ca="1">(INDIRECT("'Damage'!"&amp;ADDRESS(ROW(Damage!$F$1)+$A39,COLUMN(Damage!$F$1)))*($A$1+N$1)/($A$1+$A39))/(INDIRECT("'Damage'!"&amp;ADDRESS(ROW(Damage!$F$1)+N$1,COLUMN(Damage!$F$1))))</f>
        <v>1.0972868974615819</v>
      </c>
      <c r="O39" s="49">
        <f ca="1">(INDIRECT("'Damage'!"&amp;ADDRESS(ROW(Damage!$F$1)+$A39,COLUMN(Damage!$F$1)))*($A$1+O$1)/($A$1+$A39))/(INDIRECT("'Damage'!"&amp;ADDRESS(ROW(Damage!$F$1)+O$1,COLUMN(Damage!$F$1))))</f>
        <v>1.0791504181412439</v>
      </c>
      <c r="P39" s="49">
        <f ca="1">(INDIRECT("'Damage'!"&amp;ADDRESS(ROW(Damage!$F$1)+$A39,COLUMN(Damage!$F$1)))*($A$1+P$1)/($A$1+$A39))/(INDIRECT("'Damage'!"&amp;ADDRESS(ROW(Damage!$F$1)+P$1,COLUMN(Damage!$F$1))))</f>
        <v>1.0781343117398174</v>
      </c>
      <c r="Q39" s="49">
        <f ca="1">(INDIRECT("'Damage'!"&amp;ADDRESS(ROW(Damage!$F$1)+$A39,COLUMN(Damage!$F$1)))*($A$1+Q$1)/($A$1+$A39))/(INDIRECT("'Damage'!"&amp;ADDRESS(ROW(Damage!$F$1)+Q$1,COLUMN(Damage!$F$1))))</f>
        <v>1.0568055357747972</v>
      </c>
      <c r="R39" s="49">
        <f ca="1">(INDIRECT("'Damage'!"&amp;ADDRESS(ROW(Damage!$F$1)+$A39,COLUMN(Damage!$F$1)))*($A$1+R$1)/($A$1+$A39))/(INDIRECT("'Damage'!"&amp;ADDRESS(ROW(Damage!$F$1)+R$1,COLUMN(Damage!$F$1))))</f>
        <v>1.0570736817599815</v>
      </c>
      <c r="S39" s="49">
        <f ca="1">(INDIRECT("'Damage'!"&amp;ADDRESS(ROW(Damage!$F$1)+$A39,COLUMN(Damage!$F$1)))*($A$1+S$1)/($A$1+$A39))/(INDIRECT("'Damage'!"&amp;ADDRESS(ROW(Damage!$F$1)+S$1,COLUMN(Damage!$F$1))))</f>
        <v>1.0395500239348974</v>
      </c>
      <c r="T39" s="49">
        <f ca="1">(INDIRECT("'Damage'!"&amp;ADDRESS(ROW(Damage!$F$1)+$A39,COLUMN(Damage!$F$1)))*($A$1+T$1)/($A$1+$A39))/(INDIRECT("'Damage'!"&amp;ADDRESS(ROW(Damage!$F$1)+T$1,COLUMN(Damage!$F$1))))</f>
        <v>1.040587854439206</v>
      </c>
      <c r="U39" s="49">
        <f ca="1">(INDIRECT("'Damage'!"&amp;ADDRESS(ROW(Damage!$F$1)+$A39,COLUMN(Damage!$F$1)))*($A$1+U$1)/($A$1+$A39))/(INDIRECT("'Damage'!"&amp;ADDRESS(ROW(Damage!$F$1)+U$1,COLUMN(Damage!$F$1))))</f>
        <v>1.0258228856965372</v>
      </c>
      <c r="V39" s="49">
        <f ca="1">(INDIRECT("'Damage'!"&amp;ADDRESS(ROW(Damage!$F$1)+$A39,COLUMN(Damage!$F$1)))*($A$1+V$1)/($A$1+$A39))/(INDIRECT("'Damage'!"&amp;ADDRESS(ROW(Damage!$F$1)+V$1,COLUMN(Damage!$F$1))))</f>
        <v>1.0273322526421402</v>
      </c>
    </row>
    <row r="40" spans="1:22">
      <c r="A40" s="1">
        <v>77</v>
      </c>
      <c r="B40" s="49">
        <f ca="1">(INDIRECT("'Damage'!"&amp;ADDRESS(ROW(Damage!$F$1)+$A40,COLUMN(Damage!$F$1)))*($A$1+B$1)/($A$1+$A40))/(INDIRECT("'Damage'!"&amp;ADDRESS(ROW(Damage!$F$1)+B$1,COLUMN(Damage!$F$1))))</f>
        <v>2.4290002939946427</v>
      </c>
      <c r="C40" s="49">
        <f ca="1">(INDIRECT("'Damage'!"&amp;ADDRESS(ROW(Damage!$F$1)+$A40,COLUMN(Damage!$F$1)))*($A$1+C$1)/($A$1+$A40))/(INDIRECT("'Damage'!"&amp;ADDRESS(ROW(Damage!$F$1)+C$1,COLUMN(Damage!$F$1))))</f>
        <v>1.8694882371320551</v>
      </c>
      <c r="D40" s="49">
        <f ca="1">(INDIRECT("'Damage'!"&amp;ADDRESS(ROW(Damage!$F$1)+$A40,COLUMN(Damage!$F$1)))*($A$1+D$1)/($A$1+$A40))/(INDIRECT("'Damage'!"&amp;ADDRESS(ROW(Damage!$F$1)+D$1,COLUMN(Damage!$F$1))))</f>
        <v>1.5845769744009166</v>
      </c>
      <c r="E40" s="49">
        <f ca="1">(INDIRECT("'Damage'!"&amp;ADDRESS(ROW(Damage!$F$1)+$A40,COLUMN(Damage!$F$1)))*($A$1+E$1)/($A$1+$A40))/(INDIRECT("'Damage'!"&amp;ADDRESS(ROW(Damage!$F$1)+E$1,COLUMN(Damage!$F$1))))</f>
        <v>1.4366411157713375</v>
      </c>
      <c r="F40" s="49">
        <f ca="1">(INDIRECT("'Damage'!"&amp;ADDRESS(ROW(Damage!$F$1)+$A40,COLUMN(Damage!$F$1)))*($A$1+F$1)/($A$1+$A40))/(INDIRECT("'Damage'!"&amp;ADDRESS(ROW(Damage!$F$1)+F$1,COLUMN(Damage!$F$1))))</f>
        <v>1.3735818837033416</v>
      </c>
      <c r="G40" s="49">
        <f ca="1">(INDIRECT("'Damage'!"&amp;ADDRESS(ROW(Damage!$F$1)+$A40,COLUMN(Damage!$F$1)))*($A$1+G$1)/($A$1+$A40))/(INDIRECT("'Damage'!"&amp;ADDRESS(ROW(Damage!$F$1)+G$1,COLUMN(Damage!$F$1))))</f>
        <v>1.3068077570941132</v>
      </c>
      <c r="H40" s="49">
        <f ca="1">(INDIRECT("'Damage'!"&amp;ADDRESS(ROW(Damage!$F$1)+$A40,COLUMN(Damage!$F$1)))*($A$1+H$1)/($A$1+$A40))/(INDIRECT("'Damage'!"&amp;ADDRESS(ROW(Damage!$F$1)+H$1,COLUMN(Damage!$F$1))))</f>
        <v>1.2407695084329393</v>
      </c>
      <c r="I40" s="49">
        <f ca="1">(INDIRECT("'Damage'!"&amp;ADDRESS(ROW(Damage!$F$1)+$A40,COLUMN(Damage!$F$1)))*($A$1+I$1)/($A$1+$A40))/(INDIRECT("'Damage'!"&amp;ADDRESS(ROW(Damage!$F$1)+I$1,COLUMN(Damage!$F$1))))</f>
        <v>1.2229883475071561</v>
      </c>
      <c r="J40" s="49">
        <f ca="1">(INDIRECT("'Damage'!"&amp;ADDRESS(ROW(Damage!$F$1)+$A40,COLUMN(Damage!$F$1)))*($A$1+J$1)/($A$1+$A40))/(INDIRECT("'Damage'!"&amp;ADDRESS(ROW(Damage!$F$1)+J$1,COLUMN(Damage!$F$1))))</f>
        <v>1.1814660391583469</v>
      </c>
      <c r="K40" s="49">
        <f ca="1">(INDIRECT("'Damage'!"&amp;ADDRESS(ROW(Damage!$F$1)+$A40,COLUMN(Damage!$F$1)))*($A$1+K$1)/($A$1+$A40))/(INDIRECT("'Damage'!"&amp;ADDRESS(ROW(Damage!$F$1)+K$1,COLUMN(Damage!$F$1))))</f>
        <v>1.1725080454436205</v>
      </c>
      <c r="L40" s="49">
        <f ca="1">(INDIRECT("'Damage'!"&amp;ADDRESS(ROW(Damage!$F$1)+$A40,COLUMN(Damage!$F$1)))*($A$1+L$1)/($A$1+$A40))/(INDIRECT("'Damage'!"&amp;ADDRESS(ROW(Damage!$F$1)+L$1,COLUMN(Damage!$F$1))))</f>
        <v>1.143418226277215</v>
      </c>
      <c r="M40" s="49">
        <f ca="1">(INDIRECT("'Damage'!"&amp;ADDRESS(ROW(Damage!$F$1)+$A40,COLUMN(Damage!$F$1)))*($A$1+M$1)/($A$1+$A40))/(INDIRECT("'Damage'!"&amp;ADDRESS(ROW(Damage!$F$1)+M$1,COLUMN(Damage!$F$1))))</f>
        <v>1.13877553500046</v>
      </c>
      <c r="N40" s="49">
        <f ca="1">(INDIRECT("'Damage'!"&amp;ADDRESS(ROW(Damage!$F$1)+$A40,COLUMN(Damage!$F$1)))*($A$1+N$1)/($A$1+$A40))/(INDIRECT("'Damage'!"&amp;ADDRESS(ROW(Damage!$F$1)+N$1,COLUMN(Damage!$F$1))))</f>
        <v>1.1169350670828768</v>
      </c>
      <c r="O40" s="49">
        <f ca="1">(INDIRECT("'Damage'!"&amp;ADDRESS(ROW(Damage!$F$1)+$A40,COLUMN(Damage!$F$1)))*($A$1+O$1)/($A$1+$A40))/(INDIRECT("'Damage'!"&amp;ADDRESS(ROW(Damage!$F$1)+O$1,COLUMN(Damage!$F$1))))</f>
        <v>1.098473833477362</v>
      </c>
      <c r="P40" s="49">
        <f ca="1">(INDIRECT("'Damage'!"&amp;ADDRESS(ROW(Damage!$F$1)+$A40,COLUMN(Damage!$F$1)))*($A$1+P$1)/($A$1+$A40))/(INDIRECT("'Damage'!"&amp;ADDRESS(ROW(Damage!$F$1)+P$1,COLUMN(Damage!$F$1))))</f>
        <v>1.0974395325354058</v>
      </c>
      <c r="Q40" s="49">
        <f ca="1">(INDIRECT("'Damage'!"&amp;ADDRESS(ROW(Damage!$F$1)+$A40,COLUMN(Damage!$F$1)))*($A$1+Q$1)/($A$1+$A40))/(INDIRECT("'Damage'!"&amp;ADDRESS(ROW(Damage!$F$1)+Q$1,COLUMN(Damage!$F$1))))</f>
        <v>1.0757288405838334</v>
      </c>
      <c r="R40" s="49">
        <f ca="1">(INDIRECT("'Damage'!"&amp;ADDRESS(ROW(Damage!$F$1)+$A40,COLUMN(Damage!$F$1)))*($A$1+R$1)/($A$1+$A40))/(INDIRECT("'Damage'!"&amp;ADDRESS(ROW(Damage!$F$1)+R$1,COLUMN(Damage!$F$1))))</f>
        <v>1.0760017880277903</v>
      </c>
      <c r="S40" s="49">
        <f ca="1">(INDIRECT("'Damage'!"&amp;ADDRESS(ROW(Damage!$F$1)+$A40,COLUMN(Damage!$F$1)))*($A$1+S$1)/($A$1+$A40))/(INDIRECT("'Damage'!"&amp;ADDRESS(ROW(Damage!$F$1)+S$1,COLUMN(Damage!$F$1))))</f>
        <v>1.0581643491832395</v>
      </c>
      <c r="T40" s="49">
        <f ca="1">(INDIRECT("'Damage'!"&amp;ADDRESS(ROW(Damage!$F$1)+$A40,COLUMN(Damage!$F$1)))*($A$1+T$1)/($A$1+$A40))/(INDIRECT("'Damage'!"&amp;ADDRESS(ROW(Damage!$F$1)+T$1,COLUMN(Damage!$F$1))))</f>
        <v>1.0592207632228423</v>
      </c>
      <c r="U40" s="49">
        <f ca="1">(INDIRECT("'Damage'!"&amp;ADDRESS(ROW(Damage!$F$1)+$A40,COLUMN(Damage!$F$1)))*($A$1+U$1)/($A$1+$A40))/(INDIRECT("'Damage'!"&amp;ADDRESS(ROW(Damage!$F$1)+U$1,COLUMN(Damage!$F$1))))</f>
        <v>1.0441914109256263</v>
      </c>
      <c r="V40" s="49">
        <f ca="1">(INDIRECT("'Damage'!"&amp;ADDRESS(ROW(Damage!$F$1)+$A40,COLUMN(Damage!$F$1)))*($A$1+V$1)/($A$1+$A40))/(INDIRECT("'Damage'!"&amp;ADDRESS(ROW(Damage!$F$1)+V$1,COLUMN(Damage!$F$1))))</f>
        <v>1.0457278048026879</v>
      </c>
    </row>
    <row r="41" spans="1:22">
      <c r="A41" s="1">
        <v>79</v>
      </c>
      <c r="B41" s="49">
        <f ca="1">(INDIRECT("'Damage'!"&amp;ADDRESS(ROW(Damage!$F$1)+$A41,COLUMN(Damage!$F$1)))*($A$1+B$1)/($A$1+$A41))/(INDIRECT("'Damage'!"&amp;ADDRESS(ROW(Damage!$F$1)+B$1,COLUMN(Damage!$F$1))))</f>
        <v>2.4247927933758606</v>
      </c>
      <c r="C41" s="49">
        <f ca="1">(INDIRECT("'Damage'!"&amp;ADDRESS(ROW(Damage!$F$1)+$A41,COLUMN(Damage!$F$1)))*($A$1+C$1)/($A$1+$A41))/(INDIRECT("'Damage'!"&amp;ADDRESS(ROW(Damage!$F$1)+C$1,COLUMN(Damage!$F$1))))</f>
        <v>1.8662499201446161</v>
      </c>
      <c r="D41" s="49">
        <f ca="1">(INDIRECT("'Damage'!"&amp;ADDRESS(ROW(Damage!$F$1)+$A41,COLUMN(Damage!$F$1)))*($A$1+D$1)/($A$1+$A41))/(INDIRECT("'Damage'!"&amp;ADDRESS(ROW(Damage!$F$1)+D$1,COLUMN(Damage!$F$1))))</f>
        <v>1.5818321790969461</v>
      </c>
      <c r="E41" s="49">
        <f ca="1">(INDIRECT("'Damage'!"&amp;ADDRESS(ROW(Damage!$F$1)+$A41,COLUMN(Damage!$F$1)))*($A$1+E$1)/($A$1+$A41))/(INDIRECT("'Damage'!"&amp;ADDRESS(ROW(Damage!$F$1)+E$1,COLUMN(Damage!$F$1))))</f>
        <v>1.4341525741278807</v>
      </c>
      <c r="F41" s="49">
        <f ca="1">(INDIRECT("'Damage'!"&amp;ADDRESS(ROW(Damage!$F$1)+$A41,COLUMN(Damage!$F$1)))*($A$1+F$1)/($A$1+$A41))/(INDIRECT("'Damage'!"&amp;ADDRESS(ROW(Damage!$F$1)+F$1,COLUMN(Damage!$F$1))))</f>
        <v>1.3712025729062545</v>
      </c>
      <c r="G41" s="49">
        <f ca="1">(INDIRECT("'Damage'!"&amp;ADDRESS(ROW(Damage!$F$1)+$A41,COLUMN(Damage!$F$1)))*($A$1+G$1)/($A$1+$A41))/(INDIRECT("'Damage'!"&amp;ADDRESS(ROW(Damage!$F$1)+G$1,COLUMN(Damage!$F$1))))</f>
        <v>1.3045441120627823</v>
      </c>
      <c r="H41" s="49">
        <f ca="1">(INDIRECT("'Damage'!"&amp;ADDRESS(ROW(Damage!$F$1)+$A41,COLUMN(Damage!$F$1)))*($A$1+H$1)/($A$1+$A41))/(INDIRECT("'Damage'!"&amp;ADDRESS(ROW(Damage!$F$1)+H$1,COLUMN(Damage!$F$1))))</f>
        <v>1.2386202544837306</v>
      </c>
      <c r="I41" s="49">
        <f ca="1">(INDIRECT("'Damage'!"&amp;ADDRESS(ROW(Damage!$F$1)+$A41,COLUMN(Damage!$F$1)))*($A$1+I$1)/($A$1+$A41))/(INDIRECT("'Damage'!"&amp;ADDRESS(ROW(Damage!$F$1)+I$1,COLUMN(Damage!$F$1))))</f>
        <v>1.2208698939846838</v>
      </c>
      <c r="J41" s="49">
        <f ca="1">(INDIRECT("'Damage'!"&amp;ADDRESS(ROW(Damage!$F$1)+$A41,COLUMN(Damage!$F$1)))*($A$1+J$1)/($A$1+$A41))/(INDIRECT("'Damage'!"&amp;ADDRESS(ROW(Damage!$F$1)+J$1,COLUMN(Damage!$F$1))))</f>
        <v>1.1794195103443659</v>
      </c>
      <c r="K41" s="49">
        <f ca="1">(INDIRECT("'Damage'!"&amp;ADDRESS(ROW(Damage!$F$1)+$A41,COLUMN(Damage!$F$1)))*($A$1+K$1)/($A$1+$A41))/(INDIRECT("'Damage'!"&amp;ADDRESS(ROW(Damage!$F$1)+K$1,COLUMN(Damage!$F$1))))</f>
        <v>1.1704770336158625</v>
      </c>
      <c r="L41" s="49">
        <f ca="1">(INDIRECT("'Damage'!"&amp;ADDRESS(ROW(Damage!$F$1)+$A41,COLUMN(Damage!$F$1)))*($A$1+L$1)/($A$1+$A41))/(INDIRECT("'Damage'!"&amp;ADDRESS(ROW(Damage!$F$1)+L$1,COLUMN(Damage!$F$1))))</f>
        <v>1.1414376036702596</v>
      </c>
      <c r="M41" s="49">
        <f ca="1">(INDIRECT("'Damage'!"&amp;ADDRESS(ROW(Damage!$F$1)+$A41,COLUMN(Damage!$F$1)))*($A$1+M$1)/($A$1+$A41))/(INDIRECT("'Damage'!"&amp;ADDRESS(ROW(Damage!$F$1)+M$1,COLUMN(Damage!$F$1))))</f>
        <v>1.1368029544371669</v>
      </c>
      <c r="N41" s="49">
        <f ca="1">(INDIRECT("'Damage'!"&amp;ADDRESS(ROW(Damage!$F$1)+$A41,COLUMN(Damage!$F$1)))*($A$1+N$1)/($A$1+$A41))/(INDIRECT("'Damage'!"&amp;ADDRESS(ROW(Damage!$F$1)+N$1,COLUMN(Damage!$F$1))))</f>
        <v>1.1150003184550117</v>
      </c>
      <c r="O41" s="49">
        <f ca="1">(INDIRECT("'Damage'!"&amp;ADDRESS(ROW(Damage!$F$1)+$A41,COLUMN(Damage!$F$1)))*($A$1+O$1)/($A$1+$A41))/(INDIRECT("'Damage'!"&amp;ADDRESS(ROW(Damage!$F$1)+O$1,COLUMN(Damage!$F$1))))</f>
        <v>1.0965710632942962</v>
      </c>
      <c r="P41" s="49">
        <f ca="1">(INDIRECT("'Damage'!"&amp;ADDRESS(ROW(Damage!$F$1)+$A41,COLUMN(Damage!$F$1)))*($A$1+P$1)/($A$1+$A41))/(INDIRECT("'Damage'!"&amp;ADDRESS(ROW(Damage!$F$1)+P$1,COLUMN(Damage!$F$1))))</f>
        <v>1.0955385539626021</v>
      </c>
      <c r="Q41" s="49">
        <f ca="1">(INDIRECT("'Damage'!"&amp;ADDRESS(ROW(Damage!$F$1)+$A41,COLUMN(Damage!$F$1)))*($A$1+Q$1)/($A$1+$A41))/(INDIRECT("'Damage'!"&amp;ADDRESS(ROW(Damage!$F$1)+Q$1,COLUMN(Damage!$F$1))))</f>
        <v>1.0738654691492608</v>
      </c>
      <c r="R41" s="49">
        <f ca="1">(INDIRECT("'Damage'!"&amp;ADDRESS(ROW(Damage!$F$1)+$A41,COLUMN(Damage!$F$1)))*($A$1+R$1)/($A$1+$A41))/(INDIRECT("'Damage'!"&amp;ADDRESS(ROW(Damage!$F$1)+R$1,COLUMN(Damage!$F$1))))</f>
        <v>1.0741379437951937</v>
      </c>
      <c r="S41" s="49">
        <f ca="1">(INDIRECT("'Damage'!"&amp;ADDRESS(ROW(Damage!$F$1)+$A41,COLUMN(Damage!$F$1)))*($A$1+S$1)/($A$1+$A41))/(INDIRECT("'Damage'!"&amp;ADDRESS(ROW(Damage!$F$1)+S$1,COLUMN(Damage!$F$1))))</f>
        <v>1.056331402861673</v>
      </c>
      <c r="T41" s="49">
        <f ca="1">(INDIRECT("'Damage'!"&amp;ADDRESS(ROW(Damage!$F$1)+$A41,COLUMN(Damage!$F$1)))*($A$1+T$1)/($A$1+$A41))/(INDIRECT("'Damage'!"&amp;ADDRESS(ROW(Damage!$F$1)+T$1,COLUMN(Damage!$F$1))))</f>
        <v>1.0573859869868307</v>
      </c>
      <c r="U41" s="49">
        <f ca="1">(INDIRECT("'Damage'!"&amp;ADDRESS(ROW(Damage!$F$1)+$A41,COLUMN(Damage!$F$1)))*($A$1+U$1)/($A$1+$A41))/(INDIRECT("'Damage'!"&amp;ADDRESS(ROW(Damage!$F$1)+U$1,COLUMN(Damage!$F$1))))</f>
        <v>1.0423826684489548</v>
      </c>
      <c r="V41" s="49">
        <f ca="1">(INDIRECT("'Damage'!"&amp;ADDRESS(ROW(Damage!$F$1)+$A41,COLUMN(Damage!$F$1)))*($A$1+V$1)/($A$1+$A41))/(INDIRECT("'Damage'!"&amp;ADDRESS(ROW(Damage!$F$1)+V$1,COLUMN(Damage!$F$1))))</f>
        <v>1.043916400993202</v>
      </c>
    </row>
    <row r="42" spans="1:22">
      <c r="A42" s="1">
        <v>81</v>
      </c>
      <c r="B42" s="49">
        <f ca="1">(INDIRECT("'Damage'!"&amp;ADDRESS(ROW(Damage!$F$1)+$A42,COLUMN(Damage!$F$1)))*($A$1+B$1)/($A$1+$A42))/(INDIRECT("'Damage'!"&amp;ADDRESS(ROW(Damage!$F$1)+B$1,COLUMN(Damage!$F$1))))</f>
        <v>2.4207754622765716</v>
      </c>
      <c r="C42" s="49">
        <f ca="1">(INDIRECT("'Damage'!"&amp;ADDRESS(ROW(Damage!$F$1)+$A42,COLUMN(Damage!$F$1)))*($A$1+C$1)/($A$1+$A42))/(INDIRECT("'Damage'!"&amp;ADDRESS(ROW(Damage!$F$1)+C$1,COLUMN(Damage!$F$1))))</f>
        <v>1.863157967766778</v>
      </c>
      <c r="D42" s="49">
        <f ca="1">(INDIRECT("'Damage'!"&amp;ADDRESS(ROW(Damage!$F$1)+$A42,COLUMN(Damage!$F$1)))*($A$1+D$1)/($A$1+$A42))/(INDIRECT("'Damage'!"&amp;ADDRESS(ROW(Damage!$F$1)+D$1,COLUMN(Damage!$F$1))))</f>
        <v>1.5792114423377877</v>
      </c>
      <c r="E42" s="49">
        <f ca="1">(INDIRECT("'Damage'!"&amp;ADDRESS(ROW(Damage!$F$1)+$A42,COLUMN(Damage!$F$1)))*($A$1+E$1)/($A$1+$A42))/(INDIRECT("'Damage'!"&amp;ADDRESS(ROW(Damage!$F$1)+E$1,COLUMN(Damage!$F$1))))</f>
        <v>1.4317765089428844</v>
      </c>
      <c r="F42" s="49">
        <f ca="1">(INDIRECT("'Damage'!"&amp;ADDRESS(ROW(Damage!$F$1)+$A42,COLUMN(Damage!$F$1)))*($A$1+F$1)/($A$1+$A42))/(INDIRECT("'Damage'!"&amp;ADDRESS(ROW(Damage!$F$1)+F$1,COLUMN(Damage!$F$1))))</f>
        <v>1.3689308015802222</v>
      </c>
      <c r="G42" s="49">
        <f ca="1">(INDIRECT("'Damage'!"&amp;ADDRESS(ROW(Damage!$F$1)+$A42,COLUMN(Damage!$F$1)))*($A$1+G$1)/($A$1+$A42))/(INDIRECT("'Damage'!"&amp;ADDRESS(ROW(Damage!$F$1)+G$1,COLUMN(Damage!$F$1))))</f>
        <v>1.3023827786712854</v>
      </c>
      <c r="H42" s="49">
        <f ca="1">(INDIRECT("'Damage'!"&amp;ADDRESS(ROW(Damage!$F$1)+$A42,COLUMN(Damage!$F$1)))*($A$1+H$1)/($A$1+$A42))/(INDIRECT("'Damage'!"&amp;ADDRESS(ROW(Damage!$F$1)+H$1,COLUMN(Damage!$F$1))))</f>
        <v>1.2365681419559549</v>
      </c>
      <c r="I42" s="49">
        <f ca="1">(INDIRECT("'Damage'!"&amp;ADDRESS(ROW(Damage!$F$1)+$A42,COLUMN(Damage!$F$1)))*($A$1+I$1)/($A$1+$A42))/(INDIRECT("'Damage'!"&amp;ADDRESS(ROW(Damage!$F$1)+I$1,COLUMN(Damage!$F$1))))</f>
        <v>1.2188471897739614</v>
      </c>
      <c r="J42" s="49">
        <f ca="1">(INDIRECT("'Damage'!"&amp;ADDRESS(ROW(Damage!$F$1)+$A42,COLUMN(Damage!$F$1)))*($A$1+J$1)/($A$1+$A42))/(INDIRECT("'Damage'!"&amp;ADDRESS(ROW(Damage!$F$1)+J$1,COLUMN(Damage!$F$1))))</f>
        <v>1.1774654800078528</v>
      </c>
      <c r="K42" s="49">
        <f ca="1">(INDIRECT("'Damage'!"&amp;ADDRESS(ROW(Damage!$F$1)+$A42,COLUMN(Damage!$F$1)))*($A$1+K$1)/($A$1+$A42))/(INDIRECT("'Damage'!"&amp;ADDRESS(ROW(Damage!$F$1)+K$1,COLUMN(Damage!$F$1))))</f>
        <v>1.1685378189328619</v>
      </c>
      <c r="L42" s="49">
        <f ca="1">(INDIRECT("'Damage'!"&amp;ADDRESS(ROW(Damage!$F$1)+$A42,COLUMN(Damage!$F$1)))*($A$1+L$1)/($A$1+$A42))/(INDIRECT("'Damage'!"&amp;ADDRESS(ROW(Damage!$F$1)+L$1,COLUMN(Damage!$F$1))))</f>
        <v>1.1395465007291548</v>
      </c>
      <c r="M42" s="49">
        <f ca="1">(INDIRECT("'Damage'!"&amp;ADDRESS(ROW(Damage!$F$1)+$A42,COLUMN(Damage!$F$1)))*($A$1+M$1)/($A$1+$A42))/(INDIRECT("'Damage'!"&amp;ADDRESS(ROW(Damage!$F$1)+M$1,COLUMN(Damage!$F$1))))</f>
        <v>1.1349195300575248</v>
      </c>
      <c r="N42" s="49">
        <f ca="1">(INDIRECT("'Damage'!"&amp;ADDRESS(ROW(Damage!$F$1)+$A42,COLUMN(Damage!$F$1)))*($A$1+N$1)/($A$1+$A42))/(INDIRECT("'Damage'!"&amp;ADDRESS(ROW(Damage!$F$1)+N$1,COLUMN(Damage!$F$1))))</f>
        <v>1.1131530160928127</v>
      </c>
      <c r="O42" s="49">
        <f ca="1">(INDIRECT("'Damage'!"&amp;ADDRESS(ROW(Damage!$F$1)+$A42,COLUMN(Damage!$F$1)))*($A$1+O$1)/($A$1+$A42))/(INDIRECT("'Damage'!"&amp;ADDRESS(ROW(Damage!$F$1)+O$1,COLUMN(Damage!$F$1))))</f>
        <v>1.0947542940234589</v>
      </c>
      <c r="P42" s="49">
        <f ca="1">(INDIRECT("'Damage'!"&amp;ADDRESS(ROW(Damage!$F$1)+$A42,COLUMN(Damage!$F$1)))*($A$1+P$1)/($A$1+$A42))/(INDIRECT("'Damage'!"&amp;ADDRESS(ROW(Damage!$F$1)+P$1,COLUMN(Damage!$F$1))))</f>
        <v>1.0937234953252919</v>
      </c>
      <c r="Q42" s="49">
        <f ca="1">(INDIRECT("'Damage'!"&amp;ADDRESS(ROW(Damage!$F$1)+$A42,COLUMN(Damage!$F$1)))*($A$1+Q$1)/($A$1+$A42))/(INDIRECT("'Damage'!"&amp;ADDRESS(ROW(Damage!$F$1)+Q$1,COLUMN(Damage!$F$1))))</f>
        <v>1.072086317892522</v>
      </c>
      <c r="R42" s="49">
        <f ca="1">(INDIRECT("'Damage'!"&amp;ADDRESS(ROW(Damage!$F$1)+$A42,COLUMN(Damage!$F$1)))*($A$1+R$1)/($A$1+$A42))/(INDIRECT("'Damage'!"&amp;ADDRESS(ROW(Damage!$F$1)+R$1,COLUMN(Damage!$F$1))))</f>
        <v>1.072358341109833</v>
      </c>
      <c r="S42" s="49">
        <f ca="1">(INDIRECT("'Damage'!"&amp;ADDRESS(ROW(Damage!$F$1)+$A42,COLUMN(Damage!$F$1)))*($A$1+S$1)/($A$1+$A42))/(INDIRECT("'Damage'!"&amp;ADDRESS(ROW(Damage!$F$1)+S$1,COLUMN(Damage!$F$1))))</f>
        <v>1.0545813015715897</v>
      </c>
      <c r="T42" s="49">
        <f ca="1">(INDIRECT("'Damage'!"&amp;ADDRESS(ROW(Damage!$F$1)+$A42,COLUMN(Damage!$F$1)))*($A$1+T$1)/($A$1+$A42))/(INDIRECT("'Damage'!"&amp;ADDRESS(ROW(Damage!$F$1)+T$1,COLUMN(Damage!$F$1))))</f>
        <v>1.0556341384902996</v>
      </c>
      <c r="U42" s="49">
        <f ca="1">(INDIRECT("'Damage'!"&amp;ADDRESS(ROW(Damage!$F$1)+$A42,COLUMN(Damage!$F$1)))*($A$1+U$1)/($A$1+$A42))/(INDIRECT("'Damage'!"&amp;ADDRESS(ROW(Damage!$F$1)+U$1,COLUMN(Damage!$F$1))))</f>
        <v>1.0406556770446747</v>
      </c>
      <c r="V42" s="49">
        <f ca="1">(INDIRECT("'Damage'!"&amp;ADDRESS(ROW(Damage!$F$1)+$A42,COLUMN(Damage!$F$1)))*($A$1+V$1)/($A$1+$A42))/(INDIRECT("'Damage'!"&amp;ADDRESS(ROW(Damage!$F$1)+V$1,COLUMN(Damage!$F$1))))</f>
        <v>1.0421868685423366</v>
      </c>
    </row>
    <row r="43" spans="1:22">
      <c r="A43" s="1">
        <v>83</v>
      </c>
      <c r="B43" s="49">
        <f ca="1">(INDIRECT("'Damage'!"&amp;ADDRESS(ROW(Damage!$F$1)+$A43,COLUMN(Damage!$F$1)))*($A$1+B$1)/($A$1+$A43))/(INDIRECT("'Damage'!"&amp;ADDRESS(ROW(Damage!$F$1)+B$1,COLUMN(Damage!$F$1))))</f>
        <v>2.4169356927728312</v>
      </c>
      <c r="C43" s="49">
        <f ca="1">(INDIRECT("'Damage'!"&amp;ADDRESS(ROW(Damage!$F$1)+$A43,COLUMN(Damage!$F$1)))*($A$1+C$1)/($A$1+$A43))/(INDIRECT("'Damage'!"&amp;ADDRESS(ROW(Damage!$F$1)+C$1,COLUMN(Damage!$F$1))))</f>
        <v>1.8602026762675186</v>
      </c>
      <c r="D43" s="49">
        <f ca="1">(INDIRECT("'Damage'!"&amp;ADDRESS(ROW(Damage!$F$1)+$A43,COLUMN(Damage!$F$1)))*($A$1+D$1)/($A$1+$A43))/(INDIRECT("'Damage'!"&amp;ADDRESS(ROW(Damage!$F$1)+D$1,COLUMN(Damage!$F$1))))</f>
        <v>1.5767065392475426</v>
      </c>
      <c r="E43" s="49">
        <f ca="1">(INDIRECT("'Damage'!"&amp;ADDRESS(ROW(Damage!$F$1)+$A43,COLUMN(Damage!$F$1)))*($A$1+E$1)/($A$1+$A43))/(INDIRECT("'Damage'!"&amp;ADDRESS(ROW(Damage!$F$1)+E$1,COLUMN(Damage!$F$1))))</f>
        <v>1.4295054632135791</v>
      </c>
      <c r="F43" s="49">
        <f ca="1">(INDIRECT("'Damage'!"&amp;ADDRESS(ROW(Damage!$F$1)+$A43,COLUMN(Damage!$F$1)))*($A$1+F$1)/($A$1+$A43))/(INDIRECT("'Damage'!"&amp;ADDRESS(ROW(Damage!$F$1)+F$1,COLUMN(Damage!$F$1))))</f>
        <v>1.3667594400365557</v>
      </c>
      <c r="G43" s="49">
        <f ca="1">(INDIRECT("'Damage'!"&amp;ADDRESS(ROW(Damage!$F$1)+$A43,COLUMN(Damage!$F$1)))*($A$1+G$1)/($A$1+$A43))/(INDIRECT("'Damage'!"&amp;ADDRESS(ROW(Damage!$F$1)+G$1,COLUMN(Damage!$F$1))))</f>
        <v>1.3003169738274789</v>
      </c>
      <c r="H43" s="49">
        <f ca="1">(INDIRECT("'Damage'!"&amp;ADDRESS(ROW(Damage!$F$1)+$A43,COLUMN(Damage!$F$1)))*($A$1+H$1)/($A$1+$A43))/(INDIRECT("'Damage'!"&amp;ADDRESS(ROW(Damage!$F$1)+H$1,COLUMN(Damage!$F$1))))</f>
        <v>1.2346067305343793</v>
      </c>
      <c r="I43" s="49">
        <f ca="1">(INDIRECT("'Damage'!"&amp;ADDRESS(ROW(Damage!$F$1)+$A43,COLUMN(Damage!$F$1)))*($A$1+I$1)/($A$1+$A43))/(INDIRECT("'Damage'!"&amp;ADDRESS(ROW(Damage!$F$1)+I$1,COLUMN(Damage!$F$1))))</f>
        <v>1.2169138868543208</v>
      </c>
      <c r="J43" s="49">
        <f ca="1">(INDIRECT("'Damage'!"&amp;ADDRESS(ROW(Damage!$F$1)+$A43,COLUMN(Damage!$F$1)))*($A$1+J$1)/($A$1+$A43))/(INDIRECT("'Damage'!"&amp;ADDRESS(ROW(Damage!$F$1)+J$1,COLUMN(Damage!$F$1))))</f>
        <v>1.1755978156530642</v>
      </c>
      <c r="K43" s="49">
        <f ca="1">(INDIRECT("'Damage'!"&amp;ADDRESS(ROW(Damage!$F$1)+$A43,COLUMN(Damage!$F$1)))*($A$1+K$1)/($A$1+$A43))/(INDIRECT("'Damage'!"&amp;ADDRESS(ROW(Damage!$F$1)+K$1,COLUMN(Damage!$F$1))))</f>
        <v>1.1666843153960715</v>
      </c>
      <c r="L43" s="49">
        <f ca="1">(INDIRECT("'Damage'!"&amp;ADDRESS(ROW(Damage!$F$1)+$A43,COLUMN(Damage!$F$1)))*($A$1+L$1)/($A$1+$A43))/(INDIRECT("'Damage'!"&amp;ADDRESS(ROW(Damage!$F$1)+L$1,COLUMN(Damage!$F$1))))</f>
        <v>1.1377389824484303</v>
      </c>
      <c r="M43" s="49">
        <f ca="1">(INDIRECT("'Damage'!"&amp;ADDRESS(ROW(Damage!$F$1)+$A43,COLUMN(Damage!$F$1)))*($A$1+M$1)/($A$1+$A43))/(INDIRECT("'Damage'!"&amp;ADDRESS(ROW(Damage!$F$1)+M$1,COLUMN(Damage!$F$1))))</f>
        <v>1.1331193509543311</v>
      </c>
      <c r="N43" s="49">
        <f ca="1">(INDIRECT("'Damage'!"&amp;ADDRESS(ROW(Damage!$F$1)+$A43,COLUMN(Damage!$F$1)))*($A$1+N$1)/($A$1+$A43))/(INDIRECT("'Damage'!"&amp;ADDRESS(ROW(Damage!$F$1)+N$1,COLUMN(Damage!$F$1))))</f>
        <v>1.1113873624538049</v>
      </c>
      <c r="O43" s="49">
        <f ca="1">(INDIRECT("'Damage'!"&amp;ADDRESS(ROW(Damage!$F$1)+$A43,COLUMN(Damage!$F$1)))*($A$1+O$1)/($A$1+$A43))/(INDIRECT("'Damage'!"&amp;ADDRESS(ROW(Damage!$F$1)+O$1,COLUMN(Damage!$F$1))))</f>
        <v>1.093017823946913</v>
      </c>
      <c r="P43" s="49">
        <f ca="1">(INDIRECT("'Damage'!"&amp;ADDRESS(ROW(Damage!$F$1)+$A43,COLUMN(Damage!$F$1)))*($A$1+P$1)/($A$1+$A43))/(INDIRECT("'Damage'!"&amp;ADDRESS(ROW(Damage!$F$1)+P$1,COLUMN(Damage!$F$1))))</f>
        <v>1.0919886602741613</v>
      </c>
      <c r="Q43" s="49">
        <f ca="1">(INDIRECT("'Damage'!"&amp;ADDRESS(ROW(Damage!$F$1)+$A43,COLUMN(Damage!$F$1)))*($A$1+Q$1)/($A$1+$A43))/(INDIRECT("'Damage'!"&amp;ADDRESS(ROW(Damage!$F$1)+Q$1,COLUMN(Damage!$F$1))))</f>
        <v>1.0703858031554181</v>
      </c>
      <c r="R43" s="49">
        <f ca="1">(INDIRECT("'Damage'!"&amp;ADDRESS(ROW(Damage!$F$1)+$A43,COLUMN(Damage!$F$1)))*($A$1+R$1)/($A$1+$A43))/(INDIRECT("'Damage'!"&amp;ADDRESS(ROW(Damage!$F$1)+R$1,COLUMN(Damage!$F$1))))</f>
        <v>1.0706573948967537</v>
      </c>
      <c r="S43" s="49">
        <f ca="1">(INDIRECT("'Damage'!"&amp;ADDRESS(ROW(Damage!$F$1)+$A43,COLUMN(Damage!$F$1)))*($A$1+S$1)/($A$1+$A43))/(INDIRECT("'Damage'!"&amp;ADDRESS(ROW(Damage!$F$1)+S$1,COLUMN(Damage!$F$1))))</f>
        <v>1.0529085528247146</v>
      </c>
      <c r="T43" s="49">
        <f ca="1">(INDIRECT("'Damage'!"&amp;ADDRESS(ROW(Damage!$F$1)+$A43,COLUMN(Damage!$F$1)))*($A$1+T$1)/($A$1+$A43))/(INDIRECT("'Damage'!"&amp;ADDRESS(ROW(Damage!$F$1)+T$1,COLUMN(Damage!$F$1))))</f>
        <v>1.0539597197615711</v>
      </c>
      <c r="U43" s="49">
        <f ca="1">(INDIRECT("'Damage'!"&amp;ADDRESS(ROW(Damage!$F$1)+$A43,COLUMN(Damage!$F$1)))*($A$1+U$1)/($A$1+$A43))/(INDIRECT("'Damage'!"&amp;ADDRESS(ROW(Damage!$F$1)+U$1,COLUMN(Damage!$F$1))))</f>
        <v>1.0390050167521863</v>
      </c>
      <c r="V43" s="49">
        <f ca="1">(INDIRECT("'Damage'!"&amp;ADDRESS(ROW(Damage!$F$1)+$A43,COLUMN(Damage!$F$1)))*($A$1+V$1)/($A$1+$A43))/(INDIRECT("'Damage'!"&amp;ADDRESS(ROW(Damage!$F$1)+V$1,COLUMN(Damage!$F$1))))</f>
        <v>1.040533779514714</v>
      </c>
    </row>
    <row r="44" spans="1:22">
      <c r="A44" s="1">
        <v>85</v>
      </c>
      <c r="B44" s="49">
        <f ca="1">(INDIRECT("'Damage'!"&amp;ADDRESS(ROW(Damage!$F$1)+$A44,COLUMN(Damage!$F$1)))*($A$1+B$1)/($A$1+$A44))/(INDIRECT("'Damage'!"&amp;ADDRESS(ROW(Damage!$F$1)+B$1,COLUMN(Damage!$F$1))))</f>
        <v>2.4132619673557398</v>
      </c>
      <c r="C44" s="49">
        <f ca="1">(INDIRECT("'Damage'!"&amp;ADDRESS(ROW(Damage!$F$1)+$A44,COLUMN(Damage!$F$1)))*($A$1+C$1)/($A$1+$A44))/(INDIRECT("'Damage'!"&amp;ADDRESS(ROW(Damage!$F$1)+C$1,COLUMN(Damage!$F$1))))</f>
        <v>1.8573751811574168</v>
      </c>
      <c r="D44" s="49">
        <f ca="1">(INDIRECT("'Damage'!"&amp;ADDRESS(ROW(Damage!$F$1)+$A44,COLUMN(Damage!$F$1)))*($A$1+D$1)/($A$1+$A44))/(INDIRECT("'Damage'!"&amp;ADDRESS(ROW(Damage!$F$1)+D$1,COLUMN(Damage!$F$1))))</f>
        <v>1.57430995629093</v>
      </c>
      <c r="E44" s="49">
        <f ca="1">(INDIRECT("'Damage'!"&amp;ADDRESS(ROW(Damage!$F$1)+$A44,COLUMN(Damage!$F$1)))*($A$1+E$1)/($A$1+$A44))/(INDIRECT("'Damage'!"&amp;ADDRESS(ROW(Damage!$F$1)+E$1,COLUMN(Damage!$F$1))))</f>
        <v>1.4273326248671629</v>
      </c>
      <c r="F44" s="49">
        <f ca="1">(INDIRECT("'Damage'!"&amp;ADDRESS(ROW(Damage!$F$1)+$A44,COLUMN(Damage!$F$1)))*($A$1+F$1)/($A$1+$A44))/(INDIRECT("'Damage'!"&amp;ADDRESS(ROW(Damage!$F$1)+F$1,COLUMN(Damage!$F$1))))</f>
        <v>1.3646819752082917</v>
      </c>
      <c r="G44" s="49">
        <f ca="1">(INDIRECT("'Damage'!"&amp;ADDRESS(ROW(Damage!$F$1)+$A44,COLUMN(Damage!$F$1)))*($A$1+G$1)/($A$1+$A44))/(INDIRECT("'Damage'!"&amp;ADDRESS(ROW(Damage!$F$1)+G$1,COLUMN(Damage!$F$1))))</f>
        <v>1.2983405010850269</v>
      </c>
      <c r="H44" s="49">
        <f ca="1">(INDIRECT("'Damage'!"&amp;ADDRESS(ROW(Damage!$F$1)+$A44,COLUMN(Damage!$F$1)))*($A$1+H$1)/($A$1+$A44))/(INDIRECT("'Damage'!"&amp;ADDRESS(ROW(Damage!$F$1)+H$1,COLUMN(Damage!$F$1))))</f>
        <v>1.2327301369040073</v>
      </c>
      <c r="I44" s="49">
        <f ca="1">(INDIRECT("'Damage'!"&amp;ADDRESS(ROW(Damage!$F$1)+$A44,COLUMN(Damage!$F$1)))*($A$1+I$1)/($A$1+$A44))/(INDIRECT("'Damage'!"&amp;ADDRESS(ROW(Damage!$F$1)+I$1,COLUMN(Damage!$F$1))))</f>
        <v>1.2150641862230975</v>
      </c>
      <c r="J44" s="49">
        <f ca="1">(INDIRECT("'Damage'!"&amp;ADDRESS(ROW(Damage!$F$1)+$A44,COLUMN(Damage!$F$1)))*($A$1+J$1)/($A$1+$A44))/(INDIRECT("'Damage'!"&amp;ADDRESS(ROW(Damage!$F$1)+J$1,COLUMN(Damage!$F$1))))</f>
        <v>1.1738109151622667</v>
      </c>
      <c r="K44" s="49">
        <f ca="1">(INDIRECT("'Damage'!"&amp;ADDRESS(ROW(Damage!$F$1)+$A44,COLUMN(Damage!$F$1)))*($A$1+K$1)/($A$1+$A44))/(INDIRECT("'Damage'!"&amp;ADDRESS(ROW(Damage!$F$1)+K$1,COLUMN(Damage!$F$1))))</f>
        <v>1.1649109633635746</v>
      </c>
      <c r="L44" s="49">
        <f ca="1">(INDIRECT("'Damage'!"&amp;ADDRESS(ROW(Damage!$F$1)+$A44,COLUMN(Damage!$F$1)))*($A$1+L$1)/($A$1+$A44))/(INDIRECT("'Damage'!"&amp;ADDRESS(ROW(Damage!$F$1)+L$1,COLUMN(Damage!$F$1))))</f>
        <v>1.1360096271203863</v>
      </c>
      <c r="M44" s="49">
        <f ca="1">(INDIRECT("'Damage'!"&amp;ADDRESS(ROW(Damage!$F$1)+$A44,COLUMN(Damage!$F$1)))*($A$1+M$1)/($A$1+$A44))/(INDIRECT("'Damage'!"&amp;ADDRESS(ROW(Damage!$F$1)+M$1,COLUMN(Damage!$F$1))))</f>
        <v>1.1313970174339787</v>
      </c>
      <c r="N44" s="49">
        <f ca="1">(INDIRECT("'Damage'!"&amp;ADDRESS(ROW(Damage!$F$1)+$A44,COLUMN(Damage!$F$1)))*($A$1+N$1)/($A$1+$A44))/(INDIRECT("'Damage'!"&amp;ADDRESS(ROW(Damage!$F$1)+N$1,COLUMN(Damage!$F$1))))</f>
        <v>1.1096980614045922</v>
      </c>
      <c r="O44" s="49">
        <f ca="1">(INDIRECT("'Damage'!"&amp;ADDRESS(ROW(Damage!$F$1)+$A44,COLUMN(Damage!$F$1)))*($A$1+O$1)/($A$1+$A44))/(INDIRECT("'Damage'!"&amp;ADDRESS(ROW(Damage!$F$1)+O$1,COLUMN(Damage!$F$1))))</f>
        <v>1.091356444468272</v>
      </c>
      <c r="P44" s="49">
        <f ca="1">(INDIRECT("'Damage'!"&amp;ADDRESS(ROW(Damage!$F$1)+$A44,COLUMN(Damage!$F$1)))*($A$1+P$1)/($A$1+$A44))/(INDIRECT("'Damage'!"&amp;ADDRESS(ROW(Damage!$F$1)+P$1,COLUMN(Damage!$F$1))))</f>
        <v>1.090328845117134</v>
      </c>
      <c r="Q44" s="49">
        <f ca="1">(INDIRECT("'Damage'!"&amp;ADDRESS(ROW(Damage!$F$1)+$A44,COLUMN(Damage!$F$1)))*($A$1+Q$1)/($A$1+$A44))/(INDIRECT("'Damage'!"&amp;ADDRESS(ROW(Damage!$F$1)+Q$1,COLUMN(Damage!$F$1))))</f>
        <v>1.0687588241907298</v>
      </c>
      <c r="R44" s="49">
        <f ca="1">(INDIRECT("'Damage'!"&amp;ADDRESS(ROW(Damage!$F$1)+$A44,COLUMN(Damage!$F$1)))*($A$1+R$1)/($A$1+$A44))/(INDIRECT("'Damage'!"&amp;ADDRESS(ROW(Damage!$F$1)+R$1,COLUMN(Damage!$F$1))))</f>
        <v>1.0690300031145106</v>
      </c>
      <c r="S44" s="49">
        <f ca="1">(INDIRECT("'Damage'!"&amp;ADDRESS(ROW(Damage!$F$1)+$A44,COLUMN(Damage!$F$1)))*($A$1+S$1)/($A$1+$A44))/(INDIRECT("'Damage'!"&amp;ADDRESS(ROW(Damage!$F$1)+S$1,COLUMN(Damage!$F$1))))</f>
        <v>1.0513081391587857</v>
      </c>
      <c r="T44" s="49">
        <f ca="1">(INDIRECT("'Damage'!"&amp;ADDRESS(ROW(Damage!$F$1)+$A44,COLUMN(Damage!$F$1)))*($A$1+T$1)/($A$1+$A44))/(INDIRECT("'Damage'!"&amp;ADDRESS(ROW(Damage!$F$1)+T$1,COLUMN(Damage!$F$1))))</f>
        <v>1.0523577083292206</v>
      </c>
      <c r="U44" s="49">
        <f ca="1">(INDIRECT("'Damage'!"&amp;ADDRESS(ROW(Damage!$F$1)+$A44,COLUMN(Damage!$F$1)))*($A$1+U$1)/($A$1+$A44))/(INDIRECT("'Damage'!"&amp;ADDRESS(ROW(Damage!$F$1)+U$1,COLUMN(Damage!$F$1))))</f>
        <v>1.0374257363642383</v>
      </c>
      <c r="V44" s="49">
        <f ca="1">(INDIRECT("'Damage'!"&amp;ADDRESS(ROW(Damage!$F$1)+$A44,COLUMN(Damage!$F$1)))*($A$1+V$1)/($A$1+$A44))/(INDIRECT("'Damage'!"&amp;ADDRESS(ROW(Damage!$F$1)+V$1,COLUMN(Damage!$F$1))))</f>
        <v>1.0389521754180158</v>
      </c>
    </row>
    <row r="45" spans="1:22">
      <c r="A45" s="1">
        <v>87</v>
      </c>
      <c r="B45" s="49">
        <f ca="1">(INDIRECT("'Damage'!"&amp;ADDRESS(ROW(Damage!$F$1)+$A45,COLUMN(Damage!$F$1)))*($A$1+B$1)/($A$1+$A45))/(INDIRECT("'Damage'!"&amp;ADDRESS(ROW(Damage!$F$1)+B$1,COLUMN(Damage!$F$1))))</f>
        <v>2.4097437435436038</v>
      </c>
      <c r="C45" s="49">
        <f ca="1">(INDIRECT("'Damage'!"&amp;ADDRESS(ROW(Damage!$F$1)+$A45,COLUMN(Damage!$F$1)))*($A$1+C$1)/($A$1+$A45))/(INDIRECT("'Damage'!"&amp;ADDRESS(ROW(Damage!$F$1)+C$1,COLUMN(Damage!$F$1))))</f>
        <v>1.854667368380017</v>
      </c>
      <c r="D45" s="49">
        <f ca="1">(INDIRECT("'Damage'!"&amp;ADDRESS(ROW(Damage!$F$1)+$A45,COLUMN(Damage!$F$1)))*($A$1+D$1)/($A$1+$A45))/(INDIRECT("'Damage'!"&amp;ADDRESS(ROW(Damage!$F$1)+D$1,COLUMN(Damage!$F$1))))</f>
        <v>1.5720148159991472</v>
      </c>
      <c r="E45" s="49">
        <f ca="1">(INDIRECT("'Damage'!"&amp;ADDRESS(ROW(Damage!$F$1)+$A45,COLUMN(Damage!$F$1)))*($A$1+E$1)/($A$1+$A45))/(INDIRECT("'Damage'!"&amp;ADDRESS(ROW(Damage!$F$1)+E$1,COLUMN(Damage!$F$1))))</f>
        <v>1.4252517585142452</v>
      </c>
      <c r="F45" s="49">
        <f ca="1">(INDIRECT("'Damage'!"&amp;ADDRESS(ROW(Damage!$F$1)+$A45,COLUMN(Damage!$F$1)))*($A$1+F$1)/($A$1+$A45))/(INDIRECT("'Damage'!"&amp;ADDRESS(ROW(Damage!$F$1)+F$1,COLUMN(Damage!$F$1))))</f>
        <v>1.3626924453992126</v>
      </c>
      <c r="G45" s="49">
        <f ca="1">(INDIRECT("'Damage'!"&amp;ADDRESS(ROW(Damage!$F$1)+$A45,COLUMN(Damage!$F$1)))*($A$1+G$1)/($A$1+$A45))/(INDIRECT("'Damage'!"&amp;ADDRESS(ROW(Damage!$F$1)+G$1,COLUMN(Damage!$F$1))))</f>
        <v>1.2964476885644769</v>
      </c>
      <c r="H45" s="49">
        <f ca="1">(INDIRECT("'Damage'!"&amp;ADDRESS(ROW(Damage!$F$1)+$A45,COLUMN(Damage!$F$1)))*($A$1+H$1)/($A$1+$A45))/(INDIRECT("'Damage'!"&amp;ADDRESS(ROW(Damage!$F$1)+H$1,COLUMN(Damage!$F$1))))</f>
        <v>1.2309329758082539</v>
      </c>
      <c r="I45" s="49">
        <f ca="1">(INDIRECT("'Damage'!"&amp;ADDRESS(ROW(Damage!$F$1)+$A45,COLUMN(Damage!$F$1)))*($A$1+I$1)/($A$1+$A45))/(INDIRECT("'Damage'!"&amp;ADDRESS(ROW(Damage!$F$1)+I$1,COLUMN(Damage!$F$1))))</f>
        <v>1.2132927797984865</v>
      </c>
      <c r="J45" s="49">
        <f ca="1">(INDIRECT("'Damage'!"&amp;ADDRESS(ROW(Damage!$F$1)+$A45,COLUMN(Damage!$F$1)))*($A$1+J$1)/($A$1+$A45))/(INDIRECT("'Damage'!"&amp;ADDRESS(ROW(Damage!$F$1)+J$1,COLUMN(Damage!$F$1))))</f>
        <v>1.1720996506710792</v>
      </c>
      <c r="K45" s="49">
        <f ca="1">(INDIRECT("'Damage'!"&amp;ADDRESS(ROW(Damage!$F$1)+$A45,COLUMN(Damage!$F$1)))*($A$1+K$1)/($A$1+$A45))/(INDIRECT("'Damage'!"&amp;ADDRESS(ROW(Damage!$F$1)+K$1,COLUMN(Damage!$F$1))))</f>
        <v>1.1632126738509718</v>
      </c>
      <c r="L45" s="49">
        <f ca="1">(INDIRECT("'Damage'!"&amp;ADDRESS(ROW(Damage!$F$1)+$A45,COLUMN(Damage!$F$1)))*($A$1+L$1)/($A$1+$A45))/(INDIRECT("'Damage'!"&amp;ADDRESS(ROW(Damage!$F$1)+L$1,COLUMN(Damage!$F$1))))</f>
        <v>1.1343534720178676</v>
      </c>
      <c r="M45" s="49">
        <f ca="1">(INDIRECT("'Damage'!"&amp;ADDRESS(ROW(Damage!$F$1)+$A45,COLUMN(Damage!$F$1)))*($A$1+M$1)/($A$1+$A45))/(INDIRECT("'Damage'!"&amp;ADDRESS(ROW(Damage!$F$1)+M$1,COLUMN(Damage!$F$1))))</f>
        <v>1.1297475869197782</v>
      </c>
      <c r="N45" s="49">
        <f ca="1">(INDIRECT("'Damage'!"&amp;ADDRESS(ROW(Damage!$F$1)+$A45,COLUMN(Damage!$F$1)))*($A$1+N$1)/($A$1+$A45))/(INDIRECT("'Damage'!"&amp;ADDRESS(ROW(Damage!$F$1)+N$1,COLUMN(Damage!$F$1))))</f>
        <v>1.108080265161695</v>
      </c>
      <c r="O45" s="49">
        <f ca="1">(INDIRECT("'Damage'!"&amp;ADDRESS(ROW(Damage!$F$1)+$A45,COLUMN(Damage!$F$1)))*($A$1+O$1)/($A$1+$A45))/(INDIRECT("'Damage'!"&amp;ADDRESS(ROW(Damage!$F$1)+O$1,COLUMN(Damage!$F$1))))</f>
        <v>1.0897653879305256</v>
      </c>
      <c r="P45" s="49">
        <f ca="1">(INDIRECT("'Damage'!"&amp;ADDRESS(ROW(Damage!$F$1)+$A45,COLUMN(Damage!$F$1)))*($A$1+P$1)/($A$1+$A45))/(INDIRECT("'Damage'!"&amp;ADDRESS(ROW(Damage!$F$1)+P$1,COLUMN(Damage!$F$1))))</f>
        <v>1.0887392866863297</v>
      </c>
      <c r="Q45" s="49">
        <f ca="1">(INDIRECT("'Damage'!"&amp;ADDRESS(ROW(Damage!$F$1)+$A45,COLUMN(Damage!$F$1)))*($A$1+Q$1)/($A$1+$A45))/(INDIRECT("'Damage'!"&amp;ADDRESS(ROW(Damage!$F$1)+Q$1,COLUMN(Damage!$F$1))))</f>
        <v>1.0672007120605254</v>
      </c>
      <c r="R45" s="49">
        <f ca="1">(INDIRECT("'Damage'!"&amp;ADDRESS(ROW(Damage!$F$1)+$A45,COLUMN(Damage!$F$1)))*($A$1+R$1)/($A$1+$A45))/(INDIRECT("'Damage'!"&amp;ADDRESS(ROW(Damage!$F$1)+R$1,COLUMN(Damage!$F$1))))</f>
        <v>1.0674714956405098</v>
      </c>
      <c r="S45" s="49">
        <f ca="1">(INDIRECT("'Damage'!"&amp;ADDRESS(ROW(Damage!$F$1)+$A45,COLUMN(Damage!$F$1)))*($A$1+S$1)/($A$1+$A45))/(INDIRECT("'Damage'!"&amp;ADDRESS(ROW(Damage!$F$1)+S$1,COLUMN(Damage!$F$1))))</f>
        <v>1.0497754678702502</v>
      </c>
      <c r="T45" s="49">
        <f ca="1">(INDIRECT("'Damage'!"&amp;ADDRESS(ROW(Damage!$F$1)+$A45,COLUMN(Damage!$F$1)))*($A$1+T$1)/($A$1+$A45))/(INDIRECT("'Damage'!"&amp;ADDRESS(ROW(Damage!$F$1)+T$1,COLUMN(Damage!$F$1))))</f>
        <v>1.0508235069045879</v>
      </c>
      <c r="U45" s="49">
        <f ca="1">(INDIRECT("'Damage'!"&amp;ADDRESS(ROW(Damage!$F$1)+$A45,COLUMN(Damage!$F$1)))*($A$1+U$1)/($A$1+$A45))/(INDIRECT("'Damage'!"&amp;ADDRESS(ROW(Damage!$F$1)+U$1,COLUMN(Damage!$F$1))))</f>
        <v>1.0359133038233985</v>
      </c>
      <c r="V45" s="49">
        <f ca="1">(INDIRECT("'Damage'!"&amp;ADDRESS(ROW(Damage!$F$1)+$A45,COLUMN(Damage!$F$1)))*($A$1+V$1)/($A$1+$A45))/(INDIRECT("'Damage'!"&amp;ADDRESS(ROW(Damage!$F$1)+V$1,COLUMN(Damage!$F$1))))</f>
        <v>1.0374375175264685</v>
      </c>
    </row>
    <row r="46" spans="1:22">
      <c r="A46" s="1">
        <v>89</v>
      </c>
      <c r="B46" s="49">
        <f ca="1">(INDIRECT("'Damage'!"&amp;ADDRESS(ROW(Damage!$F$1)+$A46,COLUMN(Damage!$F$1)))*($A$1+B$1)/($A$1+$A46))/(INDIRECT("'Damage'!"&amp;ADDRESS(ROW(Damage!$F$1)+B$1,COLUMN(Damage!$F$1))))</f>
        <v>2.4063713528428519</v>
      </c>
      <c r="C46" s="49">
        <f ca="1">(INDIRECT("'Damage'!"&amp;ADDRESS(ROW(Damage!$F$1)+$A46,COLUMN(Damage!$F$1)))*($A$1+C$1)/($A$1+$A46))/(INDIRECT("'Damage'!"&amp;ADDRESS(ROW(Damage!$F$1)+C$1,COLUMN(Damage!$F$1))))</f>
        <v>1.8520717965467588</v>
      </c>
      <c r="D46" s="49">
        <f ca="1">(INDIRECT("'Damage'!"&amp;ADDRESS(ROW(Damage!$F$1)+$A46,COLUMN(Damage!$F$1)))*($A$1+D$1)/($A$1+$A46))/(INDIRECT("'Damage'!"&amp;ADDRESS(ROW(Damage!$F$1)+D$1,COLUMN(Damage!$F$1))))</f>
        <v>1.5698148110562464</v>
      </c>
      <c r="E46" s="49">
        <f ca="1">(INDIRECT("'Damage'!"&amp;ADDRESS(ROW(Damage!$F$1)+$A46,COLUMN(Damage!$F$1)))*($A$1+E$1)/($A$1+$A46))/(INDIRECT("'Damage'!"&amp;ADDRESS(ROW(Damage!$F$1)+E$1,COLUMN(Damage!$F$1))))</f>
        <v>1.4232571456889103</v>
      </c>
      <c r="F46" s="49">
        <f ca="1">(INDIRECT("'Damage'!"&amp;ADDRESS(ROW(Damage!$F$1)+$A46,COLUMN(Damage!$F$1)))*($A$1+F$1)/($A$1+$A46))/(INDIRECT("'Damage'!"&amp;ADDRESS(ROW(Damage!$F$1)+F$1,COLUMN(Damage!$F$1))))</f>
        <v>1.3607853831469869</v>
      </c>
      <c r="G46" s="49">
        <f ca="1">(INDIRECT("'Damage'!"&amp;ADDRESS(ROW(Damage!$F$1)+$A46,COLUMN(Damage!$F$1)))*($A$1+G$1)/($A$1+$A46))/(INDIRECT("'Damage'!"&amp;ADDRESS(ROW(Damage!$F$1)+G$1,COLUMN(Damage!$F$1))))</f>
        <v>1.2946333345940018</v>
      </c>
      <c r="H46" s="49">
        <f ca="1">(INDIRECT("'Damage'!"&amp;ADDRESS(ROW(Damage!$F$1)+$A46,COLUMN(Damage!$F$1)))*($A$1+H$1)/($A$1+$A46))/(INDIRECT("'Damage'!"&amp;ADDRESS(ROW(Damage!$F$1)+H$1,COLUMN(Damage!$F$1))))</f>
        <v>1.2292103084366768</v>
      </c>
      <c r="I46" s="49">
        <f ca="1">(INDIRECT("'Damage'!"&amp;ADDRESS(ROW(Damage!$F$1)+$A46,COLUMN(Damage!$F$1)))*($A$1+I$1)/($A$1+$A46))/(INDIRECT("'Damage'!"&amp;ADDRESS(ROW(Damage!$F$1)+I$1,COLUMN(Damage!$F$1))))</f>
        <v>1.2115947995469163</v>
      </c>
      <c r="J46" s="49">
        <f ca="1">(INDIRECT("'Damage'!"&amp;ADDRESS(ROW(Damage!$F$1)+$A46,COLUMN(Damage!$F$1)))*($A$1+J$1)/($A$1+$A46))/(INDIRECT("'Damage'!"&amp;ADDRESS(ROW(Damage!$F$1)+J$1,COLUMN(Damage!$F$1))))</f>
        <v>1.1704593194230499</v>
      </c>
      <c r="K46" s="49">
        <f ca="1">(INDIRECT("'Damage'!"&amp;ADDRESS(ROW(Damage!$F$1)+$A46,COLUMN(Damage!$F$1)))*($A$1+K$1)/($A$1+$A46))/(INDIRECT("'Damage'!"&amp;ADDRESS(ROW(Damage!$F$1)+K$1,COLUMN(Damage!$F$1))))</f>
        <v>1.1615847797585805</v>
      </c>
      <c r="L46" s="49">
        <f ca="1">(INDIRECT("'Damage'!"&amp;ADDRESS(ROW(Damage!$F$1)+$A46,COLUMN(Damage!$F$1)))*($A$1+L$1)/($A$1+$A46))/(INDIRECT("'Damage'!"&amp;ADDRESS(ROW(Damage!$F$1)+L$1,COLUMN(Damage!$F$1))))</f>
        <v>1.1327659658315157</v>
      </c>
      <c r="M46" s="49">
        <f ca="1">(INDIRECT("'Damage'!"&amp;ADDRESS(ROW(Damage!$F$1)+$A46,COLUMN(Damage!$F$1)))*($A$1+M$1)/($A$1+$A46))/(INDIRECT("'Damage'!"&amp;ADDRESS(ROW(Damage!$F$1)+M$1,COLUMN(Damage!$F$1))))</f>
        <v>1.1281665265823324</v>
      </c>
      <c r="N46" s="49">
        <f ca="1">(INDIRECT("'Damage'!"&amp;ADDRESS(ROW(Damage!$F$1)+$A46,COLUMN(Damage!$F$1)))*($A$1+N$1)/($A$1+$A46))/(INDIRECT("'Damage'!"&amp;ADDRESS(ROW(Damage!$F$1)+N$1,COLUMN(Damage!$F$1))))</f>
        <v>1.1065295278304206</v>
      </c>
      <c r="O46" s="49">
        <f ca="1">(INDIRECT("'Damage'!"&amp;ADDRESS(ROW(Damage!$F$1)+$A46,COLUMN(Damage!$F$1)))*($A$1+O$1)/($A$1+$A46))/(INDIRECT("'Damage'!"&amp;ADDRESS(ROW(Damage!$F$1)+O$1,COLUMN(Damage!$F$1))))</f>
        <v>1.0882402819228414</v>
      </c>
      <c r="P46" s="49">
        <f ca="1">(INDIRECT("'Damage'!"&amp;ADDRESS(ROW(Damage!$F$1)+$A46,COLUMN(Damage!$F$1)))*($A$1+P$1)/($A$1+$A46))/(INDIRECT("'Damage'!"&amp;ADDRESS(ROW(Damage!$F$1)+P$1,COLUMN(Damage!$F$1))))</f>
        <v>1.0872156166878906</v>
      </c>
      <c r="Q46" s="49">
        <f ca="1">(INDIRECT("'Damage'!"&amp;ADDRESS(ROW(Damage!$F$1)+$A46,COLUMN(Damage!$F$1)))*($A$1+Q$1)/($A$1+$A46))/(INDIRECT("'Damage'!"&amp;ADDRESS(ROW(Damage!$F$1)+Q$1,COLUMN(Damage!$F$1))))</f>
        <v>1.0657071848890858</v>
      </c>
      <c r="R46" s="49">
        <f ca="1">(INDIRECT("'Damage'!"&amp;ADDRESS(ROW(Damage!$F$1)+$A46,COLUMN(Damage!$F$1)))*($A$1+R$1)/($A$1+$A46))/(INDIRECT("'Damage'!"&amp;ADDRESS(ROW(Damage!$F$1)+R$1,COLUMN(Damage!$F$1))))</f>
        <v>1.065977589512582</v>
      </c>
      <c r="S46" s="49">
        <f ca="1">(INDIRECT("'Damage'!"&amp;ADDRESS(ROW(Damage!$F$1)+$A46,COLUMN(Damage!$F$1)))*($A$1+S$1)/($A$1+$A46))/(INDIRECT("'Damage'!"&amp;ADDRESS(ROW(Damage!$F$1)+S$1,COLUMN(Damage!$F$1))))</f>
        <v>1.0483063269978199</v>
      </c>
      <c r="T46" s="49">
        <f ca="1">(INDIRECT("'Damage'!"&amp;ADDRESS(ROW(Damage!$F$1)+$A46,COLUMN(Damage!$F$1)))*($A$1+T$1)/($A$1+$A46))/(INDIRECT("'Damage'!"&amp;ADDRESS(ROW(Damage!$F$1)+T$1,COLUMN(Damage!$F$1))))</f>
        <v>1.0493528993213912</v>
      </c>
      <c r="U46" s="49">
        <f ca="1">(INDIRECT("'Damage'!"&amp;ADDRESS(ROW(Damage!$F$1)+$A46,COLUMN(Damage!$F$1)))*($A$1+U$1)/($A$1+$A46))/(INDIRECT("'Damage'!"&amp;ADDRESS(ROW(Damage!$F$1)+U$1,COLUMN(Damage!$F$1))))</f>
        <v>1.0344635627868428</v>
      </c>
      <c r="V46" s="49">
        <f ca="1">(INDIRECT("'Damage'!"&amp;ADDRESS(ROW(Damage!$F$1)+$A46,COLUMN(Damage!$F$1)))*($A$1+V$1)/($A$1+$A46))/(INDIRECT("'Damage'!"&amp;ADDRESS(ROW(Damage!$F$1)+V$1,COLUMN(Damage!$F$1))))</f>
        <v>1.0359856433817214</v>
      </c>
    </row>
    <row r="47" spans="1:22">
      <c r="A47" s="1">
        <v>91</v>
      </c>
      <c r="B47" s="49">
        <f ca="1">(INDIRECT("'Damage'!"&amp;ADDRESS(ROW(Damage!$F$1)+$A47,COLUMN(Damage!$F$1)))*($A$1+B$1)/($A$1+$A47))/(INDIRECT("'Damage'!"&amp;ADDRESS(ROW(Damage!$F$1)+B$1,COLUMN(Damage!$F$1))))</f>
        <v>2.4031359120182727</v>
      </c>
      <c r="C47" s="49">
        <f ca="1">(INDIRECT("'Damage'!"&amp;ADDRESS(ROW(Damage!$F$1)+$A47,COLUMN(Damage!$F$1)))*($A$1+C$1)/($A$1+$A47))/(INDIRECT("'Damage'!"&amp;ADDRESS(ROW(Damage!$F$1)+C$1,COLUMN(Damage!$F$1))))</f>
        <v>1.8495816286458151</v>
      </c>
      <c r="D47" s="49">
        <f ca="1">(INDIRECT("'Damage'!"&amp;ADDRESS(ROW(Damage!$F$1)+$A47,COLUMN(Damage!$F$1)))*($A$1+D$1)/($A$1+$A47))/(INDIRECT("'Damage'!"&amp;ADDRESS(ROW(Damage!$F$1)+D$1,COLUMN(Damage!$F$1))))</f>
        <v>1.5677041464155959</v>
      </c>
      <c r="E47" s="49">
        <f ca="1">(INDIRECT("'Damage'!"&amp;ADDRESS(ROW(Damage!$F$1)+$A47,COLUMN(Damage!$F$1)))*($A$1+E$1)/($A$1+$A47))/(INDIRECT("'Damage'!"&amp;ADDRESS(ROW(Damage!$F$1)+E$1,COLUMN(Damage!$F$1))))</f>
        <v>1.4213435323691721</v>
      </c>
      <c r="F47" s="49">
        <f ca="1">(INDIRECT("'Damage'!"&amp;ADDRESS(ROW(Damage!$F$1)+$A47,COLUMN(Damage!$F$1)))*($A$1+F$1)/($A$1+$A47))/(INDIRECT("'Damage'!"&amp;ADDRESS(ROW(Damage!$F$1)+F$1,COLUMN(Damage!$F$1))))</f>
        <v>1.3589557650471358</v>
      </c>
      <c r="G47" s="49">
        <f ca="1">(INDIRECT("'Damage'!"&amp;ADDRESS(ROW(Damage!$F$1)+$A47,COLUMN(Damage!$F$1)))*($A$1+G$1)/($A$1+$A47))/(INDIRECT("'Damage'!"&amp;ADDRESS(ROW(Damage!$F$1)+G$1,COLUMN(Damage!$F$1))))</f>
        <v>1.2928926599725812</v>
      </c>
      <c r="H47" s="49">
        <f ca="1">(INDIRECT("'Damage'!"&amp;ADDRESS(ROW(Damage!$F$1)+$A47,COLUMN(Damage!$F$1)))*($A$1+H$1)/($A$1+$A47))/(INDIRECT("'Damage'!"&amp;ADDRESS(ROW(Damage!$F$1)+H$1,COLUMN(Damage!$F$1))))</f>
        <v>1.2275575971004935</v>
      </c>
      <c r="I47" s="49">
        <f ca="1">(INDIRECT("'Damage'!"&amp;ADDRESS(ROW(Damage!$F$1)+$A47,COLUMN(Damage!$F$1)))*($A$1+I$1)/($A$1+$A47))/(INDIRECT("'Damage'!"&amp;ADDRESS(ROW(Damage!$F$1)+I$1,COLUMN(Damage!$F$1))))</f>
        <v>1.2099657728081001</v>
      </c>
      <c r="J47" s="49">
        <f ca="1">(INDIRECT("'Damage'!"&amp;ADDRESS(ROW(Damage!$F$1)+$A47,COLUMN(Damage!$F$1)))*($A$1+J$1)/($A$1+$A47))/(INDIRECT("'Damage'!"&amp;ADDRESS(ROW(Damage!$F$1)+J$1,COLUMN(Damage!$F$1))))</f>
        <v>1.1688856006114887</v>
      </c>
      <c r="K47" s="49">
        <f ca="1">(INDIRECT("'Damage'!"&amp;ADDRESS(ROW(Damage!$F$1)+$A47,COLUMN(Damage!$F$1)))*($A$1+K$1)/($A$1+$A47))/(INDIRECT("'Damage'!"&amp;ADDRESS(ROW(Damage!$F$1)+K$1,COLUMN(Damage!$F$1))))</f>
        <v>1.1600229930404993</v>
      </c>
      <c r="L47" s="49">
        <f ca="1">(INDIRECT("'Damage'!"&amp;ADDRESS(ROW(Damage!$F$1)+$A47,COLUMN(Damage!$F$1)))*($A$1+L$1)/($A$1+$A47))/(INDIRECT("'Damage'!"&amp;ADDRESS(ROW(Damage!$F$1)+L$1,COLUMN(Damage!$F$1))))</f>
        <v>1.1312429269014619</v>
      </c>
      <c r="M47" s="49">
        <f ca="1">(INDIRECT("'Damage'!"&amp;ADDRESS(ROW(Damage!$F$1)+$A47,COLUMN(Damage!$F$1)))*($A$1+M$1)/($A$1+$A47))/(INDIRECT("'Damage'!"&amp;ADDRESS(ROW(Damage!$F$1)+M$1,COLUMN(Damage!$F$1))))</f>
        <v>1.1266496717408234</v>
      </c>
      <c r="N47" s="49">
        <f ca="1">(INDIRECT("'Damage'!"&amp;ADDRESS(ROW(Damage!$F$1)+$A47,COLUMN(Damage!$F$1)))*($A$1+N$1)/($A$1+$A47))/(INDIRECT("'Damage'!"&amp;ADDRESS(ROW(Damage!$F$1)+N$1,COLUMN(Damage!$F$1))))</f>
        <v>1.1050417646039696</v>
      </c>
      <c r="O47" s="49">
        <f ca="1">(INDIRECT("'Damage'!"&amp;ADDRESS(ROW(Damage!$F$1)+$A47,COLUMN(Damage!$F$1)))*($A$1+O$1)/($A$1+$A47))/(INDIRECT("'Damage'!"&amp;ADDRESS(ROW(Damage!$F$1)+O$1,COLUMN(Damage!$F$1))))</f>
        <v>1.0867771091540477</v>
      </c>
      <c r="P47" s="49">
        <f ca="1">(INDIRECT("'Damage'!"&amp;ADDRESS(ROW(Damage!$F$1)+$A47,COLUMN(Damage!$F$1)))*($A$1+P$1)/($A$1+$A47))/(INDIRECT("'Damage'!"&amp;ADDRESS(ROW(Damage!$F$1)+P$1,COLUMN(Damage!$F$1))))</f>
        <v>1.0857538216132456</v>
      </c>
      <c r="Q47" s="49">
        <f ca="1">(INDIRECT("'Damage'!"&amp;ADDRESS(ROW(Damage!$F$1)+$A47,COLUMN(Damage!$F$1)))*($A$1+Q$1)/($A$1+$A47))/(INDIRECT("'Damage'!"&amp;ADDRESS(ROW(Damage!$F$1)+Q$1,COLUMN(Damage!$F$1))))</f>
        <v>1.0642743085672479</v>
      </c>
      <c r="R47" s="49">
        <f ca="1">(INDIRECT("'Damage'!"&amp;ADDRESS(ROW(Damage!$F$1)+$A47,COLUMN(Damage!$F$1)))*($A$1+R$1)/($A$1+$A47))/(INDIRECT("'Damage'!"&amp;ADDRESS(ROW(Damage!$F$1)+R$1,COLUMN(Damage!$F$1))))</f>
        <v>1.0645443496233515</v>
      </c>
      <c r="S47" s="49">
        <f ca="1">(INDIRECT("'Damage'!"&amp;ADDRESS(ROW(Damage!$F$1)+$A47,COLUMN(Damage!$F$1)))*($A$1+S$1)/($A$1+$A47))/(INDIRECT("'Damage'!"&amp;ADDRESS(ROW(Damage!$F$1)+S$1,COLUMN(Damage!$F$1))))</f>
        <v>1.0468968466684323</v>
      </c>
      <c r="T47" s="49">
        <f ca="1">(INDIRECT("'Damage'!"&amp;ADDRESS(ROW(Damage!$F$1)+$A47,COLUMN(Damage!$F$1)))*($A$1+T$1)/($A$1+$A47))/(INDIRECT("'Damage'!"&amp;ADDRESS(ROW(Damage!$F$1)+T$1,COLUMN(Damage!$F$1))))</f>
        <v>1.0479420118430955</v>
      </c>
      <c r="U47" s="49">
        <f ca="1">(INDIRECT("'Damage'!"&amp;ADDRESS(ROW(Damage!$F$1)+$A47,COLUMN(Damage!$F$1)))*($A$1+U$1)/($A$1+$A47))/(INDIRECT("'Damage'!"&amp;ADDRESS(ROW(Damage!$F$1)+U$1,COLUMN(Damage!$F$1))))</f>
        <v>1.0330726944827355</v>
      </c>
      <c r="V47" s="49">
        <f ca="1">(INDIRECT("'Damage'!"&amp;ADDRESS(ROW(Damage!$F$1)+$A47,COLUMN(Damage!$F$1)))*($A$1+V$1)/($A$1+$A47))/(INDIRECT("'Damage'!"&amp;ADDRESS(ROW(Damage!$F$1)+V$1,COLUMN(Damage!$F$1))))</f>
        <v>1.034592728593106</v>
      </c>
    </row>
    <row r="48" spans="1:22">
      <c r="A48" s="1">
        <v>93</v>
      </c>
      <c r="B48" s="49">
        <f ca="1">(INDIRECT("'Damage'!"&amp;ADDRESS(ROW(Damage!$F$1)+$A48,COLUMN(Damage!$F$1)))*($A$1+B$1)/($A$1+$A48))/(INDIRECT("'Damage'!"&amp;ADDRESS(ROW(Damage!$F$1)+B$1,COLUMN(Damage!$F$1))))</f>
        <v>2.4000292449578562</v>
      </c>
      <c r="C48" s="49">
        <f ca="1">(INDIRECT("'Damage'!"&amp;ADDRESS(ROW(Damage!$F$1)+$A48,COLUMN(Damage!$F$1)))*($A$1+C$1)/($A$1+$A48))/(INDIRECT("'Damage'!"&amp;ADDRESS(ROW(Damage!$F$1)+C$1,COLUMN(Damage!$F$1))))</f>
        <v>1.847190571905108</v>
      </c>
      <c r="D48" s="49">
        <f ca="1">(INDIRECT("'Damage'!"&amp;ADDRESS(ROW(Damage!$F$1)+$A48,COLUMN(Damage!$F$1)))*($A$1+D$1)/($A$1+$A48))/(INDIRECT("'Damage'!"&amp;ADDRESS(ROW(Damage!$F$1)+D$1,COLUMN(Damage!$F$1))))</f>
        <v>1.5656774883278068</v>
      </c>
      <c r="E48" s="49">
        <f ca="1">(INDIRECT("'Damage'!"&amp;ADDRESS(ROW(Damage!$F$1)+$A48,COLUMN(Damage!$F$1)))*($A$1+E$1)/($A$1+$A48))/(INDIRECT("'Damage'!"&amp;ADDRESS(ROW(Damage!$F$1)+E$1,COLUMN(Damage!$F$1))))</f>
        <v>1.4195060827636525</v>
      </c>
      <c r="F48" s="49">
        <f ca="1">(INDIRECT("'Damage'!"&amp;ADDRESS(ROW(Damage!$F$1)+$A48,COLUMN(Damage!$F$1)))*($A$1+F$1)/($A$1+$A48))/(INDIRECT("'Damage'!"&amp;ADDRESS(ROW(Damage!$F$1)+F$1,COLUMN(Damage!$F$1))))</f>
        <v>1.3571989675681744</v>
      </c>
      <c r="G48" s="49">
        <f ca="1">(INDIRECT("'Damage'!"&amp;ADDRESS(ROW(Damage!$F$1)+$A48,COLUMN(Damage!$F$1)))*($A$1+G$1)/($A$1+$A48))/(INDIRECT("'Damage'!"&amp;ADDRESS(ROW(Damage!$F$1)+G$1,COLUMN(Damage!$F$1))))</f>
        <v>1.2912212659331079</v>
      </c>
      <c r="H48" s="49">
        <f ca="1">(INDIRECT("'Damage'!"&amp;ADDRESS(ROW(Damage!$F$1)+$A48,COLUMN(Damage!$F$1)))*($A$1+H$1)/($A$1+$A48))/(INDIRECT("'Damage'!"&amp;ADDRESS(ROW(Damage!$F$1)+H$1,COLUMN(Damage!$F$1))))</f>
        <v>1.2259706653199793</v>
      </c>
      <c r="I48" s="49">
        <f ca="1">(INDIRECT("'Damage'!"&amp;ADDRESS(ROW(Damage!$F$1)+$A48,COLUMN(Damage!$F$1)))*($A$1+I$1)/($A$1+$A48))/(INDIRECT("'Damage'!"&amp;ADDRESS(ROW(Damage!$F$1)+I$1,COLUMN(Damage!$F$1))))</f>
        <v>1.2084015829544112</v>
      </c>
      <c r="J48" s="49">
        <f ca="1">(INDIRECT("'Damage'!"&amp;ADDRESS(ROW(Damage!$F$1)+$A48,COLUMN(Damage!$F$1)))*($A$1+J$1)/($A$1+$A48))/(INDIRECT("'Damage'!"&amp;ADDRESS(ROW(Damage!$F$1)+J$1,COLUMN(Damage!$F$1))))</f>
        <v>1.1673745173745171</v>
      </c>
      <c r="K48" s="49">
        <f ca="1">(INDIRECT("'Damage'!"&amp;ADDRESS(ROW(Damage!$F$1)+$A48,COLUMN(Damage!$F$1)))*($A$1+K$1)/($A$1+$A48))/(INDIRECT("'Damage'!"&amp;ADDRESS(ROW(Damage!$F$1)+K$1,COLUMN(Damage!$F$1))))</f>
        <v>1.1585233669878146</v>
      </c>
      <c r="L48" s="49">
        <f ca="1">(INDIRECT("'Damage'!"&amp;ADDRESS(ROW(Damage!$F$1)+$A48,COLUMN(Damage!$F$1)))*($A$1+L$1)/($A$1+$A48))/(INDIRECT("'Damage'!"&amp;ADDRESS(ROW(Damage!$F$1)+L$1,COLUMN(Damage!$F$1))))</f>
        <v>1.1297805064362862</v>
      </c>
      <c r="M48" s="49">
        <f ca="1">(INDIRECT("'Damage'!"&amp;ADDRESS(ROW(Damage!$F$1)+$A48,COLUMN(Damage!$F$1)))*($A$1+M$1)/($A$1+$A48))/(INDIRECT("'Damage'!"&amp;ADDRESS(ROW(Damage!$F$1)+M$1,COLUMN(Damage!$F$1))))</f>
        <v>1.1251931892313147</v>
      </c>
      <c r="N48" s="49">
        <f ca="1">(INDIRECT("'Damage'!"&amp;ADDRESS(ROW(Damage!$F$1)+$A48,COLUMN(Damage!$F$1)))*($A$1+N$1)/($A$1+$A48))/(INDIRECT("'Damage'!"&amp;ADDRESS(ROW(Damage!$F$1)+N$1,COLUMN(Damage!$F$1))))</f>
        <v>1.1036132158342926</v>
      </c>
      <c r="O48" s="49">
        <f ca="1">(INDIRECT("'Damage'!"&amp;ADDRESS(ROW(Damage!$F$1)+$A48,COLUMN(Damage!$F$1)))*($A$1+O$1)/($A$1+$A48))/(INDIRECT("'Damage'!"&amp;ADDRESS(ROW(Damage!$F$1)+O$1,COLUMN(Damage!$F$1))))</f>
        <v>1.0853721721173453</v>
      </c>
      <c r="P48" s="49">
        <f ca="1">(INDIRECT("'Damage'!"&amp;ADDRESS(ROW(Damage!$F$1)+$A48,COLUMN(Damage!$F$1)))*($A$1+P$1)/($A$1+$A48))/(INDIRECT("'Damage'!"&amp;ADDRESS(ROW(Damage!$F$1)+P$1,COLUMN(Damage!$F$1))))</f>
        <v>1.0843502074370941</v>
      </c>
      <c r="Q48" s="49">
        <f ca="1">(INDIRECT("'Damage'!"&amp;ADDRESS(ROW(Damage!$F$1)+$A48,COLUMN(Damage!$F$1)))*($A$1+Q$1)/($A$1+$A48))/(INDIRECT("'Damage'!"&amp;ADDRESS(ROW(Damage!$F$1)+Q$1,COLUMN(Damage!$F$1))))</f>
        <v>1.0628984621487669</v>
      </c>
      <c r="R48" s="49">
        <f ca="1">(INDIRECT("'Damage'!"&amp;ADDRESS(ROW(Damage!$F$1)+$A48,COLUMN(Damage!$F$1)))*($A$1+R$1)/($A$1+$A48))/(INDIRECT("'Damage'!"&amp;ADDRESS(ROW(Damage!$F$1)+R$1,COLUMN(Damage!$F$1))))</f>
        <v>1.0631681541078219</v>
      </c>
      <c r="S48" s="49">
        <f ca="1">(INDIRECT("'Damage'!"&amp;ADDRESS(ROW(Damage!$F$1)+$A48,COLUMN(Damage!$F$1)))*($A$1+S$1)/($A$1+$A48))/(INDIRECT("'Damage'!"&amp;ADDRESS(ROW(Damage!$F$1)+S$1,COLUMN(Damage!$F$1))))</f>
        <v>1.0455434650586226</v>
      </c>
      <c r="T48" s="49">
        <f ca="1">(INDIRECT("'Damage'!"&amp;ADDRESS(ROW(Damage!$F$1)+$A48,COLUMN(Damage!$F$1)))*($A$1+T$1)/($A$1+$A48))/(INDIRECT("'Damage'!"&amp;ADDRESS(ROW(Damage!$F$1)+T$1,COLUMN(Damage!$F$1))))</f>
        <v>1.0465872790903046</v>
      </c>
      <c r="U48" s="49">
        <f ca="1">(INDIRECT("'Damage'!"&amp;ADDRESS(ROW(Damage!$F$1)+$A48,COLUMN(Damage!$F$1)))*($A$1+U$1)/($A$1+$A48))/(INDIRECT("'Damage'!"&amp;ADDRESS(ROW(Damage!$F$1)+U$1,COLUMN(Damage!$F$1))))</f>
        <v>1.0317371841210807</v>
      </c>
      <c r="V48" s="49">
        <f ca="1">(INDIRECT("'Damage'!"&amp;ADDRESS(ROW(Damage!$F$1)+$A48,COLUMN(Damage!$F$1)))*($A$1+V$1)/($A$1+$A48))/(INDIRECT("'Damage'!"&amp;ADDRESS(ROW(Damage!$F$1)+V$1,COLUMN(Damage!$F$1))))</f>
        <v>1.0332552531990624</v>
      </c>
    </row>
    <row r="49" spans="1:22">
      <c r="A49" s="1">
        <v>95</v>
      </c>
      <c r="B49" s="49">
        <f ca="1">(INDIRECT("'Damage'!"&amp;ADDRESS(ROW(Damage!$F$1)+$A49,COLUMN(Damage!$F$1)))*($A$1+B$1)/($A$1+$A49))/(INDIRECT("'Damage'!"&amp;ADDRESS(ROW(Damage!$F$1)+B$1,COLUMN(Damage!$F$1))))</f>
        <v>2.3970438136851633</v>
      </c>
      <c r="C49" s="49">
        <f ca="1">(INDIRECT("'Damage'!"&amp;ADDRESS(ROW(Damage!$F$1)+$A49,COLUMN(Damage!$F$1)))*($A$1+C$1)/($A$1+$A49))/(INDIRECT("'Damage'!"&amp;ADDRESS(ROW(Damage!$F$1)+C$1,COLUMN(Damage!$F$1))))</f>
        <v>1.8448928246957466</v>
      </c>
      <c r="D49" s="49">
        <f ca="1">(INDIRECT("'Damage'!"&amp;ADDRESS(ROW(Damage!$F$1)+$A49,COLUMN(Damage!$F$1)))*($A$1+D$1)/($A$1+$A49))/(INDIRECT("'Damage'!"&amp;ADDRESS(ROW(Damage!$F$1)+D$1,COLUMN(Damage!$F$1))))</f>
        <v>1.5637299193361269</v>
      </c>
      <c r="E49" s="49">
        <f ca="1">(INDIRECT("'Damage'!"&amp;ADDRESS(ROW(Damage!$F$1)+$A49,COLUMN(Damage!$F$1)))*($A$1+E$1)/($A$1+$A49))/(INDIRECT("'Damage'!"&amp;ADDRESS(ROW(Damage!$F$1)+E$1,COLUMN(Damage!$F$1))))</f>
        <v>1.4177403385085925</v>
      </c>
      <c r="F49" s="49">
        <f ca="1">(INDIRECT("'Damage'!"&amp;ADDRESS(ROW(Damage!$F$1)+$A49,COLUMN(Damage!$F$1)))*($A$1+F$1)/($A$1+$A49))/(INDIRECT("'Damage'!"&amp;ADDRESS(ROW(Damage!$F$1)+F$1,COLUMN(Damage!$F$1))))</f>
        <v>1.3555107280396115</v>
      </c>
      <c r="G49" s="49">
        <f ca="1">(INDIRECT("'Damage'!"&amp;ADDRESS(ROW(Damage!$F$1)+$A49,COLUMN(Damage!$F$1)))*($A$1+G$1)/($A$1+$A49))/(INDIRECT("'Damage'!"&amp;ADDRESS(ROW(Damage!$F$1)+G$1,COLUMN(Damage!$F$1))))</f>
        <v>1.2896150970268827</v>
      </c>
      <c r="H49" s="49">
        <f ca="1">(INDIRECT("'Damage'!"&amp;ADDRESS(ROW(Damage!$F$1)+$A49,COLUMN(Damage!$F$1)))*($A$1+H$1)/($A$1+$A49))/(INDIRECT("'Damage'!"&amp;ADDRESS(ROW(Damage!$F$1)+H$1,COLUMN(Damage!$F$1))))</f>
        <v>1.2244456625845588</v>
      </c>
      <c r="I49" s="49">
        <f ca="1">(INDIRECT("'Damage'!"&amp;ADDRESS(ROW(Damage!$F$1)+$A49,COLUMN(Damage!$F$1)))*($A$1+I$1)/($A$1+$A49))/(INDIRECT("'Damage'!"&amp;ADDRESS(ROW(Damage!$F$1)+I$1,COLUMN(Damage!$F$1))))</f>
        <v>1.2068984346559883</v>
      </c>
      <c r="J49" s="49">
        <f ca="1">(INDIRECT("'Damage'!"&amp;ADDRESS(ROW(Damage!$F$1)+$A49,COLUMN(Damage!$F$1)))*($A$1+J$1)/($A$1+$A49))/(INDIRECT("'Damage'!"&amp;ADDRESS(ROW(Damage!$F$1)+J$1,COLUMN(Damage!$F$1))))</f>
        <v>1.1659224032394764</v>
      </c>
      <c r="K49" s="49">
        <f ca="1">(INDIRECT("'Damage'!"&amp;ADDRESS(ROW(Damage!$F$1)+$A49,COLUMN(Damage!$F$1)))*($A$1+K$1)/($A$1+$A49))/(INDIRECT("'Damage'!"&amp;ADDRESS(ROW(Damage!$F$1)+K$1,COLUMN(Damage!$F$1))))</f>
        <v>1.15708226292743</v>
      </c>
      <c r="L49" s="49">
        <f ca="1">(INDIRECT("'Damage'!"&amp;ADDRESS(ROW(Damage!$F$1)+$A49,COLUMN(Damage!$F$1)))*($A$1+L$1)/($A$1+$A49))/(INDIRECT("'Damage'!"&amp;ADDRESS(ROW(Damage!$F$1)+L$1,COLUMN(Damage!$F$1))))</f>
        <v>1.1283751560380444</v>
      </c>
      <c r="M49" s="49">
        <f ca="1">(INDIRECT("'Damage'!"&amp;ADDRESS(ROW(Damage!$F$1)+$A49,COLUMN(Damage!$F$1)))*($A$1+M$1)/($A$1+$A49))/(INDIRECT("'Damage'!"&amp;ADDRESS(ROW(Damage!$F$1)+M$1,COLUMN(Damage!$F$1))))</f>
        <v>1.1237935450636409</v>
      </c>
      <c r="N49" s="49">
        <f ca="1">(INDIRECT("'Damage'!"&amp;ADDRESS(ROW(Damage!$F$1)+$A49,COLUMN(Damage!$F$1)))*($A$1+N$1)/($A$1+$A49))/(INDIRECT("'Damage'!"&amp;ADDRESS(ROW(Damage!$F$1)+N$1,COLUMN(Damage!$F$1))))</f>
        <v>1.1022404153092864</v>
      </c>
      <c r="O49" s="49">
        <f ca="1">(INDIRECT("'Damage'!"&amp;ADDRESS(ROW(Damage!$F$1)+$A49,COLUMN(Damage!$F$1)))*($A$1+O$1)/($A$1+$A49))/(INDIRECT("'Damage'!"&amp;ADDRESS(ROW(Damage!$F$1)+O$1,COLUMN(Damage!$F$1))))</f>
        <v>1.0840220618918315</v>
      </c>
      <c r="P49" s="49">
        <f ca="1">(INDIRECT("'Damage'!"&amp;ADDRESS(ROW(Damage!$F$1)+$A49,COLUMN(Damage!$F$1)))*($A$1+P$1)/($A$1+$A49))/(INDIRECT("'Damage'!"&amp;ADDRESS(ROW(Damage!$F$1)+P$1,COLUMN(Damage!$F$1))))</f>
        <v>1.0830013684483049</v>
      </c>
      <c r="Q49" s="49">
        <f ca="1">(INDIRECT("'Damage'!"&amp;ADDRESS(ROW(Damage!$F$1)+$A49,COLUMN(Damage!$F$1)))*($A$1+Q$1)/($A$1+$A49))/(INDIRECT("'Damage'!"&amp;ADDRESS(ROW(Damage!$F$1)+Q$1,COLUMN(Damage!$F$1))))</f>
        <v>1.0615763072978364</v>
      </c>
      <c r="R49" s="49">
        <f ca="1">(INDIRECT("'Damage'!"&amp;ADDRESS(ROW(Damage!$F$1)+$A49,COLUMN(Damage!$F$1)))*($A$1+R$1)/($A$1+$A49))/(INDIRECT("'Damage'!"&amp;ADDRESS(ROW(Damage!$F$1)+R$1,COLUMN(Damage!$F$1))))</f>
        <v>1.0618456637831426</v>
      </c>
      <c r="S49" s="49">
        <f ca="1">(INDIRECT("'Damage'!"&amp;ADDRESS(ROW(Damage!$F$1)+$A49,COLUMN(Damage!$F$1)))*($A$1+S$1)/($A$1+$A49))/(INDIRECT("'Damage'!"&amp;ADDRESS(ROW(Damage!$F$1)+S$1,COLUMN(Damage!$F$1))))</f>
        <v>1.0442428983409033</v>
      </c>
      <c r="T49" s="49">
        <f ca="1">(INDIRECT("'Damage'!"&amp;ADDRESS(ROW(Damage!$F$1)+$A49,COLUMN(Damage!$F$1)))*($A$1+T$1)/($A$1+$A49))/(INDIRECT("'Damage'!"&amp;ADDRESS(ROW(Damage!$F$1)+T$1,COLUMN(Damage!$F$1))))</f>
        <v>1.0452854139571346</v>
      </c>
      <c r="U49" s="49">
        <f ca="1">(INDIRECT("'Damage'!"&amp;ADDRESS(ROW(Damage!$F$1)+$A49,COLUMN(Damage!$F$1)))*($A$1+U$1)/($A$1+$A49))/(INDIRECT("'Damage'!"&amp;ADDRESS(ROW(Damage!$F$1)+U$1,COLUMN(Damage!$F$1))))</f>
        <v>1.0304537912369538</v>
      </c>
      <c r="V49" s="49">
        <f ca="1">(INDIRECT("'Damage'!"&amp;ADDRESS(ROW(Damage!$F$1)+$A49,COLUMN(Damage!$F$1)))*($A$1+V$1)/($A$1+$A49))/(INDIRECT("'Damage'!"&amp;ADDRESS(ROW(Damage!$F$1)+V$1,COLUMN(Damage!$F$1))))</f>
        <v>1.0319699719667379</v>
      </c>
    </row>
    <row r="50" spans="1:22">
      <c r="A50" s="1">
        <v>97</v>
      </c>
      <c r="B50" s="49">
        <f ca="1">(INDIRECT("'Damage'!"&amp;ADDRESS(ROW(Damage!$F$1)+$A50,COLUMN(Damage!$F$1)))*($A$1+B$1)/($A$1+$A50))/(INDIRECT("'Damage'!"&amp;ADDRESS(ROW(Damage!$F$1)+B$1,COLUMN(Damage!$F$1))))</f>
        <v>2.3941726572937214</v>
      </c>
      <c r="C50" s="49">
        <f ca="1">(INDIRECT("'Damage'!"&amp;ADDRESS(ROW(Damage!$F$1)+$A50,COLUMN(Damage!$F$1)))*($A$1+C$1)/($A$1+$A50))/(INDIRECT("'Damage'!"&amp;ADDRESS(ROW(Damage!$F$1)+C$1,COLUMN(Damage!$F$1))))</f>
        <v>1.8426830295326755</v>
      </c>
      <c r="D50" s="49">
        <f ca="1">(INDIRECT("'Damage'!"&amp;ADDRESS(ROW(Damage!$F$1)+$A50,COLUMN(Damage!$F$1)))*($A$1+D$1)/($A$1+$A50))/(INDIRECT("'Damage'!"&amp;ADDRESS(ROW(Damage!$F$1)+D$1,COLUMN(Damage!$F$1))))</f>
        <v>1.5618568984398218</v>
      </c>
      <c r="E50" s="49">
        <f ca="1">(INDIRECT("'Damage'!"&amp;ADDRESS(ROW(Damage!$F$1)+$A50,COLUMN(Damage!$F$1)))*($A$1+E$1)/($A$1+$A50))/(INDIRECT("'Damage'!"&amp;ADDRESS(ROW(Damage!$F$1)+E$1,COLUMN(Damage!$F$1))))</f>
        <v>1.4160421825503766</v>
      </c>
      <c r="F50" s="49">
        <f ca="1">(INDIRECT("'Damage'!"&amp;ADDRESS(ROW(Damage!$F$1)+$A50,COLUMN(Damage!$F$1)))*($A$1+F$1)/($A$1+$A50))/(INDIRECT("'Damage'!"&amp;ADDRESS(ROW(Damage!$F$1)+F$1,COLUMN(Damage!$F$1))))</f>
        <v>1.3538871101197976</v>
      </c>
      <c r="G50" s="49">
        <f ca="1">(INDIRECT("'Damage'!"&amp;ADDRESS(ROW(Damage!$F$1)+$A50,COLUMN(Damage!$F$1)))*($A$1+G$1)/($A$1+$A50))/(INDIRECT("'Damage'!"&amp;ADDRESS(ROW(Damage!$F$1)+G$1,COLUMN(Damage!$F$1))))</f>
        <v>1.2880704082701779</v>
      </c>
      <c r="H50" s="49">
        <f ca="1">(INDIRECT("'Damage'!"&amp;ADDRESS(ROW(Damage!$F$1)+$A50,COLUMN(Damage!$F$1)))*($A$1+H$1)/($A$1+$A50))/(INDIRECT("'Damage'!"&amp;ADDRESS(ROW(Damage!$F$1)+H$1,COLUMN(Damage!$F$1))))</f>
        <v>1.2229790331595849</v>
      </c>
      <c r="I50" s="49">
        <f ca="1">(INDIRECT("'Damage'!"&amp;ADDRESS(ROW(Damage!$F$1)+$A50,COLUMN(Damage!$F$1)))*($A$1+I$1)/($A$1+$A50))/(INDIRECT("'Damage'!"&amp;ADDRESS(ROW(Damage!$F$1)+I$1,COLUMN(Damage!$F$1))))</f>
        <v>1.2054528231345383</v>
      </c>
      <c r="J50" s="49">
        <f ca="1">(INDIRECT("'Damage'!"&amp;ADDRESS(ROW(Damage!$F$1)+$A50,COLUMN(Damage!$F$1)))*($A$1+J$1)/($A$1+$A50))/(INDIRECT("'Damage'!"&amp;ADDRESS(ROW(Damage!$F$1)+J$1,COLUMN(Damage!$F$1))))</f>
        <v>1.1645258724206093</v>
      </c>
      <c r="K50" s="49">
        <f ca="1">(INDIRECT("'Damage'!"&amp;ADDRESS(ROW(Damage!$F$1)+$A50,COLUMN(Damage!$F$1)))*($A$1+K$1)/($A$1+$A50))/(INDIRECT("'Damage'!"&amp;ADDRESS(ROW(Damage!$F$1)+K$1,COLUMN(Damage!$F$1))))</f>
        <v>1.1556963207449542</v>
      </c>
      <c r="L50" s="49">
        <f ca="1">(INDIRECT("'Damage'!"&amp;ADDRESS(ROW(Damage!$F$1)+$A50,COLUMN(Damage!$F$1)))*($A$1+L$1)/($A$1+$A50))/(INDIRECT("'Damage'!"&amp;ADDRESS(ROW(Damage!$F$1)+L$1,COLUMN(Damage!$F$1))))</f>
        <v>1.1270235989564816</v>
      </c>
      <c r="M50" s="49">
        <f ca="1">(INDIRECT("'Damage'!"&amp;ADDRESS(ROW(Damage!$F$1)+$A50,COLUMN(Damage!$F$1)))*($A$1+M$1)/($A$1+$A50))/(INDIRECT("'Damage'!"&amp;ADDRESS(ROW(Damage!$F$1)+M$1,COLUMN(Damage!$F$1))))</f>
        <v>1.1224474757923371</v>
      </c>
      <c r="N50" s="49">
        <f ca="1">(INDIRECT("'Damage'!"&amp;ADDRESS(ROW(Damage!$F$1)+$A50,COLUMN(Damage!$F$1)))*($A$1+N$1)/($A$1+$A50))/(INDIRECT("'Damage'!"&amp;ADDRESS(ROW(Damage!$F$1)+N$1,COLUMN(Damage!$F$1))))</f>
        <v>1.1009201621727966</v>
      </c>
      <c r="O50" s="49">
        <f ca="1">(INDIRECT("'Damage'!"&amp;ADDRESS(ROW(Damage!$F$1)+$A50,COLUMN(Damage!$F$1)))*($A$1+O$1)/($A$1+$A50))/(INDIRECT("'Damage'!"&amp;ADDRESS(ROW(Damage!$F$1)+O$1,COLUMN(Damage!$F$1))))</f>
        <v>1.0827236305266243</v>
      </c>
      <c r="P50" s="49">
        <f ca="1">(INDIRECT("'Damage'!"&amp;ADDRESS(ROW(Damage!$F$1)+$A50,COLUMN(Damage!$F$1)))*($A$1+P$1)/($A$1+$A50))/(INDIRECT("'Damage'!"&amp;ADDRESS(ROW(Damage!$F$1)+P$1,COLUMN(Damage!$F$1))))</f>
        <v>1.0817041596600432</v>
      </c>
      <c r="Q50" s="49">
        <f ca="1">(INDIRECT("'Damage'!"&amp;ADDRESS(ROW(Damage!$F$1)+$A50,COLUMN(Damage!$F$1)))*($A$1+Q$1)/($A$1+$A50))/(INDIRECT("'Damage'!"&amp;ADDRESS(ROW(Damage!$F$1)+Q$1,COLUMN(Damage!$F$1))))</f>
        <v>1.0603047612450274</v>
      </c>
      <c r="R50" s="49">
        <f ca="1">(INDIRECT("'Damage'!"&amp;ADDRESS(ROW(Damage!$F$1)+$A50,COLUMN(Damage!$F$1)))*($A$1+R$1)/($A$1+$A50))/(INDIRECT("'Damage'!"&amp;ADDRESS(ROW(Damage!$F$1)+R$1,COLUMN(Damage!$F$1))))</f>
        <v>1.060573795097685</v>
      </c>
      <c r="S50" s="49">
        <f ca="1">(INDIRECT("'Damage'!"&amp;ADDRESS(ROW(Damage!$F$1)+$A50,COLUMN(Damage!$F$1)))*($A$1+S$1)/($A$1+$A50))/(INDIRECT("'Damage'!"&amp;ADDRESS(ROW(Damage!$F$1)+S$1,COLUMN(Damage!$F$1))))</f>
        <v>1.0429921140812781</v>
      </c>
      <c r="T50" s="49">
        <f ca="1">(INDIRECT("'Damage'!"&amp;ADDRESS(ROW(Damage!$F$1)+$A50,COLUMN(Damage!$F$1)))*($A$1+T$1)/($A$1+$A50))/(INDIRECT("'Damage'!"&amp;ADDRESS(ROW(Damage!$F$1)+T$1,COLUMN(Damage!$F$1))))</f>
        <v>1.044033380982172</v>
      </c>
      <c r="U50" s="49">
        <f ca="1">(INDIRECT("'Damage'!"&amp;ADDRESS(ROW(Damage!$F$1)+$A50,COLUMN(Damage!$F$1)))*($A$1+U$1)/($A$1+$A50))/(INDIRECT("'Damage'!"&amp;ADDRESS(ROW(Damage!$F$1)+U$1,COLUMN(Damage!$F$1))))</f>
        <v>1.0292195234393007</v>
      </c>
      <c r="V50" s="49">
        <f ca="1">(INDIRECT("'Damage'!"&amp;ADDRESS(ROW(Damage!$F$1)+$A50,COLUMN(Damage!$F$1)))*($A$1+V$1)/($A$1+$A50))/(INDIRECT("'Damage'!"&amp;ADDRESS(ROW(Damage!$F$1)+V$1,COLUMN(Damage!$F$1))))</f>
        <v>1.0307338881021573</v>
      </c>
    </row>
    <row r="51" spans="1:22">
      <c r="A51" s="1">
        <v>99</v>
      </c>
      <c r="B51" s="49">
        <f ca="1">(INDIRECT("'Damage'!"&amp;ADDRESS(ROW(Damage!$F$1)+$A51,COLUMN(Damage!$F$1)))*($A$1+B$1)/($A$1+$A51))/(INDIRECT("'Damage'!"&amp;ADDRESS(ROW(Damage!$F$1)+B$1,COLUMN(Damage!$F$1))))</f>
        <v>2.391409337762052</v>
      </c>
      <c r="C51" s="49">
        <f ca="1">(INDIRECT("'Damage'!"&amp;ADDRESS(ROW(Damage!$F$1)+$A51,COLUMN(Damage!$F$1)))*($A$1+C$1)/($A$1+$A51))/(INDIRECT("'Damage'!"&amp;ADDRESS(ROW(Damage!$F$1)+C$1,COLUMN(Damage!$F$1))))</f>
        <v>1.8405562313710351</v>
      </c>
      <c r="D51" s="49">
        <f ca="1">(INDIRECT("'Damage'!"&amp;ADDRESS(ROW(Damage!$F$1)+$A51,COLUMN(Damage!$F$1)))*($A$1+D$1)/($A$1+$A51))/(INDIRECT("'Damage'!"&amp;ADDRESS(ROW(Damage!$F$1)+D$1,COLUMN(Damage!$F$1))))</f>
        <v>1.5600542257461953</v>
      </c>
      <c r="E51" s="49">
        <f ca="1">(INDIRECT("'Damage'!"&amp;ADDRESS(ROW(Damage!$F$1)+$A51,COLUMN(Damage!$F$1)))*($A$1+E$1)/($A$1+$A51))/(INDIRECT("'Damage'!"&amp;ADDRESS(ROW(Damage!$F$1)+E$1,COLUMN(Damage!$F$1))))</f>
        <v>1.414407807097634</v>
      </c>
      <c r="F51" s="49">
        <f ca="1">(INDIRECT("'Damage'!"&amp;ADDRESS(ROW(Damage!$F$1)+$A51,COLUMN(Damage!$F$1)))*($A$1+F$1)/($A$1+$A51))/(INDIRECT("'Damage'!"&amp;ADDRESS(ROW(Damage!$F$1)+F$1,COLUMN(Damage!$F$1))))</f>
        <v>1.3523244731547182</v>
      </c>
      <c r="G51" s="49">
        <f ca="1">(INDIRECT("'Damage'!"&amp;ADDRESS(ROW(Damage!$F$1)+$A51,COLUMN(Damage!$F$1)))*($A$1+G$1)/($A$1+$A51))/(INDIRECT("'Damage'!"&amp;ADDRESS(ROW(Damage!$F$1)+G$1,COLUMN(Damage!$F$1))))</f>
        <v>1.2865837359925982</v>
      </c>
      <c r="H51" s="49">
        <f ca="1">(INDIRECT("'Damage'!"&amp;ADDRESS(ROW(Damage!$F$1)+$A51,COLUMN(Damage!$F$1)))*($A$1+H$1)/($A$1+$A51))/(INDIRECT("'Damage'!"&amp;ADDRESS(ROW(Damage!$F$1)+H$1,COLUMN(Damage!$F$1))))</f>
        <v>1.2215674884078491</v>
      </c>
      <c r="I51" s="49">
        <f ca="1">(INDIRECT("'Damage'!"&amp;ADDRESS(ROW(Damage!$F$1)+$A51,COLUMN(Damage!$F$1)))*($A$1+I$1)/($A$1+$A51))/(INDIRECT("'Damage'!"&amp;ADDRESS(ROW(Damage!$F$1)+I$1,COLUMN(Damage!$F$1))))</f>
        <v>1.2040615068814997</v>
      </c>
      <c r="J51" s="49">
        <f ca="1">(INDIRECT("'Damage'!"&amp;ADDRESS(ROW(Damage!$F$1)+$A51,COLUMN(Damage!$F$1)))*($A$1+J$1)/($A$1+$A51))/(INDIRECT("'Damage'!"&amp;ADDRESS(ROW(Damage!$F$1)+J$1,COLUMN(Damage!$F$1))))</f>
        <v>1.1631817934634838</v>
      </c>
      <c r="K51" s="49">
        <f ca="1">(INDIRECT("'Damage'!"&amp;ADDRESS(ROW(Damage!$F$1)+$A51,COLUMN(Damage!$F$1)))*($A$1+K$1)/($A$1+$A51))/(INDIRECT("'Damage'!"&amp;ADDRESS(ROW(Damage!$F$1)+K$1,COLUMN(Damage!$F$1))))</f>
        <v>1.154362432728957</v>
      </c>
      <c r="L51" s="49">
        <f ca="1">(INDIRECT("'Damage'!"&amp;ADDRESS(ROW(Damage!$F$1)+$A51,COLUMN(Damage!$F$1)))*($A$1+L$1)/($A$1+$A51))/(INDIRECT("'Damage'!"&amp;ADDRESS(ROW(Damage!$F$1)+L$1,COLUMN(Damage!$F$1))))</f>
        <v>1.1257228045822076</v>
      </c>
      <c r="M51" s="49">
        <f ca="1">(INDIRECT("'Damage'!"&amp;ADDRESS(ROW(Damage!$F$1)+$A51,COLUMN(Damage!$F$1)))*($A$1+M$1)/($A$1+$A51))/(INDIRECT("'Damage'!"&amp;ADDRESS(ROW(Damage!$F$1)+M$1,COLUMN(Damage!$F$1))))</f>
        <v>1.1211519631133831</v>
      </c>
      <c r="N51" s="49">
        <f ca="1">(INDIRECT("'Damage'!"&amp;ADDRESS(ROW(Damage!$F$1)+$A51,COLUMN(Damage!$F$1)))*($A$1+N$1)/($A$1+$A51))/(INDIRECT("'Damage'!"&amp;ADDRESS(ROW(Damage!$F$1)+N$1,COLUMN(Damage!$F$1))))</f>
        <v>1.0996494960085696</v>
      </c>
      <c r="O51" s="49">
        <f ca="1">(INDIRECT("'Damage'!"&amp;ADDRESS(ROW(Damage!$F$1)+$A51,COLUMN(Damage!$F$1)))*($A$1+O$1)/($A$1+$A51))/(INDIRECT("'Damage'!"&amp;ADDRESS(ROW(Damage!$F$1)+O$1,COLUMN(Damage!$F$1))))</f>
        <v>1.0814739665366364</v>
      </c>
      <c r="P51" s="49">
        <f ca="1">(INDIRECT("'Damage'!"&amp;ADDRESS(ROW(Damage!$F$1)+$A51,COLUMN(Damage!$F$1)))*($A$1+P$1)/($A$1+$A51))/(INDIRECT("'Damage'!"&amp;ADDRESS(ROW(Damage!$F$1)+P$1,COLUMN(Damage!$F$1))))</f>
        <v>1.0804556723286181</v>
      </c>
      <c r="Q51" s="49">
        <f ca="1">(INDIRECT("'Damage'!"&amp;ADDRESS(ROW(Damage!$F$1)+$A51,COLUMN(Damage!$F$1)))*($A$1+Q$1)/($A$1+$A51))/(INDIRECT("'Damage'!"&amp;ADDRESS(ROW(Damage!$F$1)+Q$1,COLUMN(Damage!$F$1))))</f>
        <v>1.0590809727904462</v>
      </c>
      <c r="R51" s="49">
        <f ca="1">(INDIRECT("'Damage'!"&amp;ADDRESS(ROW(Damage!$F$1)+$A51,COLUMN(Damage!$F$1)))*($A$1+R$1)/($A$1+$A51))/(INDIRECT("'Damage'!"&amp;ADDRESS(ROW(Damage!$F$1)+R$1,COLUMN(Damage!$F$1))))</f>
        <v>1.0593496961281135</v>
      </c>
      <c r="S51" s="49">
        <f ca="1">(INDIRECT("'Damage'!"&amp;ADDRESS(ROW(Damage!$F$1)+$A51,COLUMN(Damage!$F$1)))*($A$1+S$1)/($A$1+$A51))/(INDIRECT("'Damage'!"&amp;ADDRESS(ROW(Damage!$F$1)+S$1,COLUMN(Damage!$F$1))))</f>
        <v>1.0417883076342211</v>
      </c>
      <c r="T51" s="49">
        <f ca="1">(INDIRECT("'Damage'!"&amp;ADDRESS(ROW(Damage!$F$1)+$A51,COLUMN(Damage!$F$1)))*($A$1+T$1)/($A$1+$A51))/(INDIRECT("'Damage'!"&amp;ADDRESS(ROW(Damage!$F$1)+T$1,COLUMN(Damage!$F$1))))</f>
        <v>1.0428283727198842</v>
      </c>
      <c r="U51" s="49">
        <f ca="1">(INDIRECT("'Damage'!"&amp;ADDRESS(ROW(Damage!$F$1)+$A51,COLUMN(Damage!$F$1)))*($A$1+U$1)/($A$1+$A51))/(INDIRECT("'Damage'!"&amp;ADDRESS(ROW(Damage!$F$1)+U$1,COLUMN(Damage!$F$1))))</f>
        <v>1.0280316131176159</v>
      </c>
      <c r="V51" s="49">
        <f ca="1">(INDIRECT("'Damage'!"&amp;ADDRESS(ROW(Damage!$F$1)+$A51,COLUMN(Damage!$F$1)))*($A$1+V$1)/($A$1+$A51))/(INDIRECT("'Damage'!"&amp;ADDRESS(ROW(Damage!$F$1)+V$1,COLUMN(Damage!$F$1))))</f>
        <v>1.0295442299226321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dimension ref="A1:BB161"/>
  <sheetViews>
    <sheetView tabSelected="1" workbookViewId="0">
      <pane ySplit="1" topLeftCell="A2" activePane="bottomLeft" state="frozen"/>
      <selection pane="bottomLeft" activeCell="E139" sqref="E139"/>
    </sheetView>
  </sheetViews>
  <sheetFormatPr defaultRowHeight="15"/>
  <cols>
    <col min="1" max="1" width="9.140625" style="62"/>
    <col min="2" max="2" width="24.42578125" style="30" customWidth="1"/>
    <col min="3" max="3" width="16.7109375" style="30" customWidth="1"/>
    <col min="4" max="4" width="20.28515625" style="30" bestFit="1" customWidth="1"/>
    <col min="5" max="5" width="23.85546875" style="30" bestFit="1" customWidth="1"/>
    <col min="6" max="6" width="14.28515625" style="30" customWidth="1"/>
    <col min="7" max="7" width="19.28515625" style="62" customWidth="1"/>
    <col min="8" max="8" width="19.7109375" style="62" customWidth="1"/>
    <col min="9" max="10" width="19.7109375" style="76" customWidth="1"/>
    <col min="11" max="11" width="56.42578125" style="62" customWidth="1"/>
    <col min="12" max="14" width="14" style="62" customWidth="1"/>
    <col min="15" max="15" width="14" style="93" customWidth="1"/>
    <col min="16" max="16" width="14" style="62" customWidth="1"/>
    <col min="17" max="17" width="14.7109375" style="62" customWidth="1"/>
    <col min="18" max="18" width="16.5703125" style="93" bestFit="1" customWidth="1"/>
    <col min="19" max="19" width="16.5703125" style="93" customWidth="1"/>
    <col min="20" max="20" width="15" style="93" bestFit="1" customWidth="1"/>
    <col min="21" max="21" width="14.5703125" style="62" customWidth="1"/>
    <col min="22" max="22" width="23.140625" style="62" customWidth="1"/>
    <col min="23" max="23" width="23.140625" style="6" customWidth="1"/>
    <col min="24" max="24" width="10.28515625" style="6" hidden="1" customWidth="1"/>
    <col min="25" max="25" width="13.85546875" style="62" hidden="1" customWidth="1"/>
    <col min="26" max="26" width="20.7109375" style="62" customWidth="1"/>
    <col min="27" max="27" width="11" style="71" customWidth="1"/>
    <col min="28" max="29" width="11" style="62" customWidth="1"/>
    <col min="30" max="30" width="11" style="71" customWidth="1"/>
    <col min="31" max="31" width="11" style="62" customWidth="1"/>
    <col min="32" max="32" width="14.42578125" style="76" customWidth="1"/>
    <col min="33" max="33" width="16" style="43" customWidth="1"/>
    <col min="34" max="34" width="18.42578125" style="63" customWidth="1"/>
    <col min="35" max="36" width="18.7109375" style="63" customWidth="1"/>
    <col min="37" max="37" width="18.7109375" style="6" customWidth="1"/>
    <col min="38" max="38" width="18.5703125" style="6" customWidth="1"/>
    <col min="39" max="39" width="16.140625" style="71" bestFit="1" customWidth="1"/>
    <col min="40" max="40" width="20.28515625" style="71" bestFit="1" customWidth="1"/>
    <col min="41" max="42" width="20.28515625" style="71" customWidth="1"/>
    <col min="43" max="44" width="20.28515625" style="88" customWidth="1"/>
    <col min="45" max="45" width="14" style="62" bestFit="1" customWidth="1"/>
    <col min="46" max="46" width="14.5703125" style="62" bestFit="1" customWidth="1"/>
    <col min="47" max="48" width="10.28515625" style="16" customWidth="1"/>
    <col min="49" max="49" width="9.7109375" style="16" bestFit="1" customWidth="1"/>
    <col min="50" max="50" width="10.28515625" style="62" bestFit="1" customWidth="1"/>
    <col min="51" max="51" width="23.5703125" style="16" bestFit="1" customWidth="1"/>
    <col min="52" max="52" width="23.5703125" style="16" customWidth="1"/>
    <col min="53" max="53" width="8.28515625" style="6" bestFit="1" customWidth="1"/>
    <col min="54" max="54" width="8.85546875" style="6" bestFit="1" customWidth="1"/>
    <col min="55" max="16384" width="9.140625" style="62"/>
  </cols>
  <sheetData>
    <row r="1" spans="1:54" s="64" customFormat="1">
      <c r="A1" s="64" t="s">
        <v>53</v>
      </c>
      <c r="B1" s="66" t="s">
        <v>451</v>
      </c>
      <c r="C1" s="66" t="s">
        <v>434</v>
      </c>
      <c r="D1" s="66" t="s">
        <v>491</v>
      </c>
      <c r="E1" s="66" t="s">
        <v>69</v>
      </c>
      <c r="F1" s="66" t="s">
        <v>435</v>
      </c>
      <c r="G1" s="68" t="s">
        <v>452</v>
      </c>
      <c r="H1" s="68" t="s">
        <v>453</v>
      </c>
      <c r="I1" s="76" t="s">
        <v>666</v>
      </c>
      <c r="J1" s="76" t="s">
        <v>667</v>
      </c>
      <c r="K1" s="64" t="s">
        <v>71</v>
      </c>
      <c r="L1" s="64" t="s">
        <v>454</v>
      </c>
      <c r="M1" s="68" t="s">
        <v>455</v>
      </c>
      <c r="N1" s="68" t="s">
        <v>509</v>
      </c>
      <c r="O1" s="93" t="s">
        <v>821</v>
      </c>
      <c r="P1" s="64" t="s">
        <v>507</v>
      </c>
      <c r="Q1" s="64" t="s">
        <v>508</v>
      </c>
      <c r="R1" s="93" t="s">
        <v>820</v>
      </c>
      <c r="S1" s="93" t="s">
        <v>822</v>
      </c>
      <c r="T1" s="93" t="s">
        <v>824</v>
      </c>
      <c r="U1" s="68" t="s">
        <v>456</v>
      </c>
      <c r="V1" s="68" t="s">
        <v>457</v>
      </c>
      <c r="W1" s="6" t="s">
        <v>511</v>
      </c>
      <c r="X1" s="32" t="s">
        <v>458</v>
      </c>
      <c r="Y1" s="64" t="s">
        <v>459</v>
      </c>
      <c r="Z1" s="64" t="s">
        <v>460</v>
      </c>
      <c r="AA1" s="70" t="s">
        <v>410</v>
      </c>
      <c r="AB1" s="64" t="s">
        <v>367</v>
      </c>
      <c r="AC1" s="64" t="s">
        <v>461</v>
      </c>
      <c r="AD1" s="70" t="s">
        <v>320</v>
      </c>
      <c r="AE1" s="64" t="s">
        <v>462</v>
      </c>
      <c r="AF1" s="76" t="s">
        <v>715</v>
      </c>
      <c r="AG1" s="69" t="s">
        <v>510</v>
      </c>
      <c r="AH1" s="41" t="s">
        <v>464</v>
      </c>
      <c r="AI1" s="41" t="s">
        <v>463</v>
      </c>
      <c r="AJ1" s="63" t="s">
        <v>512</v>
      </c>
      <c r="AK1" s="6" t="s">
        <v>515</v>
      </c>
      <c r="AL1" s="32" t="s">
        <v>513</v>
      </c>
      <c r="AM1" s="70" t="s">
        <v>465</v>
      </c>
      <c r="AN1" s="71" t="s">
        <v>790</v>
      </c>
      <c r="AO1" s="71" t="s">
        <v>810</v>
      </c>
      <c r="AP1" s="71" t="s">
        <v>813</v>
      </c>
      <c r="AQ1" s="88" t="s">
        <v>808</v>
      </c>
      <c r="AR1" s="88" t="s">
        <v>809</v>
      </c>
      <c r="AS1" s="64" t="s">
        <v>466</v>
      </c>
      <c r="AT1" s="64" t="s">
        <v>467</v>
      </c>
      <c r="AU1" s="33" t="s">
        <v>372</v>
      </c>
      <c r="AV1" s="33" t="s">
        <v>531</v>
      </c>
      <c r="AW1" s="33" t="s">
        <v>468</v>
      </c>
      <c r="AX1" s="64" t="s">
        <v>469</v>
      </c>
      <c r="AY1" s="33" t="s">
        <v>529</v>
      </c>
      <c r="AZ1" s="33" t="s">
        <v>530</v>
      </c>
      <c r="BA1" s="32" t="s">
        <v>470</v>
      </c>
      <c r="BB1" s="32" t="s">
        <v>471</v>
      </c>
    </row>
    <row r="2" spans="1:54">
      <c r="A2" s="81">
        <v>1</v>
      </c>
      <c r="B2" s="30" t="s">
        <v>497</v>
      </c>
      <c r="C2" s="30" t="s">
        <v>496</v>
      </c>
      <c r="D2" s="30" t="s">
        <v>489</v>
      </c>
      <c r="E2" s="30" t="s">
        <v>522</v>
      </c>
      <c r="G2" s="76">
        <v>5</v>
      </c>
      <c r="H2" s="62">
        <v>150</v>
      </c>
      <c r="K2" s="76" t="s">
        <v>701</v>
      </c>
      <c r="L2" s="62">
        <v>50</v>
      </c>
      <c r="M2" s="62">
        <v>1</v>
      </c>
      <c r="N2" s="62" t="b">
        <v>0</v>
      </c>
      <c r="O2" s="93" t="b">
        <f>AND(N2,NOT(AND(ISERR(FIND("bow",LOWER(D2))),ISERR(FIND("thrown",LOWER(D2))))))</f>
        <v>0</v>
      </c>
      <c r="P2" s="62" t="s">
        <v>490</v>
      </c>
      <c r="Q2" s="62" t="s">
        <v>490</v>
      </c>
      <c r="R2" s="93" t="str">
        <f>IF(N2,IF(O2,0.9,1)*IF(Q2="slow",1.1,IF(Q2="fast",0.9,1)),"")</f>
        <v/>
      </c>
      <c r="S2" s="93" t="str">
        <f>IF(N2,IF(C2="Caster",0.4,1),"")</f>
        <v/>
      </c>
      <c r="T2" s="93" t="str">
        <f>IF(Q2="slow",1.3,IF(Q2="average",1,IF(Q2="fast",0.7,"")))</f>
        <v/>
      </c>
      <c r="U2" s="76" t="str">
        <f>IF(NOT(O2),IF(N2,IF(P2="large",2.5,IF(P2="normal",2,IF(P2="small",1.5))),""),8)</f>
        <v/>
      </c>
      <c r="V2" s="62" t="str">
        <f>IF(N2,650*T2,"")</f>
        <v/>
      </c>
      <c r="W2" s="6" t="str">
        <f>IF(N2,CHOOSE(1+3*IF(P2="large",0,IF(P2="normal",1,IF(P2="small",2)))+IF(Q2="slow",0,IF(Q2="average",1,IF(Q2="fast",2))),30%,25%,22%,20%,18%,15%,12%,10%,7%),"")</f>
        <v/>
      </c>
      <c r="X2" s="6">
        <v>0</v>
      </c>
      <c r="Y2" s="62" t="b">
        <v>1</v>
      </c>
      <c r="Z2" s="62">
        <f t="shared" ref="Z2:Z33" si="0">IF(ISERR(FIND("Consumable",B2)),IF(A2&gt;1,A2,0),0)</f>
        <v>0</v>
      </c>
      <c r="AA2" s="71" t="str">
        <f t="shared" ref="AA2:AA65" si="1">IF(AND($A2&gt;7,C2="Warrior"),IF($A2&lt;10,16,IF($A2&lt;20,18,IF($A2&lt;40,22,28))),"")</f>
        <v/>
      </c>
      <c r="AD2" s="71" t="str">
        <f t="shared" ref="AD2:AD33" si="2">IF(AND($AN2&gt;0,MOD($A2/5,2)=1),IF($A2&lt;10,16,IF($A2&lt;20,18,IF($A2&lt;40,22,28))),"")</f>
        <v/>
      </c>
      <c r="AE2" s="71" t="str">
        <f t="shared" ref="AE2:AE33" si="3">IF(AND($AN2&gt;0,MOD($A2/5,2)=0),IF($A2&lt;10,16,IF($A2&lt;20,18,IF($A2&lt;40,22,28))),"")</f>
        <v/>
      </c>
      <c r="AG2" s="43" t="str">
        <f>IF(N2,INDEX(Damage!$F$2:$F$151,A2)*R2*S2*V2/1000,"")</f>
        <v/>
      </c>
      <c r="AH2" s="92" t="str">
        <f>IF(N2,MAX(1,MIN(AI2-1,(AG2-(AG2*W2))*(1+AF2))),"")</f>
        <v/>
      </c>
      <c r="AI2" s="63" t="str">
        <f>IF(N2,(AG2+(AG2*W2))*(1+AF2),"")</f>
        <v/>
      </c>
      <c r="AJ2" s="79" t="s">
        <v>644</v>
      </c>
      <c r="AK2" s="6" t="b">
        <f t="array" ref="AK2">IF(AJ2,MAX(IF(Armor!$D$2:'Armor'!$D$7=D2,Armor!$E$2:$E$7),0))</f>
        <v>0</v>
      </c>
      <c r="AL2" s="6">
        <f>IF(ISERR(FIND("Rare",B2)),IF(ISERR(FIND("Uncommon",B2)),0,5%),10%)</f>
        <v>0</v>
      </c>
      <c r="AM2" s="71">
        <f>(AL2+AK2)*INDEX(Armor!$B$2:$B$151,A2)+IF(AJ2,1,0)</f>
        <v>0</v>
      </c>
      <c r="AN2" s="71">
        <f>IF(C2="Caster",IF(ISERR(FIND("orb",LOWER(E2))),IF(ISERR(FIND("wand",LOWER(E2))),IF(NOT($D2="Polearm"),0,INDEX(Regeneration!$M$2:$M$151,A2+2)),INDEX(Regeneration!$L$2:$L$151,A2+2)),INDEX(Regeneration!$K$2:$K$151,A2+2)),0)</f>
        <v>0</v>
      </c>
      <c r="AO2" s="71" t="str">
        <f t="shared" ref="AO2:AO33" si="4">IF(AND($N2,$C2="Caster"),IF(AND(NOT($D2="Polearm"),ISERR(FIND("orb",LOWER($E2)))),0,5),"")</f>
        <v/>
      </c>
      <c r="AP2" s="71" t="str">
        <f>IF(AND($N2,$C2="Caster"),IF(AND(NOT($D2="Polearm"),ISERR(FIND("wand",LOWER($E2)))),0,INDEX(Regeneration!F$2:F$151,A2)*0.06),"")</f>
        <v/>
      </c>
      <c r="AQ2" s="88">
        <f>IF(OR(D2="2-Handed Weapon",D2="Bow",D2="Crossbow",D2="Spear",AND(D2="Polearm",NOT(C2="Caster"))),15%,IF(C2="Warrior",5%,0%))</f>
        <v>0</v>
      </c>
      <c r="AR2" s="88">
        <f>IF(OR(D2="2-Handed Weapon",D2="Bow",D2="Crossbow",D2="Spear",AND(D2="Polearm",NOT(C2="Caster"))),15%,IF(C2="Warrior",5%,0%))</f>
        <v>0</v>
      </c>
      <c r="AS2" s="16" t="str">
        <f>IF(D2="Shield",INDEX(Regeneration!$C$2:$C$151,A2+3)*0.5*IF(ISERR(FIND("Rare",B2)),IF(ISERR(FIND("Uncommon",B2)),1,1.5),2.25),"")</f>
        <v/>
      </c>
      <c r="AT2" s="16" t="str">
        <f t="shared" ref="AT2:AT33" si="5">IF(AN2&lt;&gt;0,AN2+1,"")</f>
        <v/>
      </c>
      <c r="AU2" s="16" t="str">
        <f t="shared" ref="AU2:AU33" si="6">IF(AO2&lt;&gt;0,AO2,"")</f>
        <v/>
      </c>
      <c r="AV2" s="16" t="str">
        <f t="shared" ref="AV2:AV33" si="7">IF(D2="Ring",5,"")</f>
        <v/>
      </c>
      <c r="AW2" s="16" t="str">
        <f>IF(D2="Ring",INDEX(Regeneration!$B$6:$B$155,A2)*0.06,"")</f>
        <v/>
      </c>
      <c r="AX2" s="62" t="str">
        <f t="shared" ref="AX2:AX18" si="8">IF(AP2&lt;&gt;0,AP2,"")</f>
        <v/>
      </c>
      <c r="AZ2" s="16" t="str">
        <f>IF(AND(NOT("Gloves"=$D2),ISERR(FIND("staff",LOWER(E2)))),"",15*(A2+10)/(A2+50))</f>
        <v/>
      </c>
      <c r="BA2" s="6">
        <f t="shared" ref="BA2:BA65" si="9">IF(AQ2&lt;&gt;"",AQ2*IF(ISERR(FIND("Rare",B2)),IF(ISERR(FIND("Uncommon",B2)),1,1.5),2.25),"")</f>
        <v>0</v>
      </c>
      <c r="BB2" s="6">
        <f t="shared" ref="BB2:BB7" si="10">AR2</f>
        <v>0</v>
      </c>
    </row>
    <row r="3" spans="1:54" s="76" customFormat="1">
      <c r="A3" s="81">
        <v>1</v>
      </c>
      <c r="B3" s="30" t="s">
        <v>497</v>
      </c>
      <c r="C3" s="30" t="s">
        <v>496</v>
      </c>
      <c r="D3" s="30" t="s">
        <v>489</v>
      </c>
      <c r="E3" s="30" t="s">
        <v>524</v>
      </c>
      <c r="F3" s="30"/>
      <c r="G3" s="76">
        <v>15</v>
      </c>
      <c r="H3" s="101">
        <v>150</v>
      </c>
      <c r="K3" s="76" t="s">
        <v>705</v>
      </c>
      <c r="L3" s="76">
        <v>50</v>
      </c>
      <c r="M3" s="76">
        <v>1</v>
      </c>
      <c r="N3" s="76" t="b">
        <v>0</v>
      </c>
      <c r="O3" s="93" t="b">
        <f t="shared" ref="O3:O66" si="11">AND(N3,NOT(AND(ISERR(FIND("bow",LOWER(D3))),ISERR(FIND("thrown",LOWER(D3))))))</f>
        <v>0</v>
      </c>
      <c r="P3" s="76" t="s">
        <v>490</v>
      </c>
      <c r="Q3" s="76" t="s">
        <v>490</v>
      </c>
      <c r="R3" s="98" t="str">
        <f t="shared" ref="R3:R25" si="12">IF(N3,IF(O3,0.9,1)*IF(Q3="slow",1.1,IF(Q3="fast",0.9,1)),"")</f>
        <v/>
      </c>
      <c r="S3" s="93" t="str">
        <f t="shared" ref="S3:S66" si="13">IF(N3,IF(C3="Caster",0.4,1),"")</f>
        <v/>
      </c>
      <c r="T3" s="98" t="str">
        <f t="shared" ref="T3:T66" si="14">IF(Q3="slow",1.3,IF(Q3="average",1,IF(Q3="fast",0.7,"")))</f>
        <v/>
      </c>
      <c r="U3" s="95" t="str">
        <f t="shared" ref="U3:U66" si="15">IF(NOT(O3),IF(N3,IF(P3="large",2.5,IF(P3="normal",2,IF(P3="small",1.5))),""),8)</f>
        <v/>
      </c>
      <c r="V3" s="98" t="str">
        <f t="shared" ref="V3:V66" si="16">IF(N3,650*T3,"")</f>
        <v/>
      </c>
      <c r="W3" s="6" t="str">
        <f t="shared" ref="W3:W66" si="17">IF(N3,CHOOSE(1+3*IF(P3="large",0,IF(P3="normal",1,IF(P3="small",2)))+IF(Q3="slow",0,IF(Q3="average",1,IF(Q3="fast",2))),30%,25%,22%,20%,18%,15%,12%,10%,7%),"")</f>
        <v/>
      </c>
      <c r="X3" s="6">
        <v>0</v>
      </c>
      <c r="Y3" s="76" t="b">
        <v>1</v>
      </c>
      <c r="Z3" s="76">
        <f t="shared" si="0"/>
        <v>0</v>
      </c>
      <c r="AA3" s="71" t="str">
        <f t="shared" si="1"/>
        <v/>
      </c>
      <c r="AD3" s="71" t="str">
        <f t="shared" si="2"/>
        <v/>
      </c>
      <c r="AE3" s="71" t="str">
        <f t="shared" si="3"/>
        <v/>
      </c>
      <c r="AG3" s="43" t="str">
        <f>IF(N3,INDEX(Damage!$F$2:$F$151,A3)*R3*S3*V3/1000,"")</f>
        <v/>
      </c>
      <c r="AH3" s="94" t="str">
        <f t="shared" ref="AH3:AH66" si="18">IF(N3,MAX(1,MIN(AI3-1,(AG3-(AG3*W3))*(1+AF3))),"")</f>
        <v/>
      </c>
      <c r="AI3" s="94" t="str">
        <f t="shared" ref="AI3:AI66" si="19">IF(N3,(AG3+(AG3*W3))*(1+AF3),"")</f>
        <v/>
      </c>
      <c r="AJ3" s="79" t="s">
        <v>644</v>
      </c>
      <c r="AK3" s="6" t="b">
        <f t="array" ref="AK3">IF(AJ3,MAX(IF(Armor!$D$2:'Armor'!$D$7=D3,Armor!$E$2:$E$7),0))</f>
        <v>0</v>
      </c>
      <c r="AL3" s="6">
        <f t="shared" ref="AL3:AL21" si="20">IF(ISERR(FIND("Rare",B3)),IF(ISERR(FIND("Uncommon",B3)),0,5%),10%)</f>
        <v>0</v>
      </c>
      <c r="AM3" s="71">
        <f>(AL3+AK3)*INDEX(Armor!$B$2:$B$151,A3)+IF(AJ3,1,0)</f>
        <v>0</v>
      </c>
      <c r="AN3" s="71">
        <f>IF(C3="Caster",IF(ISERR(FIND("orb",LOWER(E3))),IF(ISERR(FIND("wand",LOWER(E3))),IF(NOT($D3="Polearm"),0,INDEX(Regeneration!$M$2:$M$151,A3+2)),INDEX(Regeneration!$L$2:$L$151,A3+2)),INDEX(Regeneration!$K$2:$K$151,A3+2)),0)</f>
        <v>0</v>
      </c>
      <c r="AO3" s="71" t="str">
        <f t="shared" si="4"/>
        <v/>
      </c>
      <c r="AP3" s="71" t="str">
        <f>IF(AND($N3,$C3="Caster"),IF(AND(NOT($D3="Polearm"),ISERR(FIND("wand",LOWER($E3)))),0,INDEX(Regeneration!F$2:F$151,A3)*0.06),"")</f>
        <v/>
      </c>
      <c r="AQ3" s="88">
        <f t="shared" ref="AQ3:AQ66" si="21">IF(OR(D3="2-Handed Weapon",D3="Bow",D3="Crossbow",D3="Spear",AND(D3="Polearm",NOT(C3="Caster"))),15%,IF(C3="Warrior",5%,0%))</f>
        <v>0</v>
      </c>
      <c r="AR3" s="88">
        <f t="shared" ref="AR3:AR66" si="22">IF(OR(D3="2-Handed Weapon",D3="Bow",D3="Crossbow",D3="Spear",AND(D3="Polearm",NOT(C3="Caster"))),15%,IF(C3="Warrior",5%,0%))</f>
        <v>0</v>
      </c>
      <c r="AS3" s="16" t="str">
        <f>IF(D3="Shield",INDEX(Regeneration!$C$2:$C$151,A3+3)*0.5*IF(ISERR(FIND("Rare",B3)),IF(ISERR(FIND("Uncommon",B3)),1,1.5),2.25),"")</f>
        <v/>
      </c>
      <c r="AT3" s="16" t="str">
        <f t="shared" si="5"/>
        <v/>
      </c>
      <c r="AU3" s="16" t="str">
        <f t="shared" si="6"/>
        <v/>
      </c>
      <c r="AV3" s="16" t="str">
        <f t="shared" si="7"/>
        <v/>
      </c>
      <c r="AW3" s="16" t="str">
        <f>IF(D3="Ring",INDEX(Regeneration!$B$6:$B$155,A3)*0.06,"")</f>
        <v/>
      </c>
      <c r="AX3" s="84" t="str">
        <f t="shared" si="8"/>
        <v/>
      </c>
      <c r="AY3" s="16"/>
      <c r="AZ3" s="16" t="str">
        <f t="shared" ref="AZ3:AZ66" si="23">IF(AND(NOT("Gloves"=$D3),ISERR(FIND("staff",LOWER(E3)))),"",15*(A3+10)/(A3+50))</f>
        <v/>
      </c>
      <c r="BA3" s="6">
        <f t="shared" si="9"/>
        <v>0</v>
      </c>
      <c r="BB3" s="6">
        <f t="shared" si="10"/>
        <v>0</v>
      </c>
    </row>
    <row r="4" spans="1:54">
      <c r="A4" s="81">
        <v>1</v>
      </c>
      <c r="B4" s="30" t="s">
        <v>497</v>
      </c>
      <c r="C4" s="30" t="s">
        <v>496</v>
      </c>
      <c r="D4" s="30" t="s">
        <v>489</v>
      </c>
      <c r="E4" s="30" t="s">
        <v>527</v>
      </c>
      <c r="G4" s="76">
        <v>25</v>
      </c>
      <c r="H4" s="101">
        <v>150</v>
      </c>
      <c r="J4" s="89"/>
      <c r="K4" s="76" t="s">
        <v>704</v>
      </c>
      <c r="L4" s="62">
        <v>50</v>
      </c>
      <c r="M4" s="62">
        <v>1</v>
      </c>
      <c r="N4" s="62" t="b">
        <v>0</v>
      </c>
      <c r="O4" s="93" t="b">
        <f t="shared" si="11"/>
        <v>0</v>
      </c>
      <c r="P4" s="62" t="s">
        <v>490</v>
      </c>
      <c r="Q4" s="62" t="s">
        <v>490</v>
      </c>
      <c r="R4" s="98" t="str">
        <f t="shared" si="12"/>
        <v/>
      </c>
      <c r="S4" s="93" t="str">
        <f t="shared" si="13"/>
        <v/>
      </c>
      <c r="T4" s="98" t="str">
        <f t="shared" si="14"/>
        <v/>
      </c>
      <c r="U4" s="95" t="str">
        <f t="shared" si="15"/>
        <v/>
      </c>
      <c r="V4" s="98" t="str">
        <f t="shared" si="16"/>
        <v/>
      </c>
      <c r="W4" s="6" t="str">
        <f t="shared" si="17"/>
        <v/>
      </c>
      <c r="X4" s="6">
        <v>0</v>
      </c>
      <c r="Y4" s="62" t="b">
        <v>1</v>
      </c>
      <c r="Z4" s="76">
        <f t="shared" si="0"/>
        <v>0</v>
      </c>
      <c r="AA4" s="71" t="str">
        <f t="shared" si="1"/>
        <v/>
      </c>
      <c r="AD4" s="71" t="str">
        <f t="shared" si="2"/>
        <v/>
      </c>
      <c r="AE4" s="71" t="str">
        <f t="shared" si="3"/>
        <v/>
      </c>
      <c r="AG4" s="43" t="str">
        <f>IF(N4,INDEX(Damage!$F$2:$F$151,A4)*R4*S4*V4/1000,"")</f>
        <v/>
      </c>
      <c r="AH4" s="94" t="str">
        <f t="shared" si="18"/>
        <v/>
      </c>
      <c r="AI4" s="94" t="str">
        <f t="shared" si="19"/>
        <v/>
      </c>
      <c r="AJ4" s="79" t="s">
        <v>644</v>
      </c>
      <c r="AK4" s="6" t="b">
        <f t="array" ref="AK4">IF(AJ4,MAX(IF(Armor!$D$2:'Armor'!$D$7=D4,Armor!$E$2:$E$7),0))</f>
        <v>0</v>
      </c>
      <c r="AL4" s="6">
        <f t="shared" si="20"/>
        <v>0</v>
      </c>
      <c r="AM4" s="71">
        <f>(AL4+AK4)*INDEX(Armor!$B$2:$B$151,A4)+IF(AJ4,1,0)</f>
        <v>0</v>
      </c>
      <c r="AN4" s="71">
        <f>IF(C4="Caster",IF(ISERR(FIND("orb",LOWER(E4))),IF(ISERR(FIND("wand",LOWER(E4))),IF(NOT($D4="Polearm"),0,INDEX(Regeneration!$M$2:$M$151,A4+2)),INDEX(Regeneration!$L$2:$L$151,A4+2)),INDEX(Regeneration!$K$2:$K$151,A4+2)),0)</f>
        <v>0</v>
      </c>
      <c r="AO4" s="71" t="str">
        <f t="shared" si="4"/>
        <v/>
      </c>
      <c r="AP4" s="71" t="str">
        <f>IF(AND($N4,$C4="Caster"),IF(AND(NOT($D4="Polearm"),ISERR(FIND("wand",LOWER($E4)))),0,INDEX(Regeneration!F$2:F$151,A4)*0.06),"")</f>
        <v/>
      </c>
      <c r="AQ4" s="88">
        <f t="shared" si="21"/>
        <v>0</v>
      </c>
      <c r="AR4" s="88">
        <f t="shared" si="22"/>
        <v>0</v>
      </c>
      <c r="AS4" s="16" t="str">
        <f>IF(D4="Shield",INDEX(Regeneration!$C$2:$C$151,A4+3)*0.5*IF(ISERR(FIND("Rare",B4)),IF(ISERR(FIND("Uncommon",B4)),1,1.5),2.25),"")</f>
        <v/>
      </c>
      <c r="AT4" s="16" t="str">
        <f t="shared" si="5"/>
        <v/>
      </c>
      <c r="AU4" s="16" t="str">
        <f t="shared" si="6"/>
        <v/>
      </c>
      <c r="AV4" s="16" t="str">
        <f t="shared" si="7"/>
        <v/>
      </c>
      <c r="AW4" s="16" t="str">
        <f>IF(D4="Ring",INDEX(Regeneration!$B$6:$B$155,A4)*0.06,"")</f>
        <v/>
      </c>
      <c r="AX4" s="84" t="str">
        <f t="shared" si="8"/>
        <v/>
      </c>
      <c r="AZ4" s="16" t="str">
        <f t="shared" si="23"/>
        <v/>
      </c>
      <c r="BA4" s="6">
        <f t="shared" si="9"/>
        <v>0</v>
      </c>
      <c r="BB4" s="6">
        <f t="shared" si="10"/>
        <v>0</v>
      </c>
    </row>
    <row r="5" spans="1:54">
      <c r="A5" s="81">
        <v>1</v>
      </c>
      <c r="B5" s="30" t="s">
        <v>497</v>
      </c>
      <c r="C5" s="30" t="s">
        <v>496</v>
      </c>
      <c r="D5" s="30" t="s">
        <v>489</v>
      </c>
      <c r="E5" s="30" t="s">
        <v>523</v>
      </c>
      <c r="G5" s="76">
        <v>15</v>
      </c>
      <c r="H5" s="101">
        <v>150</v>
      </c>
      <c r="K5" s="76" t="s">
        <v>706</v>
      </c>
      <c r="L5" s="76">
        <v>50</v>
      </c>
      <c r="M5" s="62">
        <v>1</v>
      </c>
      <c r="N5" s="62" t="b">
        <v>0</v>
      </c>
      <c r="O5" s="93" t="b">
        <f t="shared" si="11"/>
        <v>0</v>
      </c>
      <c r="P5" s="76" t="s">
        <v>490</v>
      </c>
      <c r="Q5" s="62" t="s">
        <v>490</v>
      </c>
      <c r="R5" s="98" t="str">
        <f t="shared" si="12"/>
        <v/>
      </c>
      <c r="S5" s="93" t="str">
        <f t="shared" si="13"/>
        <v/>
      </c>
      <c r="T5" s="98" t="str">
        <f t="shared" si="14"/>
        <v/>
      </c>
      <c r="U5" s="95" t="str">
        <f t="shared" si="15"/>
        <v/>
      </c>
      <c r="V5" s="98" t="str">
        <f t="shared" si="16"/>
        <v/>
      </c>
      <c r="W5" s="6" t="str">
        <f t="shared" si="17"/>
        <v/>
      </c>
      <c r="X5" s="6">
        <v>0</v>
      </c>
      <c r="Y5" s="76" t="b">
        <v>1</v>
      </c>
      <c r="Z5" s="76">
        <f t="shared" si="0"/>
        <v>0</v>
      </c>
      <c r="AA5" s="71" t="str">
        <f t="shared" si="1"/>
        <v/>
      </c>
      <c r="AD5" s="71" t="str">
        <f t="shared" si="2"/>
        <v/>
      </c>
      <c r="AE5" s="71" t="str">
        <f t="shared" si="3"/>
        <v/>
      </c>
      <c r="AG5" s="43" t="str">
        <f>IF(N5,INDEX(Damage!$F$2:$F$151,A5)*R5*S5*V5/1000,"")</f>
        <v/>
      </c>
      <c r="AH5" s="94" t="str">
        <f t="shared" si="18"/>
        <v/>
      </c>
      <c r="AI5" s="94" t="str">
        <f t="shared" si="19"/>
        <v/>
      </c>
      <c r="AJ5" s="79" t="s">
        <v>644</v>
      </c>
      <c r="AK5" s="6" t="b">
        <f t="array" ref="AK5">IF(AJ5,MAX(IF(Armor!$D$2:'Armor'!$D$7=D5,Armor!$E$2:$E$7),0))</f>
        <v>0</v>
      </c>
      <c r="AL5" s="6">
        <f t="shared" si="20"/>
        <v>0</v>
      </c>
      <c r="AM5" s="71">
        <f>(AL5+AK5)*INDEX(Armor!$B$2:$B$151,A5)+IF(AJ5,1,0)</f>
        <v>0</v>
      </c>
      <c r="AN5" s="71">
        <f>IF(C5="Caster",IF(ISERR(FIND("orb",LOWER(E5))),IF(ISERR(FIND("wand",LOWER(E5))),IF(NOT($D5="Polearm"),0,INDEX(Regeneration!$M$2:$M$151,A5+2)),INDEX(Regeneration!$L$2:$L$151,A5+2)),INDEX(Regeneration!$K$2:$K$151,A5+2)),0)</f>
        <v>0</v>
      </c>
      <c r="AO5" s="71" t="str">
        <f t="shared" si="4"/>
        <v/>
      </c>
      <c r="AP5" s="71" t="str">
        <f>IF(AND($N5,$C5="Caster"),IF(AND(NOT($D5="Polearm"),ISERR(FIND("wand",LOWER($E5)))),0,INDEX(Regeneration!F$2:F$151,A5)*0.06),"")</f>
        <v/>
      </c>
      <c r="AQ5" s="88">
        <f t="shared" si="21"/>
        <v>0</v>
      </c>
      <c r="AR5" s="88">
        <f t="shared" si="22"/>
        <v>0</v>
      </c>
      <c r="AS5" s="16" t="str">
        <f>IF(D5="Shield",INDEX(Regeneration!$C$2:$C$151,A5+3)*0.5*IF(ISERR(FIND("Rare",B5)),IF(ISERR(FIND("Uncommon",B5)),1,1.5),2.25),"")</f>
        <v/>
      </c>
      <c r="AT5" s="16" t="str">
        <f t="shared" si="5"/>
        <v/>
      </c>
      <c r="AU5" s="16" t="str">
        <f t="shared" si="6"/>
        <v/>
      </c>
      <c r="AV5" s="16" t="str">
        <f t="shared" si="7"/>
        <v/>
      </c>
      <c r="AW5" s="16" t="str">
        <f>IF(D5="Ring",INDEX(Regeneration!$B$6:$B$155,A5)*0.06,"")</f>
        <v/>
      </c>
      <c r="AX5" s="84" t="str">
        <f t="shared" si="8"/>
        <v/>
      </c>
      <c r="AZ5" s="16" t="str">
        <f t="shared" si="23"/>
        <v/>
      </c>
      <c r="BA5" s="6">
        <f t="shared" si="9"/>
        <v>0</v>
      </c>
      <c r="BB5" s="6">
        <f t="shared" si="10"/>
        <v>0</v>
      </c>
    </row>
    <row r="6" spans="1:54">
      <c r="A6" s="81">
        <v>1</v>
      </c>
      <c r="B6" s="30" t="s">
        <v>497</v>
      </c>
      <c r="C6" s="30" t="s">
        <v>496</v>
      </c>
      <c r="D6" s="30" t="s">
        <v>489</v>
      </c>
      <c r="E6" s="30" t="s">
        <v>814</v>
      </c>
      <c r="G6" s="76">
        <v>17</v>
      </c>
      <c r="H6" s="101">
        <v>150</v>
      </c>
      <c r="K6" s="76" t="s">
        <v>707</v>
      </c>
      <c r="L6" s="76">
        <v>50</v>
      </c>
      <c r="M6" s="62">
        <v>1</v>
      </c>
      <c r="N6" s="62" t="b">
        <v>0</v>
      </c>
      <c r="O6" s="93" t="b">
        <f t="shared" si="11"/>
        <v>0</v>
      </c>
      <c r="P6" s="76" t="s">
        <v>490</v>
      </c>
      <c r="Q6" s="62" t="s">
        <v>490</v>
      </c>
      <c r="R6" s="98" t="str">
        <f t="shared" si="12"/>
        <v/>
      </c>
      <c r="S6" s="93" t="str">
        <f t="shared" si="13"/>
        <v/>
      </c>
      <c r="T6" s="98" t="str">
        <f t="shared" si="14"/>
        <v/>
      </c>
      <c r="U6" s="95" t="str">
        <f t="shared" si="15"/>
        <v/>
      </c>
      <c r="V6" s="98" t="str">
        <f t="shared" si="16"/>
        <v/>
      </c>
      <c r="W6" s="6" t="str">
        <f t="shared" si="17"/>
        <v/>
      </c>
      <c r="X6" s="6">
        <v>0</v>
      </c>
      <c r="Y6" s="76" t="b">
        <v>1</v>
      </c>
      <c r="Z6" s="76">
        <f t="shared" si="0"/>
        <v>0</v>
      </c>
      <c r="AA6" s="71" t="str">
        <f t="shared" si="1"/>
        <v/>
      </c>
      <c r="AD6" s="71" t="str">
        <f t="shared" si="2"/>
        <v/>
      </c>
      <c r="AE6" s="71" t="str">
        <f t="shared" si="3"/>
        <v/>
      </c>
      <c r="AG6" s="43" t="str">
        <f>IF(N6,INDEX(Damage!$F$2:$F$151,A6)*R6*S6*V6/1000,"")</f>
        <v/>
      </c>
      <c r="AH6" s="94" t="str">
        <f t="shared" si="18"/>
        <v/>
      </c>
      <c r="AI6" s="94" t="str">
        <f t="shared" si="19"/>
        <v/>
      </c>
      <c r="AJ6" s="79" t="s">
        <v>644</v>
      </c>
      <c r="AK6" s="6" t="b">
        <f t="array" ref="AK6">IF(AJ6,MAX(IF(Armor!$D$2:'Armor'!$D$7=D6,Armor!$E$2:$E$7),0))</f>
        <v>0</v>
      </c>
      <c r="AL6" s="6">
        <f t="shared" si="20"/>
        <v>0</v>
      </c>
      <c r="AM6" s="71">
        <f>(AL6+AK6)*INDEX(Armor!$B$2:$B$151,A6)+IF(AJ6,1,0)</f>
        <v>0</v>
      </c>
      <c r="AN6" s="71">
        <f>IF(C6="Caster",IF(ISERR(FIND("orb",LOWER(E6))),IF(ISERR(FIND("wand",LOWER(E6))),IF(NOT($D6="Polearm"),0,INDEX(Regeneration!$M$2:$M$151,A6+2)),INDEX(Regeneration!$L$2:$L$151,A6+2)),INDEX(Regeneration!$K$2:$K$151,A6+2)),0)</f>
        <v>0</v>
      </c>
      <c r="AO6" s="71" t="str">
        <f t="shared" si="4"/>
        <v/>
      </c>
      <c r="AP6" s="71" t="str">
        <f>IF(AND($N6,$C6="Caster"),IF(AND(NOT($D6="Polearm"),ISERR(FIND("wand",LOWER($E6)))),0,INDEX(Regeneration!F$2:F$151,A6)*0.06),"")</f>
        <v/>
      </c>
      <c r="AQ6" s="88">
        <f t="shared" si="21"/>
        <v>0</v>
      </c>
      <c r="AR6" s="88">
        <f t="shared" si="22"/>
        <v>0</v>
      </c>
      <c r="AS6" s="16" t="str">
        <f>IF(D6="Shield",INDEX(Regeneration!$C$2:$C$151,A6+3)*0.5*IF(ISERR(FIND("Rare",B6)),IF(ISERR(FIND("Uncommon",B6)),1,1.5),2.25),"")</f>
        <v/>
      </c>
      <c r="AT6" s="16" t="str">
        <f t="shared" si="5"/>
        <v/>
      </c>
      <c r="AU6" s="16" t="str">
        <f t="shared" si="6"/>
        <v/>
      </c>
      <c r="AV6" s="16" t="str">
        <f t="shared" si="7"/>
        <v/>
      </c>
      <c r="AW6" s="16" t="str">
        <f>IF(D6="Ring",INDEX(Regeneration!$B$6:$B$155,A6)*0.06,"")</f>
        <v/>
      </c>
      <c r="AX6" s="84" t="str">
        <f t="shared" si="8"/>
        <v/>
      </c>
      <c r="AZ6" s="16" t="str">
        <f t="shared" si="23"/>
        <v/>
      </c>
      <c r="BA6" s="6">
        <f t="shared" si="9"/>
        <v>0</v>
      </c>
      <c r="BB6" s="6">
        <f t="shared" si="10"/>
        <v>0</v>
      </c>
    </row>
    <row r="7" spans="1:54">
      <c r="A7" s="81">
        <v>1</v>
      </c>
      <c r="B7" s="30" t="s">
        <v>497</v>
      </c>
      <c r="C7" s="30" t="s">
        <v>496</v>
      </c>
      <c r="D7" s="30" t="s">
        <v>489</v>
      </c>
      <c r="E7" s="30" t="s">
        <v>526</v>
      </c>
      <c r="G7" s="76">
        <v>20</v>
      </c>
      <c r="H7" s="101">
        <v>150</v>
      </c>
      <c r="K7" s="76" t="s">
        <v>708</v>
      </c>
      <c r="L7" s="76">
        <v>50</v>
      </c>
      <c r="M7" s="62">
        <v>1</v>
      </c>
      <c r="N7" s="62" t="b">
        <v>0</v>
      </c>
      <c r="O7" s="93" t="b">
        <f t="shared" si="11"/>
        <v>0</v>
      </c>
      <c r="P7" s="76" t="s">
        <v>490</v>
      </c>
      <c r="Q7" s="62" t="s">
        <v>490</v>
      </c>
      <c r="R7" s="98" t="str">
        <f t="shared" si="12"/>
        <v/>
      </c>
      <c r="S7" s="93" t="str">
        <f t="shared" si="13"/>
        <v/>
      </c>
      <c r="T7" s="98" t="str">
        <f t="shared" si="14"/>
        <v/>
      </c>
      <c r="U7" s="95" t="str">
        <f t="shared" si="15"/>
        <v/>
      </c>
      <c r="V7" s="98" t="str">
        <f t="shared" si="16"/>
        <v/>
      </c>
      <c r="W7" s="6" t="str">
        <f t="shared" si="17"/>
        <v/>
      </c>
      <c r="X7" s="6">
        <v>0</v>
      </c>
      <c r="Y7" s="76" t="b">
        <v>1</v>
      </c>
      <c r="Z7" s="76">
        <f t="shared" si="0"/>
        <v>0</v>
      </c>
      <c r="AA7" s="71" t="str">
        <f t="shared" si="1"/>
        <v/>
      </c>
      <c r="AD7" s="71" t="str">
        <f t="shared" si="2"/>
        <v/>
      </c>
      <c r="AE7" s="71" t="str">
        <f t="shared" si="3"/>
        <v/>
      </c>
      <c r="AG7" s="43" t="str">
        <f>IF(N7,INDEX(Damage!$F$2:$F$151,A7)*R7*S7*V7/1000,"")</f>
        <v/>
      </c>
      <c r="AH7" s="94" t="str">
        <f t="shared" si="18"/>
        <v/>
      </c>
      <c r="AI7" s="94" t="str">
        <f t="shared" si="19"/>
        <v/>
      </c>
      <c r="AJ7" s="79" t="s">
        <v>644</v>
      </c>
      <c r="AK7" s="6" t="b">
        <f t="array" ref="AK7">IF(AJ7,MAX(IF(Armor!$D$2:'Armor'!$D$7=D7,Armor!$E$2:$E$7),0))</f>
        <v>0</v>
      </c>
      <c r="AL7" s="6">
        <f t="shared" si="20"/>
        <v>0</v>
      </c>
      <c r="AM7" s="71">
        <f>(AL7+AK7)*INDEX(Armor!$B$2:$B$151,A7)+IF(AJ7,1,0)</f>
        <v>0</v>
      </c>
      <c r="AN7" s="71">
        <f>IF(C7="Caster",IF(ISERR(FIND("orb",LOWER(E7))),IF(ISERR(FIND("wand",LOWER(E7))),IF(NOT($D7="Polearm"),0,INDEX(Regeneration!$M$2:$M$151,A7+2)),INDEX(Regeneration!$L$2:$L$151,A7+2)),INDEX(Regeneration!$K$2:$K$151,A7+2)),0)</f>
        <v>0</v>
      </c>
      <c r="AO7" s="71" t="str">
        <f t="shared" si="4"/>
        <v/>
      </c>
      <c r="AP7" s="71" t="str">
        <f>IF(AND($N7,$C7="Caster"),IF(AND(NOT($D7="Polearm"),ISERR(FIND("wand",LOWER($E7)))),0,INDEX(Regeneration!F$2:F$151,A7)*0.06),"")</f>
        <v/>
      </c>
      <c r="AQ7" s="88">
        <f t="shared" si="21"/>
        <v>0</v>
      </c>
      <c r="AR7" s="88">
        <f t="shared" si="22"/>
        <v>0</v>
      </c>
      <c r="AS7" s="16" t="str">
        <f>IF(D7="Shield",INDEX(Regeneration!$C$2:$C$151,A7+3)*0.5*IF(ISERR(FIND("Rare",B7)),IF(ISERR(FIND("Uncommon",B7)),1,1.5),2.25),"")</f>
        <v/>
      </c>
      <c r="AT7" s="16" t="str">
        <f t="shared" si="5"/>
        <v/>
      </c>
      <c r="AU7" s="16" t="str">
        <f t="shared" si="6"/>
        <v/>
      </c>
      <c r="AV7" s="16" t="str">
        <f t="shared" si="7"/>
        <v/>
      </c>
      <c r="AW7" s="16" t="str">
        <f>IF(D7="Ring",INDEX(Regeneration!$B$6:$B$155,A7)*0.06,"")</f>
        <v/>
      </c>
      <c r="AX7" s="84" t="str">
        <f t="shared" si="8"/>
        <v/>
      </c>
      <c r="AZ7" s="16" t="str">
        <f t="shared" si="23"/>
        <v/>
      </c>
      <c r="BA7" s="6">
        <f t="shared" si="9"/>
        <v>0</v>
      </c>
      <c r="BB7" s="6">
        <f t="shared" si="10"/>
        <v>0</v>
      </c>
    </row>
    <row r="8" spans="1:54">
      <c r="A8" s="81">
        <v>1</v>
      </c>
      <c r="B8" s="30" t="s">
        <v>497</v>
      </c>
      <c r="C8" s="30" t="s">
        <v>496</v>
      </c>
      <c r="D8" s="30" t="s">
        <v>489</v>
      </c>
      <c r="E8" s="30" t="s">
        <v>521</v>
      </c>
      <c r="G8" s="76">
        <v>5</v>
      </c>
      <c r="H8" s="101">
        <v>150</v>
      </c>
      <c r="K8" s="76" t="s">
        <v>700</v>
      </c>
      <c r="L8" s="76">
        <v>50</v>
      </c>
      <c r="M8" s="62">
        <v>1</v>
      </c>
      <c r="N8" s="62" t="b">
        <v>0</v>
      </c>
      <c r="O8" s="93" t="b">
        <f t="shared" si="11"/>
        <v>0</v>
      </c>
      <c r="P8" s="76" t="s">
        <v>490</v>
      </c>
      <c r="Q8" s="62" t="s">
        <v>490</v>
      </c>
      <c r="R8" s="98" t="str">
        <f t="shared" si="12"/>
        <v/>
      </c>
      <c r="S8" s="93" t="str">
        <f t="shared" si="13"/>
        <v/>
      </c>
      <c r="T8" s="98" t="str">
        <f t="shared" si="14"/>
        <v/>
      </c>
      <c r="U8" s="95" t="str">
        <f t="shared" si="15"/>
        <v/>
      </c>
      <c r="V8" s="98" t="str">
        <f t="shared" si="16"/>
        <v/>
      </c>
      <c r="W8" s="6" t="str">
        <f t="shared" si="17"/>
        <v/>
      </c>
      <c r="X8" s="6">
        <v>0</v>
      </c>
      <c r="Y8" s="76" t="b">
        <v>1</v>
      </c>
      <c r="Z8" s="76">
        <f t="shared" si="0"/>
        <v>0</v>
      </c>
      <c r="AA8" s="71" t="str">
        <f t="shared" si="1"/>
        <v/>
      </c>
      <c r="AD8" s="71" t="str">
        <f t="shared" si="2"/>
        <v/>
      </c>
      <c r="AE8" s="71" t="str">
        <f t="shared" si="3"/>
        <v/>
      </c>
      <c r="AG8" s="43" t="str">
        <f>IF(N8,INDEX(Damage!$F$2:$F$151,A8)*R8*S8*V8/1000,"")</f>
        <v/>
      </c>
      <c r="AH8" s="94" t="str">
        <f t="shared" si="18"/>
        <v/>
      </c>
      <c r="AI8" s="94" t="str">
        <f t="shared" si="19"/>
        <v/>
      </c>
      <c r="AJ8" s="79" t="s">
        <v>644</v>
      </c>
      <c r="AK8" s="6" t="b">
        <f t="array" ref="AK8">IF(AJ8,MAX(IF(Armor!$D$2:'Armor'!$D$7=D8,Armor!$E$2:$E$7),0))</f>
        <v>0</v>
      </c>
      <c r="AL8" s="6">
        <f t="shared" si="20"/>
        <v>0</v>
      </c>
      <c r="AM8" s="71">
        <f>(AL8+AK8)*INDEX(Armor!$B$2:$B$151,A8)+IF(AJ8,1,0)</f>
        <v>0</v>
      </c>
      <c r="AN8" s="71">
        <f>IF(C8="Caster",IF(ISERR(FIND("orb",LOWER(E8))),IF(ISERR(FIND("wand",LOWER(E8))),IF(NOT($D8="Polearm"),0,INDEX(Regeneration!$M$2:$M$151,A8+2)),INDEX(Regeneration!$L$2:$L$151,A8+2)),INDEX(Regeneration!$K$2:$K$151,A8+2)),0)</f>
        <v>0</v>
      </c>
      <c r="AO8" s="71" t="str">
        <f t="shared" si="4"/>
        <v/>
      </c>
      <c r="AP8" s="71" t="str">
        <f>IF(AND($N8,$C8="Caster"),IF(AND(NOT($D8="Polearm"),ISERR(FIND("wand",LOWER($E8)))),0,INDEX(Regeneration!F$2:F$151,A8)*0.06),"")</f>
        <v/>
      </c>
      <c r="AQ8" s="88">
        <f t="shared" si="21"/>
        <v>0</v>
      </c>
      <c r="AR8" s="88">
        <f t="shared" si="22"/>
        <v>0</v>
      </c>
      <c r="AS8" s="16" t="str">
        <f>IF(D8="Shield",INDEX(Regeneration!$C$2:$C$151,A8+3)*0.5*IF(ISERR(FIND("Rare",B8)),IF(ISERR(FIND("Uncommon",B8)),1,1.5),2.25),"")</f>
        <v/>
      </c>
      <c r="AT8" s="16" t="str">
        <f t="shared" si="5"/>
        <v/>
      </c>
      <c r="AU8" s="16" t="str">
        <f t="shared" si="6"/>
        <v/>
      </c>
      <c r="AV8" s="16" t="str">
        <f t="shared" si="7"/>
        <v/>
      </c>
      <c r="AW8" s="16" t="str">
        <f>IF(D8="Ring",INDEX(Regeneration!$B$6:$B$155,A8)*0.06,"")</f>
        <v/>
      </c>
      <c r="AX8" s="84" t="str">
        <f t="shared" si="8"/>
        <v/>
      </c>
      <c r="AZ8" s="16" t="str">
        <f t="shared" si="23"/>
        <v/>
      </c>
      <c r="BA8" s="6">
        <f t="shared" si="9"/>
        <v>0</v>
      </c>
      <c r="BB8" s="6">
        <f t="shared" ref="BB8" si="24">IF(AR8&lt;&gt;"",AR8*IF(ISERR(FIND("Rare",B8)),IF(ISERR(FIND("Uncommon",B8)),1,1.25),1.5),"")</f>
        <v>0</v>
      </c>
    </row>
    <row r="9" spans="1:54">
      <c r="A9" s="81">
        <v>1</v>
      </c>
      <c r="B9" s="30" t="s">
        <v>497</v>
      </c>
      <c r="C9" s="30" t="s">
        <v>496</v>
      </c>
      <c r="D9" s="30" t="s">
        <v>489</v>
      </c>
      <c r="E9" s="30" t="s">
        <v>520</v>
      </c>
      <c r="G9" s="76">
        <f>IF(ISERR(FIND("Rare",B9)),IF(ISERR(FIND("Uncommon",B9)),A9,A9+5),A9+10)</f>
        <v>1</v>
      </c>
      <c r="H9" s="101">
        <v>150</v>
      </c>
      <c r="K9" s="76" t="s">
        <v>699</v>
      </c>
      <c r="L9" s="76">
        <v>50</v>
      </c>
      <c r="M9" s="62">
        <v>1</v>
      </c>
      <c r="N9" s="62" t="b">
        <v>0</v>
      </c>
      <c r="O9" s="93" t="b">
        <f t="shared" si="11"/>
        <v>0</v>
      </c>
      <c r="P9" s="76" t="s">
        <v>490</v>
      </c>
      <c r="Q9" s="62" t="s">
        <v>490</v>
      </c>
      <c r="R9" s="98" t="str">
        <f t="shared" si="12"/>
        <v/>
      </c>
      <c r="S9" s="93" t="str">
        <f t="shared" si="13"/>
        <v/>
      </c>
      <c r="T9" s="98" t="str">
        <f t="shared" si="14"/>
        <v/>
      </c>
      <c r="U9" s="95" t="str">
        <f t="shared" si="15"/>
        <v/>
      </c>
      <c r="V9" s="98" t="str">
        <f t="shared" si="16"/>
        <v/>
      </c>
      <c r="W9" s="6" t="str">
        <f t="shared" si="17"/>
        <v/>
      </c>
      <c r="X9" s="6">
        <v>0</v>
      </c>
      <c r="Y9" s="76" t="b">
        <v>1</v>
      </c>
      <c r="Z9" s="76">
        <f t="shared" si="0"/>
        <v>0</v>
      </c>
      <c r="AA9" s="71" t="str">
        <f t="shared" si="1"/>
        <v/>
      </c>
      <c r="AD9" s="71" t="str">
        <f t="shared" si="2"/>
        <v/>
      </c>
      <c r="AE9" s="71" t="str">
        <f t="shared" si="3"/>
        <v/>
      </c>
      <c r="AG9" s="43" t="str">
        <f>IF(N9,INDEX(Damage!$F$2:$F$151,A9)*R9*S9*V9/1000,"")</f>
        <v/>
      </c>
      <c r="AH9" s="94" t="str">
        <f t="shared" si="18"/>
        <v/>
      </c>
      <c r="AI9" s="94" t="str">
        <f t="shared" si="19"/>
        <v/>
      </c>
      <c r="AJ9" s="79" t="s">
        <v>644</v>
      </c>
      <c r="AK9" s="6" t="b">
        <f t="array" ref="AK9">IF(AJ9,MAX(IF(Armor!$D$2:'Armor'!$D$7=D9,Armor!$E$2:$E$7),0))</f>
        <v>0</v>
      </c>
      <c r="AL9" s="6">
        <f t="shared" si="20"/>
        <v>0</v>
      </c>
      <c r="AM9" s="71">
        <f>(AL9+AK9)*INDEX(Armor!$B$2:$B$151,A9)+IF(AJ9,1,0)</f>
        <v>0</v>
      </c>
      <c r="AN9" s="71">
        <f>IF(C9="Caster",IF(ISERR(FIND("orb",LOWER(E9))),IF(ISERR(FIND("wand",LOWER(E9))),IF(NOT($D9="Polearm"),0,INDEX(Regeneration!$M$2:$M$151,A9+2)),INDEX(Regeneration!$L$2:$L$151,A9+2)),INDEX(Regeneration!$K$2:$K$151,A9+2)),0)</f>
        <v>0</v>
      </c>
      <c r="AO9" s="71" t="str">
        <f t="shared" si="4"/>
        <v/>
      </c>
      <c r="AP9" s="71" t="str">
        <f>IF(AND($N9,$C9="Caster"),IF(AND(NOT($D9="Polearm"),ISERR(FIND("wand",LOWER($E9)))),0,INDEX(Regeneration!F$2:F$151,A9)*0.06),"")</f>
        <v/>
      </c>
      <c r="AQ9" s="88">
        <f t="shared" si="21"/>
        <v>0</v>
      </c>
      <c r="AR9" s="88">
        <f t="shared" si="22"/>
        <v>0</v>
      </c>
      <c r="AS9" s="16" t="str">
        <f>IF(D9="Shield",INDEX(Regeneration!$C$2:$C$151,A9+3)*0.5*IF(ISERR(FIND("Rare",B9)),IF(ISERR(FIND("Uncommon",B9)),1,1.5),2.25),"")</f>
        <v/>
      </c>
      <c r="AT9" s="16" t="str">
        <f t="shared" si="5"/>
        <v/>
      </c>
      <c r="AU9" s="16" t="str">
        <f t="shared" si="6"/>
        <v/>
      </c>
      <c r="AV9" s="16" t="str">
        <f t="shared" si="7"/>
        <v/>
      </c>
      <c r="AW9" s="16" t="str">
        <f>IF(D9="Ring",INDEX(Regeneration!$B$6:$B$155,A9)*0.06,"")</f>
        <v/>
      </c>
      <c r="AX9" s="84" t="str">
        <f t="shared" si="8"/>
        <v/>
      </c>
      <c r="AZ9" s="16" t="str">
        <f t="shared" si="23"/>
        <v/>
      </c>
      <c r="BA9" s="6">
        <f t="shared" si="9"/>
        <v>0</v>
      </c>
      <c r="BB9" s="6">
        <f t="shared" ref="BB9:BB72" si="25">IF(AR9&lt;&gt;"",AR9*IF(ISERR(FIND("Rare",B9)),IF(ISERR(FIND("Uncommon",B9)),1,1.5),2.25),"")</f>
        <v>0</v>
      </c>
    </row>
    <row r="10" spans="1:54">
      <c r="A10" s="81">
        <v>1</v>
      </c>
      <c r="B10" s="30" t="s">
        <v>497</v>
      </c>
      <c r="C10" s="30" t="s">
        <v>496</v>
      </c>
      <c r="D10" s="30" t="s">
        <v>489</v>
      </c>
      <c r="E10" s="30" t="s">
        <v>525</v>
      </c>
      <c r="G10" s="76">
        <v>5</v>
      </c>
      <c r="H10" s="101">
        <v>150</v>
      </c>
      <c r="K10" s="76" t="s">
        <v>702</v>
      </c>
      <c r="L10" s="76">
        <v>50</v>
      </c>
      <c r="M10" s="62">
        <v>1</v>
      </c>
      <c r="N10" s="62" t="b">
        <v>0</v>
      </c>
      <c r="O10" s="93" t="b">
        <f t="shared" si="11"/>
        <v>0</v>
      </c>
      <c r="P10" s="76" t="s">
        <v>490</v>
      </c>
      <c r="Q10" s="62" t="s">
        <v>490</v>
      </c>
      <c r="R10" s="98" t="str">
        <f t="shared" si="12"/>
        <v/>
      </c>
      <c r="S10" s="93" t="str">
        <f t="shared" si="13"/>
        <v/>
      </c>
      <c r="T10" s="98" t="str">
        <f t="shared" si="14"/>
        <v/>
      </c>
      <c r="U10" s="95" t="str">
        <f t="shared" si="15"/>
        <v/>
      </c>
      <c r="V10" s="98" t="str">
        <f t="shared" si="16"/>
        <v/>
      </c>
      <c r="W10" s="6" t="str">
        <f t="shared" si="17"/>
        <v/>
      </c>
      <c r="X10" s="6">
        <v>0</v>
      </c>
      <c r="Y10" s="76" t="b">
        <v>1</v>
      </c>
      <c r="Z10" s="76">
        <f t="shared" si="0"/>
        <v>0</v>
      </c>
      <c r="AA10" s="71" t="str">
        <f t="shared" si="1"/>
        <v/>
      </c>
      <c r="AD10" s="71" t="str">
        <f t="shared" si="2"/>
        <v/>
      </c>
      <c r="AE10" s="71" t="str">
        <f t="shared" si="3"/>
        <v/>
      </c>
      <c r="AG10" s="43" t="str">
        <f>IF(N10,INDEX(Damage!$F$2:$F$151,A10)*R10*S10*V10/1000,"")</f>
        <v/>
      </c>
      <c r="AH10" s="94" t="str">
        <f t="shared" si="18"/>
        <v/>
      </c>
      <c r="AI10" s="94" t="str">
        <f t="shared" si="19"/>
        <v/>
      </c>
      <c r="AJ10" s="79" t="s">
        <v>644</v>
      </c>
      <c r="AK10" s="6" t="b">
        <f t="array" ref="AK10">IF(AJ10,MAX(IF(Armor!$D$2:'Armor'!$D$7=D10,Armor!$E$2:$E$7),0))</f>
        <v>0</v>
      </c>
      <c r="AL10" s="6">
        <f t="shared" si="20"/>
        <v>0</v>
      </c>
      <c r="AM10" s="71">
        <f>(AL10+AK10)*INDEX(Armor!$B$2:$B$151,A10)+IF(AJ10,1,0)</f>
        <v>0</v>
      </c>
      <c r="AN10" s="71">
        <f>IF(C10="Caster",IF(ISERR(FIND("orb",LOWER(E10))),IF(ISERR(FIND("wand",LOWER(E10))),IF(NOT($D10="Polearm"),0,INDEX(Regeneration!$M$2:$M$151,A10+2)),INDEX(Regeneration!$L$2:$L$151,A10+2)),INDEX(Regeneration!$K$2:$K$151,A10+2)),0)</f>
        <v>0</v>
      </c>
      <c r="AO10" s="71" t="str">
        <f t="shared" si="4"/>
        <v/>
      </c>
      <c r="AP10" s="71" t="str">
        <f>IF(AND($N10,$C10="Caster"),IF(AND(NOT($D10="Polearm"),ISERR(FIND("wand",LOWER($E10)))),0,INDEX(Regeneration!F$2:F$151,A10)*0.06),"")</f>
        <v/>
      </c>
      <c r="AQ10" s="88">
        <f t="shared" si="21"/>
        <v>0</v>
      </c>
      <c r="AR10" s="88">
        <f t="shared" si="22"/>
        <v>0</v>
      </c>
      <c r="AS10" s="16" t="str">
        <f>IF(D10="Shield",INDEX(Regeneration!$C$2:$C$151,A10+3)*0.5*IF(ISERR(FIND("Rare",B10)),IF(ISERR(FIND("Uncommon",B10)),1,1.5),2.25),"")</f>
        <v/>
      </c>
      <c r="AT10" s="16" t="str">
        <f t="shared" si="5"/>
        <v/>
      </c>
      <c r="AU10" s="16" t="str">
        <f t="shared" si="6"/>
        <v/>
      </c>
      <c r="AV10" s="16" t="str">
        <f t="shared" si="7"/>
        <v/>
      </c>
      <c r="AW10" s="16" t="str">
        <f>IF(D10="Ring",INDEX(Regeneration!$B$6:$B$155,A10)*0.06,"")</f>
        <v/>
      </c>
      <c r="AX10" s="84" t="str">
        <f t="shared" si="8"/>
        <v/>
      </c>
      <c r="AZ10" s="16" t="str">
        <f t="shared" si="23"/>
        <v/>
      </c>
      <c r="BA10" s="6">
        <f t="shared" si="9"/>
        <v>0</v>
      </c>
      <c r="BB10" s="6">
        <f t="shared" si="25"/>
        <v>0</v>
      </c>
    </row>
    <row r="11" spans="1:54">
      <c r="A11" s="81">
        <v>1</v>
      </c>
      <c r="B11" s="30" t="s">
        <v>497</v>
      </c>
      <c r="C11" s="30" t="s">
        <v>496</v>
      </c>
      <c r="D11" s="30" t="s">
        <v>489</v>
      </c>
      <c r="E11" s="30" t="s">
        <v>519</v>
      </c>
      <c r="G11" s="76">
        <f>IF(ISERR(FIND("Rare",B11)),IF(ISERR(FIND("Uncommon",B11)),A11,A11+5),A11+10)</f>
        <v>1</v>
      </c>
      <c r="H11" s="101">
        <v>150</v>
      </c>
      <c r="K11" s="76" t="s">
        <v>698</v>
      </c>
      <c r="L11" s="76">
        <v>50</v>
      </c>
      <c r="M11" s="62">
        <v>1</v>
      </c>
      <c r="N11" s="62" t="b">
        <v>0</v>
      </c>
      <c r="O11" s="93" t="b">
        <f t="shared" si="11"/>
        <v>0</v>
      </c>
      <c r="P11" s="76" t="s">
        <v>490</v>
      </c>
      <c r="Q11" s="62" t="s">
        <v>490</v>
      </c>
      <c r="R11" s="98" t="str">
        <f t="shared" si="12"/>
        <v/>
      </c>
      <c r="S11" s="93" t="str">
        <f t="shared" si="13"/>
        <v/>
      </c>
      <c r="T11" s="98" t="str">
        <f t="shared" si="14"/>
        <v/>
      </c>
      <c r="U11" s="95" t="str">
        <f t="shared" si="15"/>
        <v/>
      </c>
      <c r="V11" s="98" t="str">
        <f t="shared" si="16"/>
        <v/>
      </c>
      <c r="W11" s="6" t="str">
        <f t="shared" si="17"/>
        <v/>
      </c>
      <c r="X11" s="6">
        <v>0</v>
      </c>
      <c r="Y11" s="76" t="b">
        <v>1</v>
      </c>
      <c r="Z11" s="76">
        <f t="shared" si="0"/>
        <v>0</v>
      </c>
      <c r="AA11" s="71" t="str">
        <f t="shared" si="1"/>
        <v/>
      </c>
      <c r="AD11" s="71" t="str">
        <f t="shared" si="2"/>
        <v/>
      </c>
      <c r="AE11" s="71" t="str">
        <f t="shared" si="3"/>
        <v/>
      </c>
      <c r="AG11" s="43" t="str">
        <f>IF(N11,INDEX(Damage!$F$2:$F$151,A11)*R11*S11*V11/1000,"")</f>
        <v/>
      </c>
      <c r="AH11" s="94" t="str">
        <f t="shared" si="18"/>
        <v/>
      </c>
      <c r="AI11" s="94" t="str">
        <f t="shared" si="19"/>
        <v/>
      </c>
      <c r="AJ11" s="79" t="s">
        <v>644</v>
      </c>
      <c r="AK11" s="6" t="b">
        <f t="array" ref="AK11">IF(AJ11,MAX(IF(Armor!$D$2:'Armor'!$D$7=D11,Armor!$E$2:$E$7),0))</f>
        <v>0</v>
      </c>
      <c r="AL11" s="6">
        <f t="shared" si="20"/>
        <v>0</v>
      </c>
      <c r="AM11" s="71">
        <f>(AL11+AK11)*INDEX(Armor!$B$2:$B$151,A11)+IF(AJ11,1,0)</f>
        <v>0</v>
      </c>
      <c r="AN11" s="71">
        <f>IF(C11="Caster",IF(ISERR(FIND("orb",LOWER(E11))),IF(ISERR(FIND("wand",LOWER(E11))),IF(NOT($D11="Polearm"),0,INDEX(Regeneration!$M$2:$M$151,A11+2)),INDEX(Regeneration!$L$2:$L$151,A11+2)),INDEX(Regeneration!$K$2:$K$151,A11+2)),0)</f>
        <v>0</v>
      </c>
      <c r="AO11" s="71" t="str">
        <f t="shared" si="4"/>
        <v/>
      </c>
      <c r="AP11" s="71" t="str">
        <f>IF(AND($N11,$C11="Caster"),IF(AND(NOT($D11="Polearm"),ISERR(FIND("wand",LOWER($E11)))),0,INDEX(Regeneration!F$2:F$151,A11)*0.06),"")</f>
        <v/>
      </c>
      <c r="AQ11" s="88">
        <f t="shared" si="21"/>
        <v>0</v>
      </c>
      <c r="AR11" s="88">
        <f t="shared" si="22"/>
        <v>0</v>
      </c>
      <c r="AS11" s="16" t="str">
        <f>IF(D11="Shield",INDEX(Regeneration!$C$2:$C$151,A11+3)*0.5*IF(ISERR(FIND("Rare",B11)),IF(ISERR(FIND("Uncommon",B11)),1,1.5),2.25),"")</f>
        <v/>
      </c>
      <c r="AT11" s="16" t="str">
        <f t="shared" si="5"/>
        <v/>
      </c>
      <c r="AU11" s="16" t="str">
        <f t="shared" si="6"/>
        <v/>
      </c>
      <c r="AV11" s="16" t="str">
        <f t="shared" si="7"/>
        <v/>
      </c>
      <c r="AW11" s="16" t="str">
        <f>IF(D11="Ring",INDEX(Regeneration!$B$6:$B$155,A11)*0.06,"")</f>
        <v/>
      </c>
      <c r="AX11" s="84" t="str">
        <f t="shared" si="8"/>
        <v/>
      </c>
      <c r="AZ11" s="16" t="str">
        <f t="shared" si="23"/>
        <v/>
      </c>
      <c r="BA11" s="6">
        <f t="shared" si="9"/>
        <v>0</v>
      </c>
      <c r="BB11" s="6">
        <f t="shared" si="25"/>
        <v>0</v>
      </c>
    </row>
    <row r="12" spans="1:54">
      <c r="A12" s="81">
        <v>1</v>
      </c>
      <c r="B12" s="30" t="s">
        <v>497</v>
      </c>
      <c r="C12" s="30" t="s">
        <v>496</v>
      </c>
      <c r="D12" s="30" t="s">
        <v>489</v>
      </c>
      <c r="E12" s="30" t="s">
        <v>528</v>
      </c>
      <c r="G12" s="76">
        <v>10</v>
      </c>
      <c r="H12" s="101">
        <v>150</v>
      </c>
      <c r="K12" s="76" t="s">
        <v>703</v>
      </c>
      <c r="L12" s="76">
        <v>50</v>
      </c>
      <c r="M12" s="62">
        <v>1</v>
      </c>
      <c r="N12" s="62" t="b">
        <v>0</v>
      </c>
      <c r="O12" s="93" t="b">
        <f t="shared" si="11"/>
        <v>0</v>
      </c>
      <c r="P12" s="76" t="s">
        <v>490</v>
      </c>
      <c r="Q12" s="62" t="s">
        <v>490</v>
      </c>
      <c r="R12" s="98" t="str">
        <f t="shared" si="12"/>
        <v/>
      </c>
      <c r="S12" s="93" t="str">
        <f t="shared" si="13"/>
        <v/>
      </c>
      <c r="T12" s="98" t="str">
        <f t="shared" si="14"/>
        <v/>
      </c>
      <c r="U12" s="95" t="str">
        <f t="shared" si="15"/>
        <v/>
      </c>
      <c r="V12" s="98" t="str">
        <f t="shared" si="16"/>
        <v/>
      </c>
      <c r="W12" s="6" t="str">
        <f t="shared" si="17"/>
        <v/>
      </c>
      <c r="X12" s="6">
        <v>0</v>
      </c>
      <c r="Y12" s="76" t="b">
        <v>1</v>
      </c>
      <c r="Z12" s="76">
        <f t="shared" si="0"/>
        <v>0</v>
      </c>
      <c r="AA12" s="71" t="str">
        <f t="shared" si="1"/>
        <v/>
      </c>
      <c r="AD12" s="71" t="str">
        <f t="shared" si="2"/>
        <v/>
      </c>
      <c r="AE12" s="71" t="str">
        <f t="shared" si="3"/>
        <v/>
      </c>
      <c r="AG12" s="43" t="str">
        <f>IF(N12,INDEX(Damage!$F$2:$F$151,A12)*R12*S12*V12/1000,"")</f>
        <v/>
      </c>
      <c r="AH12" s="94" t="str">
        <f t="shared" si="18"/>
        <v/>
      </c>
      <c r="AI12" s="94" t="str">
        <f t="shared" si="19"/>
        <v/>
      </c>
      <c r="AJ12" s="79" t="s">
        <v>644</v>
      </c>
      <c r="AK12" s="6" t="b">
        <f t="array" ref="AK12">IF(AJ12,MAX(IF(Armor!$D$2:'Armor'!$D$7=D12,Armor!$E$2:$E$7),0))</f>
        <v>0</v>
      </c>
      <c r="AL12" s="6">
        <f t="shared" si="20"/>
        <v>0</v>
      </c>
      <c r="AM12" s="71">
        <f>(AL12+AK12)*INDEX(Armor!$B$2:$B$151,A12)+IF(AJ12,1,0)</f>
        <v>0</v>
      </c>
      <c r="AN12" s="71">
        <f>IF(C12="Caster",IF(ISERR(FIND("orb",LOWER(E12))),IF(ISERR(FIND("wand",LOWER(E12))),IF(NOT($D12="Polearm"),0,INDEX(Regeneration!$M$2:$M$151,A12+2)),INDEX(Regeneration!$L$2:$L$151,A12+2)),INDEX(Regeneration!$K$2:$K$151,A12+2)),0)</f>
        <v>0</v>
      </c>
      <c r="AO12" s="71" t="str">
        <f t="shared" si="4"/>
        <v/>
      </c>
      <c r="AP12" s="71" t="str">
        <f>IF(AND($N12,$C12="Caster"),IF(AND(NOT($D12="Polearm"),ISERR(FIND("wand",LOWER($E12)))),0,INDEX(Regeneration!F$2:F$151,A12)*0.06),"")</f>
        <v/>
      </c>
      <c r="AQ12" s="88">
        <f t="shared" si="21"/>
        <v>0</v>
      </c>
      <c r="AR12" s="88">
        <f t="shared" si="22"/>
        <v>0</v>
      </c>
      <c r="AS12" s="16" t="str">
        <f>IF(D12="Shield",INDEX(Regeneration!$C$2:$C$151,A12+3)*0.5*IF(ISERR(FIND("Rare",B12)),IF(ISERR(FIND("Uncommon",B12)),1,1.5),2.25),"")</f>
        <v/>
      </c>
      <c r="AT12" s="16" t="str">
        <f t="shared" si="5"/>
        <v/>
      </c>
      <c r="AU12" s="16" t="str">
        <f t="shared" si="6"/>
        <v/>
      </c>
      <c r="AV12" s="16" t="str">
        <f t="shared" si="7"/>
        <v/>
      </c>
      <c r="AW12" s="16" t="str">
        <f>IF(D12="Ring",INDEX(Regeneration!$B$6:$B$155,A12)*0.06,"")</f>
        <v/>
      </c>
      <c r="AX12" s="84" t="str">
        <f t="shared" si="8"/>
        <v/>
      </c>
      <c r="AZ12" s="16" t="str">
        <f t="shared" si="23"/>
        <v/>
      </c>
      <c r="BA12" s="6">
        <f t="shared" si="9"/>
        <v>0</v>
      </c>
      <c r="BB12" s="6">
        <f t="shared" si="25"/>
        <v>0</v>
      </c>
    </row>
    <row r="13" spans="1:54">
      <c r="A13" s="81">
        <v>1</v>
      </c>
      <c r="B13" s="30" t="s">
        <v>492</v>
      </c>
      <c r="C13" s="30" t="s">
        <v>496</v>
      </c>
      <c r="D13" s="30" t="s">
        <v>472</v>
      </c>
      <c r="E13" s="30" t="s">
        <v>541</v>
      </c>
      <c r="F13" s="30" t="s">
        <v>661</v>
      </c>
      <c r="G13" s="76">
        <f t="shared" ref="G13:G20" si="26">IF(ISERR(FIND("Rare",B13)),IF(ISERR(FIND("Uncommon",B13)),A13,A13+5),A13+10)</f>
        <v>1</v>
      </c>
      <c r="H13" s="101">
        <v>150</v>
      </c>
      <c r="I13" s="76" t="s">
        <v>658</v>
      </c>
      <c r="J13" s="76" t="str">
        <f t="shared" ref="J13:J20" si="27">LOWER(D13)</f>
        <v>1-handed weapon</v>
      </c>
      <c r="K13" s="76" t="str">
        <f t="array" ref="K13">"A"&amp;IF(IF(ISBLANK(I13),OR(LEFT(LOWER(F13),1)={"a","e","I","o","u"}),OR(LEFT(LOWER(I13),1)={"a","e","I","o","u"})),"n "," ")&amp;I13&amp;IF(ISBLANK(I13),""," ")&amp;LOWER(F13)&amp;IF(LEFT(J13,1)="-",""," ")&amp;J13</f>
        <v>A charred and heavy wooden 1-handed weapon</v>
      </c>
      <c r="L13" s="76">
        <v>1</v>
      </c>
      <c r="M13" s="62">
        <v>10</v>
      </c>
      <c r="N13" s="62" t="s">
        <v>645</v>
      </c>
      <c r="O13" s="93" t="b">
        <f t="shared" si="11"/>
        <v>0</v>
      </c>
      <c r="P13" s="76" t="s">
        <v>504</v>
      </c>
      <c r="Q13" s="62" t="s">
        <v>643</v>
      </c>
      <c r="R13" s="98">
        <f t="shared" si="12"/>
        <v>1</v>
      </c>
      <c r="S13" s="93">
        <f t="shared" si="13"/>
        <v>1</v>
      </c>
      <c r="T13" s="98">
        <f t="shared" si="14"/>
        <v>1</v>
      </c>
      <c r="U13" s="95">
        <f t="shared" si="15"/>
        <v>2</v>
      </c>
      <c r="V13" s="98">
        <f t="shared" si="16"/>
        <v>650</v>
      </c>
      <c r="W13" s="6">
        <f t="shared" si="17"/>
        <v>0.18</v>
      </c>
      <c r="X13" s="6">
        <v>0</v>
      </c>
      <c r="Y13" s="76" t="b">
        <v>1</v>
      </c>
      <c r="Z13" s="76">
        <f t="shared" si="0"/>
        <v>0</v>
      </c>
      <c r="AA13" s="71" t="str">
        <f t="shared" si="1"/>
        <v/>
      </c>
      <c r="AD13" s="71" t="str">
        <f t="shared" si="2"/>
        <v/>
      </c>
      <c r="AE13" s="71" t="str">
        <f t="shared" si="3"/>
        <v/>
      </c>
      <c r="AG13" s="43">
        <f>IF(N13,INDEX(Damage!$F$2:$F$151,A13)*R13*S13*V13/1000,"")</f>
        <v>7.166568627450979</v>
      </c>
      <c r="AH13" s="94">
        <f t="shared" si="18"/>
        <v>5.876586274509803</v>
      </c>
      <c r="AI13" s="94">
        <f t="shared" si="19"/>
        <v>8.456550980392155</v>
      </c>
      <c r="AJ13" s="79" t="s">
        <v>644</v>
      </c>
      <c r="AK13" s="6" t="b">
        <f t="array" ref="AK13">IF(AJ13,MAX(IF(Armor!$D$2:'Armor'!$D$7=D13,Armor!$E$2:$E$7),0))</f>
        <v>0</v>
      </c>
      <c r="AL13" s="6">
        <f t="shared" si="20"/>
        <v>0</v>
      </c>
      <c r="AM13" s="71">
        <f>(AL13+AK13)*INDEX(Armor!$B$2:$B$151,A13)+IF(AJ13,1,0)</f>
        <v>0</v>
      </c>
      <c r="AN13" s="71">
        <f>IF(C13="Caster",IF(ISERR(FIND("orb",LOWER(E13))),IF(ISERR(FIND("wand",LOWER(E13))),IF(NOT($D13="Polearm"),0,INDEX(Regeneration!$M$2:$M$151,A13+2)),INDEX(Regeneration!$L$2:$L$151,A13+2)),INDEX(Regeneration!$K$2:$K$151,A13+2)),0)</f>
        <v>0</v>
      </c>
      <c r="AO13" s="71" t="str">
        <f t="shared" si="4"/>
        <v/>
      </c>
      <c r="AP13" s="71" t="str">
        <f>IF(AND($N13,$C13="Caster"),IF(AND(NOT($D13="Polearm"),ISERR(FIND("wand",LOWER($E13)))),0,INDEX(Regeneration!F$2:F$151,A13)*0.06),"")</f>
        <v/>
      </c>
      <c r="AQ13" s="88">
        <f t="shared" si="21"/>
        <v>0</v>
      </c>
      <c r="AR13" s="88">
        <f t="shared" si="22"/>
        <v>0</v>
      </c>
      <c r="AS13" s="16" t="str">
        <f>IF(D13="Shield",INDEX(Regeneration!$C$2:$C$151,A13+3)*0.5*IF(ISERR(FIND("Rare",B13)),IF(ISERR(FIND("Uncommon",B13)),1,1.5),2.25),"")</f>
        <v/>
      </c>
      <c r="AT13" s="16" t="str">
        <f t="shared" si="5"/>
        <v/>
      </c>
      <c r="AU13" s="16" t="str">
        <f t="shared" si="6"/>
        <v/>
      </c>
      <c r="AV13" s="16" t="str">
        <f t="shared" si="7"/>
        <v/>
      </c>
      <c r="AW13" s="16" t="str">
        <f>IF(D13="Ring",INDEX(Regeneration!$B$6:$B$155,A13)*0.06,"")</f>
        <v/>
      </c>
      <c r="AX13" s="84" t="str">
        <f t="shared" si="8"/>
        <v/>
      </c>
      <c r="AZ13" s="16" t="str">
        <f t="shared" si="23"/>
        <v/>
      </c>
      <c r="BA13" s="6">
        <f t="shared" si="9"/>
        <v>0</v>
      </c>
      <c r="BB13" s="6">
        <f t="shared" si="25"/>
        <v>0</v>
      </c>
    </row>
    <row r="14" spans="1:54">
      <c r="A14" s="76">
        <v>1</v>
      </c>
      <c r="B14" s="30" t="s">
        <v>492</v>
      </c>
      <c r="C14" s="30" t="s">
        <v>496</v>
      </c>
      <c r="D14" s="30" t="s">
        <v>472</v>
      </c>
      <c r="E14" s="30" t="s">
        <v>540</v>
      </c>
      <c r="F14" s="30" t="s">
        <v>661</v>
      </c>
      <c r="G14" s="76">
        <f t="shared" si="26"/>
        <v>1</v>
      </c>
      <c r="H14" s="101">
        <v>150</v>
      </c>
      <c r="I14" s="76" t="s">
        <v>657</v>
      </c>
      <c r="J14" s="89" t="str">
        <f t="shared" si="27"/>
        <v>1-handed weapon</v>
      </c>
      <c r="K14" s="76" t="str">
        <f t="array" ref="K14">"A"&amp;IF(IF(ISBLANK(I14),OR(LEFT(LOWER(F14),1)={"a","e","I","o","u"}),OR(LEFT(LOWER(I14),1)={"a","e","I","o","u"})),"n "," ")&amp;I14&amp;IF(ISBLANK(I14),""," ")&amp;LOWER(F14)&amp;IF(LEFT(J14,1)="-",""," ")&amp;J14</f>
        <v>A splintered wooden 1-handed weapon</v>
      </c>
      <c r="L14" s="76">
        <v>1</v>
      </c>
      <c r="M14" s="62">
        <v>10</v>
      </c>
      <c r="N14" s="62" t="s">
        <v>645</v>
      </c>
      <c r="O14" s="93" t="b">
        <f t="shared" si="11"/>
        <v>0</v>
      </c>
      <c r="P14" s="76" t="s">
        <v>504</v>
      </c>
      <c r="Q14" s="62" t="s">
        <v>506</v>
      </c>
      <c r="R14" s="98">
        <f t="shared" si="12"/>
        <v>0.9</v>
      </c>
      <c r="S14" s="93">
        <f t="shared" si="13"/>
        <v>1</v>
      </c>
      <c r="T14" s="98">
        <f t="shared" si="14"/>
        <v>0.7</v>
      </c>
      <c r="U14" s="95">
        <f t="shared" si="15"/>
        <v>2</v>
      </c>
      <c r="V14" s="98">
        <f t="shared" si="16"/>
        <v>454.99999999999994</v>
      </c>
      <c r="W14" s="6">
        <f t="shared" si="17"/>
        <v>0.15</v>
      </c>
      <c r="X14" s="6">
        <v>0</v>
      </c>
      <c r="Y14" s="76" t="b">
        <v>1</v>
      </c>
      <c r="Z14" s="76">
        <f t="shared" si="0"/>
        <v>0</v>
      </c>
      <c r="AA14" s="71" t="str">
        <f t="shared" si="1"/>
        <v/>
      </c>
      <c r="AD14" s="71" t="str">
        <f t="shared" si="2"/>
        <v/>
      </c>
      <c r="AE14" s="71" t="str">
        <f t="shared" si="3"/>
        <v/>
      </c>
      <c r="AG14" s="43">
        <f>IF(N14,INDEX(Damage!$F$2:$F$151,A14)*R14*S14*V14/1000,"")</f>
        <v>4.5149382352941165</v>
      </c>
      <c r="AH14" s="94">
        <f t="shared" si="18"/>
        <v>3.8376974999999991</v>
      </c>
      <c r="AI14" s="94">
        <f t="shared" si="19"/>
        <v>5.192178970588234</v>
      </c>
      <c r="AJ14" s="79" t="b">
        <v>0</v>
      </c>
      <c r="AK14" s="6" t="b">
        <f t="array" ref="AK14">IF(AJ14,MAX(IF(Armor!$D$2:'Armor'!$D$7=D14,Armor!$E$2:$E$7),0))</f>
        <v>0</v>
      </c>
      <c r="AL14" s="6">
        <f t="shared" si="20"/>
        <v>0</v>
      </c>
      <c r="AM14" s="71">
        <f>(AL14+AK14)*INDEX(Armor!$B$2:$B$151,A14)+IF(AJ14,1,0)</f>
        <v>0</v>
      </c>
      <c r="AN14" s="71">
        <f>IF(C14="Caster",IF(ISERR(FIND("orb",LOWER(E14))),IF(ISERR(FIND("wand",LOWER(E14))),IF(NOT($D14="Polearm"),0,INDEX(Regeneration!$M$2:$M$151,A14+2)),INDEX(Regeneration!$L$2:$L$151,A14+2)),INDEX(Regeneration!$K$2:$K$151,A14+2)),0)</f>
        <v>0</v>
      </c>
      <c r="AO14" s="71" t="str">
        <f t="shared" si="4"/>
        <v/>
      </c>
      <c r="AP14" s="71" t="str">
        <f>IF(AND($N14,$C14="Caster"),IF(AND(NOT($D14="Polearm"),ISERR(FIND("wand",LOWER($E14)))),0,INDEX(Regeneration!F$2:F$151,A14)*0.06),"")</f>
        <v/>
      </c>
      <c r="AQ14" s="88">
        <f t="shared" si="21"/>
        <v>0</v>
      </c>
      <c r="AR14" s="88">
        <f t="shared" si="22"/>
        <v>0</v>
      </c>
      <c r="AS14" s="16" t="str">
        <f>IF(D14="Shield",INDEX(Regeneration!$C$2:$C$151,A14+3)*0.5*IF(ISERR(FIND("Rare",B14)),IF(ISERR(FIND("Uncommon",B14)),1,1.5),2.25),"")</f>
        <v/>
      </c>
      <c r="AT14" s="16" t="str">
        <f t="shared" si="5"/>
        <v/>
      </c>
      <c r="AU14" s="16" t="str">
        <f t="shared" si="6"/>
        <v/>
      </c>
      <c r="AV14" s="16" t="str">
        <f t="shared" si="7"/>
        <v/>
      </c>
      <c r="AW14" s="16" t="str">
        <f>IF(D14="Ring",INDEX(Regeneration!$B$6:$B$155,A14)*0.06,"")</f>
        <v/>
      </c>
      <c r="AX14" s="84" t="str">
        <f t="shared" si="8"/>
        <v/>
      </c>
      <c r="AZ14" s="16" t="str">
        <f t="shared" si="23"/>
        <v/>
      </c>
      <c r="BA14" s="6">
        <f t="shared" si="9"/>
        <v>0</v>
      </c>
      <c r="BB14" s="6">
        <f t="shared" si="25"/>
        <v>0</v>
      </c>
    </row>
    <row r="15" spans="1:54">
      <c r="A15" s="76">
        <v>1</v>
      </c>
      <c r="B15" s="30" t="s">
        <v>492</v>
      </c>
      <c r="C15" s="30" t="s">
        <v>496</v>
      </c>
      <c r="D15" s="30" t="s">
        <v>401</v>
      </c>
      <c r="E15" s="30" t="s">
        <v>438</v>
      </c>
      <c r="F15" s="30" t="s">
        <v>656</v>
      </c>
      <c r="G15" s="76">
        <f t="shared" si="26"/>
        <v>1</v>
      </c>
      <c r="H15" s="101">
        <v>150</v>
      </c>
      <c r="I15" s="76" t="s">
        <v>678</v>
      </c>
      <c r="J15" s="76" t="str">
        <f t="shared" si="27"/>
        <v>armor</v>
      </c>
      <c r="K15" s="76" t="str">
        <f t="array" ref="K15">"A"&amp;IF(IF(ISBLANK(I15),OR(LEFT(LOWER(F15),1)={"a","e","I","o","u"}),OR(LEFT(LOWER(I15),1)={"a","e","I","o","u"})),"n "," ")&amp;I15&amp;IF(ISBLANK(I15),""," ")&amp;LOWER(F15)&amp;IF(LEFT(J15,1)="-",""," ")&amp;J15</f>
        <v>A well-crafted suit of leather armor</v>
      </c>
      <c r="L15" s="76">
        <v>1</v>
      </c>
      <c r="M15" s="62">
        <v>34</v>
      </c>
      <c r="N15" s="62" t="s">
        <v>644</v>
      </c>
      <c r="O15" s="93" t="b">
        <f t="shared" si="11"/>
        <v>0</v>
      </c>
      <c r="P15" s="76" t="s">
        <v>490</v>
      </c>
      <c r="Q15" s="62" t="s">
        <v>490</v>
      </c>
      <c r="R15" s="98" t="str">
        <f t="shared" si="12"/>
        <v/>
      </c>
      <c r="S15" s="93" t="str">
        <f t="shared" si="13"/>
        <v/>
      </c>
      <c r="T15" s="98" t="str">
        <f t="shared" si="14"/>
        <v/>
      </c>
      <c r="U15" s="95" t="str">
        <f t="shared" si="15"/>
        <v/>
      </c>
      <c r="V15" s="98" t="str">
        <f t="shared" si="16"/>
        <v/>
      </c>
      <c r="W15" s="6" t="str">
        <f t="shared" si="17"/>
        <v/>
      </c>
      <c r="X15" s="6">
        <v>0</v>
      </c>
      <c r="Y15" s="76" t="b">
        <v>1</v>
      </c>
      <c r="Z15" s="76">
        <f t="shared" si="0"/>
        <v>0</v>
      </c>
      <c r="AA15" s="71" t="str">
        <f t="shared" si="1"/>
        <v/>
      </c>
      <c r="AD15" s="71" t="str">
        <f t="shared" si="2"/>
        <v/>
      </c>
      <c r="AE15" s="71" t="str">
        <f t="shared" si="3"/>
        <v/>
      </c>
      <c r="AG15" s="43" t="str">
        <f>IF(N15,INDEX(Damage!$F$2:$F$151,A15)*R15*S15*V15/1000,"")</f>
        <v/>
      </c>
      <c r="AH15" s="94" t="str">
        <f t="shared" si="18"/>
        <v/>
      </c>
      <c r="AI15" s="94" t="str">
        <f t="shared" si="19"/>
        <v/>
      </c>
      <c r="AJ15" s="79" t="b">
        <v>1</v>
      </c>
      <c r="AK15" s="6">
        <f t="array" ref="AK15">IF(AJ15,MAX(IF(Armor!$D$2:'Armor'!$D$7=D15,Armor!$E$2:$E$7),0))</f>
        <v>0.45</v>
      </c>
      <c r="AL15" s="6">
        <f t="shared" si="20"/>
        <v>0</v>
      </c>
      <c r="AM15" s="71">
        <f>(AL15+AK15)*INDEX(Armor!$B$2:$B$151,A15)+IF(AJ15,1,0)</f>
        <v>23.5</v>
      </c>
      <c r="AN15" s="71">
        <f>IF(C15="Caster",IF(ISERR(FIND("orb",LOWER(E15))),IF(ISERR(FIND("wand",LOWER(E15))),IF(NOT($D15="Polearm"),0,INDEX(Regeneration!$M$2:$M$151,A15+2)),INDEX(Regeneration!$L$2:$L$151,A15+2)),INDEX(Regeneration!$K$2:$K$151,A15+2)),0)</f>
        <v>0</v>
      </c>
      <c r="AO15" s="71" t="str">
        <f t="shared" si="4"/>
        <v/>
      </c>
      <c r="AP15" s="71" t="str">
        <f>IF(AND($N15,$C15="Caster"),IF(AND(NOT($D15="Polearm"),ISERR(FIND("wand",LOWER($E15)))),0,INDEX(Regeneration!F$2:F$151,A15)*0.06),"")</f>
        <v/>
      </c>
      <c r="AQ15" s="88">
        <f t="shared" si="21"/>
        <v>0</v>
      </c>
      <c r="AR15" s="88">
        <f t="shared" si="22"/>
        <v>0</v>
      </c>
      <c r="AS15" s="16" t="str">
        <f>IF(D15="Shield",INDEX(Regeneration!$C$2:$C$151,A15+3)*0.5*IF(ISERR(FIND("Rare",B15)),IF(ISERR(FIND("Uncommon",B15)),1,1.5),2.25),"")</f>
        <v/>
      </c>
      <c r="AT15" s="16" t="str">
        <f t="shared" si="5"/>
        <v/>
      </c>
      <c r="AU15" s="16" t="str">
        <f t="shared" si="6"/>
        <v/>
      </c>
      <c r="AV15" s="16" t="str">
        <f t="shared" si="7"/>
        <v/>
      </c>
      <c r="AW15" s="16" t="str">
        <f>IF(D15="Ring",INDEX(Regeneration!$B$6:$B$155,A15)*0.06,"")</f>
        <v/>
      </c>
      <c r="AX15" s="84" t="str">
        <f t="shared" si="8"/>
        <v/>
      </c>
      <c r="AZ15" s="16" t="str">
        <f t="shared" si="23"/>
        <v/>
      </c>
      <c r="BA15" s="6">
        <f t="shared" si="9"/>
        <v>0</v>
      </c>
      <c r="BB15" s="6">
        <f t="shared" si="25"/>
        <v>0</v>
      </c>
    </row>
    <row r="16" spans="1:54">
      <c r="A16" s="76">
        <v>1</v>
      </c>
      <c r="B16" s="30" t="s">
        <v>492</v>
      </c>
      <c r="C16" s="30" t="s">
        <v>496</v>
      </c>
      <c r="D16" s="30" t="s">
        <v>484</v>
      </c>
      <c r="E16" s="30" t="s">
        <v>437</v>
      </c>
      <c r="F16" s="30" t="s">
        <v>656</v>
      </c>
      <c r="G16" s="76">
        <f t="shared" si="26"/>
        <v>1</v>
      </c>
      <c r="H16" s="101">
        <v>150</v>
      </c>
      <c r="J16" s="76" t="str">
        <f t="shared" si="27"/>
        <v>belt</v>
      </c>
      <c r="K16" s="76" t="str">
        <f t="array" ref="K16">"A"&amp;IF(IF(ISBLANK(I16),OR(LEFT(LOWER(F16),1)={"a","e","I","o","u"}),OR(LEFT(LOWER(I16),1)={"a","e","I","o","u"})),"n "," ")&amp;I16&amp;IF(ISBLANK(I16),""," ")&amp;LOWER(F16)&amp;IF(LEFT(J16,1)="-",""," ")&amp;J16</f>
        <v>A leather belt</v>
      </c>
      <c r="L16" s="76">
        <v>1</v>
      </c>
      <c r="M16" s="62">
        <v>10</v>
      </c>
      <c r="N16" s="62" t="s">
        <v>644</v>
      </c>
      <c r="O16" s="93" t="b">
        <f t="shared" si="11"/>
        <v>0</v>
      </c>
      <c r="P16" s="76" t="s">
        <v>490</v>
      </c>
      <c r="Q16" s="62" t="s">
        <v>490</v>
      </c>
      <c r="R16" s="98" t="str">
        <f t="shared" si="12"/>
        <v/>
      </c>
      <c r="S16" s="93" t="str">
        <f t="shared" si="13"/>
        <v/>
      </c>
      <c r="T16" s="98" t="str">
        <f t="shared" si="14"/>
        <v/>
      </c>
      <c r="U16" s="95" t="str">
        <f t="shared" si="15"/>
        <v/>
      </c>
      <c r="V16" s="98" t="str">
        <f t="shared" si="16"/>
        <v/>
      </c>
      <c r="W16" s="6" t="str">
        <f t="shared" si="17"/>
        <v/>
      </c>
      <c r="X16" s="6">
        <v>0</v>
      </c>
      <c r="Y16" s="76" t="b">
        <v>1</v>
      </c>
      <c r="Z16" s="76">
        <f t="shared" si="0"/>
        <v>0</v>
      </c>
      <c r="AA16" s="71" t="str">
        <f t="shared" si="1"/>
        <v/>
      </c>
      <c r="AD16" s="71" t="str">
        <f t="shared" si="2"/>
        <v/>
      </c>
      <c r="AE16" s="71" t="str">
        <f t="shared" si="3"/>
        <v/>
      </c>
      <c r="AG16" s="43" t="str">
        <f>IF(N16,INDEX(Damage!$F$2:$F$151,A16)*R16*S16*V16/1000,"")</f>
        <v/>
      </c>
      <c r="AH16" s="94" t="str">
        <f t="shared" si="18"/>
        <v/>
      </c>
      <c r="AI16" s="94" t="str">
        <f t="shared" si="19"/>
        <v/>
      </c>
      <c r="AJ16" s="79" t="s">
        <v>645</v>
      </c>
      <c r="AK16" s="6">
        <f t="array" ref="AK16">IF(AJ16,MAX(IF(Armor!$D$2:'Armor'!$D$7=D16,Armor!$E$2:$E$7),0))</f>
        <v>0.06</v>
      </c>
      <c r="AL16" s="6">
        <f t="shared" si="20"/>
        <v>0</v>
      </c>
      <c r="AM16" s="71">
        <f>(AL16+AK16)*INDEX(Armor!$B$2:$B$151,A16)+IF(AJ16,1,0)</f>
        <v>4</v>
      </c>
      <c r="AN16" s="71">
        <f>IF(C16="Caster",IF(ISERR(FIND("orb",LOWER(E16))),IF(ISERR(FIND("wand",LOWER(E16))),IF(NOT($D16="Polearm"),0,INDEX(Regeneration!$M$2:$M$151,A16+2)),INDEX(Regeneration!$L$2:$L$151,A16+2)),INDEX(Regeneration!$K$2:$K$151,A16+2)),0)</f>
        <v>0</v>
      </c>
      <c r="AO16" s="71" t="str">
        <f t="shared" si="4"/>
        <v/>
      </c>
      <c r="AP16" s="71" t="str">
        <f>IF(AND($N16,$C16="Caster"),IF(AND(NOT($D16="Polearm"),ISERR(FIND("wand",LOWER($E16)))),0,INDEX(Regeneration!F$2:F$151,A16)*0.06),"")</f>
        <v/>
      </c>
      <c r="AQ16" s="88">
        <f t="shared" si="21"/>
        <v>0</v>
      </c>
      <c r="AR16" s="88">
        <f t="shared" si="22"/>
        <v>0</v>
      </c>
      <c r="AS16" s="16" t="str">
        <f>IF(D16="Shield",INDEX(Regeneration!$C$2:$C$151,A16+3)*0.5*IF(ISERR(FIND("Rare",B16)),IF(ISERR(FIND("Uncommon",B16)),1,1.5),2.25),"")</f>
        <v/>
      </c>
      <c r="AT16" s="16" t="str">
        <f t="shared" si="5"/>
        <v/>
      </c>
      <c r="AU16" s="16" t="str">
        <f t="shared" si="6"/>
        <v/>
      </c>
      <c r="AV16" s="16" t="str">
        <f t="shared" si="7"/>
        <v/>
      </c>
      <c r="AW16" s="16" t="str">
        <f>IF(D16="Ring",INDEX(Regeneration!$B$6:$B$155,A16)*0.06,"")</f>
        <v/>
      </c>
      <c r="AX16" s="84" t="str">
        <f t="shared" si="8"/>
        <v/>
      </c>
      <c r="AZ16" s="16" t="str">
        <f t="shared" si="23"/>
        <v/>
      </c>
      <c r="BA16" s="6">
        <f t="shared" si="9"/>
        <v>0</v>
      </c>
      <c r="BB16" s="6">
        <f t="shared" si="25"/>
        <v>0</v>
      </c>
    </row>
    <row r="17" spans="1:54">
      <c r="A17" s="76">
        <v>1</v>
      </c>
      <c r="B17" s="30" t="s">
        <v>492</v>
      </c>
      <c r="C17" s="30" t="s">
        <v>496</v>
      </c>
      <c r="D17" s="30" t="s">
        <v>487</v>
      </c>
      <c r="E17" s="30" t="s">
        <v>444</v>
      </c>
      <c r="F17" s="30" t="s">
        <v>656</v>
      </c>
      <c r="G17" s="76">
        <f t="shared" si="26"/>
        <v>1</v>
      </c>
      <c r="H17" s="101">
        <v>150</v>
      </c>
      <c r="I17" s="76" t="s">
        <v>679</v>
      </c>
      <c r="J17" s="76" t="str">
        <f t="shared" si="27"/>
        <v>boots</v>
      </c>
      <c r="K17" s="76" t="str">
        <f t="array" ref="K17">"A"&amp;IF(IF(ISBLANK(I17),OR(LEFT(LOWER(F17),1)={"a","e","I","o","u"}),OR(LEFT(LOWER(I17),1)={"a","e","I","o","u"})),"n "," ")&amp;I17&amp;IF(ISBLANK(I17),""," ")&amp;LOWER(F17)&amp;IF(LEFT(J17,1)="-",""," ")&amp;J17</f>
        <v>A set of fine leather boots</v>
      </c>
      <c r="L17" s="76">
        <v>1</v>
      </c>
      <c r="M17" s="62">
        <v>13</v>
      </c>
      <c r="N17" s="62" t="s">
        <v>644</v>
      </c>
      <c r="O17" s="93" t="b">
        <f t="shared" si="11"/>
        <v>0</v>
      </c>
      <c r="P17" s="76" t="s">
        <v>490</v>
      </c>
      <c r="Q17" s="62" t="s">
        <v>490</v>
      </c>
      <c r="R17" s="98" t="str">
        <f t="shared" si="12"/>
        <v/>
      </c>
      <c r="S17" s="93" t="str">
        <f t="shared" si="13"/>
        <v/>
      </c>
      <c r="T17" s="98" t="str">
        <f t="shared" si="14"/>
        <v/>
      </c>
      <c r="U17" s="95" t="str">
        <f t="shared" si="15"/>
        <v/>
      </c>
      <c r="V17" s="98" t="str">
        <f t="shared" si="16"/>
        <v/>
      </c>
      <c r="W17" s="6" t="str">
        <f t="shared" si="17"/>
        <v/>
      </c>
      <c r="X17" s="6">
        <v>0</v>
      </c>
      <c r="Y17" s="76" t="b">
        <v>1</v>
      </c>
      <c r="Z17" s="76">
        <f t="shared" si="0"/>
        <v>0</v>
      </c>
      <c r="AA17" s="71" t="str">
        <f t="shared" si="1"/>
        <v/>
      </c>
      <c r="AD17" s="71" t="str">
        <f t="shared" si="2"/>
        <v/>
      </c>
      <c r="AE17" s="71" t="str">
        <f t="shared" si="3"/>
        <v/>
      </c>
      <c r="AF17" s="89"/>
      <c r="AG17" s="43" t="str">
        <f>IF(N17,INDEX(Damage!$F$2:$F$151,A17)*R17*S17*V17/1000,"")</f>
        <v/>
      </c>
      <c r="AH17" s="94" t="str">
        <f t="shared" si="18"/>
        <v/>
      </c>
      <c r="AI17" s="94" t="str">
        <f t="shared" si="19"/>
        <v/>
      </c>
      <c r="AJ17" s="79" t="s">
        <v>645</v>
      </c>
      <c r="AK17" s="6">
        <f t="array" ref="AK17">IF(AJ17,MAX(IF(Armor!$D$2:'Armor'!$D$7=D17,Armor!$E$2:$E$7),0))</f>
        <v>0.1</v>
      </c>
      <c r="AL17" s="6">
        <f t="shared" si="20"/>
        <v>0</v>
      </c>
      <c r="AM17" s="71">
        <f>(AL17+AK17)*INDEX(Armor!$B$2:$B$151,A17)+IF(AJ17,1,0)</f>
        <v>6</v>
      </c>
      <c r="AN17" s="71">
        <f>IF(C17="Caster",IF(ISERR(FIND("orb",LOWER(E17))),IF(ISERR(FIND("wand",LOWER(E17))),IF(NOT($D17="Polearm"),0,INDEX(Regeneration!$M$2:$M$151,A17+2)),INDEX(Regeneration!$L$2:$L$151,A17+2)),INDEX(Regeneration!$K$2:$K$151,A17+2)),0)</f>
        <v>0</v>
      </c>
      <c r="AO17" s="71" t="str">
        <f t="shared" si="4"/>
        <v/>
      </c>
      <c r="AP17" s="71" t="str">
        <f>IF(AND($N17,$C17="Caster"),IF(AND(NOT($D17="Polearm"),ISERR(FIND("wand",LOWER($E17)))),0,INDEX(Regeneration!F$2:F$151,A17)*0.06),"")</f>
        <v/>
      </c>
      <c r="AQ17" s="88">
        <f t="shared" si="21"/>
        <v>0</v>
      </c>
      <c r="AR17" s="88">
        <f t="shared" si="22"/>
        <v>0</v>
      </c>
      <c r="AS17" s="16" t="str">
        <f>IF(D17="Shield",INDEX(Regeneration!$C$2:$C$151,A17+3)*0.5*IF(ISERR(FIND("Rare",B17)),IF(ISERR(FIND("Uncommon",B17)),1,1.5),2.25),"")</f>
        <v/>
      </c>
      <c r="AT17" s="16" t="str">
        <f t="shared" si="5"/>
        <v/>
      </c>
      <c r="AU17" s="16" t="str">
        <f t="shared" si="6"/>
        <v/>
      </c>
      <c r="AV17" s="16" t="str">
        <f t="shared" si="7"/>
        <v/>
      </c>
      <c r="AW17" s="16" t="str">
        <f>IF(D17="Ring",INDEX(Regeneration!$B$6:$B$155,A17)*0.06,"")</f>
        <v/>
      </c>
      <c r="AX17" s="84" t="str">
        <f t="shared" si="8"/>
        <v/>
      </c>
      <c r="AZ17" s="16" t="str">
        <f t="shared" si="23"/>
        <v/>
      </c>
      <c r="BA17" s="6">
        <f t="shared" si="9"/>
        <v>0</v>
      </c>
      <c r="BB17" s="6">
        <f t="shared" si="25"/>
        <v>0</v>
      </c>
    </row>
    <row r="18" spans="1:54">
      <c r="A18" s="76">
        <v>1</v>
      </c>
      <c r="B18" s="30" t="s">
        <v>492</v>
      </c>
      <c r="C18" s="30" t="s">
        <v>496</v>
      </c>
      <c r="D18" s="30" t="s">
        <v>483</v>
      </c>
      <c r="E18" s="30" t="s">
        <v>538</v>
      </c>
      <c r="F18" s="30" t="s">
        <v>656</v>
      </c>
      <c r="G18" s="76">
        <f t="shared" si="26"/>
        <v>1</v>
      </c>
      <c r="H18" s="101">
        <v>150</v>
      </c>
      <c r="I18" s="76" t="s">
        <v>680</v>
      </c>
      <c r="J18" s="76" t="str">
        <f t="shared" si="27"/>
        <v>helmet</v>
      </c>
      <c r="K18" s="76" t="str">
        <f t="array" ref="K18">"A"&amp;IF(IF(ISBLANK(I18),OR(LEFT(LOWER(F18),1)={"a","e","I","o","u"}),OR(LEFT(LOWER(I18),1)={"a","e","I","o","u"})),"n "," ")&amp;I18&amp;IF(ISBLANK(I18),""," ")&amp;LOWER(F18)&amp;IF(LEFT(J18,1)="-",""," ")&amp;J18</f>
        <v>A tight-fitting leather helmet</v>
      </c>
      <c r="L18" s="76">
        <v>1</v>
      </c>
      <c r="M18" s="62">
        <v>13</v>
      </c>
      <c r="N18" s="62" t="s">
        <v>644</v>
      </c>
      <c r="O18" s="93" t="b">
        <f t="shared" si="11"/>
        <v>0</v>
      </c>
      <c r="P18" s="76" t="s">
        <v>490</v>
      </c>
      <c r="Q18" s="62" t="s">
        <v>490</v>
      </c>
      <c r="R18" s="98" t="str">
        <f t="shared" si="12"/>
        <v/>
      </c>
      <c r="S18" s="93" t="str">
        <f t="shared" si="13"/>
        <v/>
      </c>
      <c r="T18" s="98" t="str">
        <f t="shared" si="14"/>
        <v/>
      </c>
      <c r="U18" s="95" t="str">
        <f t="shared" si="15"/>
        <v/>
      </c>
      <c r="V18" s="98" t="str">
        <f t="shared" si="16"/>
        <v/>
      </c>
      <c r="W18" s="6" t="str">
        <f t="shared" si="17"/>
        <v/>
      </c>
      <c r="X18" s="6">
        <v>0</v>
      </c>
      <c r="Y18" s="76" t="b">
        <v>1</v>
      </c>
      <c r="Z18" s="76">
        <f t="shared" si="0"/>
        <v>0</v>
      </c>
      <c r="AA18" s="71" t="str">
        <f t="shared" si="1"/>
        <v/>
      </c>
      <c r="AD18" s="71" t="str">
        <f t="shared" si="2"/>
        <v/>
      </c>
      <c r="AE18" s="71" t="str">
        <f t="shared" si="3"/>
        <v/>
      </c>
      <c r="AG18" s="43" t="str">
        <f>IF(N18,INDEX(Damage!$F$2:$F$151,A18)*R18*S18*V18/1000,"")</f>
        <v/>
      </c>
      <c r="AH18" s="94" t="str">
        <f t="shared" si="18"/>
        <v/>
      </c>
      <c r="AI18" s="94" t="str">
        <f t="shared" si="19"/>
        <v/>
      </c>
      <c r="AJ18" s="79" t="s">
        <v>645</v>
      </c>
      <c r="AK18" s="6">
        <f t="array" ref="AK18">IF(AJ18,MAX(IF(Armor!$D$2:'Armor'!$D$7=D18,Armor!$E$2:$E$7),0))</f>
        <v>0.1</v>
      </c>
      <c r="AL18" s="6">
        <f t="shared" si="20"/>
        <v>0</v>
      </c>
      <c r="AM18" s="71">
        <f>(AL18+AK18)*INDEX(Armor!$B$2:$B$151,A18)+IF(AJ18,1,0)</f>
        <v>6</v>
      </c>
      <c r="AN18" s="71">
        <f>IF(C18="Caster",IF(ISERR(FIND("orb",LOWER(E18))),IF(ISERR(FIND("wand",LOWER(E18))),IF(NOT($D18="Polearm"),0,INDEX(Regeneration!$M$2:$M$151,A18+2)),INDEX(Regeneration!$L$2:$L$151,A18+2)),INDEX(Regeneration!$K$2:$K$151,A18+2)),0)</f>
        <v>0</v>
      </c>
      <c r="AO18" s="71" t="str">
        <f t="shared" si="4"/>
        <v/>
      </c>
      <c r="AP18" s="71" t="str">
        <f>IF(AND($N18,$C18="Caster"),IF(AND(NOT($D18="Polearm"),ISERR(FIND("wand",LOWER($E18)))),0,INDEX(Regeneration!F$2:F$151,A18)*0.06),"")</f>
        <v/>
      </c>
      <c r="AQ18" s="88">
        <f t="shared" si="21"/>
        <v>0</v>
      </c>
      <c r="AR18" s="88">
        <f t="shared" si="22"/>
        <v>0</v>
      </c>
      <c r="AS18" s="16" t="str">
        <f>IF(D18="Shield",INDEX(Regeneration!$C$2:$C$151,A18+3)*0.5*IF(ISERR(FIND("Rare",B18)),IF(ISERR(FIND("Uncommon",B18)),1,1.5),2.25),"")</f>
        <v/>
      </c>
      <c r="AT18" s="16" t="str">
        <f t="shared" si="5"/>
        <v/>
      </c>
      <c r="AU18" s="16" t="str">
        <f t="shared" si="6"/>
        <v/>
      </c>
      <c r="AV18" s="16" t="str">
        <f t="shared" si="7"/>
        <v/>
      </c>
      <c r="AW18" s="16" t="str">
        <f>IF(D18="Ring",INDEX(Regeneration!$B$6:$B$155,A18)*0.06,"")</f>
        <v/>
      </c>
      <c r="AX18" s="84" t="str">
        <f t="shared" si="8"/>
        <v/>
      </c>
      <c r="AZ18" s="16" t="str">
        <f t="shared" si="23"/>
        <v/>
      </c>
      <c r="BA18" s="6">
        <f t="shared" si="9"/>
        <v>0</v>
      </c>
      <c r="BB18" s="6">
        <f t="shared" si="25"/>
        <v>0</v>
      </c>
    </row>
    <row r="19" spans="1:54">
      <c r="A19" s="76">
        <v>1</v>
      </c>
      <c r="B19" s="30" t="s">
        <v>493</v>
      </c>
      <c r="C19" s="30" t="s">
        <v>780</v>
      </c>
      <c r="D19" s="30" t="s">
        <v>473</v>
      </c>
      <c r="E19" s="30" t="s">
        <v>771</v>
      </c>
      <c r="F19" s="30" t="s">
        <v>661</v>
      </c>
      <c r="G19" s="76">
        <f t="shared" si="26"/>
        <v>6</v>
      </c>
      <c r="H19" s="101">
        <v>150</v>
      </c>
      <c r="I19" s="76" t="s">
        <v>662</v>
      </c>
      <c r="J19" s="76" t="str">
        <f t="shared" si="27"/>
        <v>mainhand</v>
      </c>
      <c r="K19" s="76" t="str">
        <f t="array" ref="K19">"A"&amp;IF(IF(ISBLANK(I19),OR(LEFT(LOWER(F19),1)={"a","e","I","o","u"}),OR(LEFT(LOWER(I19),1)={"a","e","I","o","u"})),"n "," ")&amp;I19&amp;IF(ISBLANK(I19),""," ")&amp;LOWER(F19)&amp;IF(LEFT(J19,1)="-",""," ")&amp;J19</f>
        <v>A magical wooden mainhand</v>
      </c>
      <c r="L19" s="76">
        <v>1</v>
      </c>
      <c r="M19" s="62">
        <v>10</v>
      </c>
      <c r="N19" s="62" t="b">
        <v>1</v>
      </c>
      <c r="O19" s="93" t="b">
        <f t="shared" si="11"/>
        <v>0</v>
      </c>
      <c r="P19" s="76" t="s">
        <v>5</v>
      </c>
      <c r="Q19" s="62" t="s">
        <v>506</v>
      </c>
      <c r="R19" s="98">
        <f t="shared" si="12"/>
        <v>0.9</v>
      </c>
      <c r="S19" s="93">
        <f t="shared" si="13"/>
        <v>0.4</v>
      </c>
      <c r="T19" s="98">
        <f t="shared" si="14"/>
        <v>0.7</v>
      </c>
      <c r="U19" s="95">
        <f t="shared" si="15"/>
        <v>1.5</v>
      </c>
      <c r="V19" s="98">
        <f t="shared" si="16"/>
        <v>454.99999999999994</v>
      </c>
      <c r="W19" s="6">
        <f t="shared" si="17"/>
        <v>7.0000000000000007E-2</v>
      </c>
      <c r="X19" s="6">
        <v>0</v>
      </c>
      <c r="Y19" s="76" t="b">
        <v>1</v>
      </c>
      <c r="Z19" s="76">
        <f t="shared" si="0"/>
        <v>0</v>
      </c>
      <c r="AA19" s="71" t="str">
        <f t="shared" si="1"/>
        <v/>
      </c>
      <c r="AD19" s="71" t="str">
        <f t="shared" si="2"/>
        <v/>
      </c>
      <c r="AE19" s="71" t="str">
        <f t="shared" si="3"/>
        <v/>
      </c>
      <c r="AG19" s="43">
        <f>IF(N19,INDEX(Damage!$F$2:$F$151,A19)*R19*S19*V19/1000,"")</f>
        <v>1.8059752941176466</v>
      </c>
      <c r="AH19" s="94">
        <f t="shared" si="18"/>
        <v>1</v>
      </c>
      <c r="AI19" s="94">
        <f t="shared" si="19"/>
        <v>1.9323935647058819</v>
      </c>
      <c r="AJ19" s="90" t="b">
        <v>0</v>
      </c>
      <c r="AK19" s="6" t="b">
        <f t="array" ref="AK19">IF(AJ19,MAX(IF(Armor!$D$2:'Armor'!$D$7=D19,Armor!$E$2:$E$7),0))</f>
        <v>0</v>
      </c>
      <c r="AL19" s="6">
        <f t="shared" si="20"/>
        <v>0.05</v>
      </c>
      <c r="AM19" s="71">
        <f>(AL19+AK19)*INDEX(Armor!$B$2:$B$151,A19)+IF(AJ19,1,0)</f>
        <v>2.5</v>
      </c>
      <c r="AN19" s="71">
        <f>IF(C19="Caster",IF(ISERR(FIND("orb",LOWER(E19))),IF(ISERR(FIND("wand",LOWER(E19))),IF(NOT($D19="Polearm"),0,INDEX(Regeneration!$M$2:$M$151,A19+2)),INDEX(Regeneration!$L$2:$L$151,A19+2)),INDEX(Regeneration!$K$2:$K$151,A19+2)),0)</f>
        <v>8.8888888888888893</v>
      </c>
      <c r="AO19" s="71">
        <f t="shared" si="4"/>
        <v>0</v>
      </c>
      <c r="AP19" s="71">
        <f>IF(AND($N19,$C19="Caster"),IF(AND(NOT($D19="Polearm"),ISERR(FIND("wand",LOWER($E19)))),0,INDEX(Regeneration!F$2:F$151,A19)*0.06),"")</f>
        <v>3.68</v>
      </c>
      <c r="AQ19" s="88">
        <f t="shared" si="21"/>
        <v>0</v>
      </c>
      <c r="AR19" s="88">
        <f t="shared" si="22"/>
        <v>0</v>
      </c>
      <c r="AS19" s="16" t="str">
        <f>IF(D19="Shield",INDEX(Regeneration!$C$2:$C$151,A19+3)*0.5*IF(ISERR(FIND("Rare",B19)),IF(ISERR(FIND("Uncommon",B19)),1,1.5),2.25),"")</f>
        <v/>
      </c>
      <c r="AT19" s="16">
        <f t="shared" si="5"/>
        <v>9.8888888888888893</v>
      </c>
      <c r="AU19" s="16" t="str">
        <f t="shared" si="6"/>
        <v/>
      </c>
      <c r="AV19" s="16" t="str">
        <f t="shared" si="7"/>
        <v/>
      </c>
      <c r="AW19" s="16" t="str">
        <f>IF(D19="Ring",INDEX(Regeneration!$B$6:$B$155,A19)*0.06,"")</f>
        <v/>
      </c>
      <c r="AX19" s="84"/>
      <c r="AZ19" s="16" t="str">
        <f t="shared" si="23"/>
        <v/>
      </c>
      <c r="BA19" s="6">
        <f t="shared" si="9"/>
        <v>0</v>
      </c>
      <c r="BB19" s="6">
        <f t="shared" si="25"/>
        <v>0</v>
      </c>
    </row>
    <row r="20" spans="1:54">
      <c r="A20" s="76">
        <v>1</v>
      </c>
      <c r="B20" s="30" t="s">
        <v>492</v>
      </c>
      <c r="C20" s="30" t="s">
        <v>780</v>
      </c>
      <c r="D20" s="30" t="s">
        <v>474</v>
      </c>
      <c r="E20" s="30" t="s">
        <v>762</v>
      </c>
      <c r="F20" s="30" t="s">
        <v>656</v>
      </c>
      <c r="G20" s="76">
        <f t="shared" si="26"/>
        <v>1</v>
      </c>
      <c r="H20" s="101">
        <v>150</v>
      </c>
      <c r="I20" s="76" t="s">
        <v>662</v>
      </c>
      <c r="J20" s="76" t="str">
        <f t="shared" si="27"/>
        <v>offhand item</v>
      </c>
      <c r="K20" s="76" t="str">
        <f t="array" ref="K20">"A"&amp;IF(IF(ISBLANK(I20),OR(LEFT(LOWER(F20),1)={"a","e","I","o","u"}),OR(LEFT(LOWER(I20),1)={"a","e","I","o","u"})),"n "," ")&amp;I20&amp;IF(ISBLANK(I20),""," ")&amp;LOWER(F20)&amp;IF(LEFT(J20,1)="-",""," ")&amp;J20</f>
        <v>A magical leather offhand item</v>
      </c>
      <c r="L20" s="76">
        <v>1</v>
      </c>
      <c r="M20" s="62">
        <v>5</v>
      </c>
      <c r="N20" s="62" t="b">
        <v>0</v>
      </c>
      <c r="O20" s="93" t="b">
        <f t="shared" si="11"/>
        <v>0</v>
      </c>
      <c r="P20" s="76"/>
      <c r="R20" s="98" t="str">
        <f t="shared" si="12"/>
        <v/>
      </c>
      <c r="S20" s="93" t="str">
        <f t="shared" si="13"/>
        <v/>
      </c>
      <c r="T20" s="98" t="str">
        <f t="shared" si="14"/>
        <v/>
      </c>
      <c r="U20" s="95" t="str">
        <f t="shared" si="15"/>
        <v/>
      </c>
      <c r="V20" s="98" t="str">
        <f t="shared" si="16"/>
        <v/>
      </c>
      <c r="W20" s="6" t="str">
        <f t="shared" si="17"/>
        <v/>
      </c>
      <c r="X20" s="6">
        <v>0</v>
      </c>
      <c r="Y20" s="76" t="b">
        <v>1</v>
      </c>
      <c r="Z20" s="76">
        <f t="shared" si="0"/>
        <v>0</v>
      </c>
      <c r="AA20" s="71" t="str">
        <f t="shared" si="1"/>
        <v/>
      </c>
      <c r="AD20" s="71" t="str">
        <f t="shared" si="2"/>
        <v/>
      </c>
      <c r="AE20" s="71" t="str">
        <f t="shared" si="3"/>
        <v/>
      </c>
      <c r="AG20" s="43" t="str">
        <f>IF(N20,INDEX(Damage!$F$2:$F$151,A20)*R20*S20*V20/1000,"")</f>
        <v/>
      </c>
      <c r="AH20" s="94" t="str">
        <f t="shared" si="18"/>
        <v/>
      </c>
      <c r="AI20" s="94" t="str">
        <f t="shared" si="19"/>
        <v/>
      </c>
      <c r="AJ20" s="90" t="b">
        <v>0</v>
      </c>
      <c r="AK20" s="6" t="b">
        <f t="array" ref="AK20">IF(AJ20,MAX(IF(Armor!$D$2:'Armor'!$D$7=D20,Armor!$E$2:$E$7),0))</f>
        <v>0</v>
      </c>
      <c r="AL20" s="6">
        <f t="shared" si="20"/>
        <v>0</v>
      </c>
      <c r="AM20" s="71">
        <f>(AL20+AK20)*INDEX(Armor!$B$2:$B$151,A20)+IF(AJ20,1,0)</f>
        <v>0</v>
      </c>
      <c r="AN20" s="71">
        <f>IF(C20="Caster",IF(ISERR(FIND("orb",LOWER(E20))),IF(ISERR(FIND("wand",LOWER(E20))),IF(NOT($D20="Polearm"),0,INDEX(Regeneration!$M$2:$M$151,A20+2)),INDEX(Regeneration!$L$2:$L$151,A20+2)),INDEX(Regeneration!$K$2:$K$151,A20+2)),0)</f>
        <v>7.1111111111111116</v>
      </c>
      <c r="AO20" s="71" t="str">
        <f t="shared" si="4"/>
        <v/>
      </c>
      <c r="AP20" s="71" t="str">
        <f>IF(AND($N20,$C20="Caster"),IF(AND(NOT($D20="Polearm"),ISERR(FIND("wand",LOWER($E20)))),0,INDEX(Regeneration!F$2:F$151,A20)*0.06),"")</f>
        <v/>
      </c>
      <c r="AQ20" s="88">
        <f t="shared" si="21"/>
        <v>0</v>
      </c>
      <c r="AR20" s="88">
        <f t="shared" si="22"/>
        <v>0</v>
      </c>
      <c r="AS20" s="16" t="str">
        <f>IF(D20="Shield",INDEX(Regeneration!$C$2:$C$151,A20+3)*0.5*IF(ISERR(FIND("Rare",B20)),IF(ISERR(FIND("Uncommon",B20)),1,1.5),2.25),"")</f>
        <v/>
      </c>
      <c r="AT20" s="16">
        <f t="shared" si="5"/>
        <v>8.1111111111111107</v>
      </c>
      <c r="AU20" s="16" t="str">
        <f t="shared" si="6"/>
        <v/>
      </c>
      <c r="AV20" s="16" t="str">
        <f t="shared" si="7"/>
        <v/>
      </c>
      <c r="AW20" s="16" t="str">
        <f>IF(D20="Ring",INDEX(Regeneration!$B$6:$B$155,A20)*0.06,"")</f>
        <v/>
      </c>
      <c r="AX20" s="84"/>
      <c r="AZ20" s="16" t="str">
        <f t="shared" si="23"/>
        <v/>
      </c>
      <c r="BA20" s="6">
        <f t="shared" si="9"/>
        <v>0</v>
      </c>
      <c r="BB20" s="6">
        <f t="shared" si="25"/>
        <v>0</v>
      </c>
    </row>
    <row r="21" spans="1:54">
      <c r="A21" s="76">
        <v>1</v>
      </c>
      <c r="B21" s="30" t="s">
        <v>493</v>
      </c>
      <c r="C21" s="30" t="s">
        <v>496</v>
      </c>
      <c r="D21" s="30" t="s">
        <v>485</v>
      </c>
      <c r="E21" s="30" t="s">
        <v>713</v>
      </c>
      <c r="G21" s="76">
        <v>10</v>
      </c>
      <c r="H21" s="101">
        <v>150</v>
      </c>
      <c r="K21" s="76" t="s">
        <v>714</v>
      </c>
      <c r="L21" s="76">
        <v>50</v>
      </c>
      <c r="M21" s="62">
        <v>1</v>
      </c>
      <c r="N21" s="62" t="b">
        <v>0</v>
      </c>
      <c r="O21" s="93" t="b">
        <f t="shared" si="11"/>
        <v>0</v>
      </c>
      <c r="P21" s="76" t="s">
        <v>490</v>
      </c>
      <c r="Q21" s="62" t="s">
        <v>490</v>
      </c>
      <c r="R21" s="98" t="str">
        <f t="shared" si="12"/>
        <v/>
      </c>
      <c r="S21" s="93" t="str">
        <f t="shared" si="13"/>
        <v/>
      </c>
      <c r="T21" s="98" t="str">
        <f t="shared" si="14"/>
        <v/>
      </c>
      <c r="U21" s="95" t="str">
        <f t="shared" si="15"/>
        <v/>
      </c>
      <c r="V21" s="98" t="str">
        <f t="shared" si="16"/>
        <v/>
      </c>
      <c r="W21" s="6" t="str">
        <f t="shared" si="17"/>
        <v/>
      </c>
      <c r="X21" s="6">
        <v>0</v>
      </c>
      <c r="Y21" s="76" t="b">
        <v>1</v>
      </c>
      <c r="Z21" s="76">
        <f t="shared" si="0"/>
        <v>0</v>
      </c>
      <c r="AA21" s="71" t="str">
        <f t="shared" si="1"/>
        <v/>
      </c>
      <c r="AD21" s="71" t="str">
        <f t="shared" si="2"/>
        <v/>
      </c>
      <c r="AE21" s="71" t="str">
        <f t="shared" si="3"/>
        <v/>
      </c>
      <c r="AG21" s="43" t="str">
        <f>IF(N21,INDEX(Damage!$F$2:$F$151,A21)*R21*S21*V21/1000,"")</f>
        <v/>
      </c>
      <c r="AH21" s="94" t="str">
        <f t="shared" si="18"/>
        <v/>
      </c>
      <c r="AI21" s="94" t="str">
        <f t="shared" si="19"/>
        <v/>
      </c>
      <c r="AJ21" s="79" t="s">
        <v>644</v>
      </c>
      <c r="AK21" s="6" t="b">
        <f t="array" ref="AK21">IF(AJ21,MAX(IF(Armor!$D$2:'Armor'!$D$7=D21,Armor!$E$2:$E$7),0))</f>
        <v>0</v>
      </c>
      <c r="AL21" s="6">
        <f t="shared" si="20"/>
        <v>0.05</v>
      </c>
      <c r="AM21" s="71">
        <f>(AL21+AK21)*INDEX(Armor!$B$2:$B$151,A21)+IF(AJ21,1,0)</f>
        <v>2.5</v>
      </c>
      <c r="AN21" s="71">
        <f>IF(C21="Caster",IF(ISERR(FIND("orb",LOWER(E21))),IF(ISERR(FIND("wand",LOWER(E21))),IF(NOT($D21="Polearm"),0,INDEX(Regeneration!$M$2:$M$151,A21+2)),INDEX(Regeneration!$L$2:$L$151,A21+2)),INDEX(Regeneration!$K$2:$K$151,A21+2)),0)</f>
        <v>0</v>
      </c>
      <c r="AO21" s="71" t="str">
        <f t="shared" si="4"/>
        <v/>
      </c>
      <c r="AP21" s="71" t="str">
        <f>IF(AND($N21,$C21="Caster"),IF(AND(NOT($D21="Polearm"),ISERR(FIND("wand",LOWER($E21)))),0,INDEX(Regeneration!F$2:F$151,A21)*0.06),"")</f>
        <v/>
      </c>
      <c r="AQ21" s="88">
        <f t="shared" si="21"/>
        <v>0</v>
      </c>
      <c r="AR21" s="88">
        <f t="shared" si="22"/>
        <v>0</v>
      </c>
      <c r="AS21" s="16" t="str">
        <f>IF(D21="Shield",INDEX(Regeneration!$C$2:$C$151,A21+3)*0.5*IF(ISERR(FIND("Rare",B21)),IF(ISERR(FIND("Uncommon",B21)),1,1.5),2.25),"")</f>
        <v/>
      </c>
      <c r="AT21" s="16" t="str">
        <f t="shared" si="5"/>
        <v/>
      </c>
      <c r="AU21" s="16" t="str">
        <f t="shared" si="6"/>
        <v/>
      </c>
      <c r="AV21" s="16">
        <f t="shared" si="7"/>
        <v>5</v>
      </c>
      <c r="AW21" s="16">
        <f>IF(D21="Ring",INDEX(Regeneration!$B$6:$B$155,A21)*0.06,"")</f>
        <v>11.103333333333332</v>
      </c>
      <c r="AX21" s="84" t="str">
        <f t="shared" ref="AX21:AX33" si="28">IF(AP21&lt;&gt;0,AP21,"")</f>
        <v/>
      </c>
      <c r="AZ21" s="16" t="str">
        <f t="shared" si="23"/>
        <v/>
      </c>
      <c r="BA21" s="6">
        <f t="shared" si="9"/>
        <v>0</v>
      </c>
      <c r="BB21" s="6">
        <f t="shared" si="25"/>
        <v>0</v>
      </c>
    </row>
    <row r="22" spans="1:54">
      <c r="A22" s="76">
        <v>1</v>
      </c>
      <c r="B22" s="30" t="s">
        <v>493</v>
      </c>
      <c r="C22" s="30" t="s">
        <v>496</v>
      </c>
      <c r="D22" s="30" t="s">
        <v>485</v>
      </c>
      <c r="E22" s="30" t="s">
        <v>543</v>
      </c>
      <c r="F22" s="30" t="s">
        <v>661</v>
      </c>
      <c r="G22" s="76">
        <f t="shared" ref="G22:G53" si="29">IF(ISERR(FIND("Rare",B22)),IF(ISERR(FIND("Uncommon",B22)),A22,A22+5),A22+10)</f>
        <v>6</v>
      </c>
      <c r="H22" s="101">
        <v>150</v>
      </c>
      <c r="I22" s="76" t="s">
        <v>662</v>
      </c>
      <c r="J22" s="76" t="str">
        <f>LOWER(D22)</f>
        <v>ring</v>
      </c>
      <c r="K22" s="76" t="str">
        <f t="array" ref="K22">"A"&amp;IF(IF(ISBLANK(I22),OR(LEFT(LOWER(F22),1)={"a","e","I","o","u"}),OR(LEFT(LOWER(I22),1)={"a","e","I","o","u"})),"n "," ")&amp;I22&amp;IF(ISBLANK(I22),""," ")&amp;LOWER(F22)&amp;IF(LEFT(J22,1)="-",""," ")&amp;J22</f>
        <v>A magical wooden ring</v>
      </c>
      <c r="L22" s="76">
        <v>1</v>
      </c>
      <c r="M22" s="62">
        <v>34</v>
      </c>
      <c r="N22" s="62" t="s">
        <v>644</v>
      </c>
      <c r="O22" s="93" t="b">
        <f t="shared" si="11"/>
        <v>0</v>
      </c>
      <c r="P22" s="76" t="s">
        <v>490</v>
      </c>
      <c r="Q22" s="62" t="s">
        <v>490</v>
      </c>
      <c r="R22" s="98" t="str">
        <f t="shared" si="12"/>
        <v/>
      </c>
      <c r="S22" s="93" t="str">
        <f t="shared" si="13"/>
        <v/>
      </c>
      <c r="T22" s="98" t="str">
        <f t="shared" si="14"/>
        <v/>
      </c>
      <c r="U22" s="95" t="str">
        <f t="shared" si="15"/>
        <v/>
      </c>
      <c r="V22" s="98" t="str">
        <f t="shared" si="16"/>
        <v/>
      </c>
      <c r="W22" s="6" t="str">
        <f t="shared" si="17"/>
        <v/>
      </c>
      <c r="X22" s="6">
        <v>0</v>
      </c>
      <c r="Y22" s="76" t="b">
        <v>1</v>
      </c>
      <c r="Z22" s="76">
        <f t="shared" si="0"/>
        <v>0</v>
      </c>
      <c r="AA22" s="71" t="str">
        <f t="shared" si="1"/>
        <v/>
      </c>
      <c r="AD22" s="71" t="str">
        <f t="shared" si="2"/>
        <v/>
      </c>
      <c r="AE22" s="71" t="str">
        <f t="shared" si="3"/>
        <v/>
      </c>
      <c r="AG22" s="43" t="str">
        <f>IF(N22,INDEX(Damage!$F$2:$F$151,A22)*R22*S22*V22/1000,"")</f>
        <v/>
      </c>
      <c r="AH22" s="94" t="str">
        <f t="shared" si="18"/>
        <v/>
      </c>
      <c r="AI22" s="94" t="str">
        <f t="shared" si="19"/>
        <v/>
      </c>
      <c r="AJ22" s="79" t="s">
        <v>644</v>
      </c>
      <c r="AK22" s="6" t="b">
        <f t="array" ref="AK22">IF(AJ22,MAX(IF(Armor!$D$2:'Armor'!$D$7=D22,Armor!$E$2:$E$7),0))</f>
        <v>0</v>
      </c>
      <c r="AL22" s="6">
        <f>IF(ISERR(FIND("Rare",B22)),IF(ISERR(FIND("Uncommon",B22)),0,5%),10%)</f>
        <v>0.05</v>
      </c>
      <c r="AM22" s="71">
        <f>(AL22+AK22)*INDEX(Armor!$B$2:$B$151,A22)+IF(AJ22,1,0)</f>
        <v>2.5</v>
      </c>
      <c r="AN22" s="71">
        <f>IF(C22="Caster",IF(ISERR(FIND("orb",LOWER(E22))),IF(ISERR(FIND("wand",LOWER(E22))),IF(NOT($D22="Polearm"),0,INDEX(Regeneration!$M$2:$M$151,A22+2)),INDEX(Regeneration!$L$2:$L$151,A22+2)),INDEX(Regeneration!$K$2:$K$151,A22+2)),0)</f>
        <v>0</v>
      </c>
      <c r="AO22" s="71" t="str">
        <f t="shared" si="4"/>
        <v/>
      </c>
      <c r="AP22" s="71" t="str">
        <f>IF(AND($N22,$C22="Caster"),IF(AND(NOT($D22="Polearm"),ISERR(FIND("wand",LOWER($E22)))),0,INDEX(Regeneration!F$2:F$151,A22)*0.06),"")</f>
        <v/>
      </c>
      <c r="AQ22" s="88">
        <f t="shared" si="21"/>
        <v>0</v>
      </c>
      <c r="AR22" s="88">
        <f t="shared" si="22"/>
        <v>0</v>
      </c>
      <c r="AS22" s="16" t="str">
        <f>IF(D22="Shield",INDEX(Regeneration!$C$2:$C$151,A22+3)*0.5*IF(ISERR(FIND("Rare",B22)),IF(ISERR(FIND("Uncommon",B22)),1,1.5),2.25),"")</f>
        <v/>
      </c>
      <c r="AT22" s="16" t="str">
        <f t="shared" si="5"/>
        <v/>
      </c>
      <c r="AU22" s="16" t="str">
        <f t="shared" si="6"/>
        <v/>
      </c>
      <c r="AV22" s="16">
        <f t="shared" si="7"/>
        <v>5</v>
      </c>
      <c r="AW22" s="16">
        <f>IF(D22="Ring",INDEX(Regeneration!$B$6:$B$155,A22)*0.06,"")</f>
        <v>11.103333333333332</v>
      </c>
      <c r="AX22" s="84" t="str">
        <f t="shared" si="28"/>
        <v/>
      </c>
      <c r="AZ22" s="16" t="str">
        <f t="shared" si="23"/>
        <v/>
      </c>
      <c r="BA22" s="6">
        <f t="shared" si="9"/>
        <v>0</v>
      </c>
      <c r="BB22" s="6">
        <f t="shared" si="25"/>
        <v>0</v>
      </c>
    </row>
    <row r="23" spans="1:54">
      <c r="A23" s="76">
        <v>1</v>
      </c>
      <c r="B23" s="30" t="s">
        <v>492</v>
      </c>
      <c r="C23" s="30" t="s">
        <v>496</v>
      </c>
      <c r="D23" s="30" t="s">
        <v>475</v>
      </c>
      <c r="E23" s="30" t="s">
        <v>539</v>
      </c>
      <c r="F23" s="30" t="s">
        <v>661</v>
      </c>
      <c r="G23" s="76">
        <f t="shared" si="29"/>
        <v>1</v>
      </c>
      <c r="H23" s="101">
        <v>150</v>
      </c>
      <c r="I23" s="76" t="s">
        <v>655</v>
      </c>
      <c r="J23" s="76" t="str">
        <f>LOWER(D23)</f>
        <v>shield</v>
      </c>
      <c r="K23" s="76" t="str">
        <f t="array" ref="K23">"A"&amp;IF(IF(ISBLANK(I23),OR(LEFT(LOWER(F23),1)={"a","e","I","o","u"}),OR(LEFT(LOWER(I23),1)={"a","e","I","o","u"})),"n "," ")&amp;I23&amp;IF(ISBLANK(I23),""," ")&amp;LOWER(F23)&amp;IF(LEFT(J23,1)="-",""," ")&amp;J23</f>
        <v>A sturdy wooden shield</v>
      </c>
      <c r="L23" s="76">
        <v>1</v>
      </c>
      <c r="M23" s="62">
        <v>18</v>
      </c>
      <c r="N23" s="62" t="s">
        <v>644</v>
      </c>
      <c r="O23" s="93" t="b">
        <f t="shared" si="11"/>
        <v>0</v>
      </c>
      <c r="P23" s="76" t="s">
        <v>490</v>
      </c>
      <c r="Q23" s="62" t="s">
        <v>490</v>
      </c>
      <c r="R23" s="98" t="str">
        <f t="shared" si="12"/>
        <v/>
      </c>
      <c r="S23" s="93" t="str">
        <f t="shared" si="13"/>
        <v/>
      </c>
      <c r="T23" s="98" t="str">
        <f t="shared" si="14"/>
        <v/>
      </c>
      <c r="U23" s="95" t="str">
        <f t="shared" si="15"/>
        <v/>
      </c>
      <c r="V23" s="98" t="str">
        <f t="shared" si="16"/>
        <v/>
      </c>
      <c r="W23" s="6" t="str">
        <f t="shared" si="17"/>
        <v/>
      </c>
      <c r="X23" s="6">
        <v>0</v>
      </c>
      <c r="Y23" s="76" t="b">
        <v>1</v>
      </c>
      <c r="Z23" s="76">
        <f t="shared" si="0"/>
        <v>0</v>
      </c>
      <c r="AA23" s="71" t="str">
        <f t="shared" si="1"/>
        <v/>
      </c>
      <c r="AD23" s="71" t="str">
        <f t="shared" si="2"/>
        <v/>
      </c>
      <c r="AE23" s="71" t="str">
        <f t="shared" si="3"/>
        <v/>
      </c>
      <c r="AG23" s="43" t="str">
        <f>IF(N23,INDEX(Damage!$F$2:$F$151,A23)*R23*S23*V23/1000,"")</f>
        <v/>
      </c>
      <c r="AH23" s="94" t="str">
        <f t="shared" si="18"/>
        <v/>
      </c>
      <c r="AI23" s="94" t="str">
        <f t="shared" si="19"/>
        <v/>
      </c>
      <c r="AJ23" s="79" t="s">
        <v>645</v>
      </c>
      <c r="AK23" s="6">
        <f t="array" ref="AK23">IF(AJ23,MAX(IF(Armor!$D$2:'Armor'!$D$7=D23,Armor!$E$2:$E$7),0))</f>
        <v>0.25</v>
      </c>
      <c r="AL23" s="6">
        <f>IF(ISERR(FIND("Rare",B23)),IF(ISERR(FIND("Uncommon",B23)),0,5%),10%)</f>
        <v>0</v>
      </c>
      <c r="AM23" s="71">
        <f>(AL23+AK23)*INDEX(Armor!$B$2:$B$151,A23)+IF(AJ23,1,0)</f>
        <v>13.5</v>
      </c>
      <c r="AN23" s="71">
        <f>IF(C23="Caster",IF(ISERR(FIND("orb",LOWER(E23))),IF(ISERR(FIND("wand",LOWER(E23))),IF(NOT($D23="Polearm"),0,INDEX(Regeneration!$M$2:$M$151,A23+2)),INDEX(Regeneration!$L$2:$L$151,A23+2)),INDEX(Regeneration!$K$2:$K$151,A23+2)),0)</f>
        <v>0</v>
      </c>
      <c r="AO23" s="71" t="str">
        <f t="shared" si="4"/>
        <v/>
      </c>
      <c r="AP23" s="71" t="str">
        <f>IF(AND($N23,$C23="Caster"),IF(AND(NOT($D23="Polearm"),ISERR(FIND("wand",LOWER($E23)))),0,INDEX(Regeneration!F$2:F$151,A23)*0.06),"")</f>
        <v/>
      </c>
      <c r="AQ23" s="88">
        <f t="shared" si="21"/>
        <v>0</v>
      </c>
      <c r="AR23" s="88">
        <f t="shared" si="22"/>
        <v>0</v>
      </c>
      <c r="AS23" s="16">
        <f>IF(D23="Shield",INDEX(Regeneration!$C$2:$C$151,A23+3)*0.5*IF(ISERR(FIND("Rare",B23)),IF(ISERR(FIND("Uncommon",B23)),1,1.5),2.25),"")</f>
        <v>12.493827160493829</v>
      </c>
      <c r="AT23" s="16" t="str">
        <f t="shared" si="5"/>
        <v/>
      </c>
      <c r="AU23" s="16" t="str">
        <f t="shared" si="6"/>
        <v/>
      </c>
      <c r="AV23" s="16" t="str">
        <f t="shared" si="7"/>
        <v/>
      </c>
      <c r="AW23" s="16" t="str">
        <f>IF(D23="Ring",INDEX(Regeneration!$B$6:$B$155,A23)*0.06,"")</f>
        <v/>
      </c>
      <c r="AX23" s="84" t="str">
        <f t="shared" si="28"/>
        <v/>
      </c>
      <c r="AZ23" s="16" t="str">
        <f t="shared" si="23"/>
        <v/>
      </c>
      <c r="BA23" s="6">
        <f t="shared" si="9"/>
        <v>0</v>
      </c>
      <c r="BB23" s="6">
        <f t="shared" si="25"/>
        <v>0</v>
      </c>
    </row>
    <row r="24" spans="1:54">
      <c r="A24" s="76">
        <v>1</v>
      </c>
      <c r="B24" s="30" t="s">
        <v>492</v>
      </c>
      <c r="C24" s="30" t="s">
        <v>10</v>
      </c>
      <c r="D24" s="30" t="s">
        <v>482</v>
      </c>
      <c r="E24" s="30" t="s">
        <v>542</v>
      </c>
      <c r="F24" s="30" t="s">
        <v>661</v>
      </c>
      <c r="G24" s="76">
        <f t="shared" si="29"/>
        <v>1</v>
      </c>
      <c r="H24" s="101">
        <v>150</v>
      </c>
      <c r="I24" s="76" t="s">
        <v>659</v>
      </c>
      <c r="J24" s="76" t="str">
        <f>LOWER(D24)</f>
        <v>spear</v>
      </c>
      <c r="K24" s="76" t="str">
        <f t="array" ref="K24">"A"&amp;IF(IF(ISBLANK(I24),OR(LEFT(LOWER(F24),1)={"a","e","I","o","u"}),OR(LEFT(LOWER(I24),1)={"a","e","I","o","u"})),"n "," ")&amp;I24&amp;IF(ISBLANK(I24),""," ")&amp;LOWER(F24)&amp;IF(LEFT(J24,1)="-",""," ")&amp;J24</f>
        <v>A supple wooden spear</v>
      </c>
      <c r="L24" s="76">
        <v>1</v>
      </c>
      <c r="M24" s="62">
        <v>13</v>
      </c>
      <c r="N24" s="62" t="s">
        <v>645</v>
      </c>
      <c r="O24" s="93" t="b">
        <f t="shared" si="11"/>
        <v>0</v>
      </c>
      <c r="P24" s="76" t="s">
        <v>7</v>
      </c>
      <c r="Q24" s="62" t="s">
        <v>505</v>
      </c>
      <c r="R24" s="98">
        <f t="shared" si="12"/>
        <v>1.1000000000000001</v>
      </c>
      <c r="S24" s="93">
        <f t="shared" si="13"/>
        <v>1</v>
      </c>
      <c r="T24" s="98">
        <f t="shared" si="14"/>
        <v>1.3</v>
      </c>
      <c r="U24" s="95">
        <f t="shared" si="15"/>
        <v>2.5</v>
      </c>
      <c r="V24" s="98">
        <f t="shared" si="16"/>
        <v>845</v>
      </c>
      <c r="W24" s="6">
        <f t="shared" si="17"/>
        <v>0.3</v>
      </c>
      <c r="X24" s="6">
        <v>0</v>
      </c>
      <c r="Y24" s="76" t="b">
        <v>1</v>
      </c>
      <c r="Z24" s="76">
        <f t="shared" si="0"/>
        <v>0</v>
      </c>
      <c r="AA24" s="71" t="str">
        <f t="shared" si="1"/>
        <v/>
      </c>
      <c r="AD24" s="71" t="str">
        <f t="shared" si="2"/>
        <v/>
      </c>
      <c r="AE24" s="71" t="str">
        <f t="shared" si="3"/>
        <v/>
      </c>
      <c r="AG24" s="43">
        <f>IF(N24,INDEX(Damage!$F$2:$F$151,A24)*R24*S24*V24/1000,"")</f>
        <v>10.248193137254901</v>
      </c>
      <c r="AH24" s="94">
        <f t="shared" si="18"/>
        <v>7.1737351960784306</v>
      </c>
      <c r="AI24" s="94">
        <f t="shared" si="19"/>
        <v>13.322651078431372</v>
      </c>
      <c r="AJ24" s="79" t="s">
        <v>644</v>
      </c>
      <c r="AK24" s="6" t="b">
        <f t="array" ref="AK24">IF(AJ24,MAX(IF(Armor!$D$2:'Armor'!$D$7=D24,Armor!$E$2:$E$7),0))</f>
        <v>0</v>
      </c>
      <c r="AL24" s="6">
        <f t="shared" ref="AL24:AL87" si="30">IF(ISERR(FIND("Rare",B24)),IF(ISERR(FIND("Uncommon",B24)),0,5%),10%)</f>
        <v>0</v>
      </c>
      <c r="AM24" s="71">
        <f>(AL24+AK24)*INDEX(Armor!$B$2:$B$151,A24)+IF(AJ24,1,0)</f>
        <v>0</v>
      </c>
      <c r="AN24" s="71">
        <f>IF(C24="Caster",IF(ISERR(FIND("orb",LOWER(E24))),IF(ISERR(FIND("wand",LOWER(E24))),IF(NOT($D24="Polearm"),0,INDEX(Regeneration!$M$2:$M$151,A24+2)),INDEX(Regeneration!$L$2:$L$151,A24+2)),INDEX(Regeneration!$K$2:$K$151,A24+2)),0)</f>
        <v>0</v>
      </c>
      <c r="AO24" s="71" t="str">
        <f t="shared" si="4"/>
        <v/>
      </c>
      <c r="AP24" s="71" t="str">
        <f>IF(AND($N24,$C24="Caster"),IF(AND(NOT($D24="Polearm"),ISERR(FIND("wand",LOWER($E24)))),0,INDEX(Regeneration!F$2:F$151,A24)*0.06),"")</f>
        <v/>
      </c>
      <c r="AQ24" s="88">
        <f t="shared" si="21"/>
        <v>0.15</v>
      </c>
      <c r="AR24" s="88">
        <f t="shared" si="22"/>
        <v>0.15</v>
      </c>
      <c r="AS24" s="16" t="str">
        <f>IF(D24="Shield",INDEX(Regeneration!$C$2:$C$151,A24+3)*0.5*IF(ISERR(FIND("Rare",B24)),IF(ISERR(FIND("Uncommon",B24)),1,1.5),2.25),"")</f>
        <v/>
      </c>
      <c r="AT24" s="16" t="str">
        <f t="shared" si="5"/>
        <v/>
      </c>
      <c r="AU24" s="16" t="str">
        <f t="shared" si="6"/>
        <v/>
      </c>
      <c r="AV24" s="16" t="str">
        <f t="shared" si="7"/>
        <v/>
      </c>
      <c r="AW24" s="16" t="str">
        <f>IF(D24="Ring",INDEX(Regeneration!$B$6:$B$155,A24)*0.06,"")</f>
        <v/>
      </c>
      <c r="AX24" s="84" t="str">
        <f t="shared" si="28"/>
        <v/>
      </c>
      <c r="AZ24" s="16" t="str">
        <f t="shared" si="23"/>
        <v/>
      </c>
      <c r="BA24" s="6">
        <f t="shared" si="9"/>
        <v>0.15</v>
      </c>
      <c r="BB24" s="6">
        <f t="shared" si="25"/>
        <v>0.15</v>
      </c>
    </row>
    <row r="25" spans="1:54">
      <c r="A25" s="76">
        <v>5</v>
      </c>
      <c r="B25" s="30" t="s">
        <v>493</v>
      </c>
      <c r="C25" s="30" t="s">
        <v>10</v>
      </c>
      <c r="D25" s="30" t="s">
        <v>472</v>
      </c>
      <c r="E25" s="30" t="s">
        <v>555</v>
      </c>
      <c r="F25" s="30" t="s">
        <v>440</v>
      </c>
      <c r="G25" s="76">
        <f t="shared" si="29"/>
        <v>10</v>
      </c>
      <c r="H25" s="101">
        <v>150</v>
      </c>
      <c r="J25" s="76" t="s">
        <v>685</v>
      </c>
      <c r="K25" s="76" t="str">
        <f t="array" ref="K25">"A"&amp;IF(IF(ISBLANK(I25),OR(LEFT(LOWER(F25),1)={"a","e","I","o","u"}),OR(LEFT(LOWER(I25),1)={"a","e","I","o","u"})),"n "," ")&amp;I25&amp;IF(ISBLANK(I25),""," ")&amp;LOWER(F25)&amp;IF(LEFT(J25,1)="-",""," ")&amp;J25</f>
        <v>A bronze weapon</v>
      </c>
      <c r="L25" s="76">
        <v>1</v>
      </c>
      <c r="M25" s="62">
        <v>14</v>
      </c>
      <c r="N25" s="62" t="s">
        <v>645</v>
      </c>
      <c r="O25" s="93" t="b">
        <f t="shared" si="11"/>
        <v>0</v>
      </c>
      <c r="P25" s="76" t="s">
        <v>504</v>
      </c>
      <c r="Q25" s="62" t="s">
        <v>506</v>
      </c>
      <c r="R25" s="98">
        <f t="shared" si="12"/>
        <v>0.9</v>
      </c>
      <c r="S25" s="93">
        <f t="shared" si="13"/>
        <v>1</v>
      </c>
      <c r="T25" s="98">
        <f t="shared" si="14"/>
        <v>0.7</v>
      </c>
      <c r="U25" s="95">
        <f t="shared" si="15"/>
        <v>2</v>
      </c>
      <c r="V25" s="98">
        <f t="shared" si="16"/>
        <v>454.99999999999994</v>
      </c>
      <c r="W25" s="6">
        <f t="shared" si="17"/>
        <v>0.15</v>
      </c>
      <c r="X25" s="6">
        <v>0</v>
      </c>
      <c r="Y25" s="76" t="b">
        <v>1</v>
      </c>
      <c r="Z25" s="76">
        <f t="shared" si="0"/>
        <v>5</v>
      </c>
      <c r="AA25" s="71" t="str">
        <f t="shared" si="1"/>
        <v/>
      </c>
      <c r="AD25" s="71" t="str">
        <f t="shared" si="2"/>
        <v/>
      </c>
      <c r="AE25" s="71" t="str">
        <f t="shared" si="3"/>
        <v/>
      </c>
      <c r="AG25" s="43">
        <f>IF(N25,INDEX(Damage!$F$2:$F$151,A25)*R25*S25*V25/1000,"")</f>
        <v>11.115649999999995</v>
      </c>
      <c r="AH25" s="94">
        <f t="shared" si="18"/>
        <v>9.4483024999999952</v>
      </c>
      <c r="AI25" s="94">
        <f t="shared" si="19"/>
        <v>12.782997499999995</v>
      </c>
      <c r="AJ25" s="79" t="s">
        <v>644</v>
      </c>
      <c r="AK25" s="6" t="b">
        <f t="array" ref="AK25">IF(AJ25,MAX(IF(Armor!$D$2:'Armor'!$D$7=D25,Armor!$E$2:$E$7),0))</f>
        <v>0</v>
      </c>
      <c r="AL25" s="6">
        <f t="shared" si="30"/>
        <v>0.05</v>
      </c>
      <c r="AM25" s="71">
        <f>(AL25+AK25)*INDEX(Armor!$B$2:$B$151,A25)+IF(AJ25,1,0)</f>
        <v>3.7</v>
      </c>
      <c r="AN25" s="71">
        <f>IF(C25="Caster",IF(ISERR(FIND("orb",LOWER(E25))),IF(ISERR(FIND("wand",LOWER(E25))),IF(NOT($D25="Polearm"),0,INDEX(Regeneration!$M$2:$M$151,A25+2)),INDEX(Regeneration!$L$2:$L$151,A25+2)),INDEX(Regeneration!$K$2:$K$151,A25+2)),0)</f>
        <v>0</v>
      </c>
      <c r="AO25" s="71" t="str">
        <f t="shared" si="4"/>
        <v/>
      </c>
      <c r="AP25" s="71" t="str">
        <f>IF(AND($N25,$C25="Caster"),IF(AND(NOT($D25="Polearm"),ISERR(FIND("wand",LOWER($E25)))),0,INDEX(Regeneration!F$2:F$151,A25)*0.06),"")</f>
        <v/>
      </c>
      <c r="AQ25" s="88">
        <f t="shared" si="21"/>
        <v>0.05</v>
      </c>
      <c r="AR25" s="88">
        <f t="shared" si="22"/>
        <v>0.05</v>
      </c>
      <c r="AS25" s="16" t="str">
        <f>IF(D25="Shield",INDEX(Regeneration!$C$2:$C$151,A25+3)*0.5*IF(ISERR(FIND("Rare",B25)),IF(ISERR(FIND("Uncommon",B25)),1,1.5),2.25),"")</f>
        <v/>
      </c>
      <c r="AT25" s="16" t="str">
        <f t="shared" si="5"/>
        <v/>
      </c>
      <c r="AU25" s="16" t="str">
        <f t="shared" si="6"/>
        <v/>
      </c>
      <c r="AV25" s="16" t="str">
        <f t="shared" si="7"/>
        <v/>
      </c>
      <c r="AW25" s="16" t="str">
        <f>IF(D25="Ring",INDEX(Regeneration!$B$6:$B$155,A25)*0.06,"")</f>
        <v/>
      </c>
      <c r="AX25" s="84" t="str">
        <f t="shared" si="28"/>
        <v/>
      </c>
      <c r="AZ25" s="16" t="str">
        <f t="shared" si="23"/>
        <v/>
      </c>
      <c r="BA25" s="6">
        <f t="shared" si="9"/>
        <v>7.5000000000000011E-2</v>
      </c>
      <c r="BB25" s="6">
        <f t="shared" si="25"/>
        <v>7.5000000000000011E-2</v>
      </c>
    </row>
    <row r="26" spans="1:54">
      <c r="A26" s="76">
        <v>5</v>
      </c>
      <c r="B26" s="30" t="s">
        <v>493</v>
      </c>
      <c r="C26" s="30" t="s">
        <v>10</v>
      </c>
      <c r="D26" s="30" t="s">
        <v>472</v>
      </c>
      <c r="E26" s="30" t="s">
        <v>439</v>
      </c>
      <c r="F26" s="30" t="s">
        <v>440</v>
      </c>
      <c r="G26" s="76">
        <f t="shared" si="29"/>
        <v>10</v>
      </c>
      <c r="H26" s="101">
        <v>150</v>
      </c>
      <c r="J26" s="76" t="s">
        <v>685</v>
      </c>
      <c r="K26" s="76" t="str">
        <f t="array" ref="K26">"A"&amp;IF(IF(ISBLANK(I26),OR(LEFT(LOWER(F26),1)={"a","e","I","o","u"}),OR(LEFT(LOWER(I26),1)={"a","e","I","o","u"})),"n "," ")&amp;I26&amp;IF(ISBLANK(I26),""," ")&amp;LOWER(F26)&amp;IF(LEFT(J26,1)="-",""," ")&amp;J26</f>
        <v>A bronze weapon</v>
      </c>
      <c r="L26" s="76">
        <v>1</v>
      </c>
      <c r="M26" s="62">
        <v>14</v>
      </c>
      <c r="N26" s="62" t="s">
        <v>645</v>
      </c>
      <c r="O26" s="93" t="b">
        <f t="shared" si="11"/>
        <v>0</v>
      </c>
      <c r="P26" s="76" t="s">
        <v>504</v>
      </c>
      <c r="Q26" s="62" t="s">
        <v>643</v>
      </c>
      <c r="R26" s="98">
        <f>IF(N26,IF(O26,0.9,1)*IF(Q26="slow",1.15,IF(Q26="fast",0.9,1)),"")</f>
        <v>1</v>
      </c>
      <c r="S26" s="93">
        <f t="shared" si="13"/>
        <v>1</v>
      </c>
      <c r="T26" s="98">
        <f t="shared" si="14"/>
        <v>1</v>
      </c>
      <c r="U26" s="95">
        <f t="shared" si="15"/>
        <v>2</v>
      </c>
      <c r="V26" s="98">
        <f t="shared" si="16"/>
        <v>650</v>
      </c>
      <c r="W26" s="6">
        <f t="shared" si="17"/>
        <v>0.18</v>
      </c>
      <c r="X26" s="6">
        <v>0</v>
      </c>
      <c r="Y26" s="76" t="b">
        <v>1</v>
      </c>
      <c r="Z26" s="76">
        <f t="shared" si="0"/>
        <v>5</v>
      </c>
      <c r="AA26" s="71" t="str">
        <f t="shared" si="1"/>
        <v/>
      </c>
      <c r="AD26" s="71" t="str">
        <f t="shared" si="2"/>
        <v/>
      </c>
      <c r="AE26" s="71" t="str">
        <f t="shared" si="3"/>
        <v/>
      </c>
      <c r="AG26" s="43">
        <f>IF(N26,INDEX(Damage!$F$2:$F$151,A26)*R26*S26*V26/1000,"")</f>
        <v>17.643888888888888</v>
      </c>
      <c r="AH26" s="94">
        <f t="shared" si="18"/>
        <v>14.467988888888888</v>
      </c>
      <c r="AI26" s="94">
        <f t="shared" si="19"/>
        <v>20.819788888888887</v>
      </c>
      <c r="AJ26" s="79" t="s">
        <v>644</v>
      </c>
      <c r="AK26" s="6" t="b">
        <f t="array" ref="AK26">IF(AJ26,MAX(IF(Armor!$D$2:'Armor'!$D$7=D26,Armor!$E$2:$E$7),0))</f>
        <v>0</v>
      </c>
      <c r="AL26" s="6">
        <f t="shared" si="30"/>
        <v>0.05</v>
      </c>
      <c r="AM26" s="71">
        <f>(AL26+AK26)*INDEX(Armor!$B$2:$B$151,A26)+IF(AJ26,1,0)</f>
        <v>3.7</v>
      </c>
      <c r="AN26" s="71">
        <f>IF(C26="Caster",IF(ISERR(FIND("orb",LOWER(E26))),IF(ISERR(FIND("wand",LOWER(E26))),IF(NOT($D26="Polearm"),0,INDEX(Regeneration!$M$2:$M$151,A26+2)),INDEX(Regeneration!$L$2:$L$151,A26+2)),INDEX(Regeneration!$K$2:$K$151,A26+2)),0)</f>
        <v>0</v>
      </c>
      <c r="AO26" s="71" t="str">
        <f t="shared" si="4"/>
        <v/>
      </c>
      <c r="AP26" s="71" t="str">
        <f>IF(AND($N26,$C26="Caster"),IF(AND(NOT($D26="Polearm"),ISERR(FIND("wand",LOWER($E26)))),0,INDEX(Regeneration!F$2:F$151,A26)*0.06),"")</f>
        <v/>
      </c>
      <c r="AQ26" s="88">
        <f t="shared" si="21"/>
        <v>0.05</v>
      </c>
      <c r="AR26" s="88">
        <f t="shared" si="22"/>
        <v>0.05</v>
      </c>
      <c r="AS26" s="16" t="str">
        <f>IF(D26="Shield",INDEX(Regeneration!$C$2:$C$151,A26+3)*0.5*IF(ISERR(FIND("Rare",B26)),IF(ISERR(FIND("Uncommon",B26)),1,1.5),2.25),"")</f>
        <v/>
      </c>
      <c r="AT26" s="16" t="str">
        <f t="shared" si="5"/>
        <v/>
      </c>
      <c r="AU26" s="16" t="str">
        <f t="shared" si="6"/>
        <v/>
      </c>
      <c r="AV26" s="16" t="str">
        <f t="shared" si="7"/>
        <v/>
      </c>
      <c r="AW26" s="16" t="str">
        <f>IF(D26="Ring",INDEX(Regeneration!$B$6:$B$155,A26)*0.06,"")</f>
        <v/>
      </c>
      <c r="AX26" s="84" t="str">
        <f t="shared" si="28"/>
        <v/>
      </c>
      <c r="AZ26" s="16" t="str">
        <f t="shared" si="23"/>
        <v/>
      </c>
      <c r="BA26" s="6">
        <f t="shared" si="9"/>
        <v>7.5000000000000011E-2</v>
      </c>
      <c r="BB26" s="6">
        <f t="shared" si="25"/>
        <v>7.5000000000000011E-2</v>
      </c>
    </row>
    <row r="27" spans="1:54">
      <c r="A27" s="76">
        <v>5</v>
      </c>
      <c r="B27" s="30" t="s">
        <v>492</v>
      </c>
      <c r="C27" s="30" t="s">
        <v>10</v>
      </c>
      <c r="D27" s="30" t="s">
        <v>472</v>
      </c>
      <c r="E27" s="30" t="s">
        <v>548</v>
      </c>
      <c r="F27" s="30" t="s">
        <v>445</v>
      </c>
      <c r="G27" s="76">
        <f t="shared" si="29"/>
        <v>5</v>
      </c>
      <c r="H27" s="101">
        <v>150</v>
      </c>
      <c r="J27" s="76" t="s">
        <v>682</v>
      </c>
      <c r="K27" s="76" t="str">
        <f t="array" ref="K27">"A"&amp;IF(IF(ISBLANK(I27),OR(LEFT(LOWER(F27),1)={"a","e","I","o","u"}),OR(LEFT(LOWER(I27),1)={"a","e","I","o","u"})),"n "," ")&amp;I27&amp;IF(ISBLANK(I27),""," ")&amp;LOWER(F27)&amp;IF(LEFT(J27,1)="-",""," ")&amp;J27</f>
        <v>An iron blade weapon</v>
      </c>
      <c r="L27" s="76">
        <v>1</v>
      </c>
      <c r="M27" s="62">
        <v>14</v>
      </c>
      <c r="N27" s="62" t="s">
        <v>645</v>
      </c>
      <c r="O27" s="93" t="b">
        <f t="shared" si="11"/>
        <v>0</v>
      </c>
      <c r="P27" s="76" t="s">
        <v>504</v>
      </c>
      <c r="Q27" s="62" t="s">
        <v>643</v>
      </c>
      <c r="R27" s="100">
        <f t="shared" ref="R27:R90" si="31">IF(N27,IF(O27,0.9,1)*IF(Q27="slow",1.15,IF(Q27="fast",0.9,1)),"")</f>
        <v>1</v>
      </c>
      <c r="S27" s="93">
        <f t="shared" si="13"/>
        <v>1</v>
      </c>
      <c r="T27" s="98">
        <f t="shared" si="14"/>
        <v>1</v>
      </c>
      <c r="U27" s="95">
        <f t="shared" si="15"/>
        <v>2</v>
      </c>
      <c r="V27" s="98">
        <f t="shared" si="16"/>
        <v>650</v>
      </c>
      <c r="W27" s="6">
        <f t="shared" si="17"/>
        <v>0.18</v>
      </c>
      <c r="X27" s="6">
        <v>0</v>
      </c>
      <c r="Y27" s="76" t="b">
        <v>1</v>
      </c>
      <c r="Z27" s="76">
        <f t="shared" si="0"/>
        <v>5</v>
      </c>
      <c r="AA27" s="71" t="str">
        <f t="shared" si="1"/>
        <v/>
      </c>
      <c r="AD27" s="71" t="str">
        <f t="shared" si="2"/>
        <v/>
      </c>
      <c r="AE27" s="71" t="str">
        <f t="shared" si="3"/>
        <v/>
      </c>
      <c r="AG27" s="43">
        <f>IF(N27,INDEX(Damage!$F$2:$F$151,A27)*R27*S27*V27/1000,"")</f>
        <v>17.643888888888888</v>
      </c>
      <c r="AH27" s="94">
        <f t="shared" si="18"/>
        <v>14.467988888888888</v>
      </c>
      <c r="AI27" s="94">
        <f t="shared" si="19"/>
        <v>20.819788888888887</v>
      </c>
      <c r="AJ27" s="79" t="s">
        <v>644</v>
      </c>
      <c r="AK27" s="6" t="b">
        <f t="array" ref="AK27">IF(AJ27,MAX(IF(Armor!$D$2:'Armor'!$D$7=D27,Armor!$E$2:$E$7),0))</f>
        <v>0</v>
      </c>
      <c r="AL27" s="6">
        <f t="shared" si="30"/>
        <v>0</v>
      </c>
      <c r="AM27" s="71">
        <f>(AL27+AK27)*INDEX(Armor!$B$2:$B$151,A27)+IF(AJ27,1,0)</f>
        <v>0</v>
      </c>
      <c r="AN27" s="71">
        <f>IF(C27="Caster",IF(ISERR(FIND("orb",LOWER(E27))),IF(ISERR(FIND("wand",LOWER(E27))),IF(NOT($D27="Polearm"),0,INDEX(Regeneration!$M$2:$M$151,A27+2)),INDEX(Regeneration!$L$2:$L$151,A27+2)),INDEX(Regeneration!$K$2:$K$151,A27+2)),0)</f>
        <v>0</v>
      </c>
      <c r="AO27" s="71" t="str">
        <f t="shared" si="4"/>
        <v/>
      </c>
      <c r="AP27" s="71" t="str">
        <f>IF(AND($N27,$C27="Caster"),IF(AND(NOT($D27="Polearm"),ISERR(FIND("wand",LOWER($E27)))),0,INDEX(Regeneration!F$2:F$151,A27)*0.06),"")</f>
        <v/>
      </c>
      <c r="AQ27" s="88">
        <f t="shared" si="21"/>
        <v>0.05</v>
      </c>
      <c r="AR27" s="88">
        <f t="shared" si="22"/>
        <v>0.05</v>
      </c>
      <c r="AS27" s="16" t="str">
        <f>IF(D27="Shield",INDEX(Regeneration!$C$2:$C$151,A27+3)*0.5*IF(ISERR(FIND("Rare",B27)),IF(ISERR(FIND("Uncommon",B27)),1,1.5),2.25),"")</f>
        <v/>
      </c>
      <c r="AT27" s="16" t="str">
        <f t="shared" si="5"/>
        <v/>
      </c>
      <c r="AU27" s="16" t="str">
        <f t="shared" si="6"/>
        <v/>
      </c>
      <c r="AV27" s="16" t="str">
        <f t="shared" si="7"/>
        <v/>
      </c>
      <c r="AW27" s="16" t="str">
        <f>IF(D27="Ring",INDEX(Regeneration!$B$6:$B$155,A27)*0.06,"")</f>
        <v/>
      </c>
      <c r="AX27" s="84" t="str">
        <f t="shared" si="28"/>
        <v/>
      </c>
      <c r="AZ27" s="16" t="str">
        <f t="shared" si="23"/>
        <v/>
      </c>
      <c r="BA27" s="6">
        <f t="shared" si="9"/>
        <v>0.05</v>
      </c>
      <c r="BB27" s="6">
        <f t="shared" si="25"/>
        <v>0.05</v>
      </c>
    </row>
    <row r="28" spans="1:54">
      <c r="A28" s="76">
        <v>5</v>
      </c>
      <c r="B28" s="30" t="s">
        <v>492</v>
      </c>
      <c r="C28" s="30" t="s">
        <v>10</v>
      </c>
      <c r="D28" s="30" t="s">
        <v>472</v>
      </c>
      <c r="E28" s="30" t="s">
        <v>547</v>
      </c>
      <c r="F28" s="30" t="s">
        <v>445</v>
      </c>
      <c r="G28" s="76">
        <f t="shared" si="29"/>
        <v>5</v>
      </c>
      <c r="H28" s="101">
        <v>150</v>
      </c>
      <c r="J28" s="76" t="s">
        <v>682</v>
      </c>
      <c r="K28" s="76" t="str">
        <f t="array" ref="K28">"A"&amp;IF(IF(ISBLANK(I28),OR(LEFT(LOWER(F28),1)={"a","e","I","o","u"}),OR(LEFT(LOWER(I28),1)={"a","e","I","o","u"})),"n "," ")&amp;I28&amp;IF(ISBLANK(I28),""," ")&amp;LOWER(F28)&amp;IF(LEFT(J28,1)="-",""," ")&amp;J28</f>
        <v>An iron blade weapon</v>
      </c>
      <c r="L28" s="76">
        <v>1</v>
      </c>
      <c r="M28" s="62">
        <v>14</v>
      </c>
      <c r="N28" s="62" t="s">
        <v>645</v>
      </c>
      <c r="O28" s="93" t="b">
        <f t="shared" si="11"/>
        <v>0</v>
      </c>
      <c r="P28" s="76" t="s">
        <v>504</v>
      </c>
      <c r="Q28" s="62" t="s">
        <v>506</v>
      </c>
      <c r="R28" s="100">
        <f t="shared" si="31"/>
        <v>0.9</v>
      </c>
      <c r="S28" s="93">
        <f t="shared" si="13"/>
        <v>1</v>
      </c>
      <c r="T28" s="98">
        <f t="shared" si="14"/>
        <v>0.7</v>
      </c>
      <c r="U28" s="95">
        <f t="shared" si="15"/>
        <v>2</v>
      </c>
      <c r="V28" s="98">
        <f t="shared" si="16"/>
        <v>454.99999999999994</v>
      </c>
      <c r="W28" s="6">
        <f t="shared" si="17"/>
        <v>0.15</v>
      </c>
      <c r="X28" s="6">
        <v>0</v>
      </c>
      <c r="Y28" s="76" t="b">
        <v>1</v>
      </c>
      <c r="Z28" s="76">
        <f t="shared" si="0"/>
        <v>5</v>
      </c>
      <c r="AA28" s="71" t="str">
        <f t="shared" si="1"/>
        <v/>
      </c>
      <c r="AD28" s="71" t="str">
        <f t="shared" si="2"/>
        <v/>
      </c>
      <c r="AE28" s="71" t="str">
        <f t="shared" si="3"/>
        <v/>
      </c>
      <c r="AG28" s="43">
        <f>IF(N28,INDEX(Damage!$F$2:$F$151,A28)*R28*S28*V28/1000,"")</f>
        <v>11.115649999999995</v>
      </c>
      <c r="AH28" s="94">
        <f t="shared" si="18"/>
        <v>9.4483024999999952</v>
      </c>
      <c r="AI28" s="94">
        <f t="shared" si="19"/>
        <v>12.782997499999995</v>
      </c>
      <c r="AJ28" s="79" t="s">
        <v>644</v>
      </c>
      <c r="AK28" s="6" t="b">
        <f t="array" ref="AK28">IF(AJ28,MAX(IF(Armor!$D$2:'Armor'!$D$7=D28,Armor!$E$2:$E$7),0))</f>
        <v>0</v>
      </c>
      <c r="AL28" s="6">
        <f t="shared" si="30"/>
        <v>0</v>
      </c>
      <c r="AM28" s="71">
        <f>(AL28+AK28)*INDEX(Armor!$B$2:$B$151,A28)+IF(AJ28,1,0)</f>
        <v>0</v>
      </c>
      <c r="AN28" s="71">
        <f>IF(C28="Caster",IF(ISERR(FIND("orb",LOWER(E28))),IF(ISERR(FIND("wand",LOWER(E28))),IF(NOT($D28="Polearm"),0,INDEX(Regeneration!$M$2:$M$151,A28+2)),INDEX(Regeneration!$L$2:$L$151,A28+2)),INDEX(Regeneration!$K$2:$K$151,A28+2)),0)</f>
        <v>0</v>
      </c>
      <c r="AO28" s="71" t="str">
        <f t="shared" si="4"/>
        <v/>
      </c>
      <c r="AP28" s="71" t="str">
        <f>IF(AND($N28,$C28="Caster"),IF(AND(NOT($D28="Polearm"),ISERR(FIND("wand",LOWER($E28)))),0,INDEX(Regeneration!F$2:F$151,A28)*0.06),"")</f>
        <v/>
      </c>
      <c r="AQ28" s="88">
        <f t="shared" si="21"/>
        <v>0.05</v>
      </c>
      <c r="AR28" s="88">
        <f t="shared" si="22"/>
        <v>0.05</v>
      </c>
      <c r="AS28" s="16" t="str">
        <f>IF(D28="Shield",INDEX(Regeneration!$C$2:$C$151,A28+3)*0.5*IF(ISERR(FIND("Rare",B28)),IF(ISERR(FIND("Uncommon",B28)),1,1.5),2.25),"")</f>
        <v/>
      </c>
      <c r="AT28" s="16" t="str">
        <f t="shared" si="5"/>
        <v/>
      </c>
      <c r="AU28" s="16" t="str">
        <f t="shared" si="6"/>
        <v/>
      </c>
      <c r="AV28" s="16" t="str">
        <f t="shared" si="7"/>
        <v/>
      </c>
      <c r="AW28" s="16" t="str">
        <f>IF(D28="Ring",INDEX(Regeneration!$B$6:$B$155,A28)*0.06,"")</f>
        <v/>
      </c>
      <c r="AX28" s="84" t="str">
        <f t="shared" si="28"/>
        <v/>
      </c>
      <c r="AZ28" s="16" t="str">
        <f t="shared" si="23"/>
        <v/>
      </c>
      <c r="BA28" s="6">
        <f t="shared" si="9"/>
        <v>0.05</v>
      </c>
      <c r="BB28" s="6">
        <f t="shared" si="25"/>
        <v>0.05</v>
      </c>
    </row>
    <row r="29" spans="1:54">
      <c r="A29" s="76">
        <v>5</v>
      </c>
      <c r="B29" s="30" t="s">
        <v>492</v>
      </c>
      <c r="C29" s="30" t="s">
        <v>10</v>
      </c>
      <c r="D29" s="30" t="s">
        <v>477</v>
      </c>
      <c r="E29" s="30" t="s">
        <v>549</v>
      </c>
      <c r="F29" s="30" t="s">
        <v>445</v>
      </c>
      <c r="G29" s="76">
        <f t="shared" si="29"/>
        <v>5</v>
      </c>
      <c r="H29" s="101">
        <v>150</v>
      </c>
      <c r="I29" s="76" t="s">
        <v>683</v>
      </c>
      <c r="J29" s="76" t="s">
        <v>684</v>
      </c>
      <c r="K29" s="76" t="str">
        <f t="array" ref="K29">"A"&amp;IF(IF(ISBLANK(I29),OR(LEFT(LOWER(F29),1)={"a","e","I","o","u"}),OR(LEFT(LOWER(I29),1)={"a","e","I","o","u"})),"n "," ")&amp;I29&amp;IF(ISBLANK(I29),""," ")&amp;LOWER(F29)&amp;IF(LEFT(J29,1)="-",""," ")&amp;J29</f>
        <v>A massive iron crushing weapon</v>
      </c>
      <c r="L29" s="76">
        <v>1</v>
      </c>
      <c r="M29" s="62">
        <v>54</v>
      </c>
      <c r="N29" s="62" t="s">
        <v>645</v>
      </c>
      <c r="O29" s="93" t="b">
        <f t="shared" si="11"/>
        <v>0</v>
      </c>
      <c r="P29" s="76" t="s">
        <v>7</v>
      </c>
      <c r="Q29" s="62" t="s">
        <v>505</v>
      </c>
      <c r="R29" s="100">
        <f t="shared" si="31"/>
        <v>1.1499999999999999</v>
      </c>
      <c r="S29" s="93">
        <f t="shared" si="13"/>
        <v>1</v>
      </c>
      <c r="T29" s="98">
        <f t="shared" si="14"/>
        <v>1.3</v>
      </c>
      <c r="U29" s="95">
        <f t="shared" si="15"/>
        <v>2.5</v>
      </c>
      <c r="V29" s="98">
        <f t="shared" si="16"/>
        <v>845</v>
      </c>
      <c r="W29" s="6">
        <f t="shared" si="17"/>
        <v>0.3</v>
      </c>
      <c r="X29" s="6">
        <v>0</v>
      </c>
      <c r="Y29" s="76" t="b">
        <v>1</v>
      </c>
      <c r="Z29" s="76">
        <f t="shared" si="0"/>
        <v>5</v>
      </c>
      <c r="AA29" s="71" t="str">
        <f t="shared" si="1"/>
        <v/>
      </c>
      <c r="AD29" s="71" t="str">
        <f t="shared" si="2"/>
        <v/>
      </c>
      <c r="AE29" s="71" t="str">
        <f t="shared" si="3"/>
        <v/>
      </c>
      <c r="AF29" s="89"/>
      <c r="AG29" s="43">
        <f>IF(N29,INDEX(Damage!$F$2:$F$151,A29)*R29*S29*V29/1000,"")</f>
        <v>26.377613888888877</v>
      </c>
      <c r="AH29" s="94">
        <f t="shared" si="18"/>
        <v>18.464329722222214</v>
      </c>
      <c r="AI29" s="94">
        <f t="shared" si="19"/>
        <v>34.290898055555537</v>
      </c>
      <c r="AJ29" s="79" t="s">
        <v>644</v>
      </c>
      <c r="AK29" s="6" t="b">
        <f t="array" ref="AK29">IF(AJ29,MAX(IF(Armor!$D$2:'Armor'!$D$7=D29,Armor!$E$2:$E$7),0))</f>
        <v>0</v>
      </c>
      <c r="AL29" s="6">
        <f t="shared" si="30"/>
        <v>0</v>
      </c>
      <c r="AM29" s="71">
        <f>(AL29+AK29)*INDEX(Armor!$B$2:$B$151,A29)+IF(AJ29,1,0)</f>
        <v>0</v>
      </c>
      <c r="AN29" s="71">
        <f>IF(C29="Caster",IF(ISERR(FIND("orb",LOWER(E29))),IF(ISERR(FIND("wand",LOWER(E29))),IF(NOT($D29="Polearm"),0,INDEX(Regeneration!$M$2:$M$151,A29+2)),INDEX(Regeneration!$L$2:$L$151,A29+2)),INDEX(Regeneration!$K$2:$K$151,A29+2)),0)</f>
        <v>0</v>
      </c>
      <c r="AO29" s="71" t="str">
        <f t="shared" si="4"/>
        <v/>
      </c>
      <c r="AP29" s="71" t="str">
        <f>IF(AND($N29,$C29="Caster"),IF(AND(NOT($D29="Polearm"),ISERR(FIND("wand",LOWER($E29)))),0,INDEX(Regeneration!F$2:F$151,A29)*0.06),"")</f>
        <v/>
      </c>
      <c r="AQ29" s="88">
        <f t="shared" si="21"/>
        <v>0.15</v>
      </c>
      <c r="AR29" s="88">
        <f t="shared" si="22"/>
        <v>0.15</v>
      </c>
      <c r="AS29" s="16" t="str">
        <f>IF(D29="Shield",INDEX(Regeneration!$C$2:$C$151,A29+3)*0.5*IF(ISERR(FIND("Rare",B29)),IF(ISERR(FIND("Uncommon",B29)),1,1.5),2.25),"")</f>
        <v/>
      </c>
      <c r="AT29" s="16" t="str">
        <f t="shared" si="5"/>
        <v/>
      </c>
      <c r="AU29" s="16" t="str">
        <f t="shared" si="6"/>
        <v/>
      </c>
      <c r="AV29" s="16" t="str">
        <f t="shared" si="7"/>
        <v/>
      </c>
      <c r="AW29" s="16" t="str">
        <f>IF(D29="Ring",INDEX(Regeneration!$B$6:$B$155,A29)*0.06,"")</f>
        <v/>
      </c>
      <c r="AX29" s="84" t="str">
        <f t="shared" si="28"/>
        <v/>
      </c>
      <c r="AZ29" s="16" t="str">
        <f t="shared" si="23"/>
        <v/>
      </c>
      <c r="BA29" s="6">
        <f t="shared" si="9"/>
        <v>0.15</v>
      </c>
      <c r="BB29" s="6">
        <f t="shared" si="25"/>
        <v>0.15</v>
      </c>
    </row>
    <row r="30" spans="1:54">
      <c r="A30" s="62">
        <v>5</v>
      </c>
      <c r="B30" s="30" t="s">
        <v>492</v>
      </c>
      <c r="C30" s="30" t="s">
        <v>496</v>
      </c>
      <c r="D30" s="30" t="s">
        <v>401</v>
      </c>
      <c r="E30" s="30" t="s">
        <v>544</v>
      </c>
      <c r="F30" s="30" t="s">
        <v>445</v>
      </c>
      <c r="G30" s="76">
        <f t="shared" si="29"/>
        <v>5</v>
      </c>
      <c r="H30" s="101">
        <v>150</v>
      </c>
      <c r="J30" s="76" t="s">
        <v>681</v>
      </c>
      <c r="K30" s="76" t="str">
        <f t="array" ref="K30">"A"&amp;IF(IF(ISBLANK(I30),OR(LEFT(LOWER(F30),1)={"a","e","I","o","u"}),OR(LEFT(LOWER(I30),1)={"a","e","I","o","u"})),"n "," ")&amp;I30&amp;IF(ISBLANK(I30),""," ")&amp;LOWER(F30)&amp;IF(LEFT(J30,1)="-",""," ")&amp;J30</f>
        <v>An iron and chainmail suit of armor</v>
      </c>
      <c r="L30" s="76">
        <v>1</v>
      </c>
      <c r="M30" s="62">
        <v>134</v>
      </c>
      <c r="N30" s="62" t="s">
        <v>644</v>
      </c>
      <c r="O30" s="93" t="b">
        <f t="shared" si="11"/>
        <v>0</v>
      </c>
      <c r="P30" s="76" t="s">
        <v>490</v>
      </c>
      <c r="Q30" s="62" t="s">
        <v>490</v>
      </c>
      <c r="R30" s="100" t="str">
        <f t="shared" si="31"/>
        <v/>
      </c>
      <c r="S30" s="93" t="str">
        <f t="shared" si="13"/>
        <v/>
      </c>
      <c r="T30" s="98" t="str">
        <f t="shared" si="14"/>
        <v/>
      </c>
      <c r="U30" s="95" t="str">
        <f t="shared" si="15"/>
        <v/>
      </c>
      <c r="V30" s="98" t="str">
        <f t="shared" si="16"/>
        <v/>
      </c>
      <c r="W30" s="6" t="str">
        <f t="shared" si="17"/>
        <v/>
      </c>
      <c r="X30" s="6">
        <v>0</v>
      </c>
      <c r="Y30" s="76" t="b">
        <v>1</v>
      </c>
      <c r="Z30" s="76">
        <f t="shared" si="0"/>
        <v>5</v>
      </c>
      <c r="AA30" s="71" t="str">
        <f t="shared" si="1"/>
        <v/>
      </c>
      <c r="AD30" s="71" t="str">
        <f t="shared" si="2"/>
        <v/>
      </c>
      <c r="AE30" s="71" t="str">
        <f t="shared" si="3"/>
        <v/>
      </c>
      <c r="AF30" s="89"/>
      <c r="AG30" s="43" t="str">
        <f>IF(N30,INDEX(Damage!$F$2:$F$151,A30)*R30*S30*V30/1000,"")</f>
        <v/>
      </c>
      <c r="AH30" s="94" t="str">
        <f t="shared" si="18"/>
        <v/>
      </c>
      <c r="AI30" s="94" t="str">
        <f t="shared" si="19"/>
        <v/>
      </c>
      <c r="AJ30" s="79" t="s">
        <v>645</v>
      </c>
      <c r="AK30" s="6">
        <f t="array" ref="AK30">IF(AJ30,MAX(IF(Armor!$D$2:'Armor'!$D$7=D30,Armor!$E$2:$E$7),0))</f>
        <v>0.45</v>
      </c>
      <c r="AL30" s="6">
        <f t="shared" si="30"/>
        <v>0</v>
      </c>
      <c r="AM30" s="71">
        <f>(AL30+AK30)*INDEX(Armor!$B$2:$B$151,A30)+IF(AJ30,1,0)</f>
        <v>34.300000000000004</v>
      </c>
      <c r="AN30" s="71">
        <f>IF(C30="Caster",IF(ISERR(FIND("orb",LOWER(E30))),IF(ISERR(FIND("wand",LOWER(E30))),IF(NOT($D30="Polearm"),0,INDEX(Regeneration!$M$2:$M$151,A30+2)),INDEX(Regeneration!$L$2:$L$151,A30+2)),INDEX(Regeneration!$K$2:$K$151,A30+2)),0)</f>
        <v>0</v>
      </c>
      <c r="AO30" s="71" t="str">
        <f t="shared" si="4"/>
        <v/>
      </c>
      <c r="AP30" s="71" t="str">
        <f>IF(AND($N30,$C30="Caster"),IF(AND(NOT($D30="Polearm"),ISERR(FIND("wand",LOWER($E30)))),0,INDEX(Regeneration!F$2:F$151,A30)*0.06),"")</f>
        <v/>
      </c>
      <c r="AQ30" s="88">
        <f t="shared" si="21"/>
        <v>0</v>
      </c>
      <c r="AR30" s="88">
        <f t="shared" si="22"/>
        <v>0</v>
      </c>
      <c r="AS30" s="16" t="str">
        <f>IF(D30="Shield",INDEX(Regeneration!$C$2:$C$151,A30+3)*0.5*IF(ISERR(FIND("Rare",B30)),IF(ISERR(FIND("Uncommon",B30)),1,1.5),2.25),"")</f>
        <v/>
      </c>
      <c r="AT30" s="16" t="str">
        <f t="shared" si="5"/>
        <v/>
      </c>
      <c r="AU30" s="16" t="str">
        <f t="shared" si="6"/>
        <v/>
      </c>
      <c r="AV30" s="16" t="str">
        <f t="shared" si="7"/>
        <v/>
      </c>
      <c r="AW30" s="16" t="str">
        <f>IF(D30="Ring",INDEX(Regeneration!$B$6:$B$155,A30)*0.06,"")</f>
        <v/>
      </c>
      <c r="AX30" s="84" t="str">
        <f t="shared" si="28"/>
        <v/>
      </c>
      <c r="AZ30" s="16" t="str">
        <f t="shared" si="23"/>
        <v/>
      </c>
      <c r="BA30" s="6">
        <f t="shared" si="9"/>
        <v>0</v>
      </c>
      <c r="BB30" s="6">
        <f t="shared" si="25"/>
        <v>0</v>
      </c>
    </row>
    <row r="31" spans="1:54">
      <c r="A31" s="76">
        <v>5</v>
      </c>
      <c r="B31" s="30" t="s">
        <v>492</v>
      </c>
      <c r="C31" s="30" t="s">
        <v>496</v>
      </c>
      <c r="D31" s="30" t="s">
        <v>484</v>
      </c>
      <c r="E31" s="30" t="s">
        <v>553</v>
      </c>
      <c r="F31" s="30" t="s">
        <v>445</v>
      </c>
      <c r="G31" s="76">
        <f t="shared" si="29"/>
        <v>5</v>
      </c>
      <c r="H31" s="101">
        <v>150</v>
      </c>
      <c r="J31" s="76" t="str">
        <f>LOWER(D31)</f>
        <v>belt</v>
      </c>
      <c r="K31" s="76" t="str">
        <f t="array" ref="K31">"A"&amp;IF(IF(ISBLANK(I31),OR(LEFT(LOWER(F31),1)={"a","e","I","o","u"}),OR(LEFT(LOWER(I31),1)={"a","e","I","o","u"})),"n "," ")&amp;I31&amp;IF(ISBLANK(I31),""," ")&amp;LOWER(F31)&amp;IF(LEFT(J31,1)="-",""," ")&amp;J31</f>
        <v>An iron belt</v>
      </c>
      <c r="L31" s="76">
        <v>1</v>
      </c>
      <c r="M31" s="62">
        <v>14</v>
      </c>
      <c r="N31" s="62" t="s">
        <v>644</v>
      </c>
      <c r="O31" s="93" t="b">
        <f t="shared" si="11"/>
        <v>0</v>
      </c>
      <c r="P31" s="76" t="s">
        <v>490</v>
      </c>
      <c r="Q31" s="62" t="s">
        <v>490</v>
      </c>
      <c r="R31" s="100" t="str">
        <f t="shared" si="31"/>
        <v/>
      </c>
      <c r="S31" s="93" t="str">
        <f t="shared" si="13"/>
        <v/>
      </c>
      <c r="T31" s="98" t="str">
        <f t="shared" si="14"/>
        <v/>
      </c>
      <c r="U31" s="95" t="str">
        <f t="shared" si="15"/>
        <v/>
      </c>
      <c r="V31" s="98" t="str">
        <f t="shared" si="16"/>
        <v/>
      </c>
      <c r="W31" s="6" t="str">
        <f t="shared" si="17"/>
        <v/>
      </c>
      <c r="X31" s="6">
        <v>0</v>
      </c>
      <c r="Y31" s="76" t="b">
        <v>1</v>
      </c>
      <c r="Z31" s="76">
        <f t="shared" si="0"/>
        <v>5</v>
      </c>
      <c r="AA31" s="71" t="str">
        <f t="shared" si="1"/>
        <v/>
      </c>
      <c r="AD31" s="71" t="str">
        <f t="shared" si="2"/>
        <v/>
      </c>
      <c r="AE31" s="71" t="str">
        <f t="shared" si="3"/>
        <v/>
      </c>
      <c r="AG31" s="43" t="str">
        <f>IF(N31,INDEX(Damage!$F$2:$F$151,A31)*R31*S31*V31/1000,"")</f>
        <v/>
      </c>
      <c r="AH31" s="94" t="str">
        <f t="shared" si="18"/>
        <v/>
      </c>
      <c r="AI31" s="94" t="str">
        <f t="shared" si="19"/>
        <v/>
      </c>
      <c r="AJ31" s="79" t="s">
        <v>645</v>
      </c>
      <c r="AK31" s="6">
        <f t="array" ref="AK31">IF(AJ31,MAX(IF(Armor!$D$2:'Armor'!$D$7=D31,Armor!$E$2:$E$7),0))</f>
        <v>0.06</v>
      </c>
      <c r="AL31" s="6">
        <f t="shared" si="30"/>
        <v>0</v>
      </c>
      <c r="AM31" s="71">
        <f>(AL31+AK31)*INDEX(Armor!$B$2:$B$151,A31)+IF(AJ31,1,0)</f>
        <v>5.4399999999999995</v>
      </c>
      <c r="AN31" s="71">
        <f>IF(C31="Caster",IF(ISERR(FIND("orb",LOWER(E31))),IF(ISERR(FIND("wand",LOWER(E31))),IF(NOT($D31="Polearm"),0,INDEX(Regeneration!$M$2:$M$151,A31+2)),INDEX(Regeneration!$L$2:$L$151,A31+2)),INDEX(Regeneration!$K$2:$K$151,A31+2)),0)</f>
        <v>0</v>
      </c>
      <c r="AO31" s="71" t="str">
        <f t="shared" si="4"/>
        <v/>
      </c>
      <c r="AP31" s="71" t="str">
        <f>IF(AND($N31,$C31="Caster"),IF(AND(NOT($D31="Polearm"),ISERR(FIND("wand",LOWER($E31)))),0,INDEX(Regeneration!F$2:F$151,A31)*0.06),"")</f>
        <v/>
      </c>
      <c r="AQ31" s="88">
        <f t="shared" si="21"/>
        <v>0</v>
      </c>
      <c r="AR31" s="88">
        <f t="shared" si="22"/>
        <v>0</v>
      </c>
      <c r="AS31" s="16" t="str">
        <f>IF(D31="Shield",INDEX(Regeneration!$C$2:$C$151,A31+3)*0.5*IF(ISERR(FIND("Rare",B31)),IF(ISERR(FIND("Uncommon",B31)),1,1.5),2.25),"")</f>
        <v/>
      </c>
      <c r="AT31" s="16" t="str">
        <f t="shared" si="5"/>
        <v/>
      </c>
      <c r="AU31" s="16" t="str">
        <f t="shared" si="6"/>
        <v/>
      </c>
      <c r="AV31" s="16" t="str">
        <f t="shared" si="7"/>
        <v/>
      </c>
      <c r="AW31" s="16" t="str">
        <f>IF(D31="Ring",INDEX(Regeneration!$B$6:$B$155,A31)*0.06,"")</f>
        <v/>
      </c>
      <c r="AX31" s="84" t="str">
        <f t="shared" si="28"/>
        <v/>
      </c>
      <c r="AZ31" s="16" t="str">
        <f t="shared" si="23"/>
        <v/>
      </c>
      <c r="BA31" s="6">
        <f t="shared" si="9"/>
        <v>0</v>
      </c>
      <c r="BB31" s="6">
        <f t="shared" si="25"/>
        <v>0</v>
      </c>
    </row>
    <row r="32" spans="1:54">
      <c r="A32" s="76">
        <v>5</v>
      </c>
      <c r="B32" s="30" t="s">
        <v>492</v>
      </c>
      <c r="C32" s="30" t="s">
        <v>496</v>
      </c>
      <c r="D32" s="30" t="s">
        <v>487</v>
      </c>
      <c r="E32" s="30" t="s">
        <v>545</v>
      </c>
      <c r="F32" s="30" t="s">
        <v>445</v>
      </c>
      <c r="G32" s="76">
        <f t="shared" si="29"/>
        <v>5</v>
      </c>
      <c r="H32" s="101">
        <v>150</v>
      </c>
      <c r="I32" s="76" t="s">
        <v>663</v>
      </c>
      <c r="J32" s="76" t="str">
        <f>LOWER(D32)</f>
        <v>boots</v>
      </c>
      <c r="K32" s="76" t="str">
        <f t="array" ref="K32">"A"&amp;IF(IF(ISBLANK(I32),OR(LEFT(LOWER(F32),1)={"a","e","I","o","u"}),OR(LEFT(LOWER(I32),1)={"a","e","I","o","u"})),"n "," ")&amp;I32&amp;IF(ISBLANK(I32),""," ")&amp;LOWER(F32)&amp;IF(LEFT(J32,1)="-",""," ")&amp;J32</f>
        <v>A heavy set of iron boots</v>
      </c>
      <c r="L32" s="76">
        <v>1</v>
      </c>
      <c r="M32" s="62">
        <v>29</v>
      </c>
      <c r="N32" s="62" t="s">
        <v>644</v>
      </c>
      <c r="O32" s="93" t="b">
        <f t="shared" si="11"/>
        <v>0</v>
      </c>
      <c r="P32" s="76" t="s">
        <v>490</v>
      </c>
      <c r="Q32" s="62" t="s">
        <v>490</v>
      </c>
      <c r="R32" s="100" t="str">
        <f t="shared" si="31"/>
        <v/>
      </c>
      <c r="S32" s="93" t="str">
        <f t="shared" si="13"/>
        <v/>
      </c>
      <c r="T32" s="98" t="str">
        <f t="shared" si="14"/>
        <v/>
      </c>
      <c r="U32" s="95" t="str">
        <f t="shared" si="15"/>
        <v/>
      </c>
      <c r="V32" s="98" t="str">
        <f t="shared" si="16"/>
        <v/>
      </c>
      <c r="W32" s="6" t="str">
        <f t="shared" si="17"/>
        <v/>
      </c>
      <c r="X32" s="6">
        <v>0</v>
      </c>
      <c r="Y32" s="76" t="b">
        <v>1</v>
      </c>
      <c r="Z32" s="76">
        <f t="shared" si="0"/>
        <v>5</v>
      </c>
      <c r="AA32" s="71" t="str">
        <f t="shared" si="1"/>
        <v/>
      </c>
      <c r="AD32" s="71" t="str">
        <f t="shared" si="2"/>
        <v/>
      </c>
      <c r="AE32" s="71" t="str">
        <f t="shared" si="3"/>
        <v/>
      </c>
      <c r="AG32" s="43" t="str">
        <f>IF(N32,INDEX(Damage!$F$2:$F$151,A32)*R32*S32*V32/1000,"")</f>
        <v/>
      </c>
      <c r="AH32" s="94" t="str">
        <f t="shared" si="18"/>
        <v/>
      </c>
      <c r="AI32" s="94" t="str">
        <f t="shared" si="19"/>
        <v/>
      </c>
      <c r="AJ32" s="79" t="s">
        <v>645</v>
      </c>
      <c r="AK32" s="6">
        <f t="array" ref="AK32">IF(AJ32,MAX(IF(Armor!$D$2:'Armor'!$D$7=D32,Armor!$E$2:$E$7),0))</f>
        <v>0.1</v>
      </c>
      <c r="AL32" s="6">
        <f t="shared" si="30"/>
        <v>0</v>
      </c>
      <c r="AM32" s="71">
        <f>(AL32+AK32)*INDEX(Armor!$B$2:$B$151,A32)+IF(AJ32,1,0)</f>
        <v>8.4</v>
      </c>
      <c r="AN32" s="71">
        <f>IF(C32="Caster",IF(ISERR(FIND("orb",LOWER(E32))),IF(ISERR(FIND("wand",LOWER(E32))),IF(NOT($D32="Polearm"),0,INDEX(Regeneration!$M$2:$M$151,A32+2)),INDEX(Regeneration!$L$2:$L$151,A32+2)),INDEX(Regeneration!$K$2:$K$151,A32+2)),0)</f>
        <v>0</v>
      </c>
      <c r="AO32" s="71" t="str">
        <f t="shared" si="4"/>
        <v/>
      </c>
      <c r="AP32" s="71" t="str">
        <f>IF(AND($N32,$C32="Caster"),IF(AND(NOT($D32="Polearm"),ISERR(FIND("wand",LOWER($E32)))),0,INDEX(Regeneration!F$2:F$151,A32)*0.06),"")</f>
        <v/>
      </c>
      <c r="AQ32" s="88">
        <f t="shared" si="21"/>
        <v>0</v>
      </c>
      <c r="AR32" s="88">
        <f t="shared" si="22"/>
        <v>0</v>
      </c>
      <c r="AS32" s="16" t="str">
        <f>IF(D32="Shield",INDEX(Regeneration!$C$2:$C$151,A32+3)*0.5*IF(ISERR(FIND("Rare",B32)),IF(ISERR(FIND("Uncommon",B32)),1,1.5),2.25),"")</f>
        <v/>
      </c>
      <c r="AT32" s="16" t="str">
        <f t="shared" si="5"/>
        <v/>
      </c>
      <c r="AU32" s="16" t="str">
        <f t="shared" si="6"/>
        <v/>
      </c>
      <c r="AV32" s="16" t="str">
        <f t="shared" si="7"/>
        <v/>
      </c>
      <c r="AW32" s="16" t="str">
        <f>IF(D32="Ring",INDEX(Regeneration!$B$6:$B$155,A32)*0.06,"")</f>
        <v/>
      </c>
      <c r="AX32" s="84" t="str">
        <f t="shared" si="28"/>
        <v/>
      </c>
      <c r="AZ32" s="16" t="str">
        <f t="shared" si="23"/>
        <v/>
      </c>
      <c r="BA32" s="6">
        <f t="shared" si="9"/>
        <v>0</v>
      </c>
      <c r="BB32" s="6">
        <f t="shared" si="25"/>
        <v>0</v>
      </c>
    </row>
    <row r="33" spans="1:54">
      <c r="A33" s="76">
        <v>5</v>
      </c>
      <c r="B33" s="30" t="s">
        <v>492</v>
      </c>
      <c r="C33" s="30" t="s">
        <v>10</v>
      </c>
      <c r="D33" s="30" t="s">
        <v>479</v>
      </c>
      <c r="E33" s="30" t="s">
        <v>551</v>
      </c>
      <c r="F33" s="30" t="s">
        <v>445</v>
      </c>
      <c r="G33" s="76">
        <f t="shared" si="29"/>
        <v>5</v>
      </c>
      <c r="H33" s="101">
        <v>150</v>
      </c>
      <c r="J33" s="76" t="str">
        <f>LOWER(D33)</f>
        <v>bow</v>
      </c>
      <c r="K33" s="76" t="str">
        <f t="array" ref="K33">"A"&amp;IF(IF(ISBLANK(I33),OR(LEFT(LOWER(F33),1)={"a","e","I","o","u"}),OR(LEFT(LOWER(I33),1)={"a","e","I","o","u"})),"n "," ")&amp;I33&amp;IF(ISBLANK(I33),""," ")&amp;LOWER(F33)&amp;IF(LEFT(J33,1)="-",""," ")&amp;J33</f>
        <v>An iron bow</v>
      </c>
      <c r="L33" s="76">
        <v>1</v>
      </c>
      <c r="M33" s="62">
        <v>14</v>
      </c>
      <c r="N33" s="62" t="s">
        <v>645</v>
      </c>
      <c r="O33" s="93" t="b">
        <f t="shared" si="11"/>
        <v>1</v>
      </c>
      <c r="P33" s="76" t="s">
        <v>504</v>
      </c>
      <c r="Q33" s="62" t="s">
        <v>643</v>
      </c>
      <c r="R33" s="100">
        <f t="shared" si="31"/>
        <v>0.9</v>
      </c>
      <c r="S33" s="93">
        <f t="shared" si="13"/>
        <v>1</v>
      </c>
      <c r="T33" s="98">
        <f t="shared" si="14"/>
        <v>1</v>
      </c>
      <c r="U33" s="95">
        <f t="shared" si="15"/>
        <v>8</v>
      </c>
      <c r="V33" s="98">
        <f t="shared" si="16"/>
        <v>650</v>
      </c>
      <c r="W33" s="6">
        <f t="shared" si="17"/>
        <v>0.18</v>
      </c>
      <c r="X33" s="6">
        <v>0</v>
      </c>
      <c r="Y33" s="76" t="b">
        <v>1</v>
      </c>
      <c r="Z33" s="76">
        <f t="shared" si="0"/>
        <v>5</v>
      </c>
      <c r="AA33" s="71" t="str">
        <f t="shared" si="1"/>
        <v/>
      </c>
      <c r="AD33" s="71" t="str">
        <f t="shared" si="2"/>
        <v/>
      </c>
      <c r="AE33" s="71" t="str">
        <f t="shared" si="3"/>
        <v/>
      </c>
      <c r="AG33" s="43">
        <f>IF(N33,INDEX(Damage!$F$2:$F$151,A33)*R33*S33*V33/1000,"")</f>
        <v>15.879499999999998</v>
      </c>
      <c r="AH33" s="94">
        <f t="shared" si="18"/>
        <v>13.021189999999999</v>
      </c>
      <c r="AI33" s="94">
        <f t="shared" si="19"/>
        <v>18.737809999999996</v>
      </c>
      <c r="AJ33" s="79" t="s">
        <v>644</v>
      </c>
      <c r="AK33" s="6" t="b">
        <f t="array" ref="AK33">IF(AJ33,MAX(IF(Armor!$D$2:'Armor'!$D$7=D33,Armor!$E$2:$E$7),0))</f>
        <v>0</v>
      </c>
      <c r="AL33" s="6">
        <f t="shared" si="30"/>
        <v>0</v>
      </c>
      <c r="AM33" s="71">
        <f>(AL33+AK33)*INDEX(Armor!$B$2:$B$151,A33)+IF(AJ33,1,0)</f>
        <v>0</v>
      </c>
      <c r="AN33" s="71">
        <f>IF(C33="Caster",IF(ISERR(FIND("orb",LOWER(E33))),IF(ISERR(FIND("wand",LOWER(E33))),IF(NOT($D33="Polearm"),0,INDEX(Regeneration!$M$2:$M$151,A33+2)),INDEX(Regeneration!$L$2:$L$151,A33+2)),INDEX(Regeneration!$K$2:$K$151,A33+2)),0)</f>
        <v>0</v>
      </c>
      <c r="AO33" s="71" t="str">
        <f t="shared" si="4"/>
        <v/>
      </c>
      <c r="AP33" s="71" t="str">
        <f>IF(AND($N33,$C33="Caster"),IF(AND(NOT($D33="Polearm"),ISERR(FIND("wand",LOWER($E33)))),0,INDEX(Regeneration!F$2:F$151,A33)*0.06),"")</f>
        <v/>
      </c>
      <c r="AQ33" s="88">
        <f t="shared" si="21"/>
        <v>0.15</v>
      </c>
      <c r="AR33" s="88">
        <f t="shared" si="22"/>
        <v>0.15</v>
      </c>
      <c r="AS33" s="16" t="str">
        <f>IF(D33="Shield",INDEX(Regeneration!$C$2:$C$151,A33+3)*0.5*IF(ISERR(FIND("Rare",B33)),IF(ISERR(FIND("Uncommon",B33)),1,1.5),2.25),"")</f>
        <v/>
      </c>
      <c r="AT33" s="16" t="str">
        <f t="shared" si="5"/>
        <v/>
      </c>
      <c r="AU33" s="16" t="str">
        <f t="shared" si="6"/>
        <v/>
      </c>
      <c r="AV33" s="16" t="str">
        <f t="shared" si="7"/>
        <v/>
      </c>
      <c r="AW33" s="16" t="str">
        <f>IF(D33="Ring",INDEX(Regeneration!$B$6:$B$155,A33)*0.06,"")</f>
        <v/>
      </c>
      <c r="AX33" s="84" t="str">
        <f t="shared" si="28"/>
        <v/>
      </c>
      <c r="AZ33" s="16" t="str">
        <f t="shared" si="23"/>
        <v/>
      </c>
      <c r="BA33" s="6">
        <f t="shared" si="9"/>
        <v>0.15</v>
      </c>
      <c r="BB33" s="6">
        <f t="shared" si="25"/>
        <v>0.15</v>
      </c>
    </row>
    <row r="34" spans="1:54">
      <c r="A34" s="76">
        <v>5</v>
      </c>
      <c r="B34" s="30" t="s">
        <v>492</v>
      </c>
      <c r="C34" s="30" t="s">
        <v>10</v>
      </c>
      <c r="D34" s="30" t="s">
        <v>450</v>
      </c>
      <c r="E34" s="30" t="s">
        <v>782</v>
      </c>
      <c r="F34" s="30" t="s">
        <v>445</v>
      </c>
      <c r="G34" s="76">
        <f t="shared" si="29"/>
        <v>5</v>
      </c>
      <c r="H34" s="101">
        <v>150</v>
      </c>
      <c r="J34" s="76" t="str">
        <f>LOWER(D34)</f>
        <v>crossbow</v>
      </c>
      <c r="K34" s="76" t="str">
        <f t="array" ref="K34">"A"&amp;IF(IF(ISBLANK(I34),OR(LEFT(LOWER(F34),1)={"a","e","I","o","u"}),OR(LEFT(LOWER(I34),1)={"a","e","I","o","u"})),"n "," ")&amp;I34&amp;IF(ISBLANK(I34),""," ")&amp;LOWER(F34)&amp;IF(LEFT(J34,1)="-",""," ")&amp;J34</f>
        <v>An iron crossbow</v>
      </c>
      <c r="L34" s="76">
        <v>1</v>
      </c>
      <c r="M34" s="62">
        <v>10</v>
      </c>
      <c r="N34" s="62" t="b">
        <v>1</v>
      </c>
      <c r="O34" s="93" t="b">
        <f t="shared" si="11"/>
        <v>1</v>
      </c>
      <c r="P34" s="76"/>
      <c r="Q34" s="62" t="s">
        <v>505</v>
      </c>
      <c r="R34" s="100">
        <f t="shared" si="31"/>
        <v>1.0349999999999999</v>
      </c>
      <c r="S34" s="93">
        <f t="shared" si="13"/>
        <v>1</v>
      </c>
      <c r="T34" s="98">
        <f t="shared" si="14"/>
        <v>1.3</v>
      </c>
      <c r="U34" s="95">
        <f t="shared" si="15"/>
        <v>8</v>
      </c>
      <c r="V34" s="98">
        <f t="shared" si="16"/>
        <v>845</v>
      </c>
      <c r="W34" s="6">
        <f t="shared" si="17"/>
        <v>0.3</v>
      </c>
      <c r="X34" s="6">
        <v>0</v>
      </c>
      <c r="Y34" s="76" t="b">
        <v>1</v>
      </c>
      <c r="Z34" s="76">
        <f t="shared" ref="Z34:Z65" si="32">IF(ISERR(FIND("Consumable",B34)),IF(A34&gt;1,A34,0),0)</f>
        <v>5</v>
      </c>
      <c r="AA34" s="71" t="str">
        <f t="shared" si="1"/>
        <v/>
      </c>
      <c r="AD34" s="71" t="str">
        <f t="shared" ref="AD34:AD65" si="33">IF(AND($AN34&gt;0,MOD($A34/5,2)=1),IF($A34&lt;10,16,IF($A34&lt;20,18,IF($A34&lt;40,22,28))),"")</f>
        <v/>
      </c>
      <c r="AE34" s="71" t="str">
        <f t="shared" ref="AE34:AE65" si="34">IF(AND($AN34&gt;0,MOD($A34/5,2)=0),IF($A34&lt;10,16,IF($A34&lt;20,18,IF($A34&lt;40,22,28))),"")</f>
        <v/>
      </c>
      <c r="AG34" s="43">
        <f>IF(N34,INDEX(Damage!$F$2:$F$151,A34)*R34*S34*V34/1000,"")</f>
        <v>23.739852499999994</v>
      </c>
      <c r="AH34" s="94">
        <f t="shared" si="18"/>
        <v>16.617896749999996</v>
      </c>
      <c r="AI34" s="94">
        <f t="shared" si="19"/>
        <v>30.861808249999992</v>
      </c>
      <c r="AJ34" s="90" t="b">
        <v>0</v>
      </c>
      <c r="AK34" s="6" t="b">
        <f t="array" ref="AK34">IF(AJ34,MAX(IF(Armor!$D$2:'Armor'!$D$7=D34,Armor!$E$2:$E$7),0))</f>
        <v>0</v>
      </c>
      <c r="AL34" s="6">
        <f t="shared" si="30"/>
        <v>0</v>
      </c>
      <c r="AM34" s="71">
        <f>(AL34+AK34)*INDEX(Armor!$B$2:$B$151,A34)+IF(AJ34,1,0)</f>
        <v>0</v>
      </c>
      <c r="AN34" s="71">
        <f>IF(C34="Caster",IF(ISERR(FIND("orb",LOWER(E34))),IF(ISERR(FIND("wand",LOWER(E34))),IF(NOT($D34="Polearm"),0,INDEX(Regeneration!$M$2:$M$151,A34+2)),INDEX(Regeneration!$L$2:$L$151,A34+2)),INDEX(Regeneration!$K$2:$K$151,A34+2)),0)</f>
        <v>0</v>
      </c>
      <c r="AO34" s="71" t="str">
        <f t="shared" ref="AO34:AO65" si="35">IF(AND($N34,$C34="Caster"),IF(AND(NOT($D34="Polearm"),ISERR(FIND("orb",LOWER($E34)))),0,5),"")</f>
        <v/>
      </c>
      <c r="AP34" s="71" t="str">
        <f>IF(AND($N34,$C34="Caster"),IF(AND(NOT($D34="Polearm"),ISERR(FIND("wand",LOWER($E34)))),0,INDEX(Regeneration!F$2:F$151,A34)*0.06),"")</f>
        <v/>
      </c>
      <c r="AQ34" s="88">
        <f t="shared" si="21"/>
        <v>0.15</v>
      </c>
      <c r="AR34" s="88">
        <f t="shared" si="22"/>
        <v>0.15</v>
      </c>
      <c r="AS34" s="16" t="str">
        <f>IF(D34="Shield",INDEX(Regeneration!$C$2:$C$151,A34+3)*0.5*IF(ISERR(FIND("Rare",B34)),IF(ISERR(FIND("Uncommon",B34)),1,1.5),2.25),"")</f>
        <v/>
      </c>
      <c r="AT34" s="16" t="str">
        <f t="shared" ref="AT34:AT65" si="36">IF(AN34&lt;&gt;0,AN34+1,"")</f>
        <v/>
      </c>
      <c r="AU34" s="16" t="str">
        <f t="shared" ref="AU34:AU65" si="37">IF(AO34&lt;&gt;0,AO34,"")</f>
        <v/>
      </c>
      <c r="AV34" s="16" t="str">
        <f t="shared" ref="AV34:AV65" si="38">IF(D34="Ring",5,"")</f>
        <v/>
      </c>
      <c r="AW34" s="16" t="str">
        <f>IF(D34="Ring",INDEX(Regeneration!$B$6:$B$155,A34)*0.06,"")</f>
        <v/>
      </c>
      <c r="AX34" s="84"/>
      <c r="AZ34" s="16" t="str">
        <f t="shared" si="23"/>
        <v/>
      </c>
      <c r="BA34" s="6">
        <f t="shared" si="9"/>
        <v>0.15</v>
      </c>
      <c r="BB34" s="6">
        <f t="shared" si="25"/>
        <v>0.15</v>
      </c>
    </row>
    <row r="35" spans="1:54">
      <c r="A35" s="76">
        <v>5</v>
      </c>
      <c r="B35" s="30" t="s">
        <v>492</v>
      </c>
      <c r="C35" s="30" t="s">
        <v>496</v>
      </c>
      <c r="D35" s="30" t="s">
        <v>488</v>
      </c>
      <c r="E35" s="30" t="s">
        <v>554</v>
      </c>
      <c r="F35" s="30" t="s">
        <v>445</v>
      </c>
      <c r="G35" s="76">
        <f t="shared" si="29"/>
        <v>5</v>
      </c>
      <c r="H35" s="101">
        <v>150</v>
      </c>
      <c r="I35" s="76" t="s">
        <v>676</v>
      </c>
      <c r="J35" s="76" t="s">
        <v>677</v>
      </c>
      <c r="K35" s="76" t="str">
        <f t="array" ref="K35">"A"&amp;IF(IF(ISBLANK(I35),OR(LEFT(LOWER(F35),1)={"a","e","I","o","u"}),OR(LEFT(LOWER(I35),1)={"a","e","I","o","u"})),"n "," ")&amp;I35&amp;IF(ISBLANK(I35),""," ")&amp;LOWER(F35)&amp;IF(LEFT(J35,1)="-",""," ")&amp;J35</f>
        <v>A pair of iron gauntlets</v>
      </c>
      <c r="L35" s="76">
        <v>1</v>
      </c>
      <c r="M35" s="62">
        <v>14</v>
      </c>
      <c r="N35" s="62" t="s">
        <v>644</v>
      </c>
      <c r="O35" s="93" t="b">
        <f t="shared" si="11"/>
        <v>0</v>
      </c>
      <c r="P35" s="76" t="s">
        <v>490</v>
      </c>
      <c r="Q35" s="62" t="s">
        <v>490</v>
      </c>
      <c r="R35" s="100" t="str">
        <f t="shared" si="31"/>
        <v/>
      </c>
      <c r="S35" s="93" t="str">
        <f t="shared" si="13"/>
        <v/>
      </c>
      <c r="T35" s="98" t="str">
        <f t="shared" si="14"/>
        <v/>
      </c>
      <c r="U35" s="95" t="str">
        <f t="shared" si="15"/>
        <v/>
      </c>
      <c r="V35" s="98" t="str">
        <f t="shared" si="16"/>
        <v/>
      </c>
      <c r="W35" s="6" t="str">
        <f t="shared" si="17"/>
        <v/>
      </c>
      <c r="X35" s="6">
        <v>0</v>
      </c>
      <c r="Y35" s="76" t="b">
        <v>1</v>
      </c>
      <c r="Z35" s="76">
        <f t="shared" si="32"/>
        <v>5</v>
      </c>
      <c r="AA35" s="71" t="str">
        <f t="shared" si="1"/>
        <v/>
      </c>
      <c r="AD35" s="71" t="str">
        <f t="shared" si="33"/>
        <v/>
      </c>
      <c r="AE35" s="71" t="str">
        <f t="shared" si="34"/>
        <v/>
      </c>
      <c r="AF35" s="89"/>
      <c r="AG35" s="43" t="str">
        <f>IF(N35,INDEX(Damage!$F$2:$F$151,A35)*R35*S35*V35/1000,"")</f>
        <v/>
      </c>
      <c r="AH35" s="94" t="str">
        <f t="shared" si="18"/>
        <v/>
      </c>
      <c r="AI35" s="94" t="str">
        <f t="shared" si="19"/>
        <v/>
      </c>
      <c r="AJ35" s="79" t="s">
        <v>645</v>
      </c>
      <c r="AK35" s="6">
        <f t="array" ref="AK35">IF(AJ35,MAX(IF(Armor!$D$2:'Armor'!$D$7=D35,Armor!$E$2:$E$7),0))</f>
        <v>0.04</v>
      </c>
      <c r="AL35" s="6">
        <f t="shared" si="30"/>
        <v>0</v>
      </c>
      <c r="AM35" s="71">
        <f>(AL35+AK35)*INDEX(Armor!$B$2:$B$151,A35)+IF(AJ35,1,0)</f>
        <v>3.96</v>
      </c>
      <c r="AN35" s="71">
        <f>IF(C35="Caster",IF(ISERR(FIND("orb",LOWER(E35))),IF(ISERR(FIND("wand",LOWER(E35))),IF(NOT($D35="Polearm"),0,INDEX(Regeneration!$M$2:$M$151,A35+2)),INDEX(Regeneration!$L$2:$L$151,A35+2)),INDEX(Regeneration!$K$2:$K$151,A35+2)),0)</f>
        <v>0</v>
      </c>
      <c r="AO35" s="71" t="str">
        <f t="shared" si="35"/>
        <v/>
      </c>
      <c r="AP35" s="71" t="str">
        <f>IF(AND($N35,$C35="Caster"),IF(AND(NOT($D35="Polearm"),ISERR(FIND("wand",LOWER($E35)))),0,INDEX(Regeneration!F$2:F$151,A35)*0.06),"")</f>
        <v/>
      </c>
      <c r="AQ35" s="88">
        <f t="shared" si="21"/>
        <v>0</v>
      </c>
      <c r="AR35" s="88">
        <f t="shared" si="22"/>
        <v>0</v>
      </c>
      <c r="AS35" s="16" t="str">
        <f>IF(D35="Shield",INDEX(Regeneration!$C$2:$C$151,A35+3)*0.5*IF(ISERR(FIND("Rare",B35)),IF(ISERR(FIND("Uncommon",B35)),1,1.5),2.25),"")</f>
        <v/>
      </c>
      <c r="AT35" s="16" t="str">
        <f t="shared" si="36"/>
        <v/>
      </c>
      <c r="AU35" s="16" t="str">
        <f t="shared" si="37"/>
        <v/>
      </c>
      <c r="AV35" s="16" t="str">
        <f t="shared" si="38"/>
        <v/>
      </c>
      <c r="AW35" s="16" t="str">
        <f>IF(D35="Ring",INDEX(Regeneration!$B$6:$B$155,A35)*0.06,"")</f>
        <v/>
      </c>
      <c r="AX35" s="84" t="str">
        <f>IF(AP35&lt;&gt;0,AP35,"")</f>
        <v/>
      </c>
      <c r="AZ35" s="16">
        <f t="shared" si="23"/>
        <v>4.0909090909090908</v>
      </c>
      <c r="BA35" s="6">
        <f t="shared" si="9"/>
        <v>0</v>
      </c>
      <c r="BB35" s="6">
        <f t="shared" si="25"/>
        <v>0</v>
      </c>
    </row>
    <row r="36" spans="1:54">
      <c r="A36" s="76">
        <v>5</v>
      </c>
      <c r="B36" s="30" t="s">
        <v>493</v>
      </c>
      <c r="C36" s="30" t="s">
        <v>496</v>
      </c>
      <c r="D36" s="30" t="s">
        <v>483</v>
      </c>
      <c r="E36" s="30" t="s">
        <v>441</v>
      </c>
      <c r="F36" s="30" t="s">
        <v>440</v>
      </c>
      <c r="G36" s="76">
        <f t="shared" si="29"/>
        <v>10</v>
      </c>
      <c r="H36" s="101">
        <v>150</v>
      </c>
      <c r="J36" s="76" t="str">
        <f t="shared" ref="J36:J43" si="39">LOWER(D36)</f>
        <v>helmet</v>
      </c>
      <c r="K36" s="76" t="str">
        <f t="array" ref="K36">"A"&amp;IF(IF(ISBLANK(I36),OR(LEFT(LOWER(F36),1)={"a","e","I","o","u"}),OR(LEFT(LOWER(I36),1)={"a","e","I","o","u"})),"n "," ")&amp;I36&amp;IF(ISBLANK(I36),""," ")&amp;LOWER(F36)&amp;IF(LEFT(J36,1)="-",""," ")&amp;J36</f>
        <v>A bronze helmet</v>
      </c>
      <c r="L36" s="76">
        <v>1</v>
      </c>
      <c r="M36" s="62">
        <v>29</v>
      </c>
      <c r="N36" s="62" t="s">
        <v>644</v>
      </c>
      <c r="O36" s="93" t="b">
        <f t="shared" si="11"/>
        <v>0</v>
      </c>
      <c r="P36" s="76" t="s">
        <v>490</v>
      </c>
      <c r="Q36" s="62" t="s">
        <v>490</v>
      </c>
      <c r="R36" s="100" t="str">
        <f t="shared" si="31"/>
        <v/>
      </c>
      <c r="S36" s="93" t="str">
        <f t="shared" si="13"/>
        <v/>
      </c>
      <c r="T36" s="98" t="str">
        <f t="shared" si="14"/>
        <v/>
      </c>
      <c r="U36" s="95" t="str">
        <f t="shared" si="15"/>
        <v/>
      </c>
      <c r="V36" s="98" t="str">
        <f t="shared" si="16"/>
        <v/>
      </c>
      <c r="W36" s="6" t="str">
        <f t="shared" si="17"/>
        <v/>
      </c>
      <c r="X36" s="6">
        <v>0</v>
      </c>
      <c r="Y36" s="76" t="b">
        <v>1</v>
      </c>
      <c r="Z36" s="76">
        <f t="shared" si="32"/>
        <v>5</v>
      </c>
      <c r="AA36" s="71" t="str">
        <f t="shared" si="1"/>
        <v/>
      </c>
      <c r="AD36" s="71" t="str">
        <f t="shared" si="33"/>
        <v/>
      </c>
      <c r="AE36" s="71" t="str">
        <f t="shared" si="34"/>
        <v/>
      </c>
      <c r="AG36" s="43" t="str">
        <f>IF(N36,INDEX(Damage!$F$2:$F$151,A36)*R36*S36*V36/1000,"")</f>
        <v/>
      </c>
      <c r="AH36" s="94" t="str">
        <f t="shared" si="18"/>
        <v/>
      </c>
      <c r="AI36" s="94" t="str">
        <f t="shared" si="19"/>
        <v/>
      </c>
      <c r="AJ36" s="79" t="s">
        <v>645</v>
      </c>
      <c r="AK36" s="6">
        <f t="array" ref="AK36">IF(AJ36,MAX(IF(Armor!$D$2:'Armor'!$D$7=D36,Armor!$E$2:$E$7),0))</f>
        <v>0.1</v>
      </c>
      <c r="AL36" s="6">
        <f t="shared" si="30"/>
        <v>0.05</v>
      </c>
      <c r="AM36" s="71">
        <f>(AL36+AK36)*INDEX(Armor!$B$2:$B$151,A36)+IF(AJ36,1,0)</f>
        <v>12.100000000000001</v>
      </c>
      <c r="AN36" s="71">
        <f>IF(C36="Caster",IF(ISERR(FIND("orb",LOWER(E36))),IF(ISERR(FIND("wand",LOWER(E36))),IF(NOT($D36="Polearm"),0,INDEX(Regeneration!$M$2:$M$151,A36+2)),INDEX(Regeneration!$L$2:$L$151,A36+2)),INDEX(Regeneration!$K$2:$K$151,A36+2)),0)</f>
        <v>0</v>
      </c>
      <c r="AO36" s="71" t="str">
        <f t="shared" si="35"/>
        <v/>
      </c>
      <c r="AP36" s="71" t="str">
        <f>IF(AND($N36,$C36="Caster"),IF(AND(NOT($D36="Polearm"),ISERR(FIND("wand",LOWER($E36)))),0,INDEX(Regeneration!F$2:F$151,A36)*0.06),"")</f>
        <v/>
      </c>
      <c r="AQ36" s="88">
        <f t="shared" si="21"/>
        <v>0</v>
      </c>
      <c r="AR36" s="88">
        <f t="shared" si="22"/>
        <v>0</v>
      </c>
      <c r="AS36" s="16" t="str">
        <f>IF(D36="Shield",INDEX(Regeneration!$C$2:$C$151,A36+3)*0.5*IF(ISERR(FIND("Rare",B36)),IF(ISERR(FIND("Uncommon",B36)),1,1.5),2.25),"")</f>
        <v/>
      </c>
      <c r="AT36" s="16" t="str">
        <f t="shared" si="36"/>
        <v/>
      </c>
      <c r="AU36" s="16" t="str">
        <f t="shared" si="37"/>
        <v/>
      </c>
      <c r="AV36" s="16" t="str">
        <f t="shared" si="38"/>
        <v/>
      </c>
      <c r="AW36" s="16" t="str">
        <f>IF(D36="Ring",INDEX(Regeneration!$B$6:$B$155,A36)*0.06,"")</f>
        <v/>
      </c>
      <c r="AX36" s="84" t="str">
        <f>IF(AP36&lt;&gt;0,AP36,"")</f>
        <v/>
      </c>
      <c r="AZ36" s="16" t="str">
        <f t="shared" si="23"/>
        <v/>
      </c>
      <c r="BA36" s="6">
        <f t="shared" si="9"/>
        <v>0</v>
      </c>
      <c r="BB36" s="6">
        <f t="shared" si="25"/>
        <v>0</v>
      </c>
    </row>
    <row r="37" spans="1:54">
      <c r="A37" s="76">
        <v>5</v>
      </c>
      <c r="B37" s="30" t="s">
        <v>492</v>
      </c>
      <c r="C37" s="30" t="s">
        <v>496</v>
      </c>
      <c r="D37" s="30" t="s">
        <v>483</v>
      </c>
      <c r="E37" s="30" t="s">
        <v>448</v>
      </c>
      <c r="F37" s="30" t="s">
        <v>445</v>
      </c>
      <c r="G37" s="76">
        <f t="shared" si="29"/>
        <v>5</v>
      </c>
      <c r="H37" s="101">
        <v>150</v>
      </c>
      <c r="I37" s="76" t="s">
        <v>664</v>
      </c>
      <c r="J37" s="76" t="str">
        <f t="shared" si="39"/>
        <v>helmet</v>
      </c>
      <c r="K37" s="76" t="str">
        <f t="array" ref="K37">"A"&amp;IF(IF(ISBLANK(I37),OR(LEFT(LOWER(F37),1)={"a","e","I","o","u"}),OR(LEFT(LOWER(I37),1)={"a","e","I","o","u"})),"n "," ")&amp;I37&amp;IF(ISBLANK(I37),""," ")&amp;LOWER(F37)&amp;IF(LEFT(J37,1)="-",""," ")&amp;J37</f>
        <v>A well-fitted iron helmet</v>
      </c>
      <c r="L37" s="76">
        <v>1</v>
      </c>
      <c r="M37" s="62">
        <v>29</v>
      </c>
      <c r="N37" s="62" t="s">
        <v>644</v>
      </c>
      <c r="O37" s="93" t="b">
        <f t="shared" si="11"/>
        <v>0</v>
      </c>
      <c r="P37" s="76" t="s">
        <v>490</v>
      </c>
      <c r="Q37" s="62" t="s">
        <v>490</v>
      </c>
      <c r="R37" s="100" t="str">
        <f t="shared" si="31"/>
        <v/>
      </c>
      <c r="S37" s="93" t="str">
        <f t="shared" si="13"/>
        <v/>
      </c>
      <c r="T37" s="98" t="str">
        <f t="shared" si="14"/>
        <v/>
      </c>
      <c r="U37" s="95" t="str">
        <f t="shared" si="15"/>
        <v/>
      </c>
      <c r="V37" s="98" t="str">
        <f t="shared" si="16"/>
        <v/>
      </c>
      <c r="W37" s="6" t="str">
        <f t="shared" si="17"/>
        <v/>
      </c>
      <c r="X37" s="6">
        <v>0</v>
      </c>
      <c r="Y37" s="76" t="b">
        <v>1</v>
      </c>
      <c r="Z37" s="76">
        <f t="shared" si="32"/>
        <v>5</v>
      </c>
      <c r="AA37" s="71" t="str">
        <f t="shared" si="1"/>
        <v/>
      </c>
      <c r="AD37" s="71" t="str">
        <f t="shared" si="33"/>
        <v/>
      </c>
      <c r="AE37" s="71" t="str">
        <f t="shared" si="34"/>
        <v/>
      </c>
      <c r="AG37" s="43" t="str">
        <f>IF(N37,INDEX(Damage!$F$2:$F$151,A37)*R37*S37*V37/1000,"")</f>
        <v/>
      </c>
      <c r="AH37" s="94" t="str">
        <f t="shared" si="18"/>
        <v/>
      </c>
      <c r="AI37" s="94" t="str">
        <f t="shared" si="19"/>
        <v/>
      </c>
      <c r="AJ37" s="79" t="s">
        <v>645</v>
      </c>
      <c r="AK37" s="6">
        <f t="array" ref="AK37">IF(AJ37,MAX(IF(Armor!$D$2:'Armor'!$D$7=D37,Armor!$E$2:$E$7),0))</f>
        <v>0.1</v>
      </c>
      <c r="AL37" s="6">
        <f t="shared" si="30"/>
        <v>0</v>
      </c>
      <c r="AM37" s="71">
        <f>(AL37+AK37)*INDEX(Armor!$B$2:$B$151,A37)+IF(AJ37,1,0)</f>
        <v>8.4</v>
      </c>
      <c r="AN37" s="71">
        <f>IF(C37="Caster",IF(ISERR(FIND("orb",LOWER(E37))),IF(ISERR(FIND("wand",LOWER(E37))),IF(NOT($D37="Polearm"),0,INDEX(Regeneration!$M$2:$M$151,A37+2)),INDEX(Regeneration!$L$2:$L$151,A37+2)),INDEX(Regeneration!$K$2:$K$151,A37+2)),0)</f>
        <v>0</v>
      </c>
      <c r="AO37" s="71" t="str">
        <f t="shared" si="35"/>
        <v/>
      </c>
      <c r="AP37" s="71" t="str">
        <f>IF(AND($N37,$C37="Caster"),IF(AND(NOT($D37="Polearm"),ISERR(FIND("wand",LOWER($E37)))),0,INDEX(Regeneration!F$2:F$151,A37)*0.06),"")</f>
        <v/>
      </c>
      <c r="AQ37" s="88">
        <f t="shared" si="21"/>
        <v>0</v>
      </c>
      <c r="AR37" s="88">
        <f t="shared" si="22"/>
        <v>0</v>
      </c>
      <c r="AS37" s="16" t="str">
        <f>IF(D37="Shield",INDEX(Regeneration!$C$2:$C$151,A37+3)*0.5*IF(ISERR(FIND("Rare",B37)),IF(ISERR(FIND("Uncommon",B37)),1,1.5),2.25),"")</f>
        <v/>
      </c>
      <c r="AT37" s="16" t="str">
        <f t="shared" si="36"/>
        <v/>
      </c>
      <c r="AU37" s="16" t="str">
        <f t="shared" si="37"/>
        <v/>
      </c>
      <c r="AV37" s="16" t="str">
        <f t="shared" si="38"/>
        <v/>
      </c>
      <c r="AW37" s="16" t="str">
        <f>IF(D37="Ring",INDEX(Regeneration!$B$6:$B$155,A37)*0.06,"")</f>
        <v/>
      </c>
      <c r="AX37" s="84" t="str">
        <f>IF(AP37&lt;&gt;0,AP37,"")</f>
        <v/>
      </c>
      <c r="AZ37" s="16" t="str">
        <f t="shared" si="23"/>
        <v/>
      </c>
      <c r="BA37" s="6">
        <f t="shared" si="9"/>
        <v>0</v>
      </c>
      <c r="BB37" s="6">
        <f t="shared" si="25"/>
        <v>0</v>
      </c>
    </row>
    <row r="38" spans="1:54">
      <c r="A38" s="76">
        <v>5</v>
      </c>
      <c r="B38" s="30" t="s">
        <v>493</v>
      </c>
      <c r="C38" s="30" t="s">
        <v>780</v>
      </c>
      <c r="D38" s="30" t="s">
        <v>473</v>
      </c>
      <c r="E38" s="30" t="s">
        <v>772</v>
      </c>
      <c r="F38" s="30" t="s">
        <v>445</v>
      </c>
      <c r="G38" s="76">
        <f t="shared" si="29"/>
        <v>10</v>
      </c>
      <c r="H38" s="101">
        <v>150</v>
      </c>
      <c r="I38" s="76" t="s">
        <v>662</v>
      </c>
      <c r="J38" s="76" t="str">
        <f t="shared" si="39"/>
        <v>mainhand</v>
      </c>
      <c r="K38" s="76" t="str">
        <f t="array" ref="K38">"A"&amp;IF(IF(ISBLANK(I38),OR(LEFT(LOWER(F38),1)={"a","e","I","o","u"}),OR(LEFT(LOWER(I38),1)={"a","e","I","o","u"})),"n "," ")&amp;I38&amp;IF(ISBLANK(I38),""," ")&amp;LOWER(F38)&amp;IF(LEFT(J38,1)="-",""," ")&amp;J38</f>
        <v>A magical iron mainhand</v>
      </c>
      <c r="L38" s="76">
        <v>1</v>
      </c>
      <c r="M38" s="62">
        <v>20</v>
      </c>
      <c r="N38" s="62" t="b">
        <v>1</v>
      </c>
      <c r="O38" s="93" t="b">
        <f t="shared" si="11"/>
        <v>0</v>
      </c>
      <c r="P38" s="76" t="s">
        <v>5</v>
      </c>
      <c r="Q38" s="62" t="s">
        <v>506</v>
      </c>
      <c r="R38" s="100">
        <f t="shared" si="31"/>
        <v>0.9</v>
      </c>
      <c r="S38" s="93">
        <f t="shared" si="13"/>
        <v>0.4</v>
      </c>
      <c r="T38" s="98">
        <f t="shared" si="14"/>
        <v>0.7</v>
      </c>
      <c r="U38" s="95">
        <f t="shared" si="15"/>
        <v>1.5</v>
      </c>
      <c r="V38" s="98">
        <f t="shared" si="16"/>
        <v>454.99999999999994</v>
      </c>
      <c r="W38" s="6">
        <f t="shared" si="17"/>
        <v>7.0000000000000007E-2</v>
      </c>
      <c r="X38" s="6">
        <v>0</v>
      </c>
      <c r="Y38" s="76" t="b">
        <v>1</v>
      </c>
      <c r="Z38" s="76">
        <f t="shared" si="32"/>
        <v>5</v>
      </c>
      <c r="AA38" s="71" t="str">
        <f t="shared" si="1"/>
        <v/>
      </c>
      <c r="AD38" s="71">
        <f t="shared" si="33"/>
        <v>16</v>
      </c>
      <c r="AE38" s="71" t="str">
        <f t="shared" si="34"/>
        <v/>
      </c>
      <c r="AG38" s="43">
        <f>IF(N38,INDEX(Damage!$F$2:$F$151,A38)*R38*S38*V38/1000,"")</f>
        <v>4.4462599999999988</v>
      </c>
      <c r="AH38" s="94">
        <f t="shared" si="18"/>
        <v>3.7574981999999988</v>
      </c>
      <c r="AI38" s="94">
        <f t="shared" si="19"/>
        <v>4.7574981999999988</v>
      </c>
      <c r="AJ38" s="90" t="b">
        <v>0</v>
      </c>
      <c r="AK38" s="6" t="b">
        <f t="array" ref="AK38">IF(AJ38,MAX(IF(Armor!$D$2:'Armor'!$D$7=D38,Armor!$E$2:$E$7),0))</f>
        <v>0</v>
      </c>
      <c r="AL38" s="6">
        <f t="shared" si="30"/>
        <v>0.05</v>
      </c>
      <c r="AM38" s="71">
        <f>(AL38+AK38)*INDEX(Armor!$B$2:$B$151,A38)+IF(AJ38,1,0)</f>
        <v>3.7</v>
      </c>
      <c r="AN38" s="71">
        <f>IF(C38="Caster",IF(ISERR(FIND("orb",LOWER(E38))),IF(ISERR(FIND("wand",LOWER(E38))),IF(NOT($D38="Polearm"),0,INDEX(Regeneration!$M$2:$M$151,A38+2)),INDEX(Regeneration!$L$2:$L$151,A38+2)),INDEX(Regeneration!$K$2:$K$151,A38+2)),0)</f>
        <v>21.592592592592595</v>
      </c>
      <c r="AO38" s="71">
        <f t="shared" si="35"/>
        <v>0</v>
      </c>
      <c r="AP38" s="71">
        <f>IF(AND($N38,$C38="Caster"),IF(AND(NOT($D38="Polearm"),ISERR(FIND("wand",LOWER($E38)))),0,INDEX(Regeneration!F$2:F$151,A38)*0.06),"")</f>
        <v>11.319999999999999</v>
      </c>
      <c r="AQ38" s="88">
        <f t="shared" si="21"/>
        <v>0</v>
      </c>
      <c r="AR38" s="88">
        <f t="shared" si="22"/>
        <v>0</v>
      </c>
      <c r="AS38" s="16" t="str">
        <f>IF(D38="Shield",INDEX(Regeneration!$C$2:$C$151,A38+3)*0.5*IF(ISERR(FIND("Rare",B38)),IF(ISERR(FIND("Uncommon",B38)),1,1.5),2.25),"")</f>
        <v/>
      </c>
      <c r="AT38" s="16">
        <f t="shared" si="36"/>
        <v>22.592592592592595</v>
      </c>
      <c r="AU38" s="16" t="str">
        <f t="shared" si="37"/>
        <v/>
      </c>
      <c r="AV38" s="16" t="str">
        <f t="shared" si="38"/>
        <v/>
      </c>
      <c r="AW38" s="16" t="str">
        <f>IF(D38="Ring",INDEX(Regeneration!$B$6:$B$155,A38)*0.06,"")</f>
        <v/>
      </c>
      <c r="AX38" s="84"/>
      <c r="AZ38" s="16" t="str">
        <f t="shared" si="23"/>
        <v/>
      </c>
      <c r="BA38" s="6">
        <f t="shared" si="9"/>
        <v>0</v>
      </c>
      <c r="BB38" s="6">
        <f t="shared" si="25"/>
        <v>0</v>
      </c>
    </row>
    <row r="39" spans="1:54">
      <c r="A39" s="76">
        <v>5</v>
      </c>
      <c r="B39" s="30" t="s">
        <v>492</v>
      </c>
      <c r="C39" s="30" t="s">
        <v>780</v>
      </c>
      <c r="D39" s="30" t="s">
        <v>474</v>
      </c>
      <c r="E39" s="30" t="s">
        <v>763</v>
      </c>
      <c r="F39" s="30" t="s">
        <v>445</v>
      </c>
      <c r="G39" s="76">
        <f t="shared" si="29"/>
        <v>5</v>
      </c>
      <c r="H39" s="101">
        <v>150</v>
      </c>
      <c r="I39" s="76" t="s">
        <v>662</v>
      </c>
      <c r="J39" s="76" t="str">
        <f t="shared" si="39"/>
        <v>offhand item</v>
      </c>
      <c r="K39" s="76" t="str">
        <f t="array" ref="K39">"A"&amp;IF(IF(ISBLANK(I39),OR(LEFT(LOWER(F39),1)={"a","e","I","o","u"}),OR(LEFT(LOWER(I39),1)={"a","e","I","o","u"})),"n "," ")&amp;I39&amp;IF(ISBLANK(I39),""," ")&amp;LOWER(F39)&amp;IF(LEFT(J39,1)="-",""," ")&amp;J39</f>
        <v>A magical iron offhand item</v>
      </c>
      <c r="L39" s="76">
        <v>1</v>
      </c>
      <c r="M39" s="62">
        <v>10</v>
      </c>
      <c r="N39" s="62" t="b">
        <v>0</v>
      </c>
      <c r="O39" s="93" t="b">
        <f t="shared" si="11"/>
        <v>0</v>
      </c>
      <c r="P39" s="76"/>
      <c r="R39" s="100" t="str">
        <f t="shared" si="31"/>
        <v/>
      </c>
      <c r="S39" s="93" t="str">
        <f t="shared" si="13"/>
        <v/>
      </c>
      <c r="T39" s="98" t="str">
        <f t="shared" si="14"/>
        <v/>
      </c>
      <c r="U39" s="95" t="str">
        <f t="shared" si="15"/>
        <v/>
      </c>
      <c r="V39" s="98" t="str">
        <f t="shared" si="16"/>
        <v/>
      </c>
      <c r="W39" s="6" t="str">
        <f t="shared" si="17"/>
        <v/>
      </c>
      <c r="X39" s="6">
        <v>0</v>
      </c>
      <c r="Y39" s="76" t="b">
        <v>1</v>
      </c>
      <c r="Z39" s="76">
        <f t="shared" si="32"/>
        <v>5</v>
      </c>
      <c r="AA39" s="71" t="str">
        <f t="shared" si="1"/>
        <v/>
      </c>
      <c r="AD39" s="71">
        <f t="shared" si="33"/>
        <v>16</v>
      </c>
      <c r="AE39" s="71" t="str">
        <f t="shared" si="34"/>
        <v/>
      </c>
      <c r="AG39" s="43" t="str">
        <f>IF(N39,INDEX(Damage!$F$2:$F$151,A39)*R39*S39*V39/1000,"")</f>
        <v/>
      </c>
      <c r="AH39" s="94" t="str">
        <f t="shared" si="18"/>
        <v/>
      </c>
      <c r="AI39" s="94" t="str">
        <f t="shared" si="19"/>
        <v/>
      </c>
      <c r="AJ39" s="90" t="b">
        <v>0</v>
      </c>
      <c r="AK39" s="6" t="b">
        <f t="array" ref="AK39">IF(AJ39,MAX(IF(Armor!$D$2:'Armor'!$D$7=D39,Armor!$E$2:$E$7),0))</f>
        <v>0</v>
      </c>
      <c r="AL39" s="6">
        <f t="shared" si="30"/>
        <v>0</v>
      </c>
      <c r="AM39" s="71">
        <f>(AL39+AK39)*INDEX(Armor!$B$2:$B$151,A39)+IF(AJ39,1,0)</f>
        <v>0</v>
      </c>
      <c r="AN39" s="71">
        <f>IF(C39="Caster",IF(ISERR(FIND("orb",LOWER(E39))),IF(ISERR(FIND("wand",LOWER(E39))),IF(NOT($D39="Polearm"),0,INDEX(Regeneration!$M$2:$M$151,A39+2)),INDEX(Regeneration!$L$2:$L$151,A39+2)),INDEX(Regeneration!$K$2:$K$151,A39+2)),0)</f>
        <v>17.274074074074075</v>
      </c>
      <c r="AO39" s="71" t="str">
        <f t="shared" si="35"/>
        <v/>
      </c>
      <c r="AP39" s="71" t="str">
        <f>IF(AND($N39,$C39="Caster"),IF(AND(NOT($D39="Polearm"),ISERR(FIND("wand",LOWER($E39)))),0,INDEX(Regeneration!F$2:F$151,A39)*0.06),"")</f>
        <v/>
      </c>
      <c r="AQ39" s="88">
        <f t="shared" si="21"/>
        <v>0</v>
      </c>
      <c r="AR39" s="88">
        <f t="shared" si="22"/>
        <v>0</v>
      </c>
      <c r="AS39" s="16" t="str">
        <f>IF(D39="Shield",INDEX(Regeneration!$C$2:$C$151,A39+3)*0.5*IF(ISERR(FIND("Rare",B39)),IF(ISERR(FIND("Uncommon",B39)),1,1.5),2.25),"")</f>
        <v/>
      </c>
      <c r="AT39" s="16">
        <f t="shared" si="36"/>
        <v>18.274074074074075</v>
      </c>
      <c r="AU39" s="16" t="str">
        <f t="shared" si="37"/>
        <v/>
      </c>
      <c r="AV39" s="16" t="str">
        <f t="shared" si="38"/>
        <v/>
      </c>
      <c r="AW39" s="16" t="str">
        <f>IF(D39="Ring",INDEX(Regeneration!$B$6:$B$155,A39)*0.06,"")</f>
        <v/>
      </c>
      <c r="AX39" s="84"/>
      <c r="AZ39" s="16" t="str">
        <f t="shared" si="23"/>
        <v/>
      </c>
      <c r="BA39" s="6">
        <f t="shared" si="9"/>
        <v>0</v>
      </c>
      <c r="BB39" s="6">
        <f t="shared" si="25"/>
        <v>0</v>
      </c>
    </row>
    <row r="40" spans="1:54">
      <c r="A40" s="76">
        <v>5</v>
      </c>
      <c r="B40" s="30" t="s">
        <v>495</v>
      </c>
      <c r="C40" s="30" t="s">
        <v>780</v>
      </c>
      <c r="D40" s="30" t="s">
        <v>478</v>
      </c>
      <c r="E40" s="30" t="s">
        <v>556</v>
      </c>
      <c r="F40" s="30" t="s">
        <v>440</v>
      </c>
      <c r="G40" s="76">
        <f t="shared" si="29"/>
        <v>15</v>
      </c>
      <c r="H40" s="101">
        <v>150</v>
      </c>
      <c r="I40" s="76" t="s">
        <v>7</v>
      </c>
      <c r="J40" s="89" t="str">
        <f t="shared" si="39"/>
        <v>polearm</v>
      </c>
      <c r="K40" s="76" t="str">
        <f t="array" ref="K40">"A"&amp;IF(IF(ISBLANK(I40),OR(LEFT(LOWER(F40),1)={"a","e","I","o","u"}),OR(LEFT(LOWER(I40),1)={"a","e","I","o","u"})),"n "," ")&amp;I40&amp;IF(ISBLANK(I40),""," ")&amp;LOWER(F40)&amp;IF(LEFT(J40,1)="-",""," ")&amp;J40</f>
        <v>A large bronze polearm</v>
      </c>
      <c r="L40" s="76">
        <v>1</v>
      </c>
      <c r="M40" s="62">
        <v>54</v>
      </c>
      <c r="N40" s="62" t="s">
        <v>645</v>
      </c>
      <c r="O40" s="93" t="b">
        <f t="shared" si="11"/>
        <v>0</v>
      </c>
      <c r="P40" s="76" t="s">
        <v>7</v>
      </c>
      <c r="Q40" s="62" t="s">
        <v>505</v>
      </c>
      <c r="R40" s="100">
        <f t="shared" si="31"/>
        <v>1.1499999999999999</v>
      </c>
      <c r="S40" s="93">
        <f t="shared" si="13"/>
        <v>0.4</v>
      </c>
      <c r="T40" s="98">
        <f t="shared" si="14"/>
        <v>1.3</v>
      </c>
      <c r="U40" s="95">
        <f t="shared" si="15"/>
        <v>2.5</v>
      </c>
      <c r="V40" s="98">
        <f t="shared" si="16"/>
        <v>845</v>
      </c>
      <c r="W40" s="6">
        <f t="shared" si="17"/>
        <v>0.3</v>
      </c>
      <c r="X40" s="6">
        <v>0</v>
      </c>
      <c r="Y40" s="76" t="b">
        <v>1</v>
      </c>
      <c r="Z40" s="76">
        <f t="shared" si="32"/>
        <v>5</v>
      </c>
      <c r="AA40" s="71" t="str">
        <f t="shared" si="1"/>
        <v/>
      </c>
      <c r="AD40" s="71">
        <f t="shared" si="33"/>
        <v>16</v>
      </c>
      <c r="AE40" s="71" t="str">
        <f t="shared" si="34"/>
        <v/>
      </c>
      <c r="AG40" s="43">
        <f>IF(N40,INDEX(Damage!$F$2:$F$151,A40)*R40*S40*V40/1000,"")</f>
        <v>10.551045555555552</v>
      </c>
      <c r="AH40" s="94">
        <f t="shared" si="18"/>
        <v>7.3857318888888859</v>
      </c>
      <c r="AI40" s="94">
        <f t="shared" si="19"/>
        <v>13.716359222222218</v>
      </c>
      <c r="AJ40" s="79" t="s">
        <v>644</v>
      </c>
      <c r="AK40" s="6" t="b">
        <f t="array" ref="AK40">IF(AJ40,MAX(IF(Armor!$D$2:'Armor'!$D$7=D40,Armor!$E$2:$E$7),0))</f>
        <v>0</v>
      </c>
      <c r="AL40" s="6">
        <f t="shared" si="30"/>
        <v>0.1</v>
      </c>
      <c r="AM40" s="71">
        <f>(AL40+AK40)*INDEX(Armor!$B$2:$B$151,A40)+IF(AJ40,1,0)</f>
        <v>7.4</v>
      </c>
      <c r="AN40" s="71">
        <f>IF(C40="Caster",IF(ISERR(FIND("orb",LOWER(E40))),IF(ISERR(FIND("wand",LOWER(E40))),IF(NOT($D40="Polearm"),0,INDEX(Regeneration!$M$2:$M$151,A40+2)),INDEX(Regeneration!$L$2:$L$151,A40+2)),INDEX(Regeneration!$K$2:$K$151,A40+2)),0)</f>
        <v>43.18518518518519</v>
      </c>
      <c r="AO40" s="71">
        <f t="shared" si="35"/>
        <v>5</v>
      </c>
      <c r="AP40" s="71">
        <f>IF(AND($N40,$C40="Caster"),IF(AND(NOT($D40="Polearm"),ISERR(FIND("wand",LOWER($E40)))),0,INDEX(Regeneration!F$2:F$151,A40)*0.06),"")</f>
        <v>11.319999999999999</v>
      </c>
      <c r="AQ40" s="88">
        <f t="shared" si="21"/>
        <v>0</v>
      </c>
      <c r="AR40" s="88">
        <f t="shared" si="22"/>
        <v>0</v>
      </c>
      <c r="AS40" s="16" t="str">
        <f>IF(D40="Shield",INDEX(Regeneration!$C$2:$C$151,A40+3)*0.5*IF(ISERR(FIND("Rare",B40)),IF(ISERR(FIND("Uncommon",B40)),1,1.5),2.25),"")</f>
        <v/>
      </c>
      <c r="AT40" s="16">
        <f t="shared" si="36"/>
        <v>44.18518518518519</v>
      </c>
      <c r="AU40" s="16">
        <f t="shared" si="37"/>
        <v>5</v>
      </c>
      <c r="AV40" s="16" t="str">
        <f t="shared" si="38"/>
        <v/>
      </c>
      <c r="AW40" s="16" t="str">
        <f>IF(D40="Ring",INDEX(Regeneration!$B$6:$B$155,A40)*0.06,"")</f>
        <v/>
      </c>
      <c r="AX40" s="84">
        <f t="shared" ref="AX40:AX50" si="40">IF(AP40&lt;&gt;0,AP40,"")</f>
        <v>11.319999999999999</v>
      </c>
      <c r="AZ40" s="16">
        <f t="shared" si="23"/>
        <v>4.0909090909090908</v>
      </c>
      <c r="BA40" s="6">
        <f t="shared" si="9"/>
        <v>0</v>
      </c>
      <c r="BB40" s="6">
        <f t="shared" si="25"/>
        <v>0</v>
      </c>
    </row>
    <row r="41" spans="1:54">
      <c r="A41" s="76">
        <v>5</v>
      </c>
      <c r="B41" s="30" t="s">
        <v>493</v>
      </c>
      <c r="C41" s="30" t="s">
        <v>496</v>
      </c>
      <c r="D41" s="30" t="s">
        <v>485</v>
      </c>
      <c r="E41" s="30" t="s">
        <v>552</v>
      </c>
      <c r="F41" s="30" t="s">
        <v>445</v>
      </c>
      <c r="G41" s="76">
        <f t="shared" si="29"/>
        <v>10</v>
      </c>
      <c r="H41" s="101">
        <v>150</v>
      </c>
      <c r="J41" s="76" t="str">
        <f t="shared" si="39"/>
        <v>ring</v>
      </c>
      <c r="K41" s="76" t="str">
        <f t="array" ref="K41">"A"&amp;IF(IF(ISBLANK(I41),OR(LEFT(LOWER(F41),1)={"a","e","I","o","u"}),OR(LEFT(LOWER(I41),1)={"a","e","I","o","u"})),"n "," ")&amp;I41&amp;IF(ISBLANK(I41),""," ")&amp;LOWER(F41)&amp;IF(LEFT(J41,1)="-",""," ")&amp;J41</f>
        <v>An iron ring</v>
      </c>
      <c r="L41" s="76">
        <v>1</v>
      </c>
      <c r="M41" s="62">
        <v>134</v>
      </c>
      <c r="N41" s="62" t="s">
        <v>644</v>
      </c>
      <c r="O41" s="93" t="b">
        <f t="shared" si="11"/>
        <v>0</v>
      </c>
      <c r="P41" s="76" t="s">
        <v>490</v>
      </c>
      <c r="Q41" s="62" t="s">
        <v>490</v>
      </c>
      <c r="R41" s="100" t="str">
        <f t="shared" si="31"/>
        <v/>
      </c>
      <c r="S41" s="93" t="str">
        <f t="shared" si="13"/>
        <v/>
      </c>
      <c r="T41" s="98" t="str">
        <f t="shared" si="14"/>
        <v/>
      </c>
      <c r="U41" s="95" t="str">
        <f t="shared" si="15"/>
        <v/>
      </c>
      <c r="V41" s="98" t="str">
        <f t="shared" si="16"/>
        <v/>
      </c>
      <c r="W41" s="6" t="str">
        <f t="shared" si="17"/>
        <v/>
      </c>
      <c r="X41" s="6">
        <v>0</v>
      </c>
      <c r="Y41" s="76" t="b">
        <v>1</v>
      </c>
      <c r="Z41" s="76">
        <f t="shared" si="32"/>
        <v>5</v>
      </c>
      <c r="AA41" s="71" t="str">
        <f t="shared" si="1"/>
        <v/>
      </c>
      <c r="AD41" s="71" t="str">
        <f t="shared" si="33"/>
        <v/>
      </c>
      <c r="AE41" s="71" t="str">
        <f t="shared" si="34"/>
        <v/>
      </c>
      <c r="AG41" s="43" t="str">
        <f>IF(N41,INDEX(Damage!$F$2:$F$151,A41)*R41*S41*V41/1000,"")</f>
        <v/>
      </c>
      <c r="AH41" s="94" t="str">
        <f t="shared" si="18"/>
        <v/>
      </c>
      <c r="AI41" s="94" t="str">
        <f t="shared" si="19"/>
        <v/>
      </c>
      <c r="AJ41" s="79" t="s">
        <v>644</v>
      </c>
      <c r="AK41" s="6" t="b">
        <f t="array" ref="AK41">IF(AJ41,MAX(IF(Armor!$D$2:'Armor'!$D$7=D41,Armor!$E$2:$E$7),0))</f>
        <v>0</v>
      </c>
      <c r="AL41" s="6">
        <f t="shared" si="30"/>
        <v>0.05</v>
      </c>
      <c r="AM41" s="71">
        <f>(AL41+AK41)*INDEX(Armor!$B$2:$B$151,A41)+IF(AJ41,1,0)</f>
        <v>3.7</v>
      </c>
      <c r="AN41" s="71">
        <f>IF(C41="Caster",IF(ISERR(FIND("orb",LOWER(E41))),IF(ISERR(FIND("wand",LOWER(E41))),IF(NOT($D41="Polearm"),0,INDEX(Regeneration!$M$2:$M$151,A41+2)),INDEX(Regeneration!$L$2:$L$151,A41+2)),INDEX(Regeneration!$K$2:$K$151,A41+2)),0)</f>
        <v>0</v>
      </c>
      <c r="AO41" s="71" t="str">
        <f t="shared" si="35"/>
        <v/>
      </c>
      <c r="AP41" s="71" t="str">
        <f>IF(AND($N41,$C41="Caster"),IF(AND(NOT($D41="Polearm"),ISERR(FIND("wand",LOWER($E41)))),0,INDEX(Regeneration!F$2:F$151,A41)*0.06),"")</f>
        <v/>
      </c>
      <c r="AQ41" s="88">
        <f t="shared" si="21"/>
        <v>0</v>
      </c>
      <c r="AR41" s="88">
        <f t="shared" si="22"/>
        <v>0</v>
      </c>
      <c r="AS41" s="16" t="str">
        <f>IF(D41="Shield",INDEX(Regeneration!$C$2:$C$151,A41+3)*0.5*IF(ISERR(FIND("Rare",B41)),IF(ISERR(FIND("Uncommon",B41)),1,1.5),2.25),"")</f>
        <v/>
      </c>
      <c r="AT41" s="16" t="str">
        <f t="shared" si="36"/>
        <v/>
      </c>
      <c r="AU41" s="16" t="str">
        <f t="shared" si="37"/>
        <v/>
      </c>
      <c r="AV41" s="16">
        <f t="shared" si="38"/>
        <v>5</v>
      </c>
      <c r="AW41" s="16">
        <f>IF(D41="Ring",INDEX(Regeneration!$B$6:$B$155,A41)*0.06,"")</f>
        <v>18.509999999999998</v>
      </c>
      <c r="AX41" s="84" t="str">
        <f t="shared" si="40"/>
        <v/>
      </c>
      <c r="AZ41" s="16" t="str">
        <f t="shared" si="23"/>
        <v/>
      </c>
      <c r="BA41" s="6">
        <f t="shared" si="9"/>
        <v>0</v>
      </c>
      <c r="BB41" s="6">
        <f t="shared" si="25"/>
        <v>0</v>
      </c>
    </row>
    <row r="42" spans="1:54">
      <c r="A42" s="62">
        <v>5</v>
      </c>
      <c r="B42" s="30" t="s">
        <v>493</v>
      </c>
      <c r="C42" s="30" t="s">
        <v>496</v>
      </c>
      <c r="D42" s="30" t="s">
        <v>475</v>
      </c>
      <c r="E42" s="30" t="s">
        <v>443</v>
      </c>
      <c r="F42" s="30" t="s">
        <v>440</v>
      </c>
      <c r="G42" s="76">
        <f t="shared" si="29"/>
        <v>10</v>
      </c>
      <c r="H42" s="101">
        <v>150</v>
      </c>
      <c r="J42" s="89" t="str">
        <f t="shared" si="39"/>
        <v>shield</v>
      </c>
      <c r="K42" s="76" t="str">
        <f t="array" ref="K42">"A"&amp;IF(IF(ISBLANK(I42),OR(LEFT(LOWER(F42),1)={"a","e","I","o","u"}),OR(LEFT(LOWER(I42),1)={"a","e","I","o","u"})),"n "," ")&amp;I42&amp;IF(ISBLANK(I42),""," ")&amp;LOWER(F42)&amp;IF(LEFT(J42,1)="-",""," ")&amp;J42</f>
        <v>A bronze shield</v>
      </c>
      <c r="L42" s="76">
        <v>1</v>
      </c>
      <c r="M42" s="62">
        <v>54</v>
      </c>
      <c r="N42" s="62" t="s">
        <v>644</v>
      </c>
      <c r="O42" s="93" t="b">
        <f t="shared" si="11"/>
        <v>0</v>
      </c>
      <c r="P42" s="76" t="s">
        <v>490</v>
      </c>
      <c r="Q42" s="62" t="s">
        <v>490</v>
      </c>
      <c r="R42" s="100" t="str">
        <f t="shared" si="31"/>
        <v/>
      </c>
      <c r="S42" s="93" t="str">
        <f t="shared" si="13"/>
        <v/>
      </c>
      <c r="T42" s="98" t="str">
        <f t="shared" si="14"/>
        <v/>
      </c>
      <c r="U42" s="95" t="str">
        <f t="shared" si="15"/>
        <v/>
      </c>
      <c r="V42" s="98" t="str">
        <f t="shared" si="16"/>
        <v/>
      </c>
      <c r="W42" s="6" t="str">
        <f t="shared" si="17"/>
        <v/>
      </c>
      <c r="X42" s="6">
        <v>0</v>
      </c>
      <c r="Y42" s="76" t="b">
        <v>1</v>
      </c>
      <c r="Z42" s="76">
        <f t="shared" si="32"/>
        <v>5</v>
      </c>
      <c r="AA42" s="71" t="str">
        <f t="shared" si="1"/>
        <v/>
      </c>
      <c r="AD42" s="71" t="str">
        <f t="shared" si="33"/>
        <v/>
      </c>
      <c r="AE42" s="71" t="str">
        <f t="shared" si="34"/>
        <v/>
      </c>
      <c r="AG42" s="43" t="str">
        <f>IF(N42,INDEX(Damage!$F$2:$F$151,A42)*R42*S42*V42/1000,"")</f>
        <v/>
      </c>
      <c r="AH42" s="94" t="str">
        <f t="shared" si="18"/>
        <v/>
      </c>
      <c r="AI42" s="94" t="str">
        <f t="shared" si="19"/>
        <v/>
      </c>
      <c r="AJ42" s="79" t="s">
        <v>645</v>
      </c>
      <c r="AK42" s="6">
        <f t="array" ref="AK42">IF(AJ42,MAX(IF(Armor!$D$2:'Armor'!$D$7=D42,Armor!$E$2:$E$7),0))</f>
        <v>0.25</v>
      </c>
      <c r="AL42" s="6">
        <f t="shared" si="30"/>
        <v>0.05</v>
      </c>
      <c r="AM42" s="71">
        <f>(AL42+AK42)*INDEX(Armor!$B$2:$B$151,A42)+IF(AJ42,1,0)</f>
        <v>23.2</v>
      </c>
      <c r="AN42" s="71">
        <f>IF(C42="Caster",IF(ISERR(FIND("orb",LOWER(E42))),IF(ISERR(FIND("wand",LOWER(E42))),IF(NOT($D42="Polearm"),0,INDEX(Regeneration!$M$2:$M$151,A42+2)),INDEX(Regeneration!$L$2:$L$151,A42+2)),INDEX(Regeneration!$K$2:$K$151,A42+2)),0)</f>
        <v>0</v>
      </c>
      <c r="AO42" s="71" t="str">
        <f t="shared" si="35"/>
        <v/>
      </c>
      <c r="AP42" s="71" t="str">
        <f>IF(AND($N42,$C42="Caster"),IF(AND(NOT($D42="Polearm"),ISERR(FIND("wand",LOWER($E42)))),0,INDEX(Regeneration!F$2:F$151,A42)*0.06),"")</f>
        <v/>
      </c>
      <c r="AQ42" s="88">
        <f t="shared" si="21"/>
        <v>0</v>
      </c>
      <c r="AR42" s="88">
        <f t="shared" si="22"/>
        <v>0</v>
      </c>
      <c r="AS42" s="16">
        <f>IF(D42="Shield",INDEX(Regeneration!$C$2:$C$151,A42+3)*0.5*IF(ISERR(FIND("Rare",B42)),IF(ISERR(FIND("Uncommon",B42)),1,1.5),2.25),"")</f>
        <v>39.314814814814824</v>
      </c>
      <c r="AT42" s="16" t="str">
        <f t="shared" si="36"/>
        <v/>
      </c>
      <c r="AU42" s="16" t="str">
        <f t="shared" si="37"/>
        <v/>
      </c>
      <c r="AV42" s="16" t="str">
        <f t="shared" si="38"/>
        <v/>
      </c>
      <c r="AW42" s="16" t="str">
        <f>IF(D42="Ring",INDEX(Regeneration!$B$6:$B$155,A42)*0.06,"")</f>
        <v/>
      </c>
      <c r="AX42" s="84" t="str">
        <f t="shared" si="40"/>
        <v/>
      </c>
      <c r="AZ42" s="16" t="str">
        <f t="shared" si="23"/>
        <v/>
      </c>
      <c r="BA42" s="6">
        <f t="shared" si="9"/>
        <v>0</v>
      </c>
      <c r="BB42" s="6">
        <f t="shared" si="25"/>
        <v>0</v>
      </c>
    </row>
    <row r="43" spans="1:54">
      <c r="A43" s="76">
        <v>5</v>
      </c>
      <c r="B43" s="30" t="s">
        <v>492</v>
      </c>
      <c r="C43" s="30" t="s">
        <v>496</v>
      </c>
      <c r="D43" s="30" t="s">
        <v>475</v>
      </c>
      <c r="E43" s="30" t="s">
        <v>546</v>
      </c>
      <c r="F43" s="30" t="s">
        <v>445</v>
      </c>
      <c r="G43" s="76">
        <f t="shared" si="29"/>
        <v>5</v>
      </c>
      <c r="H43" s="101">
        <v>150</v>
      </c>
      <c r="I43" s="76" t="s">
        <v>660</v>
      </c>
      <c r="J43" s="76" t="str">
        <f t="shared" si="39"/>
        <v>shield</v>
      </c>
      <c r="K43" s="76" t="str">
        <f t="array" ref="K43">"A"&amp;IF(IF(ISBLANK(I43),OR(LEFT(LOWER(F43),1)={"a","e","I","o","u"}),OR(LEFT(LOWER(I43),1)={"a","e","I","o","u"})),"n "," ")&amp;I43&amp;IF(ISBLANK(I43),""," ")&amp;LOWER(F43)&amp;IF(LEFT(J43,1)="-",""," ")&amp;J43</f>
        <v>A banded iron shield</v>
      </c>
      <c r="L43" s="76">
        <v>1</v>
      </c>
      <c r="M43" s="62">
        <v>54</v>
      </c>
      <c r="N43" s="62" t="s">
        <v>644</v>
      </c>
      <c r="O43" s="93" t="b">
        <f t="shared" si="11"/>
        <v>0</v>
      </c>
      <c r="P43" s="76" t="s">
        <v>490</v>
      </c>
      <c r="Q43" s="62" t="s">
        <v>490</v>
      </c>
      <c r="R43" s="100" t="str">
        <f t="shared" si="31"/>
        <v/>
      </c>
      <c r="S43" s="93" t="str">
        <f t="shared" si="13"/>
        <v/>
      </c>
      <c r="T43" s="98" t="str">
        <f t="shared" si="14"/>
        <v/>
      </c>
      <c r="U43" s="95" t="str">
        <f t="shared" si="15"/>
        <v/>
      </c>
      <c r="V43" s="98" t="str">
        <f t="shared" si="16"/>
        <v/>
      </c>
      <c r="W43" s="6" t="str">
        <f t="shared" si="17"/>
        <v/>
      </c>
      <c r="X43" s="6">
        <v>0</v>
      </c>
      <c r="Y43" s="76" t="b">
        <v>1</v>
      </c>
      <c r="Z43" s="76">
        <f t="shared" si="32"/>
        <v>5</v>
      </c>
      <c r="AA43" s="71" t="str">
        <f t="shared" si="1"/>
        <v/>
      </c>
      <c r="AD43" s="71" t="str">
        <f t="shared" si="33"/>
        <v/>
      </c>
      <c r="AE43" s="71" t="str">
        <f t="shared" si="34"/>
        <v/>
      </c>
      <c r="AG43" s="43" t="str">
        <f>IF(N43,INDEX(Damage!$F$2:$F$151,A43)*R43*S43*V43/1000,"")</f>
        <v/>
      </c>
      <c r="AH43" s="94" t="str">
        <f t="shared" si="18"/>
        <v/>
      </c>
      <c r="AI43" s="94" t="str">
        <f t="shared" si="19"/>
        <v/>
      </c>
      <c r="AJ43" s="79" t="s">
        <v>645</v>
      </c>
      <c r="AK43" s="6">
        <f t="array" ref="AK43">IF(AJ43,MAX(IF(Armor!$D$2:'Armor'!$D$7=D43,Armor!$E$2:$E$7),0))</f>
        <v>0.25</v>
      </c>
      <c r="AL43" s="6">
        <f t="shared" si="30"/>
        <v>0</v>
      </c>
      <c r="AM43" s="71">
        <f>(AL43+AK43)*INDEX(Armor!$B$2:$B$151,A43)+IF(AJ43,1,0)</f>
        <v>19.5</v>
      </c>
      <c r="AN43" s="71">
        <f>IF(C43="Caster",IF(ISERR(FIND("orb",LOWER(E43))),IF(ISERR(FIND("wand",LOWER(E43))),IF(NOT($D43="Polearm"),0,INDEX(Regeneration!$M$2:$M$151,A43+2)),INDEX(Regeneration!$L$2:$L$151,A43+2)),INDEX(Regeneration!$K$2:$K$151,A43+2)),0)</f>
        <v>0</v>
      </c>
      <c r="AO43" s="71" t="str">
        <f t="shared" si="35"/>
        <v/>
      </c>
      <c r="AP43" s="71" t="str">
        <f>IF(AND($N43,$C43="Caster"),IF(AND(NOT($D43="Polearm"),ISERR(FIND("wand",LOWER($E43)))),0,INDEX(Regeneration!F$2:F$151,A43)*0.06),"")</f>
        <v/>
      </c>
      <c r="AQ43" s="88">
        <f t="shared" si="21"/>
        <v>0</v>
      </c>
      <c r="AR43" s="88">
        <f t="shared" si="22"/>
        <v>0</v>
      </c>
      <c r="AS43" s="16">
        <f>IF(D43="Shield",INDEX(Regeneration!$C$2:$C$151,A43+3)*0.5*IF(ISERR(FIND("Rare",B43)),IF(ISERR(FIND("Uncommon",B43)),1,1.5),2.25),"")</f>
        <v>26.20987654320988</v>
      </c>
      <c r="AT43" s="16" t="str">
        <f t="shared" si="36"/>
        <v/>
      </c>
      <c r="AU43" s="16" t="str">
        <f t="shared" si="37"/>
        <v/>
      </c>
      <c r="AV43" s="16" t="str">
        <f t="shared" si="38"/>
        <v/>
      </c>
      <c r="AW43" s="16" t="str">
        <f>IF(D43="Ring",INDEX(Regeneration!$B$6:$B$155,A43)*0.06,"")</f>
        <v/>
      </c>
      <c r="AX43" s="84" t="str">
        <f t="shared" si="40"/>
        <v/>
      </c>
      <c r="AZ43" s="16" t="str">
        <f t="shared" si="23"/>
        <v/>
      </c>
      <c r="BA43" s="6">
        <f t="shared" si="9"/>
        <v>0</v>
      </c>
      <c r="BB43" s="6">
        <f t="shared" si="25"/>
        <v>0</v>
      </c>
    </row>
    <row r="44" spans="1:54">
      <c r="A44" s="76">
        <v>5</v>
      </c>
      <c r="B44" s="30" t="s">
        <v>493</v>
      </c>
      <c r="C44" s="30" t="s">
        <v>10</v>
      </c>
      <c r="D44" s="30" t="s">
        <v>476</v>
      </c>
      <c r="E44" s="30" t="s">
        <v>557</v>
      </c>
      <c r="F44" s="30" t="s">
        <v>440</v>
      </c>
      <c r="G44" s="76">
        <f t="shared" si="29"/>
        <v>10</v>
      </c>
      <c r="H44" s="101">
        <v>150</v>
      </c>
      <c r="I44" s="76" t="s">
        <v>686</v>
      </c>
      <c r="J44" s="89" t="s">
        <v>668</v>
      </c>
      <c r="K44" s="76" t="str">
        <f t="array" ref="K44">"A"&amp;IF(IF(ISBLANK(I44),OR(LEFT(LOWER(F44),1)={"a","e","I","o","u"}),OR(LEFT(LOWER(I44),1)={"a","e","I","o","u"})),"n "," ")&amp;I44&amp;IF(ISBLANK(I44),""," ")&amp;LOWER(F44)&amp;IF(LEFT(J44,1)="-",""," ")&amp;J44</f>
        <v>A very sharp bronze throwing weapon</v>
      </c>
      <c r="L44" s="76">
        <v>1</v>
      </c>
      <c r="M44" s="62">
        <v>14</v>
      </c>
      <c r="N44" s="62" t="s">
        <v>645</v>
      </c>
      <c r="O44" s="93" t="b">
        <f t="shared" si="11"/>
        <v>1</v>
      </c>
      <c r="P44" s="76" t="s">
        <v>504</v>
      </c>
      <c r="Q44" s="62" t="s">
        <v>506</v>
      </c>
      <c r="R44" s="100">
        <f t="shared" si="31"/>
        <v>0.81</v>
      </c>
      <c r="S44" s="93">
        <f t="shared" si="13"/>
        <v>1</v>
      </c>
      <c r="T44" s="98">
        <f t="shared" si="14"/>
        <v>0.7</v>
      </c>
      <c r="U44" s="95">
        <f t="shared" si="15"/>
        <v>8</v>
      </c>
      <c r="V44" s="98">
        <f t="shared" si="16"/>
        <v>454.99999999999994</v>
      </c>
      <c r="W44" s="6">
        <f t="shared" si="17"/>
        <v>0.15</v>
      </c>
      <c r="X44" s="6">
        <v>0</v>
      </c>
      <c r="Y44" s="76" t="b">
        <v>1</v>
      </c>
      <c r="Z44" s="76">
        <f t="shared" si="32"/>
        <v>5</v>
      </c>
      <c r="AA44" s="71" t="str">
        <f t="shared" si="1"/>
        <v/>
      </c>
      <c r="AD44" s="71" t="str">
        <f t="shared" si="33"/>
        <v/>
      </c>
      <c r="AE44" s="71" t="str">
        <f t="shared" si="34"/>
        <v/>
      </c>
      <c r="AG44" s="43">
        <f>IF(N44,INDEX(Damage!$F$2:$F$151,A44)*R44*S44*V44/1000,"")</f>
        <v>10.004084999999998</v>
      </c>
      <c r="AH44" s="94">
        <f t="shared" si="18"/>
        <v>8.503472249999998</v>
      </c>
      <c r="AI44" s="94">
        <f t="shared" si="19"/>
        <v>11.504697749999998</v>
      </c>
      <c r="AJ44" s="79" t="s">
        <v>644</v>
      </c>
      <c r="AK44" s="6" t="b">
        <f t="array" ref="AK44">IF(AJ44,MAX(IF(Armor!$D$2:'Armor'!$D$7=D44,Armor!$E$2:$E$7),0))</f>
        <v>0</v>
      </c>
      <c r="AL44" s="6">
        <f t="shared" si="30"/>
        <v>0.05</v>
      </c>
      <c r="AM44" s="71">
        <f>(AL44+AK44)*INDEX(Armor!$B$2:$B$151,A44)+IF(AJ44,1,0)</f>
        <v>3.7</v>
      </c>
      <c r="AN44" s="71">
        <f>IF(C44="Caster",IF(ISERR(FIND("orb",LOWER(E44))),IF(ISERR(FIND("wand",LOWER(E44))),IF(NOT($D44="Polearm"),0,INDEX(Regeneration!$M$2:$M$151,A44+2)),INDEX(Regeneration!$L$2:$L$151,A44+2)),INDEX(Regeneration!$K$2:$K$151,A44+2)),0)</f>
        <v>0</v>
      </c>
      <c r="AO44" s="71" t="str">
        <f t="shared" si="35"/>
        <v/>
      </c>
      <c r="AP44" s="71" t="str">
        <f>IF(AND($N44,$C44="Caster"),IF(AND(NOT($D44="Polearm"),ISERR(FIND("wand",LOWER($E44)))),0,INDEX(Regeneration!F$2:F$151,A44)*0.06),"")</f>
        <v/>
      </c>
      <c r="AQ44" s="88">
        <f t="shared" si="21"/>
        <v>0.05</v>
      </c>
      <c r="AR44" s="88">
        <f t="shared" si="22"/>
        <v>0.05</v>
      </c>
      <c r="AS44" s="16" t="str">
        <f>IF(D44="Shield",INDEX(Regeneration!$C$2:$C$151,A44+3)*0.5*IF(ISERR(FIND("Rare",B44)),IF(ISERR(FIND("Uncommon",B44)),1,1.5),2.25),"")</f>
        <v/>
      </c>
      <c r="AT44" s="16" t="str">
        <f t="shared" si="36"/>
        <v/>
      </c>
      <c r="AU44" s="16" t="str">
        <f t="shared" si="37"/>
        <v/>
      </c>
      <c r="AV44" s="16" t="str">
        <f t="shared" si="38"/>
        <v/>
      </c>
      <c r="AW44" s="16" t="str">
        <f>IF(D44="Ring",INDEX(Regeneration!$B$6:$B$155,A44)*0.06,"")</f>
        <v/>
      </c>
      <c r="AX44" s="84" t="str">
        <f t="shared" si="40"/>
        <v/>
      </c>
      <c r="AZ44" s="16" t="str">
        <f t="shared" si="23"/>
        <v/>
      </c>
      <c r="BA44" s="6">
        <f t="shared" si="9"/>
        <v>7.5000000000000011E-2</v>
      </c>
      <c r="BB44" s="6">
        <f t="shared" si="25"/>
        <v>7.5000000000000011E-2</v>
      </c>
    </row>
    <row r="45" spans="1:54">
      <c r="A45" s="76">
        <v>5</v>
      </c>
      <c r="B45" s="30" t="s">
        <v>492</v>
      </c>
      <c r="C45" s="30" t="s">
        <v>10</v>
      </c>
      <c r="D45" s="30" t="s">
        <v>476</v>
      </c>
      <c r="E45" s="30" t="s">
        <v>550</v>
      </c>
      <c r="F45" s="30" t="s">
        <v>445</v>
      </c>
      <c r="G45" s="76">
        <f t="shared" si="29"/>
        <v>5</v>
      </c>
      <c r="H45" s="101">
        <v>150</v>
      </c>
      <c r="J45" s="76" t="s">
        <v>668</v>
      </c>
      <c r="K45" s="76" t="str">
        <f t="array" ref="K45">"A"&amp;IF(IF(ISBLANK(I45),OR(LEFT(LOWER(F45),1)={"a","e","I","o","u"}),OR(LEFT(LOWER(I45),1)={"a","e","I","o","u"})),"n "," ")&amp;I45&amp;IF(ISBLANK(I45),""," ")&amp;LOWER(F45)&amp;IF(LEFT(J45,1)="-",""," ")&amp;J45</f>
        <v>An iron throwing weapon</v>
      </c>
      <c r="L45" s="76">
        <v>1</v>
      </c>
      <c r="M45" s="62">
        <v>14</v>
      </c>
      <c r="N45" s="62" t="s">
        <v>645</v>
      </c>
      <c r="O45" s="93" t="b">
        <f t="shared" si="11"/>
        <v>1</v>
      </c>
      <c r="P45" s="76" t="s">
        <v>504</v>
      </c>
      <c r="Q45" s="62" t="s">
        <v>506</v>
      </c>
      <c r="R45" s="100">
        <f t="shared" si="31"/>
        <v>0.81</v>
      </c>
      <c r="S45" s="93">
        <f t="shared" si="13"/>
        <v>1</v>
      </c>
      <c r="T45" s="98">
        <f t="shared" si="14"/>
        <v>0.7</v>
      </c>
      <c r="U45" s="95">
        <f t="shared" si="15"/>
        <v>8</v>
      </c>
      <c r="V45" s="98">
        <f t="shared" si="16"/>
        <v>454.99999999999994</v>
      </c>
      <c r="W45" s="6">
        <f t="shared" si="17"/>
        <v>0.15</v>
      </c>
      <c r="X45" s="6">
        <v>0</v>
      </c>
      <c r="Y45" s="76" t="b">
        <v>1</v>
      </c>
      <c r="Z45" s="76">
        <f t="shared" si="32"/>
        <v>5</v>
      </c>
      <c r="AA45" s="71" t="str">
        <f t="shared" si="1"/>
        <v/>
      </c>
      <c r="AD45" s="71" t="str">
        <f t="shared" si="33"/>
        <v/>
      </c>
      <c r="AE45" s="71" t="str">
        <f t="shared" si="34"/>
        <v/>
      </c>
      <c r="AG45" s="43">
        <f>IF(N45,INDEX(Damage!$F$2:$F$151,A45)*R45*S45*V45/1000,"")</f>
        <v>10.004084999999998</v>
      </c>
      <c r="AH45" s="94">
        <f t="shared" si="18"/>
        <v>8.503472249999998</v>
      </c>
      <c r="AI45" s="94">
        <f t="shared" si="19"/>
        <v>11.504697749999998</v>
      </c>
      <c r="AJ45" s="79" t="s">
        <v>644</v>
      </c>
      <c r="AK45" s="6" t="b">
        <f t="array" ref="AK45">IF(AJ45,MAX(IF(Armor!$D$2:'Armor'!$D$7=D45,Armor!$E$2:$E$7),0))</f>
        <v>0</v>
      </c>
      <c r="AL45" s="6">
        <f t="shared" si="30"/>
        <v>0</v>
      </c>
      <c r="AM45" s="71">
        <f>(AL45+AK45)*INDEX(Armor!$B$2:$B$151,A45)+IF(AJ45,1,0)</f>
        <v>0</v>
      </c>
      <c r="AN45" s="71">
        <f>IF(C45="Caster",IF(ISERR(FIND("orb",LOWER(E45))),IF(ISERR(FIND("wand",LOWER(E45))),IF(NOT($D45="Polearm"),0,INDEX(Regeneration!$M$2:$M$151,A45+2)),INDEX(Regeneration!$L$2:$L$151,A45+2)),INDEX(Regeneration!$K$2:$K$151,A45+2)),0)</f>
        <v>0</v>
      </c>
      <c r="AO45" s="71" t="str">
        <f t="shared" si="35"/>
        <v/>
      </c>
      <c r="AP45" s="71" t="str">
        <f>IF(AND($N45,$C45="Caster"),IF(AND(NOT($D45="Polearm"),ISERR(FIND("wand",LOWER($E45)))),0,INDEX(Regeneration!F$2:F$151,A45)*0.06),"")</f>
        <v/>
      </c>
      <c r="AQ45" s="88">
        <f t="shared" si="21"/>
        <v>0.05</v>
      </c>
      <c r="AR45" s="88">
        <f t="shared" si="22"/>
        <v>0.05</v>
      </c>
      <c r="AS45" s="16" t="str">
        <f>IF(D45="Shield",INDEX(Regeneration!$C$2:$C$151,A45+3)*0.5*IF(ISERR(FIND("Rare",B45)),IF(ISERR(FIND("Uncommon",B45)),1,1.5),2.25),"")</f>
        <v/>
      </c>
      <c r="AT45" s="16" t="str">
        <f t="shared" si="36"/>
        <v/>
      </c>
      <c r="AU45" s="16" t="str">
        <f t="shared" si="37"/>
        <v/>
      </c>
      <c r="AV45" s="16" t="str">
        <f t="shared" si="38"/>
        <v/>
      </c>
      <c r="AW45" s="16" t="str">
        <f>IF(D45="Ring",INDEX(Regeneration!$B$6:$B$155,A45)*0.06,"")</f>
        <v/>
      </c>
      <c r="AX45" s="84" t="str">
        <f t="shared" si="40"/>
        <v/>
      </c>
      <c r="AZ45" s="16" t="str">
        <f t="shared" si="23"/>
        <v/>
      </c>
      <c r="BA45" s="6">
        <f t="shared" si="9"/>
        <v>0.05</v>
      </c>
      <c r="BB45" s="6">
        <f t="shared" si="25"/>
        <v>0.05</v>
      </c>
    </row>
    <row r="46" spans="1:54">
      <c r="A46" s="76">
        <v>10</v>
      </c>
      <c r="B46" s="30" t="s">
        <v>492</v>
      </c>
      <c r="C46" s="30" t="s">
        <v>10</v>
      </c>
      <c r="D46" s="30" t="s">
        <v>472</v>
      </c>
      <c r="E46" s="30" t="s">
        <v>563</v>
      </c>
      <c r="F46" s="30" t="s">
        <v>646</v>
      </c>
      <c r="G46" s="76">
        <f t="shared" si="29"/>
        <v>10</v>
      </c>
      <c r="H46" s="101">
        <v>150</v>
      </c>
      <c r="J46" s="89" t="s">
        <v>685</v>
      </c>
      <c r="K46" s="76" t="str">
        <f t="array" ref="K46">"A"&amp;IF(IF(ISBLANK(I46),OR(LEFT(LOWER(F46),1)={"a","e","I","o","u"}),OR(LEFT(LOWER(I46),1)={"a","e","I","o","u"})),"n "," ")&amp;I46&amp;IF(ISBLANK(I46),""," ")&amp;LOWER(F46)&amp;IF(LEFT(J46,1)="-",""," ")&amp;J46</f>
        <v>A fire weapon</v>
      </c>
      <c r="L46" s="76">
        <v>1</v>
      </c>
      <c r="M46" s="62">
        <v>19</v>
      </c>
      <c r="N46" s="62" t="s">
        <v>645</v>
      </c>
      <c r="O46" s="93" t="b">
        <f t="shared" si="11"/>
        <v>0</v>
      </c>
      <c r="P46" s="76" t="s">
        <v>504</v>
      </c>
      <c r="Q46" s="62" t="s">
        <v>643</v>
      </c>
      <c r="R46" s="100">
        <f t="shared" si="31"/>
        <v>1</v>
      </c>
      <c r="S46" s="93">
        <f t="shared" si="13"/>
        <v>1</v>
      </c>
      <c r="T46" s="98">
        <f t="shared" si="14"/>
        <v>1</v>
      </c>
      <c r="U46" s="95">
        <f t="shared" si="15"/>
        <v>2</v>
      </c>
      <c r="V46" s="98">
        <f t="shared" si="16"/>
        <v>650</v>
      </c>
      <c r="W46" s="6">
        <f t="shared" si="17"/>
        <v>0.18</v>
      </c>
      <c r="X46" s="6">
        <v>0</v>
      </c>
      <c r="Y46" s="76" t="b">
        <v>1</v>
      </c>
      <c r="Z46" s="76">
        <f t="shared" si="32"/>
        <v>10</v>
      </c>
      <c r="AA46" s="71">
        <f t="shared" si="1"/>
        <v>18</v>
      </c>
      <c r="AD46" s="71" t="str">
        <f t="shared" si="33"/>
        <v/>
      </c>
      <c r="AE46" s="71" t="str">
        <f t="shared" si="34"/>
        <v/>
      </c>
      <c r="AG46" s="43">
        <f>IF(N46,INDEX(Damage!$F$2:$F$151,A46)*R46*S46*V46/1000,"")</f>
        <v>33.792261904761908</v>
      </c>
      <c r="AH46" s="94">
        <f t="shared" si="18"/>
        <v>27.709654761904766</v>
      </c>
      <c r="AI46" s="94">
        <f t="shared" si="19"/>
        <v>39.87486904761905</v>
      </c>
      <c r="AJ46" s="79" t="s">
        <v>644</v>
      </c>
      <c r="AK46" s="6" t="b">
        <f t="array" ref="AK46">IF(AJ46,MAX(IF(Armor!$D$2:'Armor'!$D$7=D46,Armor!$E$2:$E$7),0))</f>
        <v>0</v>
      </c>
      <c r="AL46" s="6">
        <f t="shared" si="30"/>
        <v>0</v>
      </c>
      <c r="AM46" s="71">
        <f>(AL46+AK46)*INDEX(Armor!$B$2:$B$151,A46)+IF(AJ46,1,0)</f>
        <v>0</v>
      </c>
      <c r="AN46" s="71">
        <f>IF(C46="Caster",IF(ISERR(FIND("orb",LOWER(E46))),IF(ISERR(FIND("wand",LOWER(E46))),IF(NOT($D46="Polearm"),0,INDEX(Regeneration!$M$2:$M$151,A46+2)),INDEX(Regeneration!$L$2:$L$151,A46+2)),INDEX(Regeneration!$K$2:$K$151,A46+2)),0)</f>
        <v>0</v>
      </c>
      <c r="AO46" s="71" t="str">
        <f t="shared" si="35"/>
        <v/>
      </c>
      <c r="AP46" s="71" t="str">
        <f>IF(AND($N46,$C46="Caster"),IF(AND(NOT($D46="Polearm"),ISERR(FIND("wand",LOWER($E46)))),0,INDEX(Regeneration!F$2:F$151,A46)*0.06),"")</f>
        <v/>
      </c>
      <c r="AQ46" s="88">
        <f t="shared" si="21"/>
        <v>0.05</v>
      </c>
      <c r="AR46" s="88">
        <f t="shared" si="22"/>
        <v>0.05</v>
      </c>
      <c r="AS46" s="16" t="str">
        <f>IF(D46="Shield",INDEX(Regeneration!$C$2:$C$151,A46+3)*0.5*IF(ISERR(FIND("Rare",B46)),IF(ISERR(FIND("Uncommon",B46)),1,1.5),2.25),"")</f>
        <v/>
      </c>
      <c r="AT46" s="16" t="str">
        <f t="shared" si="36"/>
        <v/>
      </c>
      <c r="AU46" s="16" t="str">
        <f t="shared" si="37"/>
        <v/>
      </c>
      <c r="AV46" s="16" t="str">
        <f t="shared" si="38"/>
        <v/>
      </c>
      <c r="AW46" s="16" t="str">
        <f>IF(D46="Ring",INDEX(Regeneration!$B$6:$B$155,A46)*0.06,"")</f>
        <v/>
      </c>
      <c r="AX46" s="84" t="str">
        <f t="shared" si="40"/>
        <v/>
      </c>
      <c r="AZ46" s="16" t="str">
        <f t="shared" si="23"/>
        <v/>
      </c>
      <c r="BA46" s="6">
        <f t="shared" si="9"/>
        <v>0.05</v>
      </c>
      <c r="BB46" s="6">
        <f t="shared" si="25"/>
        <v>0.05</v>
      </c>
    </row>
    <row r="47" spans="1:54">
      <c r="A47" s="76">
        <v>10</v>
      </c>
      <c r="B47" s="30" t="s">
        <v>492</v>
      </c>
      <c r="C47" s="30" t="s">
        <v>496</v>
      </c>
      <c r="D47" s="30" t="s">
        <v>401</v>
      </c>
      <c r="E47" s="30" t="s">
        <v>558</v>
      </c>
      <c r="F47" s="30" t="s">
        <v>646</v>
      </c>
      <c r="G47" s="76">
        <f t="shared" si="29"/>
        <v>10</v>
      </c>
      <c r="H47" s="101">
        <v>150</v>
      </c>
      <c r="J47" s="80" t="s">
        <v>687</v>
      </c>
      <c r="K47" s="76" t="str">
        <f t="array" ref="K47">"A"&amp;IF(IF(ISBLANK(I47),OR(LEFT(LOWER(F47),1)={"a","e","I","o","u"}),OR(LEFT(LOWER(I47),1)={"a","e","I","o","u"})),"n "," ")&amp;I47&amp;IF(ISBLANK(I47),""," ")&amp;LOWER(F47)&amp;IF(LEFT(J47,1)="-",""," ")&amp;J47</f>
        <v>A fire-enchanted armor</v>
      </c>
      <c r="L47" s="76">
        <v>1</v>
      </c>
      <c r="M47" s="62">
        <v>259</v>
      </c>
      <c r="N47" s="62" t="s">
        <v>644</v>
      </c>
      <c r="O47" s="93" t="b">
        <f t="shared" si="11"/>
        <v>0</v>
      </c>
      <c r="P47" s="76" t="s">
        <v>490</v>
      </c>
      <c r="Q47" s="62" t="s">
        <v>490</v>
      </c>
      <c r="R47" s="100" t="str">
        <f t="shared" si="31"/>
        <v/>
      </c>
      <c r="S47" s="93" t="str">
        <f t="shared" si="13"/>
        <v/>
      </c>
      <c r="T47" s="98" t="str">
        <f t="shared" si="14"/>
        <v/>
      </c>
      <c r="U47" s="95" t="str">
        <f t="shared" si="15"/>
        <v/>
      </c>
      <c r="V47" s="98" t="str">
        <f t="shared" si="16"/>
        <v/>
      </c>
      <c r="W47" s="6" t="str">
        <f t="shared" si="17"/>
        <v/>
      </c>
      <c r="X47" s="6">
        <v>0</v>
      </c>
      <c r="Y47" s="76" t="b">
        <v>1</v>
      </c>
      <c r="Z47" s="76">
        <f t="shared" si="32"/>
        <v>10</v>
      </c>
      <c r="AA47" s="71" t="str">
        <f t="shared" si="1"/>
        <v/>
      </c>
      <c r="AD47" s="71" t="str">
        <f t="shared" si="33"/>
        <v/>
      </c>
      <c r="AE47" s="71" t="str">
        <f t="shared" si="34"/>
        <v/>
      </c>
      <c r="AG47" s="43" t="str">
        <f>IF(N47,INDEX(Damage!$F$2:$F$151,A47)*R47*S47*V47/1000,"")</f>
        <v/>
      </c>
      <c r="AH47" s="94" t="str">
        <f t="shared" si="18"/>
        <v/>
      </c>
      <c r="AI47" s="94" t="str">
        <f t="shared" si="19"/>
        <v/>
      </c>
      <c r="AJ47" s="79" t="s">
        <v>645</v>
      </c>
      <c r="AK47" s="6">
        <f t="array" ref="AK47">IF(AJ47,MAX(IF(Armor!$D$2:'Armor'!$D$7=D47,Armor!$E$2:$E$7),0))</f>
        <v>0.45</v>
      </c>
      <c r="AL47" s="6">
        <f t="shared" si="30"/>
        <v>0</v>
      </c>
      <c r="AM47" s="71">
        <f>(AL47+AK47)*INDEX(Armor!$B$2:$B$151,A47)+IF(AJ47,1,0)</f>
        <v>47.800000000000004</v>
      </c>
      <c r="AN47" s="71">
        <f>IF(C47="Caster",IF(ISERR(FIND("orb",LOWER(E47))),IF(ISERR(FIND("wand",LOWER(E47))),IF(NOT($D47="Polearm"),0,INDEX(Regeneration!$M$2:$M$151,A47+2)),INDEX(Regeneration!$L$2:$L$151,A47+2)),INDEX(Regeneration!$K$2:$K$151,A47+2)),0)</f>
        <v>0</v>
      </c>
      <c r="AO47" s="71" t="str">
        <f t="shared" si="35"/>
        <v/>
      </c>
      <c r="AP47" s="71" t="str">
        <f>IF(AND($N47,$C47="Caster"),IF(AND(NOT($D47="Polearm"),ISERR(FIND("wand",LOWER($E47)))),0,INDEX(Regeneration!F$2:F$151,A47)*0.06),"")</f>
        <v/>
      </c>
      <c r="AQ47" s="88">
        <f t="shared" si="21"/>
        <v>0</v>
      </c>
      <c r="AR47" s="88">
        <f t="shared" si="22"/>
        <v>0</v>
      </c>
      <c r="AS47" s="16" t="str">
        <f>IF(D47="Shield",INDEX(Regeneration!$C$2:$C$151,A47+3)*0.5*IF(ISERR(FIND("Rare",B47)),IF(ISERR(FIND("Uncommon",B47)),1,1.5),2.25),"")</f>
        <v/>
      </c>
      <c r="AT47" s="16" t="str">
        <f t="shared" si="36"/>
        <v/>
      </c>
      <c r="AU47" s="16" t="str">
        <f t="shared" si="37"/>
        <v/>
      </c>
      <c r="AV47" s="16" t="str">
        <f t="shared" si="38"/>
        <v/>
      </c>
      <c r="AW47" s="16" t="str">
        <f>IF(D47="Ring",INDEX(Regeneration!$B$6:$B$155,A47)*0.06,"")</f>
        <v/>
      </c>
      <c r="AX47" s="84" t="str">
        <f t="shared" si="40"/>
        <v/>
      </c>
      <c r="AZ47" s="16" t="str">
        <f t="shared" si="23"/>
        <v/>
      </c>
      <c r="BA47" s="6">
        <f t="shared" si="9"/>
        <v>0</v>
      </c>
      <c r="BB47" s="6">
        <f t="shared" si="25"/>
        <v>0</v>
      </c>
    </row>
    <row r="48" spans="1:54">
      <c r="A48" s="76">
        <v>10</v>
      </c>
      <c r="B48" s="30" t="s">
        <v>492</v>
      </c>
      <c r="C48" s="30" t="s">
        <v>496</v>
      </c>
      <c r="D48" s="30" t="s">
        <v>484</v>
      </c>
      <c r="E48" s="30" t="s">
        <v>568</v>
      </c>
      <c r="F48" s="30" t="s">
        <v>646</v>
      </c>
      <c r="G48" s="76">
        <f t="shared" si="29"/>
        <v>10</v>
      </c>
      <c r="H48" s="101">
        <v>150</v>
      </c>
      <c r="J48" s="76" t="str">
        <f>LOWER(D48)</f>
        <v>belt</v>
      </c>
      <c r="K48" s="76" t="str">
        <f t="array" ref="K48">"A"&amp;IF(IF(ISBLANK(I48),OR(LEFT(LOWER(F48),1)={"a","e","I","o","u"}),OR(LEFT(LOWER(I48),1)={"a","e","I","o","u"})),"n "," ")&amp;I48&amp;IF(ISBLANK(I48),""," ")&amp;LOWER(F48)&amp;IF(LEFT(J48,1)="-",""," ")&amp;J48</f>
        <v>A fire belt</v>
      </c>
      <c r="L48" s="76">
        <v>1</v>
      </c>
      <c r="M48" s="62">
        <v>19</v>
      </c>
      <c r="N48" s="62" t="s">
        <v>644</v>
      </c>
      <c r="O48" s="93" t="b">
        <f t="shared" si="11"/>
        <v>0</v>
      </c>
      <c r="P48" s="76" t="s">
        <v>490</v>
      </c>
      <c r="Q48" s="62" t="s">
        <v>490</v>
      </c>
      <c r="R48" s="100" t="str">
        <f t="shared" si="31"/>
        <v/>
      </c>
      <c r="S48" s="93" t="str">
        <f t="shared" si="13"/>
        <v/>
      </c>
      <c r="T48" s="98" t="str">
        <f t="shared" si="14"/>
        <v/>
      </c>
      <c r="U48" s="95" t="str">
        <f t="shared" si="15"/>
        <v/>
      </c>
      <c r="V48" s="98" t="str">
        <f t="shared" si="16"/>
        <v/>
      </c>
      <c r="W48" s="6" t="str">
        <f t="shared" si="17"/>
        <v/>
      </c>
      <c r="X48" s="6">
        <v>0</v>
      </c>
      <c r="Y48" s="76" t="b">
        <v>1</v>
      </c>
      <c r="Z48" s="76">
        <f t="shared" si="32"/>
        <v>10</v>
      </c>
      <c r="AA48" s="71" t="str">
        <f t="shared" si="1"/>
        <v/>
      </c>
      <c r="AD48" s="71" t="str">
        <f t="shared" si="33"/>
        <v/>
      </c>
      <c r="AE48" s="71" t="str">
        <f t="shared" si="34"/>
        <v/>
      </c>
      <c r="AG48" s="43" t="str">
        <f>IF(N48,INDEX(Damage!$F$2:$F$151,A48)*R48*S48*V48/1000,"")</f>
        <v/>
      </c>
      <c r="AH48" s="94" t="str">
        <f t="shared" si="18"/>
        <v/>
      </c>
      <c r="AI48" s="94" t="str">
        <f t="shared" si="19"/>
        <v/>
      </c>
      <c r="AJ48" s="79" t="s">
        <v>645</v>
      </c>
      <c r="AK48" s="6">
        <f t="array" ref="AK48">IF(AJ48,MAX(IF(Armor!$D$2:'Armor'!$D$7=D48,Armor!$E$2:$E$7),0))</f>
        <v>0.06</v>
      </c>
      <c r="AL48" s="6">
        <f t="shared" si="30"/>
        <v>0</v>
      </c>
      <c r="AM48" s="71">
        <f>(AL48+AK48)*INDEX(Armor!$B$2:$B$151,A48)+IF(AJ48,1,0)</f>
        <v>7.24</v>
      </c>
      <c r="AN48" s="71">
        <f>IF(C48="Caster",IF(ISERR(FIND("orb",LOWER(E48))),IF(ISERR(FIND("wand",LOWER(E48))),IF(NOT($D48="Polearm"),0,INDEX(Regeneration!$M$2:$M$151,A48+2)),INDEX(Regeneration!$L$2:$L$151,A48+2)),INDEX(Regeneration!$K$2:$K$151,A48+2)),0)</f>
        <v>0</v>
      </c>
      <c r="AO48" s="71" t="str">
        <f t="shared" si="35"/>
        <v/>
      </c>
      <c r="AP48" s="71" t="str">
        <f>IF(AND($N48,$C48="Caster"),IF(AND(NOT($D48="Polearm"),ISERR(FIND("wand",LOWER($E48)))),0,INDEX(Regeneration!F$2:F$151,A48)*0.06),"")</f>
        <v/>
      </c>
      <c r="AQ48" s="88">
        <f t="shared" si="21"/>
        <v>0</v>
      </c>
      <c r="AR48" s="88">
        <f t="shared" si="22"/>
        <v>0</v>
      </c>
      <c r="AS48" s="16" t="str">
        <f>IF(D48="Shield",INDEX(Regeneration!$C$2:$C$151,A48+3)*0.5*IF(ISERR(FIND("Rare",B48)),IF(ISERR(FIND("Uncommon",B48)),1,1.5),2.25),"")</f>
        <v/>
      </c>
      <c r="AT48" s="16" t="str">
        <f t="shared" si="36"/>
        <v/>
      </c>
      <c r="AU48" s="16" t="str">
        <f t="shared" si="37"/>
        <v/>
      </c>
      <c r="AV48" s="16" t="str">
        <f t="shared" si="38"/>
        <v/>
      </c>
      <c r="AW48" s="16" t="str">
        <f>IF(D48="Ring",INDEX(Regeneration!$B$6:$B$155,A48)*0.06,"")</f>
        <v/>
      </c>
      <c r="AX48" s="84" t="str">
        <f t="shared" si="40"/>
        <v/>
      </c>
      <c r="AZ48" s="16" t="str">
        <f t="shared" si="23"/>
        <v/>
      </c>
      <c r="BA48" s="6">
        <f t="shared" si="9"/>
        <v>0</v>
      </c>
      <c r="BB48" s="6">
        <f t="shared" si="25"/>
        <v>0</v>
      </c>
    </row>
    <row r="49" spans="1:54">
      <c r="A49" s="76">
        <v>10</v>
      </c>
      <c r="B49" s="30" t="s">
        <v>492</v>
      </c>
      <c r="C49" s="30" t="s">
        <v>496</v>
      </c>
      <c r="D49" s="30" t="s">
        <v>487</v>
      </c>
      <c r="E49" s="30" t="s">
        <v>559</v>
      </c>
      <c r="F49" s="30" t="s">
        <v>646</v>
      </c>
      <c r="G49" s="76">
        <f t="shared" si="29"/>
        <v>10</v>
      </c>
      <c r="H49" s="101">
        <v>150</v>
      </c>
      <c r="J49" s="80" t="s">
        <v>688</v>
      </c>
      <c r="K49" s="76" t="str">
        <f t="array" ref="K49">"A"&amp;IF(IF(ISBLANK(I49),OR(LEFT(LOWER(F49),1)={"a","e","I","o","u"}),OR(LEFT(LOWER(I49),1)={"a","e","I","o","u"})),"n "," ")&amp;I49&amp;IF(ISBLANK(I49),""," ")&amp;LOWER(F49)&amp;IF(LEFT(J49,1)="-",""," ")&amp;J49</f>
        <v>A fire-enchanted pair of boots</v>
      </c>
      <c r="L49" s="76">
        <v>1</v>
      </c>
      <c r="M49" s="62">
        <v>49</v>
      </c>
      <c r="N49" s="62" t="s">
        <v>644</v>
      </c>
      <c r="O49" s="93" t="b">
        <f t="shared" si="11"/>
        <v>0</v>
      </c>
      <c r="P49" s="76" t="s">
        <v>490</v>
      </c>
      <c r="Q49" s="62" t="s">
        <v>490</v>
      </c>
      <c r="R49" s="100" t="str">
        <f t="shared" si="31"/>
        <v/>
      </c>
      <c r="S49" s="93" t="str">
        <f t="shared" si="13"/>
        <v/>
      </c>
      <c r="T49" s="98" t="str">
        <f t="shared" si="14"/>
        <v/>
      </c>
      <c r="U49" s="95" t="str">
        <f t="shared" si="15"/>
        <v/>
      </c>
      <c r="V49" s="98" t="str">
        <f t="shared" si="16"/>
        <v/>
      </c>
      <c r="W49" s="6" t="str">
        <f t="shared" si="17"/>
        <v/>
      </c>
      <c r="X49" s="6">
        <v>0</v>
      </c>
      <c r="Y49" s="76" t="b">
        <v>1</v>
      </c>
      <c r="Z49" s="76">
        <f t="shared" si="32"/>
        <v>10</v>
      </c>
      <c r="AA49" s="71" t="str">
        <f t="shared" si="1"/>
        <v/>
      </c>
      <c r="AD49" s="71" t="str">
        <f t="shared" si="33"/>
        <v/>
      </c>
      <c r="AE49" s="71" t="str">
        <f t="shared" si="34"/>
        <v/>
      </c>
      <c r="AG49" s="43" t="str">
        <f>IF(N49,INDEX(Damage!$F$2:$F$151,A49)*R49*S49*V49/1000,"")</f>
        <v/>
      </c>
      <c r="AH49" s="94" t="str">
        <f t="shared" si="18"/>
        <v/>
      </c>
      <c r="AI49" s="94" t="str">
        <f t="shared" si="19"/>
        <v/>
      </c>
      <c r="AJ49" s="79" t="s">
        <v>645</v>
      </c>
      <c r="AK49" s="6">
        <f t="array" ref="AK49">IF(AJ49,MAX(IF(Armor!$D$2:'Armor'!$D$7=D49,Armor!$E$2:$E$7),0))</f>
        <v>0.1</v>
      </c>
      <c r="AL49" s="6">
        <f t="shared" si="30"/>
        <v>0</v>
      </c>
      <c r="AM49" s="71">
        <f>(AL49+AK49)*INDEX(Armor!$B$2:$B$151,A49)+IF(AJ49,1,0)</f>
        <v>11.4</v>
      </c>
      <c r="AN49" s="71">
        <f>IF(C49="Caster",IF(ISERR(FIND("orb",LOWER(E49))),IF(ISERR(FIND("wand",LOWER(E49))),IF(NOT($D49="Polearm"),0,INDEX(Regeneration!$M$2:$M$151,A49+2)),INDEX(Regeneration!$L$2:$L$151,A49+2)),INDEX(Regeneration!$K$2:$K$151,A49+2)),0)</f>
        <v>0</v>
      </c>
      <c r="AO49" s="71" t="str">
        <f t="shared" si="35"/>
        <v/>
      </c>
      <c r="AP49" s="71" t="str">
        <f>IF(AND($N49,$C49="Caster"),IF(AND(NOT($D49="Polearm"),ISERR(FIND("wand",LOWER($E49)))),0,INDEX(Regeneration!F$2:F$151,A49)*0.06),"")</f>
        <v/>
      </c>
      <c r="AQ49" s="88">
        <f t="shared" si="21"/>
        <v>0</v>
      </c>
      <c r="AR49" s="88">
        <f t="shared" si="22"/>
        <v>0</v>
      </c>
      <c r="AS49" s="16" t="str">
        <f>IF(D49="Shield",INDEX(Regeneration!$C$2:$C$151,A49+3)*0.5*IF(ISERR(FIND("Rare",B49)),IF(ISERR(FIND("Uncommon",B49)),1,1.5),2.25),"")</f>
        <v/>
      </c>
      <c r="AT49" s="16" t="str">
        <f t="shared" si="36"/>
        <v/>
      </c>
      <c r="AU49" s="16" t="str">
        <f t="shared" si="37"/>
        <v/>
      </c>
      <c r="AV49" s="16" t="str">
        <f t="shared" si="38"/>
        <v/>
      </c>
      <c r="AW49" s="16" t="str">
        <f>IF(D49="Ring",INDEX(Regeneration!$B$6:$B$155,A49)*0.06,"")</f>
        <v/>
      </c>
      <c r="AX49" s="84" t="str">
        <f t="shared" si="40"/>
        <v/>
      </c>
      <c r="AZ49" s="16" t="str">
        <f t="shared" si="23"/>
        <v/>
      </c>
      <c r="BA49" s="6">
        <f t="shared" si="9"/>
        <v>0</v>
      </c>
      <c r="BB49" s="6">
        <f t="shared" si="25"/>
        <v>0</v>
      </c>
    </row>
    <row r="50" spans="1:54">
      <c r="A50" s="76">
        <v>10</v>
      </c>
      <c r="B50" s="30" t="s">
        <v>492</v>
      </c>
      <c r="C50" s="30" t="s">
        <v>10</v>
      </c>
      <c r="D50" s="30" t="s">
        <v>479</v>
      </c>
      <c r="E50" s="30" t="s">
        <v>566</v>
      </c>
      <c r="F50" s="30" t="s">
        <v>646</v>
      </c>
      <c r="G50" s="76">
        <f t="shared" si="29"/>
        <v>10</v>
      </c>
      <c r="H50" s="101">
        <v>150</v>
      </c>
      <c r="J50" s="89" t="str">
        <f t="shared" ref="J50:J58" si="41">LOWER(D50)</f>
        <v>bow</v>
      </c>
      <c r="K50" s="76" t="str">
        <f t="array" ref="K50">"A"&amp;IF(IF(ISBLANK(I50),OR(LEFT(LOWER(F50),1)={"a","e","I","o","u"}),OR(LEFT(LOWER(I50),1)={"a","e","I","o","u"})),"n "," ")&amp;I50&amp;IF(ISBLANK(I50),""," ")&amp;LOWER(F50)&amp;IF(LEFT(J50,1)="-",""," ")&amp;J50</f>
        <v>A fire bow</v>
      </c>
      <c r="L50" s="76">
        <v>1</v>
      </c>
      <c r="M50" s="62">
        <v>19</v>
      </c>
      <c r="N50" s="62" t="s">
        <v>645</v>
      </c>
      <c r="O50" s="93" t="b">
        <f t="shared" si="11"/>
        <v>1</v>
      </c>
      <c r="P50" s="76" t="s">
        <v>504</v>
      </c>
      <c r="Q50" s="62" t="s">
        <v>643</v>
      </c>
      <c r="R50" s="100">
        <f t="shared" si="31"/>
        <v>0.9</v>
      </c>
      <c r="S50" s="93">
        <f t="shared" si="13"/>
        <v>1</v>
      </c>
      <c r="T50" s="98">
        <f t="shared" si="14"/>
        <v>1</v>
      </c>
      <c r="U50" s="95">
        <f t="shared" si="15"/>
        <v>8</v>
      </c>
      <c r="V50" s="98">
        <f t="shared" si="16"/>
        <v>650</v>
      </c>
      <c r="W50" s="6">
        <f t="shared" si="17"/>
        <v>0.18</v>
      </c>
      <c r="X50" s="6">
        <v>0</v>
      </c>
      <c r="Y50" s="76" t="b">
        <v>1</v>
      </c>
      <c r="Z50" s="76">
        <f t="shared" si="32"/>
        <v>10</v>
      </c>
      <c r="AA50" s="71">
        <f t="shared" si="1"/>
        <v>18</v>
      </c>
      <c r="AD50" s="71" t="str">
        <f t="shared" si="33"/>
        <v/>
      </c>
      <c r="AE50" s="71" t="str">
        <f t="shared" si="34"/>
        <v/>
      </c>
      <c r="AG50" s="43">
        <f>IF(N50,INDEX(Damage!$F$2:$F$151,A50)*R50*S50*V50/1000,"")</f>
        <v>30.413035714285716</v>
      </c>
      <c r="AH50" s="94">
        <f t="shared" si="18"/>
        <v>24.938689285714286</v>
      </c>
      <c r="AI50" s="94">
        <f t="shared" si="19"/>
        <v>35.887382142857142</v>
      </c>
      <c r="AJ50" s="79" t="s">
        <v>644</v>
      </c>
      <c r="AK50" s="6" t="b">
        <f t="array" ref="AK50">IF(AJ50,MAX(IF(Armor!$D$2:'Armor'!$D$7=D50,Armor!$E$2:$E$7),0))</f>
        <v>0</v>
      </c>
      <c r="AL50" s="6">
        <f t="shared" si="30"/>
        <v>0</v>
      </c>
      <c r="AM50" s="71">
        <f>(AL50+AK50)*INDEX(Armor!$B$2:$B$151,A50)+IF(AJ50,1,0)</f>
        <v>0</v>
      </c>
      <c r="AN50" s="71">
        <f>IF(C50="Caster",IF(ISERR(FIND("orb",LOWER(E50))),IF(ISERR(FIND("wand",LOWER(E50))),IF(NOT($D50="Polearm"),0,INDEX(Regeneration!$M$2:$M$151,A50+2)),INDEX(Regeneration!$L$2:$L$151,A50+2)),INDEX(Regeneration!$K$2:$K$151,A50+2)),0)</f>
        <v>0</v>
      </c>
      <c r="AO50" s="71" t="str">
        <f t="shared" si="35"/>
        <v/>
      </c>
      <c r="AP50" s="71" t="str">
        <f>IF(AND($N50,$C50="Caster"),IF(AND(NOT($D50="Polearm"),ISERR(FIND("wand",LOWER($E50)))),0,INDEX(Regeneration!F$2:F$151,A50)*0.06),"")</f>
        <v/>
      </c>
      <c r="AQ50" s="88">
        <f t="shared" si="21"/>
        <v>0.15</v>
      </c>
      <c r="AR50" s="88">
        <f t="shared" si="22"/>
        <v>0.15</v>
      </c>
      <c r="AS50" s="16" t="str">
        <f>IF(D50="Shield",INDEX(Regeneration!$C$2:$C$151,A50+3)*0.5*IF(ISERR(FIND("Rare",B50)),IF(ISERR(FIND("Uncommon",B50)),1,1.5),2.25),"")</f>
        <v/>
      </c>
      <c r="AT50" s="16" t="str">
        <f t="shared" si="36"/>
        <v/>
      </c>
      <c r="AU50" s="16" t="str">
        <f t="shared" si="37"/>
        <v/>
      </c>
      <c r="AV50" s="16" t="str">
        <f t="shared" si="38"/>
        <v/>
      </c>
      <c r="AW50" s="16" t="str">
        <f>IF(D50="Ring",INDEX(Regeneration!$B$6:$B$155,A50)*0.06,"")</f>
        <v/>
      </c>
      <c r="AX50" s="84" t="str">
        <f t="shared" si="40"/>
        <v/>
      </c>
      <c r="AZ50" s="16" t="str">
        <f t="shared" si="23"/>
        <v/>
      </c>
      <c r="BA50" s="6">
        <f t="shared" si="9"/>
        <v>0.15</v>
      </c>
      <c r="BB50" s="6">
        <f t="shared" si="25"/>
        <v>0.15</v>
      </c>
    </row>
    <row r="51" spans="1:54">
      <c r="A51" s="76">
        <v>10</v>
      </c>
      <c r="B51" s="30" t="s">
        <v>492</v>
      </c>
      <c r="C51" s="30" t="s">
        <v>10</v>
      </c>
      <c r="D51" s="30" t="s">
        <v>450</v>
      </c>
      <c r="E51" s="30" t="s">
        <v>783</v>
      </c>
      <c r="F51" s="30" t="s">
        <v>646</v>
      </c>
      <c r="G51" s="76">
        <f t="shared" si="29"/>
        <v>10</v>
      </c>
      <c r="H51" s="101">
        <v>150</v>
      </c>
      <c r="J51" s="89" t="str">
        <f t="shared" si="41"/>
        <v>crossbow</v>
      </c>
      <c r="K51" s="76" t="str">
        <f t="array" ref="K51">"A"&amp;IF(IF(ISBLANK(I51),OR(LEFT(LOWER(F51),1)={"a","e","I","o","u"}),OR(LEFT(LOWER(I51),1)={"a","e","I","o","u"})),"n "," ")&amp;I51&amp;IF(ISBLANK(I51),""," ")&amp;LOWER(F51)&amp;IF(LEFT(J51,1)="-",""," ")&amp;J51</f>
        <v>A fire crossbow</v>
      </c>
      <c r="L51" s="76">
        <v>1</v>
      </c>
      <c r="M51" s="62">
        <v>20</v>
      </c>
      <c r="N51" s="62" t="b">
        <v>1</v>
      </c>
      <c r="O51" s="93" t="b">
        <f t="shared" si="11"/>
        <v>1</v>
      </c>
      <c r="P51" s="76"/>
      <c r="Q51" s="62" t="s">
        <v>505</v>
      </c>
      <c r="R51" s="100">
        <f t="shared" si="31"/>
        <v>1.0349999999999999</v>
      </c>
      <c r="S51" s="93">
        <f t="shared" si="13"/>
        <v>1</v>
      </c>
      <c r="T51" s="98">
        <f t="shared" si="14"/>
        <v>1.3</v>
      </c>
      <c r="U51" s="95">
        <f t="shared" si="15"/>
        <v>8</v>
      </c>
      <c r="V51" s="98">
        <f t="shared" si="16"/>
        <v>845</v>
      </c>
      <c r="W51" s="6">
        <f t="shared" si="17"/>
        <v>0.3</v>
      </c>
      <c r="X51" s="6">
        <v>0</v>
      </c>
      <c r="Y51" s="76" t="b">
        <v>1</v>
      </c>
      <c r="Z51" s="76">
        <f t="shared" si="32"/>
        <v>10</v>
      </c>
      <c r="AA51" s="71">
        <f t="shared" si="1"/>
        <v>18</v>
      </c>
      <c r="AD51" s="71" t="str">
        <f t="shared" si="33"/>
        <v/>
      </c>
      <c r="AE51" s="71" t="str">
        <f t="shared" si="34"/>
        <v/>
      </c>
      <c r="AG51" s="43">
        <f>IF(N51,INDEX(Damage!$F$2:$F$151,A51)*R51*S51*V51/1000,"")</f>
        <v>45.467488392857135</v>
      </c>
      <c r="AH51" s="94">
        <f t="shared" si="18"/>
        <v>31.827241874999995</v>
      </c>
      <c r="AI51" s="94">
        <f t="shared" si="19"/>
        <v>59.107734910714271</v>
      </c>
      <c r="AJ51" s="90" t="b">
        <v>0</v>
      </c>
      <c r="AK51" s="6" t="b">
        <f t="array" ref="AK51">IF(AJ51,MAX(IF(Armor!$D$2:'Armor'!$D$7=D51,Armor!$E$2:$E$7),0))</f>
        <v>0</v>
      </c>
      <c r="AL51" s="6">
        <f t="shared" si="30"/>
        <v>0</v>
      </c>
      <c r="AM51" s="71">
        <f>(AL51+AK51)*INDEX(Armor!$B$2:$B$151,A51)+IF(AJ51,1,0)</f>
        <v>0</v>
      </c>
      <c r="AN51" s="71">
        <f>IF(C51="Caster",IF(ISERR(FIND("orb",LOWER(E51))),IF(ISERR(FIND("wand",LOWER(E51))),IF(NOT($D51="Polearm"),0,INDEX(Regeneration!$M$2:$M$151,A51+2)),INDEX(Regeneration!$L$2:$L$151,A51+2)),INDEX(Regeneration!$K$2:$K$151,A51+2)),0)</f>
        <v>0</v>
      </c>
      <c r="AO51" s="71" t="str">
        <f t="shared" si="35"/>
        <v/>
      </c>
      <c r="AP51" s="71" t="str">
        <f>IF(AND($N51,$C51="Caster"),IF(AND(NOT($D51="Polearm"),ISERR(FIND("wand",LOWER($E51)))),0,INDEX(Regeneration!F$2:F$151,A51)*0.06),"")</f>
        <v/>
      </c>
      <c r="AQ51" s="88">
        <f t="shared" si="21"/>
        <v>0.15</v>
      </c>
      <c r="AR51" s="88">
        <f t="shared" si="22"/>
        <v>0.15</v>
      </c>
      <c r="AS51" s="16" t="str">
        <f>IF(D51="Shield",INDEX(Regeneration!$C$2:$C$151,A51+3)*0.5*IF(ISERR(FIND("Rare",B51)),IF(ISERR(FIND("Uncommon",B51)),1,1.5),2.25),"")</f>
        <v/>
      </c>
      <c r="AT51" s="16" t="str">
        <f t="shared" si="36"/>
        <v/>
      </c>
      <c r="AU51" s="16" t="str">
        <f t="shared" si="37"/>
        <v/>
      </c>
      <c r="AV51" s="16" t="str">
        <f t="shared" si="38"/>
        <v/>
      </c>
      <c r="AW51" s="16" t="str">
        <f>IF(D51="Ring",INDEX(Regeneration!$B$6:$B$155,A51)*0.06,"")</f>
        <v/>
      </c>
      <c r="AX51" s="84"/>
      <c r="AZ51" s="16" t="str">
        <f t="shared" si="23"/>
        <v/>
      </c>
      <c r="BA51" s="6">
        <f t="shared" si="9"/>
        <v>0.15</v>
      </c>
      <c r="BB51" s="6">
        <f t="shared" si="25"/>
        <v>0.15</v>
      </c>
    </row>
    <row r="52" spans="1:54">
      <c r="A52" s="76">
        <v>10</v>
      </c>
      <c r="B52" s="30" t="s">
        <v>492</v>
      </c>
      <c r="C52" s="30" t="s">
        <v>496</v>
      </c>
      <c r="D52" s="30" t="s">
        <v>488</v>
      </c>
      <c r="E52" s="30" t="s">
        <v>569</v>
      </c>
      <c r="F52" s="30" t="s">
        <v>646</v>
      </c>
      <c r="G52" s="76">
        <f t="shared" si="29"/>
        <v>10</v>
      </c>
      <c r="H52" s="101">
        <v>150</v>
      </c>
      <c r="I52" s="76" t="s">
        <v>675</v>
      </c>
      <c r="J52" s="76" t="str">
        <f t="shared" si="41"/>
        <v>gloves</v>
      </c>
      <c r="K52" s="76" t="str">
        <f t="array" ref="K52">"A"&amp;IF(IF(ISBLANK(I52),OR(LEFT(LOWER(F52),1)={"a","e","I","o","u"}),OR(LEFT(LOWER(I52),1)={"a","e","I","o","u"})),"n "," ")&amp;I52&amp;IF(ISBLANK(I52),""," ")&amp;LOWER(F52)&amp;IF(LEFT(J52,1)="-",""," ")&amp;J52</f>
        <v>A sturdy set of fire gloves</v>
      </c>
      <c r="L52" s="76">
        <v>1</v>
      </c>
      <c r="M52" s="62">
        <v>19</v>
      </c>
      <c r="N52" s="62" t="s">
        <v>644</v>
      </c>
      <c r="O52" s="93" t="b">
        <f t="shared" si="11"/>
        <v>0</v>
      </c>
      <c r="P52" s="76" t="s">
        <v>490</v>
      </c>
      <c r="Q52" s="62" t="s">
        <v>490</v>
      </c>
      <c r="R52" s="100" t="str">
        <f t="shared" si="31"/>
        <v/>
      </c>
      <c r="S52" s="93" t="str">
        <f t="shared" si="13"/>
        <v/>
      </c>
      <c r="T52" s="98" t="str">
        <f t="shared" si="14"/>
        <v/>
      </c>
      <c r="U52" s="95" t="str">
        <f t="shared" si="15"/>
        <v/>
      </c>
      <c r="V52" s="98" t="str">
        <f t="shared" si="16"/>
        <v/>
      </c>
      <c r="W52" s="6" t="str">
        <f t="shared" si="17"/>
        <v/>
      </c>
      <c r="X52" s="6">
        <v>0</v>
      </c>
      <c r="Y52" s="76" t="b">
        <v>1</v>
      </c>
      <c r="Z52" s="76">
        <f t="shared" si="32"/>
        <v>10</v>
      </c>
      <c r="AA52" s="71" t="str">
        <f t="shared" si="1"/>
        <v/>
      </c>
      <c r="AD52" s="71" t="str">
        <f t="shared" si="33"/>
        <v/>
      </c>
      <c r="AE52" s="71" t="str">
        <f t="shared" si="34"/>
        <v/>
      </c>
      <c r="AG52" s="43" t="str">
        <f>IF(N52,INDEX(Damage!$F$2:$F$151,A52)*R52*S52*V52/1000,"")</f>
        <v/>
      </c>
      <c r="AH52" s="94" t="str">
        <f t="shared" si="18"/>
        <v/>
      </c>
      <c r="AI52" s="94" t="str">
        <f t="shared" si="19"/>
        <v/>
      </c>
      <c r="AJ52" s="79" t="s">
        <v>645</v>
      </c>
      <c r="AK52" s="6">
        <f t="array" ref="AK52">IF(AJ52,MAX(IF(Armor!$D$2:'Armor'!$D$7=D52,Armor!$E$2:$E$7),0))</f>
        <v>0.04</v>
      </c>
      <c r="AL52" s="6">
        <f t="shared" si="30"/>
        <v>0</v>
      </c>
      <c r="AM52" s="71">
        <f>(AL52+AK52)*INDEX(Armor!$B$2:$B$151,A52)+IF(AJ52,1,0)</f>
        <v>5.16</v>
      </c>
      <c r="AN52" s="71">
        <f>IF(C52="Caster",IF(ISERR(FIND("orb",LOWER(E52))),IF(ISERR(FIND("wand",LOWER(E52))),IF(NOT($D52="Polearm"),0,INDEX(Regeneration!$M$2:$M$151,A52+2)),INDEX(Regeneration!$L$2:$L$151,A52+2)),INDEX(Regeneration!$K$2:$K$151,A52+2)),0)</f>
        <v>0</v>
      </c>
      <c r="AO52" s="71" t="str">
        <f t="shared" si="35"/>
        <v/>
      </c>
      <c r="AP52" s="71" t="str">
        <f>IF(AND($N52,$C52="Caster"),IF(AND(NOT($D52="Polearm"),ISERR(FIND("wand",LOWER($E52)))),0,INDEX(Regeneration!F$2:F$151,A52)*0.06),"")</f>
        <v/>
      </c>
      <c r="AQ52" s="88">
        <f t="shared" si="21"/>
        <v>0</v>
      </c>
      <c r="AR52" s="88">
        <f t="shared" si="22"/>
        <v>0</v>
      </c>
      <c r="AS52" s="16" t="str">
        <f>IF(D52="Shield",INDEX(Regeneration!$C$2:$C$151,A52+3)*0.5*IF(ISERR(FIND("Rare",B52)),IF(ISERR(FIND("Uncommon",B52)),1,1.5),2.25),"")</f>
        <v/>
      </c>
      <c r="AT52" s="16" t="str">
        <f t="shared" si="36"/>
        <v/>
      </c>
      <c r="AU52" s="16" t="str">
        <f t="shared" si="37"/>
        <v/>
      </c>
      <c r="AV52" s="16" t="str">
        <f t="shared" si="38"/>
        <v/>
      </c>
      <c r="AW52" s="16" t="str">
        <f>IF(D52="Ring",INDEX(Regeneration!$B$6:$B$155,A52)*0.06,"")</f>
        <v/>
      </c>
      <c r="AX52" s="84" t="str">
        <f>IF(AP52&lt;&gt;0,AP52,"")</f>
        <v/>
      </c>
      <c r="AZ52" s="16">
        <f t="shared" si="23"/>
        <v>5</v>
      </c>
      <c r="BA52" s="6">
        <f t="shared" si="9"/>
        <v>0</v>
      </c>
      <c r="BB52" s="6">
        <f t="shared" si="25"/>
        <v>0</v>
      </c>
    </row>
    <row r="53" spans="1:54">
      <c r="A53" s="76">
        <v>10</v>
      </c>
      <c r="B53" s="30" t="s">
        <v>492</v>
      </c>
      <c r="C53" s="30" t="s">
        <v>496</v>
      </c>
      <c r="D53" s="30" t="s">
        <v>483</v>
      </c>
      <c r="E53" s="30" t="s">
        <v>560</v>
      </c>
      <c r="F53" s="30" t="s">
        <v>646</v>
      </c>
      <c r="G53" s="76">
        <f t="shared" si="29"/>
        <v>10</v>
      </c>
      <c r="H53" s="101">
        <v>150</v>
      </c>
      <c r="I53" s="76" t="s">
        <v>665</v>
      </c>
      <c r="J53" s="76" t="str">
        <f t="shared" si="41"/>
        <v>helmet</v>
      </c>
      <c r="K53" s="76" t="str">
        <f t="array" ref="K53">"A"&amp;IF(IF(ISBLANK(I53),OR(LEFT(LOWER(F53),1)={"a","e","I","o","u"}),OR(LEFT(LOWER(I53),1)={"a","e","I","o","u"})),"n "," ")&amp;I53&amp;IF(ISBLANK(I53),""," ")&amp;LOWER(F53)&amp;IF(LEFT(J53,1)="-",""," ")&amp;J53</f>
        <v>A blazing fire helmet</v>
      </c>
      <c r="L53" s="76">
        <v>1</v>
      </c>
      <c r="M53" s="62">
        <v>49</v>
      </c>
      <c r="N53" s="62" t="s">
        <v>644</v>
      </c>
      <c r="O53" s="93" t="b">
        <f t="shared" si="11"/>
        <v>0</v>
      </c>
      <c r="P53" s="76" t="s">
        <v>490</v>
      </c>
      <c r="Q53" s="62" t="s">
        <v>490</v>
      </c>
      <c r="R53" s="100" t="str">
        <f t="shared" si="31"/>
        <v/>
      </c>
      <c r="S53" s="93" t="str">
        <f t="shared" si="13"/>
        <v/>
      </c>
      <c r="T53" s="98" t="str">
        <f t="shared" si="14"/>
        <v/>
      </c>
      <c r="U53" s="95" t="str">
        <f t="shared" si="15"/>
        <v/>
      </c>
      <c r="V53" s="98" t="str">
        <f t="shared" si="16"/>
        <v/>
      </c>
      <c r="W53" s="6" t="str">
        <f t="shared" si="17"/>
        <v/>
      </c>
      <c r="X53" s="6">
        <v>0</v>
      </c>
      <c r="Y53" s="76" t="b">
        <v>1</v>
      </c>
      <c r="Z53" s="76">
        <f t="shared" si="32"/>
        <v>10</v>
      </c>
      <c r="AA53" s="71" t="str">
        <f t="shared" si="1"/>
        <v/>
      </c>
      <c r="AD53" s="71" t="str">
        <f t="shared" si="33"/>
        <v/>
      </c>
      <c r="AE53" s="71" t="str">
        <f t="shared" si="34"/>
        <v/>
      </c>
      <c r="AG53" s="43" t="str">
        <f>IF(N53,INDEX(Damage!$F$2:$F$151,A53)*R53*S53*V53/1000,"")</f>
        <v/>
      </c>
      <c r="AH53" s="94" t="str">
        <f t="shared" si="18"/>
        <v/>
      </c>
      <c r="AI53" s="94" t="str">
        <f t="shared" si="19"/>
        <v/>
      </c>
      <c r="AJ53" s="79" t="s">
        <v>645</v>
      </c>
      <c r="AK53" s="6">
        <f t="array" ref="AK53">IF(AJ53,MAX(IF(Armor!$D$2:'Armor'!$D$7=D53,Armor!$E$2:$E$7),0))</f>
        <v>0.1</v>
      </c>
      <c r="AL53" s="6">
        <f t="shared" si="30"/>
        <v>0</v>
      </c>
      <c r="AM53" s="71">
        <f>(AL53+AK53)*INDEX(Armor!$B$2:$B$151,A53)+IF(AJ53,1,0)</f>
        <v>11.4</v>
      </c>
      <c r="AN53" s="71">
        <f>IF(C53="Caster",IF(ISERR(FIND("orb",LOWER(E53))),IF(ISERR(FIND("wand",LOWER(E53))),IF(NOT($D53="Polearm"),0,INDEX(Regeneration!$M$2:$M$151,A53+2)),INDEX(Regeneration!$L$2:$L$151,A53+2)),INDEX(Regeneration!$K$2:$K$151,A53+2)),0)</f>
        <v>0</v>
      </c>
      <c r="AO53" s="71" t="str">
        <f t="shared" si="35"/>
        <v/>
      </c>
      <c r="AP53" s="71" t="str">
        <f>IF(AND($N53,$C53="Caster"),IF(AND(NOT($D53="Polearm"),ISERR(FIND("wand",LOWER($E53)))),0,INDEX(Regeneration!F$2:F$151,A53)*0.06),"")</f>
        <v/>
      </c>
      <c r="AQ53" s="88">
        <f t="shared" si="21"/>
        <v>0</v>
      </c>
      <c r="AR53" s="88">
        <f t="shared" si="22"/>
        <v>0</v>
      </c>
      <c r="AS53" s="16" t="str">
        <f>IF(D53="Shield",INDEX(Regeneration!$C$2:$C$151,A53+3)*0.5*IF(ISERR(FIND("Rare",B53)),IF(ISERR(FIND("Uncommon",B53)),1,1.5),2.25),"")</f>
        <v/>
      </c>
      <c r="AT53" s="16" t="str">
        <f t="shared" si="36"/>
        <v/>
      </c>
      <c r="AU53" s="16" t="str">
        <f t="shared" si="37"/>
        <v/>
      </c>
      <c r="AV53" s="16" t="str">
        <f t="shared" si="38"/>
        <v/>
      </c>
      <c r="AW53" s="16" t="str">
        <f>IF(D53="Ring",INDEX(Regeneration!$B$6:$B$155,A53)*0.06,"")</f>
        <v/>
      </c>
      <c r="AX53" s="84" t="str">
        <f>IF(AP53&lt;&gt;0,AP53,"")</f>
        <v/>
      </c>
      <c r="AZ53" s="16" t="str">
        <f t="shared" si="23"/>
        <v/>
      </c>
      <c r="BA53" s="6">
        <f t="shared" si="9"/>
        <v>0</v>
      </c>
      <c r="BB53" s="6">
        <f t="shared" si="25"/>
        <v>0</v>
      </c>
    </row>
    <row r="54" spans="1:54">
      <c r="A54" s="62">
        <v>10</v>
      </c>
      <c r="B54" s="30" t="s">
        <v>493</v>
      </c>
      <c r="C54" s="30" t="s">
        <v>780</v>
      </c>
      <c r="D54" s="30" t="s">
        <v>473</v>
      </c>
      <c r="E54" s="30" t="s">
        <v>773</v>
      </c>
      <c r="F54" s="30" t="s">
        <v>646</v>
      </c>
      <c r="G54" s="76">
        <f t="shared" ref="G54:G85" si="42">IF(ISERR(FIND("Rare",B54)),IF(ISERR(FIND("Uncommon",B54)),A54,A54+5),A54+10)</f>
        <v>15</v>
      </c>
      <c r="H54" s="101">
        <v>150</v>
      </c>
      <c r="I54" s="76" t="s">
        <v>662</v>
      </c>
      <c r="J54" s="89" t="str">
        <f t="shared" si="41"/>
        <v>mainhand</v>
      </c>
      <c r="K54" s="76" t="str">
        <f t="array" ref="K54">"A"&amp;IF(IF(ISBLANK(I54),OR(LEFT(LOWER(F54),1)={"a","e","I","o","u"}),OR(LEFT(LOWER(I54),1)={"a","e","I","o","u"})),"n "," ")&amp;I54&amp;IF(ISBLANK(I54),""," ")&amp;LOWER(F54)&amp;IF(LEFT(J54,1)="-",""," ")&amp;J54</f>
        <v>A magical fire mainhand</v>
      </c>
      <c r="L54" s="76">
        <v>1</v>
      </c>
      <c r="M54" s="62">
        <v>40</v>
      </c>
      <c r="N54" s="62" t="b">
        <v>1</v>
      </c>
      <c r="O54" s="93" t="b">
        <f t="shared" si="11"/>
        <v>0</v>
      </c>
      <c r="P54" s="76" t="s">
        <v>5</v>
      </c>
      <c r="Q54" s="62" t="s">
        <v>506</v>
      </c>
      <c r="R54" s="100">
        <f t="shared" si="31"/>
        <v>0.9</v>
      </c>
      <c r="S54" s="93">
        <f t="shared" si="13"/>
        <v>0.4</v>
      </c>
      <c r="T54" s="98">
        <f t="shared" si="14"/>
        <v>0.7</v>
      </c>
      <c r="U54" s="95">
        <f t="shared" si="15"/>
        <v>1.5</v>
      </c>
      <c r="V54" s="98">
        <f t="shared" si="16"/>
        <v>454.99999999999994</v>
      </c>
      <c r="W54" s="6">
        <f t="shared" si="17"/>
        <v>7.0000000000000007E-2</v>
      </c>
      <c r="X54" s="6">
        <v>0</v>
      </c>
      <c r="Y54" s="76" t="b">
        <v>1</v>
      </c>
      <c r="Z54" s="76">
        <f t="shared" si="32"/>
        <v>10</v>
      </c>
      <c r="AA54" s="71" t="str">
        <f t="shared" si="1"/>
        <v/>
      </c>
      <c r="AD54" s="71" t="str">
        <f t="shared" si="33"/>
        <v/>
      </c>
      <c r="AE54" s="71">
        <f t="shared" si="34"/>
        <v>18</v>
      </c>
      <c r="AG54" s="43">
        <f>IF(N54,INDEX(Damage!$F$2:$F$151,A54)*R54*S54*V54/1000,"")</f>
        <v>8.5156499999999991</v>
      </c>
      <c r="AH54" s="94">
        <f t="shared" si="18"/>
        <v>7.9195544999999994</v>
      </c>
      <c r="AI54" s="94">
        <f t="shared" si="19"/>
        <v>9.1117454999999996</v>
      </c>
      <c r="AJ54" s="90" t="b">
        <v>0</v>
      </c>
      <c r="AK54" s="6" t="b">
        <f t="array" ref="AK54">IF(AJ54,MAX(IF(Armor!$D$2:'Armor'!$D$7=D54,Armor!$E$2:$E$7),0))</f>
        <v>0</v>
      </c>
      <c r="AL54" s="6">
        <f t="shared" si="30"/>
        <v>0.05</v>
      </c>
      <c r="AM54" s="71">
        <f>(AL54+AK54)*INDEX(Armor!$B$2:$B$151,A54)+IF(AJ54,1,0)</f>
        <v>5.2</v>
      </c>
      <c r="AN54" s="71">
        <f>IF(C54="Caster",IF(ISERR(FIND("orb",LOWER(E54))),IF(ISERR(FIND("wand",LOWER(E54))),IF(NOT($D54="Polearm"),0,INDEX(Regeneration!$M$2:$M$151,A54+2)),INDEX(Regeneration!$L$2:$L$151,A54+2)),INDEX(Regeneration!$K$2:$K$151,A54+2)),0)</f>
        <v>37.111111111111114</v>
      </c>
      <c r="AO54" s="71">
        <f t="shared" si="35"/>
        <v>0</v>
      </c>
      <c r="AP54" s="71">
        <f>IF(AND($N54,$C54="Caster"),IF(AND(NOT($D54="Polearm"),ISERR(FIND("wand",LOWER($E54)))),0,INDEX(Regeneration!F$2:F$151,A54)*0.06),"")</f>
        <v>19.7</v>
      </c>
      <c r="AQ54" s="88">
        <f t="shared" si="21"/>
        <v>0</v>
      </c>
      <c r="AR54" s="88">
        <f t="shared" si="22"/>
        <v>0</v>
      </c>
      <c r="AS54" s="16" t="str">
        <f>IF(D54="Shield",INDEX(Regeneration!$C$2:$C$151,A54+3)*0.5*IF(ISERR(FIND("Rare",B54)),IF(ISERR(FIND("Uncommon",B54)),1,1.5),2.25),"")</f>
        <v/>
      </c>
      <c r="AT54" s="16">
        <f t="shared" si="36"/>
        <v>38.111111111111114</v>
      </c>
      <c r="AU54" s="16" t="str">
        <f t="shared" si="37"/>
        <v/>
      </c>
      <c r="AV54" s="16" t="str">
        <f t="shared" si="38"/>
        <v/>
      </c>
      <c r="AW54" s="16" t="str">
        <f>IF(D54="Ring",INDEX(Regeneration!$B$6:$B$155,A54)*0.06,"")</f>
        <v/>
      </c>
      <c r="AX54" s="84"/>
      <c r="AZ54" s="16" t="str">
        <f t="shared" si="23"/>
        <v/>
      </c>
      <c r="BA54" s="6">
        <f t="shared" si="9"/>
        <v>0</v>
      </c>
      <c r="BB54" s="6">
        <f t="shared" si="25"/>
        <v>0</v>
      </c>
    </row>
    <row r="55" spans="1:54">
      <c r="A55" s="76">
        <v>10</v>
      </c>
      <c r="B55" s="30" t="s">
        <v>492</v>
      </c>
      <c r="C55" s="30" t="s">
        <v>780</v>
      </c>
      <c r="D55" s="30" t="s">
        <v>474</v>
      </c>
      <c r="E55" s="30" t="s">
        <v>764</v>
      </c>
      <c r="F55" s="30" t="s">
        <v>646</v>
      </c>
      <c r="G55" s="76">
        <f t="shared" si="42"/>
        <v>10</v>
      </c>
      <c r="H55" s="101">
        <v>150</v>
      </c>
      <c r="I55" s="76" t="s">
        <v>662</v>
      </c>
      <c r="J55" s="76" t="str">
        <f t="shared" si="41"/>
        <v>offhand item</v>
      </c>
      <c r="K55" s="76" t="str">
        <f t="array" ref="K55">"A"&amp;IF(IF(ISBLANK(I55),OR(LEFT(LOWER(F55),1)={"a","e","I","o","u"}),OR(LEFT(LOWER(I55),1)={"a","e","I","o","u"})),"n "," ")&amp;I55&amp;IF(ISBLANK(I55),""," ")&amp;LOWER(F55)&amp;IF(LEFT(J55,1)="-",""," ")&amp;J55</f>
        <v>A magical fire offhand item</v>
      </c>
      <c r="L55" s="76">
        <v>1</v>
      </c>
      <c r="M55" s="62">
        <v>20</v>
      </c>
      <c r="N55" s="62" t="b">
        <v>0</v>
      </c>
      <c r="O55" s="93" t="b">
        <f t="shared" si="11"/>
        <v>0</v>
      </c>
      <c r="P55" s="76"/>
      <c r="R55" s="100" t="str">
        <f t="shared" si="31"/>
        <v/>
      </c>
      <c r="S55" s="93" t="str">
        <f t="shared" si="13"/>
        <v/>
      </c>
      <c r="T55" s="98" t="str">
        <f t="shared" si="14"/>
        <v/>
      </c>
      <c r="U55" s="95" t="str">
        <f t="shared" si="15"/>
        <v/>
      </c>
      <c r="V55" s="98" t="str">
        <f t="shared" si="16"/>
        <v/>
      </c>
      <c r="W55" s="6" t="str">
        <f t="shared" si="17"/>
        <v/>
      </c>
      <c r="X55" s="6">
        <v>0</v>
      </c>
      <c r="Y55" s="76" t="b">
        <v>1</v>
      </c>
      <c r="Z55" s="76">
        <f t="shared" si="32"/>
        <v>10</v>
      </c>
      <c r="AA55" s="71" t="str">
        <f t="shared" si="1"/>
        <v/>
      </c>
      <c r="AD55" s="71" t="str">
        <f t="shared" si="33"/>
        <v/>
      </c>
      <c r="AE55" s="71">
        <f t="shared" si="34"/>
        <v>18</v>
      </c>
      <c r="AG55" s="43" t="str">
        <f>IF(N55,INDEX(Damage!$F$2:$F$151,A55)*R55*S55*V55/1000,"")</f>
        <v/>
      </c>
      <c r="AH55" s="94" t="str">
        <f t="shared" si="18"/>
        <v/>
      </c>
      <c r="AI55" s="94" t="str">
        <f t="shared" si="19"/>
        <v/>
      </c>
      <c r="AJ55" s="90" t="b">
        <v>0</v>
      </c>
      <c r="AK55" s="6" t="b">
        <f t="array" ref="AK55">IF(AJ55,MAX(IF(Armor!$D$2:'Armor'!$D$7=D55,Armor!$E$2:$E$7),0))</f>
        <v>0</v>
      </c>
      <c r="AL55" s="6">
        <f t="shared" si="30"/>
        <v>0</v>
      </c>
      <c r="AM55" s="71">
        <f>(AL55+AK55)*INDEX(Armor!$B$2:$B$151,A55)+IF(AJ55,1,0)</f>
        <v>0</v>
      </c>
      <c r="AN55" s="71">
        <f>IF(C55="Caster",IF(ISERR(FIND("orb",LOWER(E55))),IF(ISERR(FIND("wand",LOWER(E55))),IF(NOT($D55="Polearm"),0,INDEX(Regeneration!$M$2:$M$151,A55+2)),INDEX(Regeneration!$L$2:$L$151,A55+2)),INDEX(Regeneration!$K$2:$K$151,A55+2)),0)</f>
        <v>29.688888888888894</v>
      </c>
      <c r="AO55" s="71" t="str">
        <f t="shared" si="35"/>
        <v/>
      </c>
      <c r="AP55" s="71" t="str">
        <f>IF(AND($N55,$C55="Caster"),IF(AND(NOT($D55="Polearm"),ISERR(FIND("wand",LOWER($E55)))),0,INDEX(Regeneration!F$2:F$151,A55)*0.06),"")</f>
        <v/>
      </c>
      <c r="AQ55" s="88">
        <f t="shared" si="21"/>
        <v>0</v>
      </c>
      <c r="AR55" s="88">
        <f t="shared" si="22"/>
        <v>0</v>
      </c>
      <c r="AS55" s="16" t="str">
        <f>IF(D55="Shield",INDEX(Regeneration!$C$2:$C$151,A55+3)*0.5*IF(ISERR(FIND("Rare",B55)),IF(ISERR(FIND("Uncommon",B55)),1,1.5),2.25),"")</f>
        <v/>
      </c>
      <c r="AT55" s="16">
        <f t="shared" si="36"/>
        <v>30.688888888888894</v>
      </c>
      <c r="AU55" s="16" t="str">
        <f t="shared" si="37"/>
        <v/>
      </c>
      <c r="AV55" s="16" t="str">
        <f t="shared" si="38"/>
        <v/>
      </c>
      <c r="AW55" s="16" t="str">
        <f>IF(D55="Ring",INDEX(Regeneration!$B$6:$B$155,A55)*0.06,"")</f>
        <v/>
      </c>
      <c r="AX55" s="84"/>
      <c r="AZ55" s="16" t="str">
        <f t="shared" si="23"/>
        <v/>
      </c>
      <c r="BA55" s="6">
        <f t="shared" si="9"/>
        <v>0</v>
      </c>
      <c r="BB55" s="6">
        <f t="shared" si="25"/>
        <v>0</v>
      </c>
    </row>
    <row r="56" spans="1:54">
      <c r="A56" s="76">
        <v>10</v>
      </c>
      <c r="B56" s="30" t="s">
        <v>492</v>
      </c>
      <c r="C56" s="30" t="s">
        <v>10</v>
      </c>
      <c r="D56" s="30" t="s">
        <v>478</v>
      </c>
      <c r="E56" s="30" t="s">
        <v>564</v>
      </c>
      <c r="F56" s="30" t="s">
        <v>646</v>
      </c>
      <c r="G56" s="76">
        <f t="shared" si="42"/>
        <v>10</v>
      </c>
      <c r="H56" s="101">
        <v>150</v>
      </c>
      <c r="J56" s="76" t="str">
        <f t="shared" si="41"/>
        <v>polearm</v>
      </c>
      <c r="K56" s="76" t="str">
        <f t="array" ref="K56">"A"&amp;IF(IF(ISBLANK(I56),OR(LEFT(LOWER(F56),1)={"a","e","I","o","u"}),OR(LEFT(LOWER(I56),1)={"a","e","I","o","u"})),"n "," ")&amp;I56&amp;IF(ISBLANK(I56),""," ")&amp;LOWER(F56)&amp;IF(LEFT(J56,1)="-",""," ")&amp;J56</f>
        <v>A fire polearm</v>
      </c>
      <c r="L56" s="76">
        <v>1</v>
      </c>
      <c r="M56" s="62">
        <v>99</v>
      </c>
      <c r="N56" s="62" t="s">
        <v>645</v>
      </c>
      <c r="O56" s="93" t="b">
        <f t="shared" si="11"/>
        <v>0</v>
      </c>
      <c r="P56" s="76" t="s">
        <v>7</v>
      </c>
      <c r="Q56" s="62" t="s">
        <v>505</v>
      </c>
      <c r="R56" s="100">
        <f t="shared" si="31"/>
        <v>1.1499999999999999</v>
      </c>
      <c r="S56" s="93">
        <f t="shared" si="13"/>
        <v>1</v>
      </c>
      <c r="T56" s="98">
        <f t="shared" si="14"/>
        <v>1.3</v>
      </c>
      <c r="U56" s="95">
        <f t="shared" si="15"/>
        <v>2.5</v>
      </c>
      <c r="V56" s="98">
        <f t="shared" si="16"/>
        <v>845</v>
      </c>
      <c r="W56" s="6">
        <f t="shared" si="17"/>
        <v>0.3</v>
      </c>
      <c r="X56" s="6">
        <v>0</v>
      </c>
      <c r="Y56" s="76" t="b">
        <v>1</v>
      </c>
      <c r="Z56" s="76">
        <f t="shared" si="32"/>
        <v>10</v>
      </c>
      <c r="AA56" s="71">
        <f t="shared" si="1"/>
        <v>18</v>
      </c>
      <c r="AD56" s="71" t="str">
        <f t="shared" si="33"/>
        <v/>
      </c>
      <c r="AE56" s="71" t="str">
        <f t="shared" si="34"/>
        <v/>
      </c>
      <c r="AG56" s="43">
        <f>IF(N56,INDEX(Damage!$F$2:$F$151,A56)*R56*S56*V56/1000,"")</f>
        <v>50.519431547619043</v>
      </c>
      <c r="AH56" s="94">
        <f t="shared" si="18"/>
        <v>35.363602083333333</v>
      </c>
      <c r="AI56" s="94">
        <f t="shared" si="19"/>
        <v>65.675261011904752</v>
      </c>
      <c r="AJ56" s="79" t="s">
        <v>644</v>
      </c>
      <c r="AK56" s="6" t="b">
        <f t="array" ref="AK56">IF(AJ56,MAX(IF(Armor!$D$2:'Armor'!$D$7=D56,Armor!$E$2:$E$7),0))</f>
        <v>0</v>
      </c>
      <c r="AL56" s="6">
        <f t="shared" si="30"/>
        <v>0</v>
      </c>
      <c r="AM56" s="71">
        <f>(AL56+AK56)*INDEX(Armor!$B$2:$B$151,A56)+IF(AJ56,1,0)</f>
        <v>0</v>
      </c>
      <c r="AN56" s="71">
        <f>IF(C56="Caster",IF(ISERR(FIND("orb",LOWER(E56))),IF(ISERR(FIND("wand",LOWER(E56))),IF(NOT($D56="Polearm"),0,INDEX(Regeneration!$M$2:$M$151,A56+2)),INDEX(Regeneration!$L$2:$L$151,A56+2)),INDEX(Regeneration!$K$2:$K$151,A56+2)),0)</f>
        <v>0</v>
      </c>
      <c r="AO56" s="71" t="str">
        <f t="shared" si="35"/>
        <v/>
      </c>
      <c r="AP56" s="71" t="str">
        <f>IF(AND($N56,$C56="Caster"),IF(AND(NOT($D56="Polearm"),ISERR(FIND("wand",LOWER($E56)))),0,INDEX(Regeneration!F$2:F$151,A56)*0.06),"")</f>
        <v/>
      </c>
      <c r="AQ56" s="88">
        <f t="shared" si="21"/>
        <v>0.15</v>
      </c>
      <c r="AR56" s="88">
        <f t="shared" si="22"/>
        <v>0.15</v>
      </c>
      <c r="AS56" s="16" t="str">
        <f>IF(D56="Shield",INDEX(Regeneration!$C$2:$C$151,A56+3)*0.5*IF(ISERR(FIND("Rare",B56)),IF(ISERR(FIND("Uncommon",B56)),1,1.5),2.25),"")</f>
        <v/>
      </c>
      <c r="AT56" s="16" t="str">
        <f t="shared" si="36"/>
        <v/>
      </c>
      <c r="AU56" s="16" t="str">
        <f t="shared" si="37"/>
        <v/>
      </c>
      <c r="AV56" s="16" t="str">
        <f t="shared" si="38"/>
        <v/>
      </c>
      <c r="AW56" s="16" t="str">
        <f>IF(D56="Ring",INDEX(Regeneration!$B$6:$B$155,A56)*0.06,"")</f>
        <v/>
      </c>
      <c r="AX56" s="84" t="str">
        <f t="shared" ref="AX56:AX62" si="43">IF(AP56&lt;&gt;0,AP56,"")</f>
        <v/>
      </c>
      <c r="AZ56" s="16" t="str">
        <f t="shared" si="23"/>
        <v/>
      </c>
      <c r="BA56" s="6">
        <f t="shared" si="9"/>
        <v>0.15</v>
      </c>
      <c r="BB56" s="6">
        <f t="shared" si="25"/>
        <v>0.15</v>
      </c>
    </row>
    <row r="57" spans="1:54">
      <c r="A57" s="76">
        <v>10</v>
      </c>
      <c r="B57" s="30" t="s">
        <v>493</v>
      </c>
      <c r="C57" s="30" t="s">
        <v>496</v>
      </c>
      <c r="D57" s="30" t="s">
        <v>485</v>
      </c>
      <c r="E57" s="30" t="s">
        <v>567</v>
      </c>
      <c r="F57" s="30" t="s">
        <v>646</v>
      </c>
      <c r="G57" s="76">
        <f t="shared" si="42"/>
        <v>15</v>
      </c>
      <c r="H57" s="101">
        <v>150</v>
      </c>
      <c r="J57" s="89" t="str">
        <f t="shared" si="41"/>
        <v>ring</v>
      </c>
      <c r="K57" s="76" t="str">
        <f t="array" ref="K57">"A"&amp;IF(IF(ISBLANK(I57),OR(LEFT(LOWER(F57),1)={"a","e","I","o","u"}),OR(LEFT(LOWER(I57),1)={"a","e","I","o","u"})),"n "," ")&amp;I57&amp;IF(ISBLANK(I57),""," ")&amp;LOWER(F57)&amp;IF(LEFT(J57,1)="-",""," ")&amp;J57</f>
        <v>A fire ring</v>
      </c>
      <c r="L57" s="76">
        <v>1</v>
      </c>
      <c r="M57" s="62">
        <v>259</v>
      </c>
      <c r="N57" s="62" t="s">
        <v>644</v>
      </c>
      <c r="O57" s="93" t="b">
        <f t="shared" si="11"/>
        <v>0</v>
      </c>
      <c r="P57" s="76" t="s">
        <v>490</v>
      </c>
      <c r="Q57" s="62" t="s">
        <v>490</v>
      </c>
      <c r="R57" s="100" t="str">
        <f t="shared" si="31"/>
        <v/>
      </c>
      <c r="S57" s="93" t="str">
        <f t="shared" si="13"/>
        <v/>
      </c>
      <c r="T57" s="98" t="str">
        <f t="shared" si="14"/>
        <v/>
      </c>
      <c r="U57" s="95" t="str">
        <f t="shared" si="15"/>
        <v/>
      </c>
      <c r="V57" s="98" t="str">
        <f t="shared" si="16"/>
        <v/>
      </c>
      <c r="W57" s="6" t="str">
        <f t="shared" si="17"/>
        <v/>
      </c>
      <c r="X57" s="6">
        <v>0</v>
      </c>
      <c r="Y57" s="76" t="b">
        <v>1</v>
      </c>
      <c r="Z57" s="76">
        <f t="shared" si="32"/>
        <v>10</v>
      </c>
      <c r="AA57" s="71" t="str">
        <f t="shared" si="1"/>
        <v/>
      </c>
      <c r="AD57" s="71" t="str">
        <f t="shared" si="33"/>
        <v/>
      </c>
      <c r="AE57" s="71" t="str">
        <f t="shared" si="34"/>
        <v/>
      </c>
      <c r="AG57" s="43" t="str">
        <f>IF(N57,INDEX(Damage!$F$2:$F$151,A57)*R57*S57*V57/1000,"")</f>
        <v/>
      </c>
      <c r="AH57" s="94" t="str">
        <f t="shared" si="18"/>
        <v/>
      </c>
      <c r="AI57" s="94" t="str">
        <f t="shared" si="19"/>
        <v/>
      </c>
      <c r="AJ57" s="79" t="s">
        <v>644</v>
      </c>
      <c r="AK57" s="6" t="b">
        <f t="array" ref="AK57">IF(AJ57,MAX(IF(Armor!$D$2:'Armor'!$D$7=D57,Armor!$E$2:$E$7),0))</f>
        <v>0</v>
      </c>
      <c r="AL57" s="6">
        <f t="shared" si="30"/>
        <v>0.05</v>
      </c>
      <c r="AM57" s="71">
        <f>(AL57+AK57)*INDEX(Armor!$B$2:$B$151,A57)+IF(AJ57,1,0)</f>
        <v>5.2</v>
      </c>
      <c r="AN57" s="71">
        <f>IF(C57="Caster",IF(ISERR(FIND("orb",LOWER(E57))),IF(ISERR(FIND("wand",LOWER(E57))),IF(NOT($D57="Polearm"),0,INDEX(Regeneration!$M$2:$M$151,A57+2)),INDEX(Regeneration!$L$2:$L$151,A57+2)),INDEX(Regeneration!$K$2:$K$151,A57+2)),0)</f>
        <v>0</v>
      </c>
      <c r="AO57" s="71" t="str">
        <f t="shared" si="35"/>
        <v/>
      </c>
      <c r="AP57" s="71" t="str">
        <f>IF(AND($N57,$C57="Caster"),IF(AND(NOT($D57="Polearm"),ISERR(FIND("wand",LOWER($E57)))),0,INDEX(Regeneration!F$2:F$151,A57)*0.06),"")</f>
        <v/>
      </c>
      <c r="AQ57" s="88">
        <f t="shared" si="21"/>
        <v>0</v>
      </c>
      <c r="AR57" s="88">
        <f t="shared" si="22"/>
        <v>0</v>
      </c>
      <c r="AS57" s="16" t="str">
        <f>IF(D57="Shield",INDEX(Regeneration!$C$2:$C$151,A57+3)*0.5*IF(ISERR(FIND("Rare",B57)),IF(ISERR(FIND("Uncommon",B57)),1,1.5),2.25),"")</f>
        <v/>
      </c>
      <c r="AT57" s="16" t="str">
        <f t="shared" si="36"/>
        <v/>
      </c>
      <c r="AU57" s="16" t="str">
        <f t="shared" si="37"/>
        <v/>
      </c>
      <c r="AV57" s="16">
        <f t="shared" si="38"/>
        <v>5</v>
      </c>
      <c r="AW57" s="16">
        <f>IF(D57="Ring",INDEX(Regeneration!$B$6:$B$155,A57)*0.06,"")</f>
        <v>27.573333333333331</v>
      </c>
      <c r="AX57" s="84" t="str">
        <f t="shared" si="43"/>
        <v/>
      </c>
      <c r="AZ57" s="16" t="str">
        <f t="shared" si="23"/>
        <v/>
      </c>
      <c r="BA57" s="6">
        <f t="shared" si="9"/>
        <v>0</v>
      </c>
      <c r="BB57" s="6">
        <f t="shared" si="25"/>
        <v>0</v>
      </c>
    </row>
    <row r="58" spans="1:54">
      <c r="A58" s="76">
        <v>10</v>
      </c>
      <c r="B58" s="30" t="s">
        <v>492</v>
      </c>
      <c r="C58" s="30" t="s">
        <v>496</v>
      </c>
      <c r="D58" s="30" t="s">
        <v>475</v>
      </c>
      <c r="E58" s="30" t="s">
        <v>561</v>
      </c>
      <c r="F58" s="30" t="s">
        <v>646</v>
      </c>
      <c r="G58" s="76">
        <f t="shared" si="42"/>
        <v>10</v>
      </c>
      <c r="H58" s="101">
        <v>150</v>
      </c>
      <c r="I58" s="76" t="s">
        <v>662</v>
      </c>
      <c r="J58" s="89" t="str">
        <f t="shared" si="41"/>
        <v>shield</v>
      </c>
      <c r="K58" s="76" t="str">
        <f t="array" ref="K58">"A"&amp;IF(IF(ISBLANK(I58),OR(LEFT(LOWER(F58),1)={"a","e","I","o","u"}),OR(LEFT(LOWER(I58),1)={"a","e","I","o","u"})),"n "," ")&amp;I58&amp;IF(ISBLANK(I58),""," ")&amp;LOWER(F58)&amp;IF(LEFT(J58,1)="-",""," ")&amp;J58</f>
        <v>A magical fire shield</v>
      </c>
      <c r="L58" s="76">
        <v>1</v>
      </c>
      <c r="M58" s="62">
        <v>99</v>
      </c>
      <c r="N58" s="62" t="s">
        <v>644</v>
      </c>
      <c r="O58" s="93" t="b">
        <f t="shared" si="11"/>
        <v>0</v>
      </c>
      <c r="P58" s="76" t="s">
        <v>490</v>
      </c>
      <c r="Q58" s="62" t="s">
        <v>490</v>
      </c>
      <c r="R58" s="100" t="str">
        <f t="shared" si="31"/>
        <v/>
      </c>
      <c r="S58" s="93" t="str">
        <f t="shared" si="13"/>
        <v/>
      </c>
      <c r="T58" s="98" t="str">
        <f t="shared" si="14"/>
        <v/>
      </c>
      <c r="U58" s="95" t="str">
        <f t="shared" si="15"/>
        <v/>
      </c>
      <c r="V58" s="98" t="str">
        <f t="shared" si="16"/>
        <v/>
      </c>
      <c r="W58" s="6" t="str">
        <f t="shared" si="17"/>
        <v/>
      </c>
      <c r="X58" s="6">
        <v>0</v>
      </c>
      <c r="Y58" s="76" t="b">
        <v>1</v>
      </c>
      <c r="Z58" s="76">
        <f t="shared" si="32"/>
        <v>10</v>
      </c>
      <c r="AA58" s="71" t="str">
        <f t="shared" si="1"/>
        <v/>
      </c>
      <c r="AD58" s="71" t="str">
        <f t="shared" si="33"/>
        <v/>
      </c>
      <c r="AE58" s="71" t="str">
        <f t="shared" si="34"/>
        <v/>
      </c>
      <c r="AG58" s="43" t="str">
        <f>IF(N58,INDEX(Damage!$F$2:$F$151,A58)*R58*S58*V58/1000,"")</f>
        <v/>
      </c>
      <c r="AH58" s="94" t="str">
        <f t="shared" si="18"/>
        <v/>
      </c>
      <c r="AI58" s="94" t="str">
        <f t="shared" si="19"/>
        <v/>
      </c>
      <c r="AJ58" s="79" t="s">
        <v>645</v>
      </c>
      <c r="AK58" s="6">
        <f t="array" ref="AK58">IF(AJ58,MAX(IF(Armor!$D$2:'Armor'!$D$7=D58,Armor!$E$2:$E$7),0))</f>
        <v>0.25</v>
      </c>
      <c r="AL58" s="6">
        <f t="shared" si="30"/>
        <v>0</v>
      </c>
      <c r="AM58" s="71">
        <f>(AL58+AK58)*INDEX(Armor!$B$2:$B$151,A58)+IF(AJ58,1,0)</f>
        <v>27</v>
      </c>
      <c r="AN58" s="71">
        <f>IF(C58="Caster",IF(ISERR(FIND("orb",LOWER(E58))),IF(ISERR(FIND("wand",LOWER(E58))),IF(NOT($D58="Polearm"),0,INDEX(Regeneration!$M$2:$M$151,A58+2)),INDEX(Regeneration!$L$2:$L$151,A58+2)),INDEX(Regeneration!$K$2:$K$151,A58+2)),0)</f>
        <v>0</v>
      </c>
      <c r="AO58" s="71" t="str">
        <f t="shared" si="35"/>
        <v/>
      </c>
      <c r="AP58" s="71" t="str">
        <f>IF(AND($N58,$C58="Caster"),IF(AND(NOT($D58="Polearm"),ISERR(FIND("wand",LOWER($E58)))),0,INDEX(Regeneration!F$2:F$151,A58)*0.06),"")</f>
        <v/>
      </c>
      <c r="AQ58" s="88">
        <f t="shared" si="21"/>
        <v>0</v>
      </c>
      <c r="AR58" s="88">
        <f t="shared" si="22"/>
        <v>0</v>
      </c>
      <c r="AS58" s="16">
        <f>IF(D58="Shield",INDEX(Regeneration!$C$2:$C$151,A58+3)*0.5*IF(ISERR(FIND("Rare",B58)),IF(ISERR(FIND("Uncommon",B58)),1,1.5),2.25),"")</f>
        <v>42.993827160493829</v>
      </c>
      <c r="AT58" s="16" t="str">
        <f t="shared" si="36"/>
        <v/>
      </c>
      <c r="AU58" s="16" t="str">
        <f t="shared" si="37"/>
        <v/>
      </c>
      <c r="AV58" s="16" t="str">
        <f t="shared" si="38"/>
        <v/>
      </c>
      <c r="AW58" s="16" t="str">
        <f>IF(D58="Ring",INDEX(Regeneration!$B$6:$B$155,A58)*0.06,"")</f>
        <v/>
      </c>
      <c r="AX58" s="84" t="str">
        <f t="shared" si="43"/>
        <v/>
      </c>
      <c r="AZ58" s="16" t="str">
        <f t="shared" si="23"/>
        <v/>
      </c>
      <c r="BA58" s="6">
        <f t="shared" si="9"/>
        <v>0</v>
      </c>
      <c r="BB58" s="6">
        <f t="shared" si="25"/>
        <v>0</v>
      </c>
    </row>
    <row r="59" spans="1:54">
      <c r="A59" s="76">
        <v>10</v>
      </c>
      <c r="B59" s="30" t="s">
        <v>492</v>
      </c>
      <c r="C59" s="30" t="s">
        <v>496</v>
      </c>
      <c r="D59" s="30" t="s">
        <v>476</v>
      </c>
      <c r="E59" s="30" t="s">
        <v>565</v>
      </c>
      <c r="F59" s="30" t="s">
        <v>646</v>
      </c>
      <c r="G59" s="76">
        <f t="shared" si="42"/>
        <v>10</v>
      </c>
      <c r="H59" s="101">
        <v>150</v>
      </c>
      <c r="J59" s="76" t="s">
        <v>668</v>
      </c>
      <c r="K59" s="76" t="str">
        <f t="array" ref="K59">"A"&amp;IF(IF(ISBLANK(I59),OR(LEFT(LOWER(F59),1)={"a","e","I","o","u"}),OR(LEFT(LOWER(I59),1)={"a","e","I","o","u"})),"n "," ")&amp;I59&amp;IF(ISBLANK(I59),""," ")&amp;LOWER(F59)&amp;IF(LEFT(J59,1)="-",""," ")&amp;J59</f>
        <v>A fire throwing weapon</v>
      </c>
      <c r="L59" s="76">
        <v>1</v>
      </c>
      <c r="M59" s="62">
        <v>19</v>
      </c>
      <c r="N59" s="62" t="s">
        <v>645</v>
      </c>
      <c r="O59" s="93" t="b">
        <f t="shared" si="11"/>
        <v>1</v>
      </c>
      <c r="P59" s="76" t="s">
        <v>504</v>
      </c>
      <c r="Q59" s="62" t="s">
        <v>506</v>
      </c>
      <c r="R59" s="100">
        <f t="shared" si="31"/>
        <v>0.81</v>
      </c>
      <c r="S59" s="93">
        <f t="shared" si="13"/>
        <v>1</v>
      </c>
      <c r="T59" s="98">
        <f t="shared" si="14"/>
        <v>0.7</v>
      </c>
      <c r="U59" s="95">
        <f t="shared" si="15"/>
        <v>8</v>
      </c>
      <c r="V59" s="98">
        <f t="shared" si="16"/>
        <v>454.99999999999994</v>
      </c>
      <c r="W59" s="6">
        <f t="shared" si="17"/>
        <v>0.15</v>
      </c>
      <c r="X59" s="6">
        <v>0</v>
      </c>
      <c r="Y59" s="76" t="b">
        <v>1</v>
      </c>
      <c r="Z59" s="76">
        <f t="shared" si="32"/>
        <v>10</v>
      </c>
      <c r="AA59" s="71" t="str">
        <f t="shared" si="1"/>
        <v/>
      </c>
      <c r="AD59" s="71" t="str">
        <f t="shared" si="33"/>
        <v/>
      </c>
      <c r="AE59" s="71" t="str">
        <f t="shared" si="34"/>
        <v/>
      </c>
      <c r="AG59" s="43">
        <f>IF(N59,INDEX(Damage!$F$2:$F$151,A59)*R59*S59*V59/1000,"")</f>
        <v>19.160212499999997</v>
      </c>
      <c r="AH59" s="94">
        <f t="shared" si="18"/>
        <v>16.286180624999997</v>
      </c>
      <c r="AI59" s="94">
        <f t="shared" si="19"/>
        <v>22.034244374999997</v>
      </c>
      <c r="AJ59" s="79" t="s">
        <v>644</v>
      </c>
      <c r="AK59" s="6" t="b">
        <f t="array" ref="AK59">IF(AJ59,MAX(IF(Armor!$D$2:'Armor'!$D$7=D59,Armor!$E$2:$E$7),0))</f>
        <v>0</v>
      </c>
      <c r="AL59" s="6">
        <f t="shared" si="30"/>
        <v>0</v>
      </c>
      <c r="AM59" s="71">
        <f>(AL59+AK59)*INDEX(Armor!$B$2:$B$151,A59)+IF(AJ59,1,0)</f>
        <v>0</v>
      </c>
      <c r="AN59" s="71">
        <f>IF(C59="Caster",IF(ISERR(FIND("orb",LOWER(E59))),IF(ISERR(FIND("wand",LOWER(E59))),IF(NOT($D59="Polearm"),0,INDEX(Regeneration!$M$2:$M$151,A59+2)),INDEX(Regeneration!$L$2:$L$151,A59+2)),INDEX(Regeneration!$K$2:$K$151,A59+2)),0)</f>
        <v>0</v>
      </c>
      <c r="AO59" s="71" t="str">
        <f t="shared" si="35"/>
        <v/>
      </c>
      <c r="AP59" s="71" t="str">
        <f>IF(AND($N59,$C59="Caster"),IF(AND(NOT($D59="Polearm"),ISERR(FIND("wand",LOWER($E59)))),0,INDEX(Regeneration!F$2:F$151,A59)*0.06),"")</f>
        <v/>
      </c>
      <c r="AQ59" s="88">
        <f t="shared" si="21"/>
        <v>0</v>
      </c>
      <c r="AR59" s="88">
        <f t="shared" si="22"/>
        <v>0</v>
      </c>
      <c r="AS59" s="16" t="str">
        <f>IF(D59="Shield",INDEX(Regeneration!$C$2:$C$151,A59+3)*0.5*IF(ISERR(FIND("Rare",B59)),IF(ISERR(FIND("Uncommon",B59)),1,1.5),2.25),"")</f>
        <v/>
      </c>
      <c r="AT59" s="16" t="str">
        <f t="shared" si="36"/>
        <v/>
      </c>
      <c r="AU59" s="16" t="str">
        <f t="shared" si="37"/>
        <v/>
      </c>
      <c r="AV59" s="16" t="str">
        <f t="shared" si="38"/>
        <v/>
      </c>
      <c r="AW59" s="16" t="str">
        <f>IF(D59="Ring",INDEX(Regeneration!$B$6:$B$155,A59)*0.06,"")</f>
        <v/>
      </c>
      <c r="AX59" s="84" t="str">
        <f t="shared" si="43"/>
        <v/>
      </c>
      <c r="AZ59" s="16" t="str">
        <f t="shared" si="23"/>
        <v/>
      </c>
      <c r="BA59" s="6">
        <f t="shared" si="9"/>
        <v>0</v>
      </c>
      <c r="BB59" s="6">
        <f t="shared" si="25"/>
        <v>0</v>
      </c>
    </row>
    <row r="60" spans="1:54">
      <c r="A60" s="76">
        <v>10</v>
      </c>
      <c r="B60" s="30" t="s">
        <v>492</v>
      </c>
      <c r="C60" s="30" t="s">
        <v>496</v>
      </c>
      <c r="D60" s="30" t="s">
        <v>481</v>
      </c>
      <c r="E60" s="30" t="s">
        <v>562</v>
      </c>
      <c r="F60" s="30" t="s">
        <v>646</v>
      </c>
      <c r="G60" s="76">
        <f t="shared" si="42"/>
        <v>10</v>
      </c>
      <c r="H60" s="101">
        <v>150</v>
      </c>
      <c r="J60" s="76" t="s">
        <v>689</v>
      </c>
      <c r="K60" s="76" t="str">
        <f t="array" ref="K60">"A"&amp;IF(IF(ISBLANK(I60),OR(LEFT(LOWER(F60),1)={"a","e","I","o","u"}),OR(LEFT(LOWER(I60),1)={"a","e","I","o","u"})),"n "," ")&amp;I60&amp;IF(ISBLANK(I60),""," ")&amp;LOWER(F60)&amp;IF(LEFT(J60,1)="-",""," ")&amp;J60</f>
        <v>A fire weapon that wraps around your fists</v>
      </c>
      <c r="L60" s="76">
        <v>1</v>
      </c>
      <c r="M60" s="62">
        <v>19</v>
      </c>
      <c r="N60" s="62" t="s">
        <v>645</v>
      </c>
      <c r="O60" s="93" t="b">
        <f t="shared" si="11"/>
        <v>0</v>
      </c>
      <c r="P60" s="76" t="s">
        <v>504</v>
      </c>
      <c r="Q60" s="62" t="s">
        <v>506</v>
      </c>
      <c r="R60" s="100">
        <f t="shared" si="31"/>
        <v>0.9</v>
      </c>
      <c r="S60" s="93">
        <f t="shared" si="13"/>
        <v>1</v>
      </c>
      <c r="T60" s="98">
        <f t="shared" si="14"/>
        <v>0.7</v>
      </c>
      <c r="U60" s="95">
        <f t="shared" si="15"/>
        <v>2</v>
      </c>
      <c r="V60" s="98">
        <f t="shared" si="16"/>
        <v>454.99999999999994</v>
      </c>
      <c r="W60" s="6">
        <f t="shared" si="17"/>
        <v>0.15</v>
      </c>
      <c r="X60" s="6">
        <v>0</v>
      </c>
      <c r="Y60" s="76" t="b">
        <v>1</v>
      </c>
      <c r="Z60" s="76">
        <f t="shared" si="32"/>
        <v>10</v>
      </c>
      <c r="AA60" s="71" t="str">
        <f t="shared" si="1"/>
        <v/>
      </c>
      <c r="AD60" s="71" t="str">
        <f t="shared" si="33"/>
        <v/>
      </c>
      <c r="AE60" s="71" t="str">
        <f t="shared" si="34"/>
        <v/>
      </c>
      <c r="AG60" s="43">
        <f>IF(N60,INDEX(Damage!$F$2:$F$151,A60)*R60*S60*V60/1000,"")</f>
        <v>21.289124999999999</v>
      </c>
      <c r="AH60" s="94">
        <f t="shared" si="18"/>
        <v>18.095756249999997</v>
      </c>
      <c r="AI60" s="94">
        <f t="shared" si="19"/>
        <v>24.48249375</v>
      </c>
      <c r="AJ60" s="79" t="s">
        <v>644</v>
      </c>
      <c r="AK60" s="6" t="b">
        <f t="array" ref="AK60">IF(AJ60,MAX(IF(Armor!$D$2:'Armor'!$D$7=D60,Armor!$E$2:$E$7),0))</f>
        <v>0</v>
      </c>
      <c r="AL60" s="6">
        <f t="shared" si="30"/>
        <v>0</v>
      </c>
      <c r="AM60" s="71">
        <f>(AL60+AK60)*INDEX(Armor!$B$2:$B$151,A60)+IF(AJ60,1,0)</f>
        <v>0</v>
      </c>
      <c r="AN60" s="71">
        <f>IF(C60="Caster",IF(ISERR(FIND("orb",LOWER(E60))),IF(ISERR(FIND("wand",LOWER(E60))),IF(NOT($D60="Polearm"),0,INDEX(Regeneration!$M$2:$M$151,A60+2)),INDEX(Regeneration!$L$2:$L$151,A60+2)),INDEX(Regeneration!$K$2:$K$151,A60+2)),0)</f>
        <v>0</v>
      </c>
      <c r="AO60" s="71" t="str">
        <f t="shared" si="35"/>
        <v/>
      </c>
      <c r="AP60" s="71" t="str">
        <f>IF(AND($N60,$C60="Caster"),IF(AND(NOT($D60="Polearm"),ISERR(FIND("wand",LOWER($E60)))),0,INDEX(Regeneration!F$2:F$151,A60)*0.06),"")</f>
        <v/>
      </c>
      <c r="AQ60" s="88">
        <f t="shared" si="21"/>
        <v>0</v>
      </c>
      <c r="AR60" s="88">
        <f t="shared" si="22"/>
        <v>0</v>
      </c>
      <c r="AS60" s="16" t="str">
        <f>IF(D60="Shield",INDEX(Regeneration!$C$2:$C$151,A60+3)*0.5*IF(ISERR(FIND("Rare",B60)),IF(ISERR(FIND("Uncommon",B60)),1,1.5),2.25),"")</f>
        <v/>
      </c>
      <c r="AT60" s="16" t="str">
        <f t="shared" si="36"/>
        <v/>
      </c>
      <c r="AU60" s="16" t="str">
        <f t="shared" si="37"/>
        <v/>
      </c>
      <c r="AV60" s="16" t="str">
        <f t="shared" si="38"/>
        <v/>
      </c>
      <c r="AW60" s="16" t="str">
        <f>IF(D60="Ring",INDEX(Regeneration!$B$6:$B$155,A60)*0.06,"")</f>
        <v/>
      </c>
      <c r="AX60" s="84" t="str">
        <f t="shared" si="43"/>
        <v/>
      </c>
      <c r="AZ60" s="16" t="str">
        <f t="shared" si="23"/>
        <v/>
      </c>
      <c r="BA60" s="6">
        <f t="shared" si="9"/>
        <v>0</v>
      </c>
      <c r="BB60" s="6">
        <f t="shared" si="25"/>
        <v>0</v>
      </c>
    </row>
    <row r="61" spans="1:54">
      <c r="A61" s="76">
        <v>15</v>
      </c>
      <c r="B61" s="30" t="s">
        <v>492</v>
      </c>
      <c r="C61" s="30" t="s">
        <v>10</v>
      </c>
      <c r="D61" s="30" t="s">
        <v>472</v>
      </c>
      <c r="E61" s="30" t="s">
        <v>575</v>
      </c>
      <c r="F61" s="30" t="s">
        <v>647</v>
      </c>
      <c r="G61" s="76">
        <f t="shared" si="42"/>
        <v>15</v>
      </c>
      <c r="H61" s="101">
        <v>150</v>
      </c>
      <c r="J61" s="76" t="s">
        <v>685</v>
      </c>
      <c r="K61" s="76" t="str">
        <f t="array" ref="K61">"A"&amp;IF(IF(ISBLANK(I61),OR(LEFT(LOWER(F61),1)={"a","e","I","o","u"}),OR(LEFT(LOWER(I61),1)={"a","e","I","o","u"})),"n "," ")&amp;I61&amp;IF(ISBLANK(I61),""," ")&amp;LOWER(F61)&amp;IF(LEFT(J61,1)="-",""," ")&amp;J61</f>
        <v>An earth weapon</v>
      </c>
      <c r="L61" s="76">
        <v>1</v>
      </c>
      <c r="M61" s="62">
        <v>24</v>
      </c>
      <c r="N61" s="62" t="s">
        <v>645</v>
      </c>
      <c r="O61" s="93" t="b">
        <f t="shared" si="11"/>
        <v>0</v>
      </c>
      <c r="P61" s="76" t="s">
        <v>504</v>
      </c>
      <c r="Q61" s="62" t="s">
        <v>643</v>
      </c>
      <c r="R61" s="100">
        <f t="shared" si="31"/>
        <v>1</v>
      </c>
      <c r="S61" s="93">
        <f t="shared" si="13"/>
        <v>1</v>
      </c>
      <c r="T61" s="98">
        <f t="shared" si="14"/>
        <v>1</v>
      </c>
      <c r="U61" s="95">
        <f t="shared" si="15"/>
        <v>2</v>
      </c>
      <c r="V61" s="98">
        <f t="shared" si="16"/>
        <v>650</v>
      </c>
      <c r="W61" s="6">
        <f t="shared" si="17"/>
        <v>0.18</v>
      </c>
      <c r="X61" s="6">
        <v>0</v>
      </c>
      <c r="Y61" s="76" t="b">
        <v>1</v>
      </c>
      <c r="Z61" s="76">
        <f t="shared" si="32"/>
        <v>15</v>
      </c>
      <c r="AA61" s="71">
        <f t="shared" si="1"/>
        <v>18</v>
      </c>
      <c r="AD61" s="71" t="str">
        <f t="shared" si="33"/>
        <v/>
      </c>
      <c r="AE61" s="71" t="str">
        <f t="shared" si="34"/>
        <v/>
      </c>
      <c r="AG61" s="43">
        <f>IF(N61,INDEX(Damage!$F$2:$F$151,A61)*R61*S61*V61/1000,"")</f>
        <v>49.544444444444444</v>
      </c>
      <c r="AH61" s="94">
        <f t="shared" si="18"/>
        <v>40.626444444444445</v>
      </c>
      <c r="AI61" s="94">
        <f t="shared" si="19"/>
        <v>58.462444444444444</v>
      </c>
      <c r="AJ61" s="79" t="s">
        <v>644</v>
      </c>
      <c r="AK61" s="6" t="b">
        <f t="array" ref="AK61">IF(AJ61,MAX(IF(Armor!$D$2:'Armor'!$D$7=D61,Armor!$E$2:$E$7),0))</f>
        <v>0</v>
      </c>
      <c r="AL61" s="6">
        <f t="shared" si="30"/>
        <v>0</v>
      </c>
      <c r="AM61" s="71">
        <f>(AL61+AK61)*INDEX(Armor!$B$2:$B$151,A61)+IF(AJ61,1,0)</f>
        <v>0</v>
      </c>
      <c r="AN61" s="71">
        <f>IF(C61="Caster",IF(ISERR(FIND("orb",LOWER(E61))),IF(ISERR(FIND("wand",LOWER(E61))),IF(NOT($D61="Polearm"),0,INDEX(Regeneration!$M$2:$M$151,A61+2)),INDEX(Regeneration!$L$2:$L$151,A61+2)),INDEX(Regeneration!$K$2:$K$151,A61+2)),0)</f>
        <v>0</v>
      </c>
      <c r="AO61" s="71" t="str">
        <f t="shared" si="35"/>
        <v/>
      </c>
      <c r="AP61" s="71" t="str">
        <f>IF(AND($N61,$C61="Caster"),IF(AND(NOT($D61="Polearm"),ISERR(FIND("wand",LOWER($E61)))),0,INDEX(Regeneration!F$2:F$151,A61)*0.06),"")</f>
        <v/>
      </c>
      <c r="AQ61" s="88">
        <f t="shared" si="21"/>
        <v>0.05</v>
      </c>
      <c r="AR61" s="88">
        <f t="shared" si="22"/>
        <v>0.05</v>
      </c>
      <c r="AS61" s="16" t="str">
        <f>IF(D61="Shield",INDEX(Regeneration!$C$2:$C$151,A61+3)*0.5*IF(ISERR(FIND("Rare",B61)),IF(ISERR(FIND("Uncommon",B61)),1,1.5),2.25),"")</f>
        <v/>
      </c>
      <c r="AT61" s="16" t="str">
        <f t="shared" si="36"/>
        <v/>
      </c>
      <c r="AU61" s="16" t="str">
        <f t="shared" si="37"/>
        <v/>
      </c>
      <c r="AV61" s="16" t="str">
        <f t="shared" si="38"/>
        <v/>
      </c>
      <c r="AW61" s="16" t="str">
        <f>IF(D61="Ring",INDEX(Regeneration!$B$6:$B$155,A61)*0.06,"")</f>
        <v/>
      </c>
      <c r="AX61" s="84" t="str">
        <f t="shared" si="43"/>
        <v/>
      </c>
      <c r="AZ61" s="16" t="str">
        <f t="shared" si="23"/>
        <v/>
      </c>
      <c r="BA61" s="6">
        <f t="shared" si="9"/>
        <v>0.05</v>
      </c>
      <c r="BB61" s="6">
        <f t="shared" si="25"/>
        <v>0.05</v>
      </c>
    </row>
    <row r="62" spans="1:54">
      <c r="A62" s="76">
        <v>15</v>
      </c>
      <c r="B62" s="30" t="s">
        <v>492</v>
      </c>
      <c r="C62" s="30" t="s">
        <v>10</v>
      </c>
      <c r="D62" s="30" t="s">
        <v>472</v>
      </c>
      <c r="E62" s="30" t="s">
        <v>574</v>
      </c>
      <c r="F62" s="30" t="s">
        <v>647</v>
      </c>
      <c r="G62" s="76">
        <f t="shared" si="42"/>
        <v>15</v>
      </c>
      <c r="H62" s="101">
        <v>150</v>
      </c>
      <c r="J62" s="76" t="s">
        <v>685</v>
      </c>
      <c r="K62" s="76" t="str">
        <f t="array" ref="K62">"A"&amp;IF(IF(ISBLANK(I62),OR(LEFT(LOWER(F62),1)={"a","e","I","o","u"}),OR(LEFT(LOWER(I62),1)={"a","e","I","o","u"})),"n "," ")&amp;I62&amp;IF(ISBLANK(I62),""," ")&amp;LOWER(F62)&amp;IF(LEFT(J62,1)="-",""," ")&amp;J62</f>
        <v>An earth weapon</v>
      </c>
      <c r="L62" s="76">
        <v>1</v>
      </c>
      <c r="M62" s="62">
        <v>24</v>
      </c>
      <c r="N62" s="62" t="s">
        <v>645</v>
      </c>
      <c r="O62" s="93" t="b">
        <f t="shared" si="11"/>
        <v>0</v>
      </c>
      <c r="P62" s="76" t="s">
        <v>504</v>
      </c>
      <c r="Q62" s="62" t="s">
        <v>506</v>
      </c>
      <c r="R62" s="100">
        <f t="shared" si="31"/>
        <v>0.9</v>
      </c>
      <c r="S62" s="93">
        <f t="shared" si="13"/>
        <v>1</v>
      </c>
      <c r="T62" s="98">
        <f t="shared" si="14"/>
        <v>0.7</v>
      </c>
      <c r="U62" s="95">
        <f t="shared" si="15"/>
        <v>2</v>
      </c>
      <c r="V62" s="98">
        <f t="shared" si="16"/>
        <v>454.99999999999994</v>
      </c>
      <c r="W62" s="6">
        <f t="shared" si="17"/>
        <v>0.15</v>
      </c>
      <c r="X62" s="6">
        <v>0</v>
      </c>
      <c r="Y62" s="76" t="b">
        <v>1</v>
      </c>
      <c r="Z62" s="76">
        <f t="shared" si="32"/>
        <v>15</v>
      </c>
      <c r="AA62" s="71">
        <f t="shared" si="1"/>
        <v>18</v>
      </c>
      <c r="AD62" s="71" t="str">
        <f t="shared" si="33"/>
        <v/>
      </c>
      <c r="AE62" s="71" t="str">
        <f t="shared" si="34"/>
        <v/>
      </c>
      <c r="AG62" s="43">
        <f>IF(N62,INDEX(Damage!$F$2:$F$151,A62)*R62*S62*V62/1000,"")</f>
        <v>31.213000000000001</v>
      </c>
      <c r="AH62" s="94">
        <f t="shared" si="18"/>
        <v>26.53105</v>
      </c>
      <c r="AI62" s="94">
        <f t="shared" si="19"/>
        <v>35.894950000000001</v>
      </c>
      <c r="AJ62" s="79" t="s">
        <v>644</v>
      </c>
      <c r="AK62" s="6" t="b">
        <f t="array" ref="AK62">IF(AJ62,MAX(IF(Armor!$D$2:'Armor'!$D$7=D62,Armor!$E$2:$E$7),0))</f>
        <v>0</v>
      </c>
      <c r="AL62" s="6">
        <f t="shared" si="30"/>
        <v>0</v>
      </c>
      <c r="AM62" s="71">
        <f>(AL62+AK62)*INDEX(Armor!$B$2:$B$151,A62)+IF(AJ62,1,0)</f>
        <v>0</v>
      </c>
      <c r="AN62" s="71">
        <f>IF(C62="Caster",IF(ISERR(FIND("orb",LOWER(E62))),IF(ISERR(FIND("wand",LOWER(E62))),IF(NOT($D62="Polearm"),0,INDEX(Regeneration!$M$2:$M$151,A62+2)),INDEX(Regeneration!$L$2:$L$151,A62+2)),INDEX(Regeneration!$K$2:$K$151,A62+2)),0)</f>
        <v>0</v>
      </c>
      <c r="AO62" s="71" t="str">
        <f t="shared" si="35"/>
        <v/>
      </c>
      <c r="AP62" s="71" t="str">
        <f>IF(AND($N62,$C62="Caster"),IF(AND(NOT($D62="Polearm"),ISERR(FIND("wand",LOWER($E62)))),0,INDEX(Regeneration!F$2:F$151,A62)*0.06),"")</f>
        <v/>
      </c>
      <c r="AQ62" s="88">
        <f t="shared" si="21"/>
        <v>0.05</v>
      </c>
      <c r="AR62" s="88">
        <f t="shared" si="22"/>
        <v>0.05</v>
      </c>
      <c r="AS62" s="16" t="str">
        <f>IF(D62="Shield",INDEX(Regeneration!$C$2:$C$151,A62+3)*0.5*IF(ISERR(FIND("Rare",B62)),IF(ISERR(FIND("Uncommon",B62)),1,1.5),2.25),"")</f>
        <v/>
      </c>
      <c r="AT62" s="16" t="str">
        <f t="shared" si="36"/>
        <v/>
      </c>
      <c r="AU62" s="16" t="str">
        <f t="shared" si="37"/>
        <v/>
      </c>
      <c r="AV62" s="16" t="str">
        <f t="shared" si="38"/>
        <v/>
      </c>
      <c r="AW62" s="16" t="str">
        <f>IF(D62="Ring",INDEX(Regeneration!$B$6:$B$155,A62)*0.06,"")</f>
        <v/>
      </c>
      <c r="AX62" s="84" t="str">
        <f t="shared" si="43"/>
        <v/>
      </c>
      <c r="AZ62" s="16" t="str">
        <f t="shared" si="23"/>
        <v/>
      </c>
      <c r="BA62" s="6">
        <f t="shared" si="9"/>
        <v>0.05</v>
      </c>
      <c r="BB62" s="6">
        <f t="shared" si="25"/>
        <v>0.05</v>
      </c>
    </row>
    <row r="63" spans="1:54">
      <c r="A63" s="76">
        <v>15</v>
      </c>
      <c r="B63" s="30" t="s">
        <v>495</v>
      </c>
      <c r="C63" s="30" t="s">
        <v>10</v>
      </c>
      <c r="D63" s="30" t="s">
        <v>477</v>
      </c>
      <c r="E63" s="30" t="s">
        <v>709</v>
      </c>
      <c r="G63" s="76">
        <f t="shared" si="42"/>
        <v>25</v>
      </c>
      <c r="H63" s="101">
        <v>150</v>
      </c>
      <c r="J63" s="76" t="str">
        <f>LOWER(D63)</f>
        <v>2-handed weapon</v>
      </c>
      <c r="K63" s="76" t="s">
        <v>712</v>
      </c>
      <c r="L63" s="76">
        <v>1</v>
      </c>
      <c r="M63" s="62">
        <v>1000</v>
      </c>
      <c r="N63" s="62" t="b">
        <v>1</v>
      </c>
      <c r="O63" s="93" t="b">
        <f t="shared" si="11"/>
        <v>0</v>
      </c>
      <c r="P63" s="76" t="s">
        <v>7</v>
      </c>
      <c r="Q63" s="62" t="s">
        <v>506</v>
      </c>
      <c r="R63" s="100">
        <f t="shared" si="31"/>
        <v>0.9</v>
      </c>
      <c r="S63" s="93">
        <f t="shared" si="13"/>
        <v>1</v>
      </c>
      <c r="T63" s="98">
        <f t="shared" si="14"/>
        <v>0.7</v>
      </c>
      <c r="U63" s="95">
        <f t="shared" si="15"/>
        <v>2.5</v>
      </c>
      <c r="V63" s="98">
        <f t="shared" si="16"/>
        <v>454.99999999999994</v>
      </c>
      <c r="W63" s="6">
        <f t="shared" si="17"/>
        <v>0.22</v>
      </c>
      <c r="X63" s="6">
        <v>0</v>
      </c>
      <c r="Y63" s="76" t="b">
        <v>1</v>
      </c>
      <c r="Z63" s="76">
        <f t="shared" si="32"/>
        <v>15</v>
      </c>
      <c r="AA63" s="71">
        <f t="shared" si="1"/>
        <v>18</v>
      </c>
      <c r="AD63" s="71" t="str">
        <f t="shared" si="33"/>
        <v/>
      </c>
      <c r="AE63" s="71" t="str">
        <f t="shared" si="34"/>
        <v/>
      </c>
      <c r="AF63" s="7">
        <v>0.1</v>
      </c>
      <c r="AG63" s="43">
        <f>IF(N63,INDEX(Damage!$F$2:$F$151,A63)*R63*S63*V63/1000,"")</f>
        <v>31.213000000000001</v>
      </c>
      <c r="AH63" s="94">
        <f t="shared" si="18"/>
        <v>26.780754000000005</v>
      </c>
      <c r="AI63" s="94">
        <f t="shared" si="19"/>
        <v>41.88784600000001</v>
      </c>
      <c r="AJ63" s="90" t="b">
        <v>0</v>
      </c>
      <c r="AK63" s="6" t="b">
        <f t="array" ref="AK63">IF(AJ63,MAX(IF(Armor!$D$2:'Armor'!$D$7=D63,Armor!$E$2:$E$7),0))</f>
        <v>0</v>
      </c>
      <c r="AL63" s="6">
        <f t="shared" si="30"/>
        <v>0.1</v>
      </c>
      <c r="AM63" s="71">
        <f>(AL63+AK63)*INDEX(Armor!$B$2:$B$151,A63)+IF(AJ63,1,0)</f>
        <v>13.4</v>
      </c>
      <c r="AN63" s="71">
        <f>IF(C63="Caster",IF(ISERR(FIND("orb",LOWER(E63))),IF(ISERR(FIND("wand",LOWER(E63))),IF(NOT($D63="Polearm"),0,INDEX(Regeneration!$M$2:$M$151,A63+2)),INDEX(Regeneration!$L$2:$L$151,A63+2)),INDEX(Regeneration!$K$2:$K$151,A63+2)),0)</f>
        <v>0</v>
      </c>
      <c r="AO63" s="71" t="str">
        <f t="shared" si="35"/>
        <v/>
      </c>
      <c r="AP63" s="71" t="str">
        <f>IF(AND($N63,$C63="Caster"),IF(AND(NOT($D63="Polearm"),ISERR(FIND("wand",LOWER($E63)))),0,INDEX(Regeneration!F$2:F$151,A63)*0.06),"")</f>
        <v/>
      </c>
      <c r="AQ63" s="88">
        <f t="shared" si="21"/>
        <v>0.15</v>
      </c>
      <c r="AR63" s="88">
        <f t="shared" si="22"/>
        <v>0.15</v>
      </c>
      <c r="AS63" s="16" t="str">
        <f>IF(D63="Shield",INDEX(Regeneration!$C$2:$C$151,A63+3)*0.5*IF(ISERR(FIND("Rare",B63)),IF(ISERR(FIND("Uncommon",B63)),1,1.5),2.25),"")</f>
        <v/>
      </c>
      <c r="AT63" s="16" t="str">
        <f t="shared" si="36"/>
        <v/>
      </c>
      <c r="AU63" s="16" t="str">
        <f t="shared" si="37"/>
        <v/>
      </c>
      <c r="AV63" s="16" t="str">
        <f t="shared" si="38"/>
        <v/>
      </c>
      <c r="AW63" s="16" t="str">
        <f>IF(D63="Ring",INDEX(Regeneration!$B$6:$B$155,A63)*0.06,"")</f>
        <v/>
      </c>
      <c r="AX63" s="84"/>
      <c r="AZ63" s="16" t="str">
        <f t="shared" si="23"/>
        <v/>
      </c>
      <c r="BA63" s="6">
        <f t="shared" si="9"/>
        <v>0.33749999999999997</v>
      </c>
      <c r="BB63" s="6">
        <f t="shared" si="25"/>
        <v>0.33749999999999997</v>
      </c>
    </row>
    <row r="64" spans="1:54">
      <c r="A64" s="76">
        <v>15</v>
      </c>
      <c r="B64" s="30" t="s">
        <v>492</v>
      </c>
      <c r="C64" s="30" t="s">
        <v>10</v>
      </c>
      <c r="D64" s="30" t="s">
        <v>477</v>
      </c>
      <c r="E64" s="30" t="s">
        <v>576</v>
      </c>
      <c r="F64" s="30" t="s">
        <v>647</v>
      </c>
      <c r="G64" s="76">
        <f t="shared" si="42"/>
        <v>15</v>
      </c>
      <c r="H64" s="101">
        <v>150</v>
      </c>
      <c r="I64" s="76" t="s">
        <v>691</v>
      </c>
      <c r="J64" s="76" t="s">
        <v>685</v>
      </c>
      <c r="K64" s="76" t="str">
        <f t="array" ref="K64">"A"&amp;IF(IF(ISBLANK(I64),OR(LEFT(LOWER(F64),1)={"a","e","I","o","u"}),OR(LEFT(LOWER(I64),1)={"a","e","I","o","u"})),"n "," ")&amp;I64&amp;IF(ISBLANK(I64),""," ")&amp;LOWER(F64)&amp;IF(LEFT(J64,1)="-",""," ")&amp;J64</f>
        <v>A two-handed earth weapon</v>
      </c>
      <c r="L64" s="76">
        <v>1</v>
      </c>
      <c r="M64" s="62">
        <v>144</v>
      </c>
      <c r="N64" s="62" t="s">
        <v>645</v>
      </c>
      <c r="O64" s="93" t="b">
        <f t="shared" si="11"/>
        <v>0</v>
      </c>
      <c r="P64" s="76" t="s">
        <v>7</v>
      </c>
      <c r="Q64" s="62" t="s">
        <v>505</v>
      </c>
      <c r="R64" s="100">
        <f t="shared" si="31"/>
        <v>1.1499999999999999</v>
      </c>
      <c r="S64" s="93">
        <f t="shared" si="13"/>
        <v>1</v>
      </c>
      <c r="T64" s="98">
        <f t="shared" si="14"/>
        <v>1.3</v>
      </c>
      <c r="U64" s="95">
        <f t="shared" si="15"/>
        <v>2.5</v>
      </c>
      <c r="V64" s="98">
        <f t="shared" si="16"/>
        <v>845</v>
      </c>
      <c r="W64" s="6">
        <f t="shared" si="17"/>
        <v>0.3</v>
      </c>
      <c r="X64" s="6">
        <v>0</v>
      </c>
      <c r="Y64" s="76" t="b">
        <v>1</v>
      </c>
      <c r="Z64" s="76">
        <f t="shared" si="32"/>
        <v>15</v>
      </c>
      <c r="AA64" s="71">
        <f t="shared" si="1"/>
        <v>18</v>
      </c>
      <c r="AD64" s="71" t="str">
        <f t="shared" si="33"/>
        <v/>
      </c>
      <c r="AE64" s="71" t="str">
        <f t="shared" si="34"/>
        <v/>
      </c>
      <c r="AG64" s="43">
        <f>IF(N64,INDEX(Damage!$F$2:$F$151,A64)*R64*S64*V64/1000,"")</f>
        <v>74.06894444444444</v>
      </c>
      <c r="AH64" s="94">
        <f t="shared" si="18"/>
        <v>51.848261111111114</v>
      </c>
      <c r="AI64" s="94">
        <f t="shared" si="19"/>
        <v>96.289627777777767</v>
      </c>
      <c r="AJ64" s="79" t="s">
        <v>644</v>
      </c>
      <c r="AK64" s="6" t="b">
        <f t="array" ref="AK64">IF(AJ64,MAX(IF(Armor!$D$2:'Armor'!$D$7=D64,Armor!$E$2:$E$7),0))</f>
        <v>0</v>
      </c>
      <c r="AL64" s="6">
        <f t="shared" si="30"/>
        <v>0</v>
      </c>
      <c r="AM64" s="71">
        <f>(AL64+AK64)*INDEX(Armor!$B$2:$B$151,A64)+IF(AJ64,1,0)</f>
        <v>0</v>
      </c>
      <c r="AN64" s="71">
        <f>IF(C64="Caster",IF(ISERR(FIND("orb",LOWER(E64))),IF(ISERR(FIND("wand",LOWER(E64))),IF(NOT($D64="Polearm"),0,INDEX(Regeneration!$M$2:$M$151,A64+2)),INDEX(Regeneration!$L$2:$L$151,A64+2)),INDEX(Regeneration!$K$2:$K$151,A64+2)),0)</f>
        <v>0</v>
      </c>
      <c r="AO64" s="71" t="str">
        <f t="shared" si="35"/>
        <v/>
      </c>
      <c r="AP64" s="71" t="str">
        <f>IF(AND($N64,$C64="Caster"),IF(AND(NOT($D64="Polearm"),ISERR(FIND("wand",LOWER($E64)))),0,INDEX(Regeneration!F$2:F$151,A64)*0.06),"")</f>
        <v/>
      </c>
      <c r="AQ64" s="88">
        <f t="shared" si="21"/>
        <v>0.15</v>
      </c>
      <c r="AR64" s="88">
        <f t="shared" si="22"/>
        <v>0.15</v>
      </c>
      <c r="AS64" s="16" t="str">
        <f>IF(D64="Shield",INDEX(Regeneration!$C$2:$C$151,A64+3)*0.5*IF(ISERR(FIND("Rare",B64)),IF(ISERR(FIND("Uncommon",B64)),1,1.5),2.25),"")</f>
        <v/>
      </c>
      <c r="AT64" s="16" t="str">
        <f t="shared" si="36"/>
        <v/>
      </c>
      <c r="AU64" s="16" t="str">
        <f t="shared" si="37"/>
        <v/>
      </c>
      <c r="AV64" s="16" t="str">
        <f t="shared" si="38"/>
        <v/>
      </c>
      <c r="AW64" s="16" t="str">
        <f>IF(D64="Ring",INDEX(Regeneration!$B$6:$B$155,A64)*0.06,"")</f>
        <v/>
      </c>
      <c r="AX64" s="84" t="str">
        <f>IF(AP64&lt;&gt;0,AP64,"")</f>
        <v/>
      </c>
      <c r="AZ64" s="16" t="str">
        <f t="shared" si="23"/>
        <v/>
      </c>
      <c r="BA64" s="6">
        <f t="shared" si="9"/>
        <v>0.15</v>
      </c>
      <c r="BB64" s="6">
        <f t="shared" si="25"/>
        <v>0.15</v>
      </c>
    </row>
    <row r="65" spans="1:54">
      <c r="A65" s="76">
        <v>15</v>
      </c>
      <c r="B65" s="30" t="s">
        <v>492</v>
      </c>
      <c r="C65" s="30" t="s">
        <v>496</v>
      </c>
      <c r="D65" s="30" t="s">
        <v>401</v>
      </c>
      <c r="E65" s="30" t="s">
        <v>570</v>
      </c>
      <c r="F65" s="30" t="s">
        <v>647</v>
      </c>
      <c r="G65" s="76">
        <f t="shared" si="42"/>
        <v>15</v>
      </c>
      <c r="H65" s="101">
        <v>150</v>
      </c>
      <c r="J65" s="89" t="s">
        <v>690</v>
      </c>
      <c r="K65" s="76" t="str">
        <f t="array" ref="K65">"A"&amp;IF(IF(ISBLANK(I65),OR(LEFT(LOWER(F65),1)={"a","e","I","o","u"}),OR(LEFT(LOWER(I65),1)={"a","e","I","o","u"})),"n "," ")&amp;I65&amp;IF(ISBLANK(I65),""," ")&amp;LOWER(F65)&amp;IF(LEFT(J65,1)="-",""," ")&amp;J65</f>
        <v>An earth molded armor</v>
      </c>
      <c r="L65" s="76">
        <v>1</v>
      </c>
      <c r="M65" s="62">
        <v>384</v>
      </c>
      <c r="N65" s="62" t="s">
        <v>644</v>
      </c>
      <c r="O65" s="93" t="b">
        <f t="shared" si="11"/>
        <v>0</v>
      </c>
      <c r="P65" s="76" t="s">
        <v>490</v>
      </c>
      <c r="Q65" s="62" t="s">
        <v>490</v>
      </c>
      <c r="R65" s="100" t="str">
        <f t="shared" si="31"/>
        <v/>
      </c>
      <c r="S65" s="93" t="str">
        <f t="shared" si="13"/>
        <v/>
      </c>
      <c r="T65" s="98" t="str">
        <f t="shared" si="14"/>
        <v/>
      </c>
      <c r="U65" s="95" t="str">
        <f t="shared" si="15"/>
        <v/>
      </c>
      <c r="V65" s="98" t="str">
        <f t="shared" si="16"/>
        <v/>
      </c>
      <c r="W65" s="6" t="str">
        <f t="shared" si="17"/>
        <v/>
      </c>
      <c r="X65" s="6">
        <v>0</v>
      </c>
      <c r="Y65" s="76" t="b">
        <v>1</v>
      </c>
      <c r="Z65" s="76">
        <f t="shared" si="32"/>
        <v>15</v>
      </c>
      <c r="AA65" s="71" t="str">
        <f t="shared" si="1"/>
        <v/>
      </c>
      <c r="AD65" s="71" t="str">
        <f t="shared" si="33"/>
        <v/>
      </c>
      <c r="AE65" s="71" t="str">
        <f t="shared" si="34"/>
        <v/>
      </c>
      <c r="AG65" s="43" t="str">
        <f>IF(N65,INDEX(Damage!$F$2:$F$151,A65)*R65*S65*V65/1000,"")</f>
        <v/>
      </c>
      <c r="AH65" s="94" t="str">
        <f t="shared" si="18"/>
        <v/>
      </c>
      <c r="AI65" s="94" t="str">
        <f t="shared" si="19"/>
        <v/>
      </c>
      <c r="AJ65" s="79" t="s">
        <v>645</v>
      </c>
      <c r="AK65" s="6">
        <f t="array" ref="AK65">IF(AJ65,MAX(IF(Armor!$D$2:'Armor'!$D$7=D65,Armor!$E$2:$E$7),0))</f>
        <v>0.45</v>
      </c>
      <c r="AL65" s="6">
        <f t="shared" si="30"/>
        <v>0</v>
      </c>
      <c r="AM65" s="71">
        <f>(AL65+AK65)*INDEX(Armor!$B$2:$B$151,A65)+IF(AJ65,1,0)</f>
        <v>61.300000000000004</v>
      </c>
      <c r="AN65" s="71">
        <f>IF(C65="Caster",IF(ISERR(FIND("orb",LOWER(E65))),IF(ISERR(FIND("wand",LOWER(E65))),IF(NOT($D65="Polearm"),0,INDEX(Regeneration!$M$2:$M$151,A65+2)),INDEX(Regeneration!$L$2:$L$151,A65+2)),INDEX(Regeneration!$K$2:$K$151,A65+2)),0)</f>
        <v>0</v>
      </c>
      <c r="AO65" s="71" t="str">
        <f t="shared" si="35"/>
        <v/>
      </c>
      <c r="AP65" s="71" t="str">
        <f>IF(AND($N65,$C65="Caster"),IF(AND(NOT($D65="Polearm"),ISERR(FIND("wand",LOWER($E65)))),0,INDEX(Regeneration!F$2:F$151,A65)*0.06),"")</f>
        <v/>
      </c>
      <c r="AQ65" s="88">
        <f t="shared" si="21"/>
        <v>0</v>
      </c>
      <c r="AR65" s="88">
        <f t="shared" si="22"/>
        <v>0</v>
      </c>
      <c r="AS65" s="16" t="str">
        <f>IF(D65="Shield",INDEX(Regeneration!$C$2:$C$151,A65+3)*0.5*IF(ISERR(FIND("Rare",B65)),IF(ISERR(FIND("Uncommon",B65)),1,1.5),2.25),"")</f>
        <v/>
      </c>
      <c r="AT65" s="16" t="str">
        <f t="shared" si="36"/>
        <v/>
      </c>
      <c r="AU65" s="16" t="str">
        <f t="shared" si="37"/>
        <v/>
      </c>
      <c r="AV65" s="16" t="str">
        <f t="shared" si="38"/>
        <v/>
      </c>
      <c r="AW65" s="16" t="str">
        <f>IF(D65="Ring",INDEX(Regeneration!$B$6:$B$155,A65)*0.06,"")</f>
        <v/>
      </c>
      <c r="AX65" s="84" t="str">
        <f>IF(AP65&lt;&gt;0,AP65,"")</f>
        <v/>
      </c>
      <c r="AZ65" s="16" t="str">
        <f t="shared" si="23"/>
        <v/>
      </c>
      <c r="BA65" s="6">
        <f t="shared" si="9"/>
        <v>0</v>
      </c>
      <c r="BB65" s="6">
        <f t="shared" si="25"/>
        <v>0</v>
      </c>
    </row>
    <row r="66" spans="1:54">
      <c r="A66" s="62">
        <v>15</v>
      </c>
      <c r="B66" s="30" t="s">
        <v>492</v>
      </c>
      <c r="C66" s="30" t="s">
        <v>496</v>
      </c>
      <c r="D66" s="30" t="s">
        <v>484</v>
      </c>
      <c r="E66" s="30" t="s">
        <v>580</v>
      </c>
      <c r="F66" s="30" t="s">
        <v>647</v>
      </c>
      <c r="G66" s="76">
        <f t="shared" si="42"/>
        <v>15</v>
      </c>
      <c r="H66" s="101">
        <v>150</v>
      </c>
      <c r="J66" s="76" t="str">
        <f>LOWER(D66)</f>
        <v>belt</v>
      </c>
      <c r="K66" s="76" t="str">
        <f t="array" ref="K66">"A"&amp;IF(IF(ISBLANK(I66),OR(LEFT(LOWER(F66),1)={"a","e","I","o","u"}),OR(LEFT(LOWER(I66),1)={"a","e","I","o","u"})),"n "," ")&amp;I66&amp;IF(ISBLANK(I66),""," ")&amp;LOWER(F66)&amp;IF(LEFT(J66,1)="-",""," ")&amp;J66</f>
        <v>An earth belt</v>
      </c>
      <c r="L66" s="76">
        <v>1</v>
      </c>
      <c r="M66" s="62">
        <v>24</v>
      </c>
      <c r="N66" s="62" t="s">
        <v>644</v>
      </c>
      <c r="O66" s="93" t="b">
        <f t="shared" si="11"/>
        <v>0</v>
      </c>
      <c r="P66" s="76" t="s">
        <v>490</v>
      </c>
      <c r="Q66" s="62" t="s">
        <v>490</v>
      </c>
      <c r="R66" s="100" t="str">
        <f t="shared" si="31"/>
        <v/>
      </c>
      <c r="S66" s="93" t="str">
        <f t="shared" si="13"/>
        <v/>
      </c>
      <c r="T66" s="98" t="str">
        <f t="shared" si="14"/>
        <v/>
      </c>
      <c r="U66" s="95" t="str">
        <f t="shared" si="15"/>
        <v/>
      </c>
      <c r="V66" s="98" t="str">
        <f t="shared" si="16"/>
        <v/>
      </c>
      <c r="W66" s="6" t="str">
        <f t="shared" si="17"/>
        <v/>
      </c>
      <c r="X66" s="6">
        <v>0</v>
      </c>
      <c r="Y66" s="76" t="b">
        <v>1</v>
      </c>
      <c r="Z66" s="76">
        <f t="shared" ref="Z66:Z97" si="44">IF(ISERR(FIND("Consumable",B66)),IF(A66&gt;1,A66,0),0)</f>
        <v>15</v>
      </c>
      <c r="AA66" s="71" t="str">
        <f t="shared" ref="AA66:AA129" si="45">IF(AND($A66&gt;7,C66="Warrior"),IF($A66&lt;10,16,IF($A66&lt;20,18,IF($A66&lt;40,22,28))),"")</f>
        <v/>
      </c>
      <c r="AD66" s="71" t="str">
        <f t="shared" ref="AD66:AD97" si="46">IF(AND($AN66&gt;0,MOD($A66/5,2)=1),IF($A66&lt;10,16,IF($A66&lt;20,18,IF($A66&lt;40,22,28))),"")</f>
        <v/>
      </c>
      <c r="AE66" s="71" t="str">
        <f t="shared" ref="AE66:AE97" si="47">IF(AND($AN66&gt;0,MOD($A66/5,2)=0),IF($A66&lt;10,16,IF($A66&lt;20,18,IF($A66&lt;40,22,28))),"")</f>
        <v/>
      </c>
      <c r="AF66" s="89"/>
      <c r="AG66" s="43" t="str">
        <f>IF(N66,INDEX(Damage!$F$2:$F$151,A66)*R66*S66*V66/1000,"")</f>
        <v/>
      </c>
      <c r="AH66" s="94" t="str">
        <f t="shared" si="18"/>
        <v/>
      </c>
      <c r="AI66" s="94" t="str">
        <f t="shared" si="19"/>
        <v/>
      </c>
      <c r="AJ66" s="79" t="s">
        <v>645</v>
      </c>
      <c r="AK66" s="6">
        <f t="array" ref="AK66">IF(AJ66,MAX(IF(Armor!$D$2:'Armor'!$D$7=D66,Armor!$E$2:$E$7),0))</f>
        <v>0.06</v>
      </c>
      <c r="AL66" s="6">
        <f t="shared" si="30"/>
        <v>0</v>
      </c>
      <c r="AM66" s="71">
        <f>(AL66+AK66)*INDEX(Armor!$B$2:$B$151,A66)+IF(AJ66,1,0)</f>
        <v>9.0399999999999991</v>
      </c>
      <c r="AN66" s="71">
        <f>IF(C66="Caster",IF(ISERR(FIND("orb",LOWER(E66))),IF(ISERR(FIND("wand",LOWER(E66))),IF(NOT($D66="Polearm"),0,INDEX(Regeneration!$M$2:$M$151,A66+2)),INDEX(Regeneration!$L$2:$L$151,A66+2)),INDEX(Regeneration!$K$2:$K$151,A66+2)),0)</f>
        <v>0</v>
      </c>
      <c r="AO66" s="71" t="str">
        <f t="shared" ref="AO66:AO97" si="48">IF(AND($N66,$C66="Caster"),IF(AND(NOT($D66="Polearm"),ISERR(FIND("orb",LOWER($E66)))),0,5),"")</f>
        <v/>
      </c>
      <c r="AP66" s="71" t="str">
        <f>IF(AND($N66,$C66="Caster"),IF(AND(NOT($D66="Polearm"),ISERR(FIND("wand",LOWER($E66)))),0,INDEX(Regeneration!F$2:F$151,A66)*0.06),"")</f>
        <v/>
      </c>
      <c r="AQ66" s="88">
        <f t="shared" si="21"/>
        <v>0</v>
      </c>
      <c r="AR66" s="88">
        <f t="shared" si="22"/>
        <v>0</v>
      </c>
      <c r="AS66" s="16" t="str">
        <f>IF(D66="Shield",INDEX(Regeneration!$C$2:$C$151,A66+3)*0.5*IF(ISERR(FIND("Rare",B66)),IF(ISERR(FIND("Uncommon",B66)),1,1.5),2.25),"")</f>
        <v/>
      </c>
      <c r="AT66" s="16" t="str">
        <f t="shared" ref="AT66:AT97" si="49">IF(AN66&lt;&gt;0,AN66+1,"")</f>
        <v/>
      </c>
      <c r="AU66" s="16" t="str">
        <f t="shared" ref="AU66:AU97" si="50">IF(AO66&lt;&gt;0,AO66,"")</f>
        <v/>
      </c>
      <c r="AV66" s="16" t="str">
        <f t="shared" ref="AV66:AV97" si="51">IF(D66="Ring",5,"")</f>
        <v/>
      </c>
      <c r="AW66" s="16" t="str">
        <f>IF(D66="Ring",INDEX(Regeneration!$B$6:$B$155,A66)*0.06,"")</f>
        <v/>
      </c>
      <c r="AX66" s="84" t="str">
        <f>IF(AP66&lt;&gt;0,AP66,"")</f>
        <v/>
      </c>
      <c r="AZ66" s="16" t="str">
        <f t="shared" si="23"/>
        <v/>
      </c>
      <c r="BA66" s="6">
        <f t="shared" ref="BA66:BA129" si="52">IF(AQ66&lt;&gt;"",AQ66*IF(ISERR(FIND("Rare",B66)),IF(ISERR(FIND("Uncommon",B66)),1,1.5),2.25),"")</f>
        <v>0</v>
      </c>
      <c r="BB66" s="6">
        <f t="shared" si="25"/>
        <v>0</v>
      </c>
    </row>
    <row r="67" spans="1:54">
      <c r="A67" s="76">
        <v>15</v>
      </c>
      <c r="B67" s="30" t="s">
        <v>492</v>
      </c>
      <c r="C67" s="30" t="s">
        <v>496</v>
      </c>
      <c r="D67" s="30" t="s">
        <v>487</v>
      </c>
      <c r="E67" s="30" t="s">
        <v>571</v>
      </c>
      <c r="F67" s="30" t="s">
        <v>647</v>
      </c>
      <c r="G67" s="76">
        <f t="shared" si="42"/>
        <v>15</v>
      </c>
      <c r="H67" s="101">
        <v>150</v>
      </c>
      <c r="J67" s="80" t="s">
        <v>688</v>
      </c>
      <c r="K67" s="76" t="str">
        <f t="array" ref="K67">"A"&amp;IF(IF(ISBLANK(I67),OR(LEFT(LOWER(F67),1)={"a","e","I","o","u"}),OR(LEFT(LOWER(I67),1)={"a","e","I","o","u"})),"n "," ")&amp;I67&amp;IF(ISBLANK(I67),""," ")&amp;LOWER(F67)&amp;IF(LEFT(J67,1)="-",""," ")&amp;J67</f>
        <v>An earth-enchanted pair of boots</v>
      </c>
      <c r="L67" s="76">
        <v>1</v>
      </c>
      <c r="M67" s="62">
        <v>69</v>
      </c>
      <c r="N67" s="62" t="s">
        <v>644</v>
      </c>
      <c r="O67" s="93" t="b">
        <f t="shared" ref="O67:O130" si="53">AND(N67,NOT(AND(ISERR(FIND("bow",LOWER(D67))),ISERR(FIND("thrown",LOWER(D67))))))</f>
        <v>0</v>
      </c>
      <c r="P67" s="76" t="s">
        <v>490</v>
      </c>
      <c r="Q67" s="62" t="s">
        <v>490</v>
      </c>
      <c r="R67" s="100" t="str">
        <f t="shared" si="31"/>
        <v/>
      </c>
      <c r="S67" s="93" t="str">
        <f t="shared" ref="S67:S130" si="54">IF(N67,IF(C67="Caster",0.4,1),"")</f>
        <v/>
      </c>
      <c r="T67" s="98" t="str">
        <f t="shared" ref="T67:T130" si="55">IF(Q67="slow",1.3,IF(Q67="average",1,IF(Q67="fast",0.7,"")))</f>
        <v/>
      </c>
      <c r="U67" s="95" t="str">
        <f t="shared" ref="U67:U130" si="56">IF(NOT(O67),IF(N67,IF(P67="large",2.5,IF(P67="normal",2,IF(P67="small",1.5))),""),8)</f>
        <v/>
      </c>
      <c r="V67" s="98" t="str">
        <f t="shared" ref="V67:V130" si="57">IF(N67,650*T67,"")</f>
        <v/>
      </c>
      <c r="W67" s="6" t="str">
        <f t="shared" ref="W67:W130" si="58">IF(N67,CHOOSE(1+3*IF(P67="large",0,IF(P67="normal",1,IF(P67="small",2)))+IF(Q67="slow",0,IF(Q67="average",1,IF(Q67="fast",2))),30%,25%,22%,20%,18%,15%,12%,10%,7%),"")</f>
        <v/>
      </c>
      <c r="X67" s="6">
        <v>0</v>
      </c>
      <c r="Y67" s="76" t="b">
        <v>1</v>
      </c>
      <c r="Z67" s="76">
        <f t="shared" si="44"/>
        <v>15</v>
      </c>
      <c r="AA67" s="71" t="str">
        <f t="shared" si="45"/>
        <v/>
      </c>
      <c r="AD67" s="71" t="str">
        <f t="shared" si="46"/>
        <v/>
      </c>
      <c r="AE67" s="71" t="str">
        <f t="shared" si="47"/>
        <v/>
      </c>
      <c r="AG67" s="43" t="str">
        <f>IF(N67,INDEX(Damage!$F$2:$F$151,A67)*R67*S67*V67/1000,"")</f>
        <v/>
      </c>
      <c r="AH67" s="94" t="str">
        <f t="shared" ref="AH67:AH130" si="59">IF(N67,MAX(1,MIN(AI67-1,(AG67-(AG67*W67))*(1+AF67))),"")</f>
        <v/>
      </c>
      <c r="AI67" s="94" t="str">
        <f t="shared" ref="AI67:AI130" si="60">IF(N67,(AG67+(AG67*W67))*(1+AF67),"")</f>
        <v/>
      </c>
      <c r="AJ67" s="79" t="s">
        <v>645</v>
      </c>
      <c r="AK67" s="6">
        <f t="array" ref="AK67">IF(AJ67,MAX(IF(Armor!$D$2:'Armor'!$D$7=D67,Armor!$E$2:$E$7),0))</f>
        <v>0.1</v>
      </c>
      <c r="AL67" s="6">
        <f t="shared" si="30"/>
        <v>0</v>
      </c>
      <c r="AM67" s="71">
        <f>(AL67+AK67)*INDEX(Armor!$B$2:$B$151,A67)+IF(AJ67,1,0)</f>
        <v>14.4</v>
      </c>
      <c r="AN67" s="71">
        <f>IF(C67="Caster",IF(ISERR(FIND("orb",LOWER(E67))),IF(ISERR(FIND("wand",LOWER(E67))),IF(NOT($D67="Polearm"),0,INDEX(Regeneration!$M$2:$M$151,A67+2)),INDEX(Regeneration!$L$2:$L$151,A67+2)),INDEX(Regeneration!$K$2:$K$151,A67+2)),0)</f>
        <v>0</v>
      </c>
      <c r="AO67" s="71" t="str">
        <f t="shared" si="48"/>
        <v/>
      </c>
      <c r="AP67" s="71" t="str">
        <f>IF(AND($N67,$C67="Caster"),IF(AND(NOT($D67="Polearm"),ISERR(FIND("wand",LOWER($E67)))),0,INDEX(Regeneration!F$2:F$151,A67)*0.06),"")</f>
        <v/>
      </c>
      <c r="AQ67" s="88">
        <f t="shared" ref="AQ67:AQ130" si="61">IF(OR(D67="2-Handed Weapon",D67="Bow",D67="Crossbow",D67="Spear",AND(D67="Polearm",NOT(C67="Caster"))),15%,IF(C67="Warrior",5%,0%))</f>
        <v>0</v>
      </c>
      <c r="AR67" s="88">
        <f t="shared" ref="AR67:AR130" si="62">IF(OR(D67="2-Handed Weapon",D67="Bow",D67="Crossbow",D67="Spear",AND(D67="Polearm",NOT(C67="Caster"))),15%,IF(C67="Warrior",5%,0%))</f>
        <v>0</v>
      </c>
      <c r="AS67" s="16" t="str">
        <f>IF(D67="Shield",INDEX(Regeneration!$C$2:$C$151,A67+3)*0.5*IF(ISERR(FIND("Rare",B67)),IF(ISERR(FIND("Uncommon",B67)),1,1.5),2.25),"")</f>
        <v/>
      </c>
      <c r="AT67" s="16" t="str">
        <f t="shared" si="49"/>
        <v/>
      </c>
      <c r="AU67" s="16" t="str">
        <f t="shared" si="50"/>
        <v/>
      </c>
      <c r="AV67" s="16" t="str">
        <f t="shared" si="51"/>
        <v/>
      </c>
      <c r="AW67" s="16" t="str">
        <f>IF(D67="Ring",INDEX(Regeneration!$B$6:$B$155,A67)*0.06,"")</f>
        <v/>
      </c>
      <c r="AX67" s="84" t="str">
        <f>IF(AP67&lt;&gt;0,AP67,"")</f>
        <v/>
      </c>
      <c r="AZ67" s="16" t="str">
        <f t="shared" ref="AZ67:AZ130" si="63">IF(AND(NOT("Gloves"=$D67),ISERR(FIND("staff",LOWER(E67)))),"",15*(A67+10)/(A67+50))</f>
        <v/>
      </c>
      <c r="BA67" s="6">
        <f t="shared" si="52"/>
        <v>0</v>
      </c>
      <c r="BB67" s="6">
        <f t="shared" si="25"/>
        <v>0</v>
      </c>
    </row>
    <row r="68" spans="1:54">
      <c r="A68" s="76">
        <v>15</v>
      </c>
      <c r="B68" s="30" t="s">
        <v>492</v>
      </c>
      <c r="C68" s="30" t="s">
        <v>10</v>
      </c>
      <c r="D68" s="30" t="s">
        <v>479</v>
      </c>
      <c r="E68" s="30" t="s">
        <v>578</v>
      </c>
      <c r="F68" s="30" t="s">
        <v>647</v>
      </c>
      <c r="G68" s="76">
        <f t="shared" si="42"/>
        <v>15</v>
      </c>
      <c r="H68" s="101">
        <v>150</v>
      </c>
      <c r="J68" s="76" t="str">
        <f t="shared" ref="J68:J75" si="64">LOWER(D68)</f>
        <v>bow</v>
      </c>
      <c r="K68" s="76" t="str">
        <f t="array" ref="K68">"A"&amp;IF(IF(ISBLANK(I68),OR(LEFT(LOWER(F68),1)={"a","e","I","o","u"}),OR(LEFT(LOWER(I68),1)={"a","e","I","o","u"})),"n "," ")&amp;I68&amp;IF(ISBLANK(I68),""," ")&amp;LOWER(F68)&amp;IF(LEFT(J68,1)="-",""," ")&amp;J68</f>
        <v>An earth bow</v>
      </c>
      <c r="L68" s="76">
        <v>1</v>
      </c>
      <c r="M68" s="62">
        <v>24</v>
      </c>
      <c r="N68" s="62" t="s">
        <v>645</v>
      </c>
      <c r="O68" s="93" t="b">
        <f t="shared" si="53"/>
        <v>1</v>
      </c>
      <c r="P68" s="76" t="s">
        <v>504</v>
      </c>
      <c r="Q68" s="62" t="s">
        <v>643</v>
      </c>
      <c r="R68" s="100">
        <f t="shared" si="31"/>
        <v>0.9</v>
      </c>
      <c r="S68" s="93">
        <f t="shared" si="54"/>
        <v>1</v>
      </c>
      <c r="T68" s="98">
        <f t="shared" si="55"/>
        <v>1</v>
      </c>
      <c r="U68" s="95">
        <f t="shared" si="56"/>
        <v>8</v>
      </c>
      <c r="V68" s="98">
        <f t="shared" si="57"/>
        <v>650</v>
      </c>
      <c r="W68" s="6">
        <f t="shared" si="58"/>
        <v>0.18</v>
      </c>
      <c r="X68" s="6">
        <v>0</v>
      </c>
      <c r="Y68" s="76" t="b">
        <v>1</v>
      </c>
      <c r="Z68" s="76">
        <f t="shared" si="44"/>
        <v>15</v>
      </c>
      <c r="AA68" s="71">
        <f t="shared" si="45"/>
        <v>18</v>
      </c>
      <c r="AD68" s="71" t="str">
        <f t="shared" si="46"/>
        <v/>
      </c>
      <c r="AE68" s="71" t="str">
        <f t="shared" si="47"/>
        <v/>
      </c>
      <c r="AG68" s="43">
        <f>IF(N68,INDEX(Damage!$F$2:$F$151,A68)*R68*S68*V68/1000,"")</f>
        <v>44.590000000000011</v>
      </c>
      <c r="AH68" s="94">
        <f t="shared" si="59"/>
        <v>36.563800000000008</v>
      </c>
      <c r="AI68" s="94">
        <f t="shared" si="60"/>
        <v>52.616200000000013</v>
      </c>
      <c r="AJ68" s="79" t="s">
        <v>644</v>
      </c>
      <c r="AK68" s="6" t="b">
        <f t="array" ref="AK68">IF(AJ68,MAX(IF(Armor!$D$2:'Armor'!$D$7=D68,Armor!$E$2:$E$7),0))</f>
        <v>0</v>
      </c>
      <c r="AL68" s="6">
        <f t="shared" si="30"/>
        <v>0</v>
      </c>
      <c r="AM68" s="71">
        <f>(AL68+AK68)*INDEX(Armor!$B$2:$B$151,A68)+IF(AJ68,1,0)</f>
        <v>0</v>
      </c>
      <c r="AN68" s="71">
        <f>IF(C68="Caster",IF(ISERR(FIND("orb",LOWER(E68))),IF(ISERR(FIND("wand",LOWER(E68))),IF(NOT($D68="Polearm"),0,INDEX(Regeneration!$M$2:$M$151,A68+2)),INDEX(Regeneration!$L$2:$L$151,A68+2)),INDEX(Regeneration!$K$2:$K$151,A68+2)),0)</f>
        <v>0</v>
      </c>
      <c r="AO68" s="71" t="str">
        <f t="shared" si="48"/>
        <v/>
      </c>
      <c r="AP68" s="71" t="str">
        <f>IF(AND($N68,$C68="Caster"),IF(AND(NOT($D68="Polearm"),ISERR(FIND("wand",LOWER($E68)))),0,INDEX(Regeneration!F$2:F$151,A68)*0.06),"")</f>
        <v/>
      </c>
      <c r="AQ68" s="88">
        <f t="shared" si="61"/>
        <v>0.15</v>
      </c>
      <c r="AR68" s="88">
        <f t="shared" si="62"/>
        <v>0.15</v>
      </c>
      <c r="AS68" s="16" t="str">
        <f>IF(D68="Shield",INDEX(Regeneration!$C$2:$C$151,A68+3)*0.5*IF(ISERR(FIND("Rare",B68)),IF(ISERR(FIND("Uncommon",B68)),1,1.5),2.25),"")</f>
        <v/>
      </c>
      <c r="AT68" s="16" t="str">
        <f t="shared" si="49"/>
        <v/>
      </c>
      <c r="AU68" s="16" t="str">
        <f t="shared" si="50"/>
        <v/>
      </c>
      <c r="AV68" s="16" t="str">
        <f t="shared" si="51"/>
        <v/>
      </c>
      <c r="AW68" s="16" t="str">
        <f>IF(D68="Ring",INDEX(Regeneration!$B$6:$B$155,A68)*0.06,"")</f>
        <v/>
      </c>
      <c r="AX68" s="84" t="str">
        <f>IF(AP68&lt;&gt;0,AP68,"")</f>
        <v/>
      </c>
      <c r="AZ68" s="16" t="str">
        <f t="shared" si="63"/>
        <v/>
      </c>
      <c r="BA68" s="6">
        <f t="shared" si="52"/>
        <v>0.15</v>
      </c>
      <c r="BB68" s="6">
        <f t="shared" si="25"/>
        <v>0.15</v>
      </c>
    </row>
    <row r="69" spans="1:54">
      <c r="A69" s="76">
        <v>15</v>
      </c>
      <c r="B69" s="30" t="s">
        <v>492</v>
      </c>
      <c r="C69" s="30" t="s">
        <v>10</v>
      </c>
      <c r="D69" s="30" t="s">
        <v>450</v>
      </c>
      <c r="E69" s="30" t="s">
        <v>784</v>
      </c>
      <c r="F69" s="30" t="s">
        <v>647</v>
      </c>
      <c r="G69" s="76">
        <f t="shared" si="42"/>
        <v>15</v>
      </c>
      <c r="H69" s="101">
        <v>150</v>
      </c>
      <c r="J69" s="76" t="str">
        <f t="shared" si="64"/>
        <v>crossbow</v>
      </c>
      <c r="K69" s="76" t="str">
        <f t="array" ref="K69">"A"&amp;IF(IF(ISBLANK(I69),OR(LEFT(LOWER(F69),1)={"a","e","I","o","u"}),OR(LEFT(LOWER(I69),1)={"a","e","I","o","u"})),"n "," ")&amp;I69&amp;IF(ISBLANK(I69),""," ")&amp;LOWER(F69)&amp;IF(LEFT(J69,1)="-",""," ")&amp;J69</f>
        <v>An earth crossbow</v>
      </c>
      <c r="L69" s="76">
        <v>1</v>
      </c>
      <c r="M69" s="62">
        <v>40</v>
      </c>
      <c r="N69" s="62" t="b">
        <v>1</v>
      </c>
      <c r="O69" s="93" t="b">
        <f t="shared" si="53"/>
        <v>1</v>
      </c>
      <c r="P69" s="76"/>
      <c r="Q69" s="62" t="s">
        <v>505</v>
      </c>
      <c r="R69" s="100">
        <f t="shared" si="31"/>
        <v>1.0349999999999999</v>
      </c>
      <c r="S69" s="93">
        <f t="shared" si="54"/>
        <v>1</v>
      </c>
      <c r="T69" s="98">
        <f t="shared" si="55"/>
        <v>1.3</v>
      </c>
      <c r="U69" s="95">
        <f t="shared" si="56"/>
        <v>8</v>
      </c>
      <c r="V69" s="98">
        <f t="shared" si="57"/>
        <v>845</v>
      </c>
      <c r="W69" s="6">
        <f t="shared" si="58"/>
        <v>0.3</v>
      </c>
      <c r="X69" s="6">
        <v>0</v>
      </c>
      <c r="Y69" s="76" t="b">
        <v>1</v>
      </c>
      <c r="Z69" s="76">
        <f t="shared" si="44"/>
        <v>15</v>
      </c>
      <c r="AA69" s="71">
        <f t="shared" si="45"/>
        <v>18</v>
      </c>
      <c r="AD69" s="71" t="str">
        <f t="shared" si="46"/>
        <v/>
      </c>
      <c r="AE69" s="71" t="str">
        <f t="shared" si="47"/>
        <v/>
      </c>
      <c r="AG69" s="43">
        <f>IF(N69,INDEX(Damage!$F$2:$F$151,A69)*R69*S69*V69/1000,"")</f>
        <v>66.662050000000008</v>
      </c>
      <c r="AH69" s="94">
        <f t="shared" si="59"/>
        <v>46.663435000000007</v>
      </c>
      <c r="AI69" s="94">
        <f t="shared" si="60"/>
        <v>86.660665000000009</v>
      </c>
      <c r="AJ69" s="90" t="b">
        <v>0</v>
      </c>
      <c r="AK69" s="6" t="b">
        <f t="array" ref="AK69">IF(AJ69,MAX(IF(Armor!$D$2:'Armor'!$D$7=D69,Armor!$E$2:$E$7),0))</f>
        <v>0</v>
      </c>
      <c r="AL69" s="6">
        <f t="shared" si="30"/>
        <v>0</v>
      </c>
      <c r="AM69" s="71">
        <f>(AL69+AK69)*INDEX(Armor!$B$2:$B$151,A69)+IF(AJ69,1,0)</f>
        <v>0</v>
      </c>
      <c r="AN69" s="71">
        <f>IF(C69="Caster",IF(ISERR(FIND("orb",LOWER(E69))),IF(ISERR(FIND("wand",LOWER(E69))),IF(NOT($D69="Polearm"),0,INDEX(Regeneration!$M$2:$M$151,A69+2)),INDEX(Regeneration!$L$2:$L$151,A69+2)),INDEX(Regeneration!$K$2:$K$151,A69+2)),0)</f>
        <v>0</v>
      </c>
      <c r="AO69" s="71" t="str">
        <f t="shared" si="48"/>
        <v/>
      </c>
      <c r="AP69" s="71" t="str">
        <f>IF(AND($N69,$C69="Caster"),IF(AND(NOT($D69="Polearm"),ISERR(FIND("wand",LOWER($E69)))),0,INDEX(Regeneration!F$2:F$151,A69)*0.06),"")</f>
        <v/>
      </c>
      <c r="AQ69" s="88">
        <f t="shared" si="61"/>
        <v>0.15</v>
      </c>
      <c r="AR69" s="88">
        <f t="shared" si="62"/>
        <v>0.15</v>
      </c>
      <c r="AS69" s="16" t="str">
        <f>IF(D69="Shield",INDEX(Regeneration!$C$2:$C$151,A69+3)*0.5*IF(ISERR(FIND("Rare",B69)),IF(ISERR(FIND("Uncommon",B69)),1,1.5),2.25),"")</f>
        <v/>
      </c>
      <c r="AT69" s="16" t="str">
        <f t="shared" si="49"/>
        <v/>
      </c>
      <c r="AU69" s="16" t="str">
        <f t="shared" si="50"/>
        <v/>
      </c>
      <c r="AV69" s="16" t="str">
        <f t="shared" si="51"/>
        <v/>
      </c>
      <c r="AW69" s="16" t="str">
        <f>IF(D69="Ring",INDEX(Regeneration!$B$6:$B$155,A69)*0.06,"")</f>
        <v/>
      </c>
      <c r="AX69" s="84"/>
      <c r="AZ69" s="16" t="str">
        <f t="shared" si="63"/>
        <v/>
      </c>
      <c r="BA69" s="6">
        <f t="shared" si="52"/>
        <v>0.15</v>
      </c>
      <c r="BB69" s="6">
        <f t="shared" si="25"/>
        <v>0.15</v>
      </c>
    </row>
    <row r="70" spans="1:54">
      <c r="A70" s="76">
        <v>15</v>
      </c>
      <c r="B70" s="30" t="s">
        <v>492</v>
      </c>
      <c r="C70" s="30" t="s">
        <v>496</v>
      </c>
      <c r="D70" s="30" t="s">
        <v>488</v>
      </c>
      <c r="E70" s="30" t="s">
        <v>581</v>
      </c>
      <c r="F70" s="30" t="s">
        <v>647</v>
      </c>
      <c r="G70" s="76">
        <f t="shared" si="42"/>
        <v>15</v>
      </c>
      <c r="H70" s="101">
        <v>150</v>
      </c>
      <c r="J70" s="89" t="str">
        <f t="shared" si="64"/>
        <v>gloves</v>
      </c>
      <c r="K70" s="76" t="str">
        <f t="array" ref="K70">"A"&amp;IF(IF(ISBLANK(I70),OR(LEFT(LOWER(F70),1)={"a","e","I","o","u"}),OR(LEFT(LOWER(I70),1)={"a","e","I","o","u"})),"n "," ")&amp;I70&amp;IF(ISBLANK(I70),""," ")&amp;LOWER(F70)&amp;IF(LEFT(J70,1)="-",""," ")&amp;J70</f>
        <v>An earth gloves</v>
      </c>
      <c r="L70" s="76">
        <v>1</v>
      </c>
      <c r="M70" s="62">
        <v>24</v>
      </c>
      <c r="N70" s="62" t="s">
        <v>644</v>
      </c>
      <c r="O70" s="93" t="b">
        <f t="shared" si="53"/>
        <v>0</v>
      </c>
      <c r="P70" s="76" t="s">
        <v>490</v>
      </c>
      <c r="Q70" s="62" t="s">
        <v>490</v>
      </c>
      <c r="R70" s="100" t="str">
        <f t="shared" si="31"/>
        <v/>
      </c>
      <c r="S70" s="93" t="str">
        <f t="shared" si="54"/>
        <v/>
      </c>
      <c r="T70" s="98" t="str">
        <f t="shared" si="55"/>
        <v/>
      </c>
      <c r="U70" s="95" t="str">
        <f t="shared" si="56"/>
        <v/>
      </c>
      <c r="V70" s="98" t="str">
        <f t="shared" si="57"/>
        <v/>
      </c>
      <c r="W70" s="6" t="str">
        <f t="shared" si="58"/>
        <v/>
      </c>
      <c r="X70" s="6">
        <v>0</v>
      </c>
      <c r="Y70" s="76" t="b">
        <v>1</v>
      </c>
      <c r="Z70" s="76">
        <f t="shared" si="44"/>
        <v>15</v>
      </c>
      <c r="AA70" s="71" t="str">
        <f t="shared" si="45"/>
        <v/>
      </c>
      <c r="AD70" s="71" t="str">
        <f t="shared" si="46"/>
        <v/>
      </c>
      <c r="AE70" s="71" t="str">
        <f t="shared" si="47"/>
        <v/>
      </c>
      <c r="AG70" s="43" t="str">
        <f>IF(N70,INDEX(Damage!$F$2:$F$151,A70)*R70*S70*V70/1000,"")</f>
        <v/>
      </c>
      <c r="AH70" s="94" t="str">
        <f t="shared" si="59"/>
        <v/>
      </c>
      <c r="AI70" s="94" t="str">
        <f t="shared" si="60"/>
        <v/>
      </c>
      <c r="AJ70" s="79" t="s">
        <v>645</v>
      </c>
      <c r="AK70" s="6">
        <f t="array" ref="AK70">IF(AJ70,MAX(IF(Armor!$D$2:'Armor'!$D$7=D70,Armor!$E$2:$E$7),0))</f>
        <v>0.04</v>
      </c>
      <c r="AL70" s="6">
        <f t="shared" si="30"/>
        <v>0</v>
      </c>
      <c r="AM70" s="71">
        <f>(AL70+AK70)*INDEX(Armor!$B$2:$B$151,A70)+IF(AJ70,1,0)</f>
        <v>6.36</v>
      </c>
      <c r="AN70" s="71">
        <f>IF(C70="Caster",IF(ISERR(FIND("orb",LOWER(E70))),IF(ISERR(FIND("wand",LOWER(E70))),IF(NOT($D70="Polearm"),0,INDEX(Regeneration!$M$2:$M$151,A70+2)),INDEX(Regeneration!$L$2:$L$151,A70+2)),INDEX(Regeneration!$K$2:$K$151,A70+2)),0)</f>
        <v>0</v>
      </c>
      <c r="AO70" s="71" t="str">
        <f t="shared" si="48"/>
        <v/>
      </c>
      <c r="AP70" s="71" t="str">
        <f>IF(AND($N70,$C70="Caster"),IF(AND(NOT($D70="Polearm"),ISERR(FIND("wand",LOWER($E70)))),0,INDEX(Regeneration!F$2:F$151,A70)*0.06),"")</f>
        <v/>
      </c>
      <c r="AQ70" s="88">
        <f t="shared" si="61"/>
        <v>0</v>
      </c>
      <c r="AR70" s="88">
        <f t="shared" si="62"/>
        <v>0</v>
      </c>
      <c r="AS70" s="16" t="str">
        <f>IF(D70="Shield",INDEX(Regeneration!$C$2:$C$151,A70+3)*0.5*IF(ISERR(FIND("Rare",B70)),IF(ISERR(FIND("Uncommon",B70)),1,1.5),2.25),"")</f>
        <v/>
      </c>
      <c r="AT70" s="16" t="str">
        <f t="shared" si="49"/>
        <v/>
      </c>
      <c r="AU70" s="16" t="str">
        <f t="shared" si="50"/>
        <v/>
      </c>
      <c r="AV70" s="16" t="str">
        <f t="shared" si="51"/>
        <v/>
      </c>
      <c r="AW70" s="16" t="str">
        <f>IF(D70="Ring",INDEX(Regeneration!$B$6:$B$155,A70)*0.06,"")</f>
        <v/>
      </c>
      <c r="AX70" s="84" t="str">
        <f>IF(AP70&lt;&gt;0,AP70,"")</f>
        <v/>
      </c>
      <c r="AZ70" s="16">
        <f t="shared" si="63"/>
        <v>5.7692307692307692</v>
      </c>
      <c r="BA70" s="6">
        <f t="shared" si="52"/>
        <v>0</v>
      </c>
      <c r="BB70" s="6">
        <f t="shared" si="25"/>
        <v>0</v>
      </c>
    </row>
    <row r="71" spans="1:54">
      <c r="A71" s="76">
        <v>15</v>
      </c>
      <c r="B71" s="30" t="s">
        <v>492</v>
      </c>
      <c r="C71" s="30" t="s">
        <v>496</v>
      </c>
      <c r="D71" s="30" t="s">
        <v>483</v>
      </c>
      <c r="E71" s="30" t="s">
        <v>572</v>
      </c>
      <c r="F71" s="30" t="s">
        <v>647</v>
      </c>
      <c r="G71" s="76">
        <f t="shared" si="42"/>
        <v>15</v>
      </c>
      <c r="H71" s="101">
        <v>150</v>
      </c>
      <c r="I71" s="76" t="s">
        <v>102</v>
      </c>
      <c r="J71" s="76" t="str">
        <f t="shared" si="64"/>
        <v>helmet</v>
      </c>
      <c r="K71" s="76" t="str">
        <f t="array" ref="K71">"A"&amp;IF(IF(ISBLANK(I71),OR(LEFT(LOWER(F71),1)={"a","e","I","o","u"}),OR(LEFT(LOWER(I71),1)={"a","e","I","o","u"})),"n "," ")&amp;I71&amp;IF(ISBLANK(I71),""," ")&amp;LOWER(F71)&amp;IF(LEFT(J71,1)="-",""," ")&amp;J71</f>
        <v>A strong earth helmet</v>
      </c>
      <c r="L71" s="76">
        <v>1</v>
      </c>
      <c r="M71" s="62">
        <v>69</v>
      </c>
      <c r="N71" s="62" t="s">
        <v>644</v>
      </c>
      <c r="O71" s="93" t="b">
        <f t="shared" si="53"/>
        <v>0</v>
      </c>
      <c r="P71" s="76" t="s">
        <v>490</v>
      </c>
      <c r="Q71" s="62" t="s">
        <v>490</v>
      </c>
      <c r="R71" s="100" t="str">
        <f t="shared" si="31"/>
        <v/>
      </c>
      <c r="S71" s="93" t="str">
        <f t="shared" si="54"/>
        <v/>
      </c>
      <c r="T71" s="98" t="str">
        <f t="shared" si="55"/>
        <v/>
      </c>
      <c r="U71" s="95" t="str">
        <f t="shared" si="56"/>
        <v/>
      </c>
      <c r="V71" s="98" t="str">
        <f t="shared" si="57"/>
        <v/>
      </c>
      <c r="W71" s="6" t="str">
        <f t="shared" si="58"/>
        <v/>
      </c>
      <c r="X71" s="6">
        <v>0</v>
      </c>
      <c r="Y71" s="76" t="b">
        <v>1</v>
      </c>
      <c r="Z71" s="76">
        <f t="shared" si="44"/>
        <v>15</v>
      </c>
      <c r="AA71" s="71" t="str">
        <f t="shared" si="45"/>
        <v/>
      </c>
      <c r="AD71" s="71" t="str">
        <f t="shared" si="46"/>
        <v/>
      </c>
      <c r="AE71" s="71" t="str">
        <f t="shared" si="47"/>
        <v/>
      </c>
      <c r="AG71" s="43" t="str">
        <f>IF(N71,INDEX(Damage!$F$2:$F$151,A71)*R71*S71*V71/1000,"")</f>
        <v/>
      </c>
      <c r="AH71" s="94" t="str">
        <f t="shared" si="59"/>
        <v/>
      </c>
      <c r="AI71" s="94" t="str">
        <f t="shared" si="60"/>
        <v/>
      </c>
      <c r="AJ71" s="79" t="s">
        <v>645</v>
      </c>
      <c r="AK71" s="6">
        <f t="array" ref="AK71">IF(AJ71,MAX(IF(Armor!$D$2:'Armor'!$D$7=D71,Armor!$E$2:$E$7),0))</f>
        <v>0.1</v>
      </c>
      <c r="AL71" s="6">
        <f t="shared" si="30"/>
        <v>0</v>
      </c>
      <c r="AM71" s="71">
        <f>(AL71+AK71)*INDEX(Armor!$B$2:$B$151,A71)+IF(AJ71,1,0)</f>
        <v>14.4</v>
      </c>
      <c r="AN71" s="71">
        <f>IF(C71="Caster",IF(ISERR(FIND("orb",LOWER(E71))),IF(ISERR(FIND("wand",LOWER(E71))),IF(NOT($D71="Polearm"),0,INDEX(Regeneration!$M$2:$M$151,A71+2)),INDEX(Regeneration!$L$2:$L$151,A71+2)),INDEX(Regeneration!$K$2:$K$151,A71+2)),0)</f>
        <v>0</v>
      </c>
      <c r="AO71" s="71" t="str">
        <f t="shared" si="48"/>
        <v/>
      </c>
      <c r="AP71" s="71" t="str">
        <f>IF(AND($N71,$C71="Caster"),IF(AND(NOT($D71="Polearm"),ISERR(FIND("wand",LOWER($E71)))),0,INDEX(Regeneration!F$2:F$151,A71)*0.06),"")</f>
        <v/>
      </c>
      <c r="AQ71" s="88">
        <f t="shared" si="61"/>
        <v>0</v>
      </c>
      <c r="AR71" s="88">
        <f t="shared" si="62"/>
        <v>0</v>
      </c>
      <c r="AS71" s="16" t="str">
        <f>IF(D71="Shield",INDEX(Regeneration!$C$2:$C$151,A71+3)*0.5*IF(ISERR(FIND("Rare",B71)),IF(ISERR(FIND("Uncommon",B71)),1,1.5),2.25),"")</f>
        <v/>
      </c>
      <c r="AT71" s="16" t="str">
        <f t="shared" si="49"/>
        <v/>
      </c>
      <c r="AU71" s="16" t="str">
        <f t="shared" si="50"/>
        <v/>
      </c>
      <c r="AV71" s="16" t="str">
        <f t="shared" si="51"/>
        <v/>
      </c>
      <c r="AW71" s="16" t="str">
        <f>IF(D71="Ring",INDEX(Regeneration!$B$6:$B$155,A71)*0.06,"")</f>
        <v/>
      </c>
      <c r="AX71" s="84" t="str">
        <f>IF(AP71&lt;&gt;0,AP71,"")</f>
        <v/>
      </c>
      <c r="AZ71" s="16" t="str">
        <f t="shared" si="63"/>
        <v/>
      </c>
      <c r="BA71" s="6">
        <f t="shared" si="52"/>
        <v>0</v>
      </c>
      <c r="BB71" s="6">
        <f t="shared" si="25"/>
        <v>0</v>
      </c>
    </row>
    <row r="72" spans="1:54">
      <c r="A72" s="76">
        <v>15</v>
      </c>
      <c r="B72" s="30" t="s">
        <v>493</v>
      </c>
      <c r="C72" s="30" t="s">
        <v>780</v>
      </c>
      <c r="D72" s="30" t="s">
        <v>473</v>
      </c>
      <c r="E72" s="30" t="s">
        <v>774</v>
      </c>
      <c r="F72" s="30" t="s">
        <v>647</v>
      </c>
      <c r="G72" s="76">
        <f t="shared" si="42"/>
        <v>20</v>
      </c>
      <c r="H72" s="101">
        <v>150</v>
      </c>
      <c r="I72" s="76" t="s">
        <v>662</v>
      </c>
      <c r="J72" s="76" t="str">
        <f t="shared" si="64"/>
        <v>mainhand</v>
      </c>
      <c r="K72" s="76" t="str">
        <f t="array" ref="K72">"A"&amp;IF(IF(ISBLANK(I72),OR(LEFT(LOWER(F72),1)={"a","e","I","o","u"}),OR(LEFT(LOWER(I72),1)={"a","e","I","o","u"})),"n "," ")&amp;I72&amp;IF(ISBLANK(I72),""," ")&amp;LOWER(F72)&amp;IF(LEFT(J72,1)="-",""," ")&amp;J72</f>
        <v>A magical earth mainhand</v>
      </c>
      <c r="L72" s="76">
        <v>1</v>
      </c>
      <c r="M72" s="62">
        <v>80</v>
      </c>
      <c r="N72" s="62" t="b">
        <v>1</v>
      </c>
      <c r="O72" s="93" t="b">
        <f t="shared" si="53"/>
        <v>0</v>
      </c>
      <c r="P72" s="76" t="s">
        <v>5</v>
      </c>
      <c r="Q72" s="62" t="s">
        <v>506</v>
      </c>
      <c r="R72" s="100">
        <f t="shared" si="31"/>
        <v>0.9</v>
      </c>
      <c r="S72" s="93">
        <f t="shared" si="54"/>
        <v>0.4</v>
      </c>
      <c r="T72" s="98">
        <f t="shared" si="55"/>
        <v>0.7</v>
      </c>
      <c r="U72" s="95">
        <f t="shared" si="56"/>
        <v>1.5</v>
      </c>
      <c r="V72" s="98">
        <f t="shared" si="57"/>
        <v>454.99999999999994</v>
      </c>
      <c r="W72" s="6">
        <f t="shared" si="58"/>
        <v>7.0000000000000007E-2</v>
      </c>
      <c r="X72" s="6">
        <v>0</v>
      </c>
      <c r="Y72" s="76" t="b">
        <v>1</v>
      </c>
      <c r="Z72" s="76">
        <f t="shared" si="44"/>
        <v>15</v>
      </c>
      <c r="AA72" s="71" t="str">
        <f t="shared" si="45"/>
        <v/>
      </c>
      <c r="AD72" s="71">
        <f t="shared" si="46"/>
        <v>18</v>
      </c>
      <c r="AE72" s="71" t="str">
        <f t="shared" si="47"/>
        <v/>
      </c>
      <c r="AG72" s="43">
        <f>IF(N72,INDEX(Damage!$F$2:$F$151,A72)*R72*S72*V72/1000,"")</f>
        <v>12.485200000000001</v>
      </c>
      <c r="AH72" s="94">
        <f t="shared" si="59"/>
        <v>11.611236</v>
      </c>
      <c r="AI72" s="94">
        <f t="shared" si="60"/>
        <v>13.359164000000002</v>
      </c>
      <c r="AJ72" s="90" t="b">
        <v>0</v>
      </c>
      <c r="AK72" s="6" t="b">
        <f t="array" ref="AK72">IF(AJ72,MAX(IF(Armor!$D$2:'Armor'!$D$7=D72,Armor!$E$2:$E$7),0))</f>
        <v>0</v>
      </c>
      <c r="AL72" s="6">
        <f t="shared" si="30"/>
        <v>0.05</v>
      </c>
      <c r="AM72" s="71">
        <f>(AL72+AK72)*INDEX(Armor!$B$2:$B$151,A72)+IF(AJ72,1,0)</f>
        <v>6.7</v>
      </c>
      <c r="AN72" s="71">
        <f>IF(C72="Caster",IF(ISERR(FIND("orb",LOWER(E72))),IF(ISERR(FIND("wand",LOWER(E72))),IF(NOT($D72="Polearm"),0,INDEX(Regeneration!$M$2:$M$151,A72+2)),INDEX(Regeneration!$L$2:$L$151,A72+2)),INDEX(Regeneration!$K$2:$K$151,A72+2)),0)</f>
        <v>52.629629629629626</v>
      </c>
      <c r="AO72" s="71">
        <f t="shared" si="48"/>
        <v>0</v>
      </c>
      <c r="AP72" s="71">
        <f>IF(AND($N72,$C72="Caster"),IF(AND(NOT($D72="Polearm"),ISERR(FIND("wand",LOWER($E72)))),0,INDEX(Regeneration!F$2:F$151,A72)*0.06),"")</f>
        <v>28.08</v>
      </c>
      <c r="AQ72" s="88">
        <f t="shared" si="61"/>
        <v>0</v>
      </c>
      <c r="AR72" s="88">
        <f t="shared" si="62"/>
        <v>0</v>
      </c>
      <c r="AS72" s="16" t="str">
        <f>IF(D72="Shield",INDEX(Regeneration!$C$2:$C$151,A72+3)*0.5*IF(ISERR(FIND("Rare",B72)),IF(ISERR(FIND("Uncommon",B72)),1,1.5),2.25),"")</f>
        <v/>
      </c>
      <c r="AT72" s="16">
        <f t="shared" si="49"/>
        <v>53.629629629629626</v>
      </c>
      <c r="AU72" s="16" t="str">
        <f t="shared" si="50"/>
        <v/>
      </c>
      <c r="AV72" s="16" t="str">
        <f t="shared" si="51"/>
        <v/>
      </c>
      <c r="AW72" s="16" t="str">
        <f>IF(D72="Ring",INDEX(Regeneration!$B$6:$B$155,A72)*0.06,"")</f>
        <v/>
      </c>
      <c r="AX72" s="84"/>
      <c r="AZ72" s="16" t="str">
        <f t="shared" si="63"/>
        <v/>
      </c>
      <c r="BA72" s="6">
        <f t="shared" si="52"/>
        <v>0</v>
      </c>
      <c r="BB72" s="6">
        <f t="shared" si="25"/>
        <v>0</v>
      </c>
    </row>
    <row r="73" spans="1:54">
      <c r="A73" s="76">
        <v>15</v>
      </c>
      <c r="B73" s="30" t="s">
        <v>492</v>
      </c>
      <c r="C73" s="30" t="s">
        <v>780</v>
      </c>
      <c r="D73" s="30" t="s">
        <v>474</v>
      </c>
      <c r="E73" s="30" t="s">
        <v>765</v>
      </c>
      <c r="F73" s="30" t="s">
        <v>647</v>
      </c>
      <c r="G73" s="76">
        <f t="shared" si="42"/>
        <v>15</v>
      </c>
      <c r="H73" s="101">
        <v>150</v>
      </c>
      <c r="I73" s="76" t="s">
        <v>662</v>
      </c>
      <c r="J73" s="76" t="str">
        <f t="shared" si="64"/>
        <v>offhand item</v>
      </c>
      <c r="K73" s="76" t="str">
        <f t="array" ref="K73">"A"&amp;IF(IF(ISBLANK(I73),OR(LEFT(LOWER(F73),1)={"a","e","I","o","u"}),OR(LEFT(LOWER(I73),1)={"a","e","I","o","u"})),"n "," ")&amp;I73&amp;IF(ISBLANK(I73),""," ")&amp;LOWER(F73)&amp;IF(LEFT(J73,1)="-",""," ")&amp;J73</f>
        <v>A magical earth offhand item</v>
      </c>
      <c r="L73" s="76">
        <v>1</v>
      </c>
      <c r="M73" s="62">
        <v>40</v>
      </c>
      <c r="N73" s="62" t="b">
        <v>0</v>
      </c>
      <c r="O73" s="93" t="b">
        <f t="shared" si="53"/>
        <v>0</v>
      </c>
      <c r="P73" s="76"/>
      <c r="R73" s="100" t="str">
        <f t="shared" si="31"/>
        <v/>
      </c>
      <c r="S73" s="93" t="str">
        <f t="shared" si="54"/>
        <v/>
      </c>
      <c r="T73" s="98" t="str">
        <f t="shared" si="55"/>
        <v/>
      </c>
      <c r="U73" s="95" t="str">
        <f t="shared" si="56"/>
        <v/>
      </c>
      <c r="V73" s="98" t="str">
        <f t="shared" si="57"/>
        <v/>
      </c>
      <c r="W73" s="6" t="str">
        <f t="shared" si="58"/>
        <v/>
      </c>
      <c r="X73" s="6">
        <v>0</v>
      </c>
      <c r="Y73" s="76" t="b">
        <v>1</v>
      </c>
      <c r="Z73" s="76">
        <f t="shared" si="44"/>
        <v>15</v>
      </c>
      <c r="AA73" s="71" t="str">
        <f t="shared" si="45"/>
        <v/>
      </c>
      <c r="AD73" s="71">
        <f t="shared" si="46"/>
        <v>18</v>
      </c>
      <c r="AE73" s="71" t="str">
        <f t="shared" si="47"/>
        <v/>
      </c>
      <c r="AG73" s="43" t="str">
        <f>IF(N73,INDEX(Damage!$F$2:$F$151,A73)*R73*S73*V73/1000,"")</f>
        <v/>
      </c>
      <c r="AH73" s="94" t="str">
        <f t="shared" si="59"/>
        <v/>
      </c>
      <c r="AI73" s="94" t="str">
        <f t="shared" si="60"/>
        <v/>
      </c>
      <c r="AJ73" s="90" t="b">
        <v>0</v>
      </c>
      <c r="AK73" s="6" t="b">
        <f t="array" ref="AK73">IF(AJ73,MAX(IF(Armor!$D$2:'Armor'!$D$7=D73,Armor!$E$2:$E$7),0))</f>
        <v>0</v>
      </c>
      <c r="AL73" s="6">
        <f t="shared" si="30"/>
        <v>0</v>
      </c>
      <c r="AM73" s="71">
        <f>(AL73+AK73)*INDEX(Armor!$B$2:$B$151,A73)+IF(AJ73,1,0)</f>
        <v>0</v>
      </c>
      <c r="AN73" s="71">
        <f>IF(C73="Caster",IF(ISERR(FIND("orb",LOWER(E73))),IF(ISERR(FIND("wand",LOWER(E73))),IF(NOT($D73="Polearm"),0,INDEX(Regeneration!$M$2:$M$151,A73+2)),INDEX(Regeneration!$L$2:$L$151,A73+2)),INDEX(Regeneration!$K$2:$K$151,A73+2)),0)</f>
        <v>42.103703703703701</v>
      </c>
      <c r="AO73" s="71" t="str">
        <f t="shared" si="48"/>
        <v/>
      </c>
      <c r="AP73" s="71" t="str">
        <f>IF(AND($N73,$C73="Caster"),IF(AND(NOT($D73="Polearm"),ISERR(FIND("wand",LOWER($E73)))),0,INDEX(Regeneration!F$2:F$151,A73)*0.06),"")</f>
        <v/>
      </c>
      <c r="AQ73" s="88">
        <f t="shared" si="61"/>
        <v>0</v>
      </c>
      <c r="AR73" s="88">
        <f t="shared" si="62"/>
        <v>0</v>
      </c>
      <c r="AS73" s="16" t="str">
        <f>IF(D73="Shield",INDEX(Regeneration!$C$2:$C$151,A73+3)*0.5*IF(ISERR(FIND("Rare",B73)),IF(ISERR(FIND("Uncommon",B73)),1,1.5),2.25),"")</f>
        <v/>
      </c>
      <c r="AT73" s="16">
        <f t="shared" si="49"/>
        <v>43.103703703703701</v>
      </c>
      <c r="AU73" s="16" t="str">
        <f t="shared" si="50"/>
        <v/>
      </c>
      <c r="AV73" s="16" t="str">
        <f t="shared" si="51"/>
        <v/>
      </c>
      <c r="AW73" s="16" t="str">
        <f>IF(D73="Ring",INDEX(Regeneration!$B$6:$B$155,A73)*0.06,"")</f>
        <v/>
      </c>
      <c r="AX73" s="84"/>
      <c r="AZ73" s="16" t="str">
        <f t="shared" si="63"/>
        <v/>
      </c>
      <c r="BA73" s="6">
        <f t="shared" si="52"/>
        <v>0</v>
      </c>
      <c r="BB73" s="6">
        <f t="shared" ref="BB73:BB136" si="65">IF(AR73&lt;&gt;"",AR73*IF(ISERR(FIND("Rare",B73)),IF(ISERR(FIND("Uncommon",B73)),1,1.5),2.25),"")</f>
        <v>0</v>
      </c>
    </row>
    <row r="74" spans="1:54">
      <c r="A74" s="76">
        <v>15</v>
      </c>
      <c r="B74" s="30" t="s">
        <v>493</v>
      </c>
      <c r="C74" s="30" t="s">
        <v>496</v>
      </c>
      <c r="D74" s="30" t="s">
        <v>485</v>
      </c>
      <c r="E74" s="30" t="s">
        <v>579</v>
      </c>
      <c r="F74" s="30" t="s">
        <v>647</v>
      </c>
      <c r="G74" s="76">
        <f t="shared" si="42"/>
        <v>20</v>
      </c>
      <c r="H74" s="101">
        <v>150</v>
      </c>
      <c r="J74" s="76" t="str">
        <f t="shared" si="64"/>
        <v>ring</v>
      </c>
      <c r="K74" s="76" t="str">
        <f t="array" ref="K74">"A"&amp;IF(IF(ISBLANK(I74),OR(LEFT(LOWER(F74),1)={"a","e","I","o","u"}),OR(LEFT(LOWER(I74),1)={"a","e","I","o","u"})),"n "," ")&amp;I74&amp;IF(ISBLANK(I74),""," ")&amp;LOWER(F74)&amp;IF(LEFT(J74,1)="-",""," ")&amp;J74</f>
        <v>An earth ring</v>
      </c>
      <c r="L74" s="76">
        <v>1</v>
      </c>
      <c r="M74" s="62">
        <v>384</v>
      </c>
      <c r="N74" s="62" t="s">
        <v>644</v>
      </c>
      <c r="O74" s="93" t="b">
        <f t="shared" si="53"/>
        <v>0</v>
      </c>
      <c r="P74" s="76" t="s">
        <v>490</v>
      </c>
      <c r="Q74" s="62" t="s">
        <v>490</v>
      </c>
      <c r="R74" s="100" t="str">
        <f t="shared" si="31"/>
        <v/>
      </c>
      <c r="S74" s="93" t="str">
        <f t="shared" si="54"/>
        <v/>
      </c>
      <c r="T74" s="98" t="str">
        <f t="shared" si="55"/>
        <v/>
      </c>
      <c r="U74" s="95" t="str">
        <f t="shared" si="56"/>
        <v/>
      </c>
      <c r="V74" s="98" t="str">
        <f t="shared" si="57"/>
        <v/>
      </c>
      <c r="W74" s="6" t="str">
        <f t="shared" si="58"/>
        <v/>
      </c>
      <c r="X74" s="6">
        <v>0</v>
      </c>
      <c r="Y74" s="76" t="b">
        <v>1</v>
      </c>
      <c r="Z74" s="76">
        <f t="shared" si="44"/>
        <v>15</v>
      </c>
      <c r="AA74" s="71" t="str">
        <f t="shared" si="45"/>
        <v/>
      </c>
      <c r="AD74" s="71" t="str">
        <f t="shared" si="46"/>
        <v/>
      </c>
      <c r="AE74" s="71" t="str">
        <f t="shared" si="47"/>
        <v/>
      </c>
      <c r="AG74" s="43" t="str">
        <f>IF(N74,INDEX(Damage!$F$2:$F$151,A74)*R74*S74*V74/1000,"")</f>
        <v/>
      </c>
      <c r="AH74" s="94" t="str">
        <f t="shared" si="59"/>
        <v/>
      </c>
      <c r="AI74" s="94" t="str">
        <f t="shared" si="60"/>
        <v/>
      </c>
      <c r="AJ74" s="79" t="s">
        <v>644</v>
      </c>
      <c r="AK74" s="6" t="b">
        <f t="array" ref="AK74">IF(AJ74,MAX(IF(Armor!$D$2:'Armor'!$D$7=D74,Armor!$E$2:$E$7),0))</f>
        <v>0</v>
      </c>
      <c r="AL74" s="6">
        <f t="shared" si="30"/>
        <v>0.05</v>
      </c>
      <c r="AM74" s="71">
        <f>(AL74+AK74)*INDEX(Armor!$B$2:$B$151,A74)+IF(AJ74,1,0)</f>
        <v>6.7</v>
      </c>
      <c r="AN74" s="71">
        <f>IF(C74="Caster",IF(ISERR(FIND("orb",LOWER(E74))),IF(ISERR(FIND("wand",LOWER(E74))),IF(NOT($D74="Polearm"),0,INDEX(Regeneration!$M$2:$M$151,A74+2)),INDEX(Regeneration!$L$2:$L$151,A74+2)),INDEX(Regeneration!$K$2:$K$151,A74+2)),0)</f>
        <v>0</v>
      </c>
      <c r="AO74" s="71" t="str">
        <f t="shared" si="48"/>
        <v/>
      </c>
      <c r="AP74" s="71" t="str">
        <f>IF(AND($N74,$C74="Caster"),IF(AND(NOT($D74="Polearm"),ISERR(FIND("wand",LOWER($E74)))),0,INDEX(Regeneration!F$2:F$151,A74)*0.06),"")</f>
        <v/>
      </c>
      <c r="AQ74" s="88">
        <f t="shared" si="61"/>
        <v>0</v>
      </c>
      <c r="AR74" s="88">
        <f t="shared" si="62"/>
        <v>0</v>
      </c>
      <c r="AS74" s="16" t="str">
        <f>IF(D74="Shield",INDEX(Regeneration!$C$2:$C$151,A74+3)*0.5*IF(ISERR(FIND("Rare",B74)),IF(ISERR(FIND("Uncommon",B74)),1,1.5),2.25),"")</f>
        <v/>
      </c>
      <c r="AT74" s="16" t="str">
        <f t="shared" si="49"/>
        <v/>
      </c>
      <c r="AU74" s="16" t="str">
        <f t="shared" si="50"/>
        <v/>
      </c>
      <c r="AV74" s="16">
        <f t="shared" si="51"/>
        <v>5</v>
      </c>
      <c r="AW74" s="16">
        <f>IF(D74="Ring",INDEX(Regeneration!$B$6:$B$155,A74)*0.06,"")</f>
        <v>36.636666666666663</v>
      </c>
      <c r="AX74" s="84" t="str">
        <f t="shared" ref="AX74:AX82" si="66">IF(AP74&lt;&gt;0,AP74,"")</f>
        <v/>
      </c>
      <c r="AZ74" s="16" t="str">
        <f t="shared" si="63"/>
        <v/>
      </c>
      <c r="BA74" s="6">
        <f t="shared" si="52"/>
        <v>0</v>
      </c>
      <c r="BB74" s="6">
        <f t="shared" si="65"/>
        <v>0</v>
      </c>
    </row>
    <row r="75" spans="1:54">
      <c r="A75" s="76">
        <v>15</v>
      </c>
      <c r="B75" s="30" t="s">
        <v>492</v>
      </c>
      <c r="C75" s="30" t="s">
        <v>496</v>
      </c>
      <c r="D75" s="30" t="s">
        <v>475</v>
      </c>
      <c r="E75" s="30" t="s">
        <v>573</v>
      </c>
      <c r="F75" s="30" t="s">
        <v>647</v>
      </c>
      <c r="G75" s="76">
        <f t="shared" si="42"/>
        <v>15</v>
      </c>
      <c r="H75" s="101">
        <v>150</v>
      </c>
      <c r="J75" s="76" t="str">
        <f t="shared" si="64"/>
        <v>shield</v>
      </c>
      <c r="K75" s="76" t="str">
        <f t="array" ref="K75">"A"&amp;IF(IF(ISBLANK(I75),OR(LEFT(LOWER(F75),1)={"a","e","I","o","u"}),OR(LEFT(LOWER(I75),1)={"a","e","I","o","u"})),"n "," ")&amp;I75&amp;IF(ISBLANK(I75),""," ")&amp;LOWER(F75)&amp;IF(LEFT(J75,1)="-",""," ")&amp;J75</f>
        <v>An earth shield</v>
      </c>
      <c r="L75" s="76">
        <v>1</v>
      </c>
      <c r="M75" s="62">
        <v>144</v>
      </c>
      <c r="N75" s="62" t="s">
        <v>644</v>
      </c>
      <c r="O75" s="93" t="b">
        <f t="shared" si="53"/>
        <v>0</v>
      </c>
      <c r="P75" s="76" t="s">
        <v>490</v>
      </c>
      <c r="Q75" s="62" t="s">
        <v>490</v>
      </c>
      <c r="R75" s="100" t="str">
        <f t="shared" si="31"/>
        <v/>
      </c>
      <c r="S75" s="93" t="str">
        <f t="shared" si="54"/>
        <v/>
      </c>
      <c r="T75" s="98" t="str">
        <f t="shared" si="55"/>
        <v/>
      </c>
      <c r="U75" s="95" t="str">
        <f t="shared" si="56"/>
        <v/>
      </c>
      <c r="V75" s="98" t="str">
        <f t="shared" si="57"/>
        <v/>
      </c>
      <c r="W75" s="6" t="str">
        <f t="shared" si="58"/>
        <v/>
      </c>
      <c r="X75" s="6">
        <v>0</v>
      </c>
      <c r="Y75" s="76" t="b">
        <v>1</v>
      </c>
      <c r="Z75" s="76">
        <f t="shared" si="44"/>
        <v>15</v>
      </c>
      <c r="AA75" s="71" t="str">
        <f t="shared" si="45"/>
        <v/>
      </c>
      <c r="AD75" s="71" t="str">
        <f t="shared" si="46"/>
        <v/>
      </c>
      <c r="AE75" s="71" t="str">
        <f t="shared" si="47"/>
        <v/>
      </c>
      <c r="AG75" s="43" t="str">
        <f>IF(N75,INDEX(Damage!$F$2:$F$151,A75)*R75*S75*V75/1000,"")</f>
        <v/>
      </c>
      <c r="AH75" s="94" t="str">
        <f t="shared" si="59"/>
        <v/>
      </c>
      <c r="AI75" s="94" t="str">
        <f t="shared" si="60"/>
        <v/>
      </c>
      <c r="AJ75" s="79" t="s">
        <v>645</v>
      </c>
      <c r="AK75" s="6">
        <f t="array" ref="AK75">IF(AJ75,MAX(IF(Armor!$D$2:'Armor'!$D$7=D75,Armor!$E$2:$E$7),0))</f>
        <v>0.25</v>
      </c>
      <c r="AL75" s="6">
        <f t="shared" si="30"/>
        <v>0</v>
      </c>
      <c r="AM75" s="71">
        <f>(AL75+AK75)*INDEX(Armor!$B$2:$B$151,A75)+IF(AJ75,1,0)</f>
        <v>34.5</v>
      </c>
      <c r="AN75" s="71">
        <f>IF(C75="Caster",IF(ISERR(FIND("orb",LOWER(E75))),IF(ISERR(FIND("wand",LOWER(E75))),IF(NOT($D75="Polearm"),0,INDEX(Regeneration!$M$2:$M$151,A75+2)),INDEX(Regeneration!$L$2:$L$151,A75+2)),INDEX(Regeneration!$K$2:$K$151,A75+2)),0)</f>
        <v>0</v>
      </c>
      <c r="AO75" s="71" t="str">
        <f t="shared" si="48"/>
        <v/>
      </c>
      <c r="AP75" s="71" t="str">
        <f>IF(AND($N75,$C75="Caster"),IF(AND(NOT($D75="Polearm"),ISERR(FIND("wand",LOWER($E75)))),0,INDEX(Regeneration!F$2:F$151,A75)*0.06),"")</f>
        <v/>
      </c>
      <c r="AQ75" s="88">
        <f t="shared" si="61"/>
        <v>0</v>
      </c>
      <c r="AR75" s="88">
        <f t="shared" si="62"/>
        <v>0</v>
      </c>
      <c r="AS75" s="16">
        <f>IF(D75="Shield",INDEX(Regeneration!$C$2:$C$151,A75+3)*0.5*IF(ISERR(FIND("Rare",B75)),IF(ISERR(FIND("Uncommon",B75)),1,1.5),2.25),"")</f>
        <v>59.777777777777771</v>
      </c>
      <c r="AT75" s="16" t="str">
        <f t="shared" si="49"/>
        <v/>
      </c>
      <c r="AU75" s="16" t="str">
        <f t="shared" si="50"/>
        <v/>
      </c>
      <c r="AV75" s="16" t="str">
        <f t="shared" si="51"/>
        <v/>
      </c>
      <c r="AW75" s="16" t="str">
        <f>IF(D75="Ring",INDEX(Regeneration!$B$6:$B$155,A75)*0.06,"")</f>
        <v/>
      </c>
      <c r="AX75" s="62" t="str">
        <f t="shared" si="66"/>
        <v/>
      </c>
      <c r="AZ75" s="16" t="str">
        <f t="shared" si="63"/>
        <v/>
      </c>
      <c r="BA75" s="6">
        <f t="shared" si="52"/>
        <v>0</v>
      </c>
      <c r="BB75" s="6">
        <f t="shared" si="65"/>
        <v>0</v>
      </c>
    </row>
    <row r="76" spans="1:54">
      <c r="A76" s="76">
        <v>15</v>
      </c>
      <c r="B76" s="30" t="s">
        <v>492</v>
      </c>
      <c r="C76" s="30" t="s">
        <v>10</v>
      </c>
      <c r="D76" s="30" t="s">
        <v>476</v>
      </c>
      <c r="E76" s="30" t="s">
        <v>577</v>
      </c>
      <c r="F76" s="30" t="s">
        <v>647</v>
      </c>
      <c r="G76" s="76">
        <f t="shared" si="42"/>
        <v>15</v>
      </c>
      <c r="H76" s="101">
        <v>150</v>
      </c>
      <c r="I76" s="76" t="s">
        <v>692</v>
      </c>
      <c r="J76" s="76" t="s">
        <v>668</v>
      </c>
      <c r="K76" s="76" t="str">
        <f t="array" ref="K76">"A"&amp;IF(IF(ISBLANK(I76),OR(LEFT(LOWER(F76),1)={"a","e","I","o","u"}),OR(LEFT(LOWER(I76),1)={"a","e","I","o","u"})),"n "," ")&amp;I76&amp;IF(ISBLANK(I76),""," ")&amp;LOWER(F76)&amp;IF(LEFT(J76,1)="-",""," ")&amp;J76</f>
        <v>A sharpened stone earth throwing weapon</v>
      </c>
      <c r="L76" s="76">
        <v>1</v>
      </c>
      <c r="M76" s="62">
        <v>24</v>
      </c>
      <c r="N76" s="62" t="s">
        <v>645</v>
      </c>
      <c r="O76" s="93" t="b">
        <f t="shared" si="53"/>
        <v>1</v>
      </c>
      <c r="P76" s="76" t="s">
        <v>504</v>
      </c>
      <c r="Q76" s="62" t="s">
        <v>506</v>
      </c>
      <c r="R76" s="100">
        <f t="shared" si="31"/>
        <v>0.81</v>
      </c>
      <c r="S76" s="93">
        <f t="shared" si="54"/>
        <v>1</v>
      </c>
      <c r="T76" s="98">
        <f t="shared" si="55"/>
        <v>0.7</v>
      </c>
      <c r="U76" s="95">
        <f t="shared" si="56"/>
        <v>8</v>
      </c>
      <c r="V76" s="98">
        <f t="shared" si="57"/>
        <v>454.99999999999994</v>
      </c>
      <c r="W76" s="6">
        <f t="shared" si="58"/>
        <v>0.15</v>
      </c>
      <c r="X76" s="6">
        <v>0</v>
      </c>
      <c r="Y76" s="76" t="b">
        <v>1</v>
      </c>
      <c r="Z76" s="76">
        <f t="shared" si="44"/>
        <v>15</v>
      </c>
      <c r="AA76" s="71">
        <f t="shared" si="45"/>
        <v>18</v>
      </c>
      <c r="AD76" s="71" t="str">
        <f t="shared" si="46"/>
        <v/>
      </c>
      <c r="AE76" s="71" t="str">
        <f t="shared" si="47"/>
        <v/>
      </c>
      <c r="AG76" s="43">
        <f>IF(N76,INDEX(Damage!$F$2:$F$151,A76)*R76*S76*V76/1000,"")</f>
        <v>28.091699999999999</v>
      </c>
      <c r="AH76" s="94">
        <f t="shared" si="59"/>
        <v>23.877945</v>
      </c>
      <c r="AI76" s="94">
        <f t="shared" si="60"/>
        <v>32.305455000000002</v>
      </c>
      <c r="AJ76" s="79" t="s">
        <v>644</v>
      </c>
      <c r="AK76" s="6" t="b">
        <f t="array" ref="AK76">IF(AJ76,MAX(IF(Armor!$D$2:'Armor'!$D$7=D76,Armor!$E$2:$E$7),0))</f>
        <v>0</v>
      </c>
      <c r="AL76" s="6">
        <f t="shared" si="30"/>
        <v>0</v>
      </c>
      <c r="AM76" s="71">
        <f>(AL76+AK76)*INDEX(Armor!$B$2:$B$151,A76)+IF(AJ76,1,0)</f>
        <v>0</v>
      </c>
      <c r="AN76" s="71">
        <f>IF(C76="Caster",IF(ISERR(FIND("orb",LOWER(E76))),IF(ISERR(FIND("wand",LOWER(E76))),IF(NOT($D76="Polearm"),0,INDEX(Regeneration!$M$2:$M$151,A76+2)),INDEX(Regeneration!$L$2:$L$151,A76+2)),INDEX(Regeneration!$K$2:$K$151,A76+2)),0)</f>
        <v>0</v>
      </c>
      <c r="AO76" s="71" t="str">
        <f t="shared" si="48"/>
        <v/>
      </c>
      <c r="AP76" s="71" t="str">
        <f>IF(AND($N76,$C76="Caster"),IF(AND(NOT($D76="Polearm"),ISERR(FIND("wand",LOWER($E76)))),0,INDEX(Regeneration!F$2:F$151,A76)*0.06),"")</f>
        <v/>
      </c>
      <c r="AQ76" s="88">
        <f t="shared" si="61"/>
        <v>0.05</v>
      </c>
      <c r="AR76" s="88">
        <f t="shared" si="62"/>
        <v>0.05</v>
      </c>
      <c r="AS76" s="16" t="str">
        <f>IF(D76="Shield",INDEX(Regeneration!$C$2:$C$151,A76+3)*0.5*IF(ISERR(FIND("Rare",B76)),IF(ISERR(FIND("Uncommon",B76)),1,1.5),2.25),"")</f>
        <v/>
      </c>
      <c r="AT76" s="16" t="str">
        <f t="shared" si="49"/>
        <v/>
      </c>
      <c r="AU76" s="16" t="str">
        <f t="shared" si="50"/>
        <v/>
      </c>
      <c r="AV76" s="16" t="str">
        <f t="shared" si="51"/>
        <v/>
      </c>
      <c r="AW76" s="16" t="str">
        <f>IF(D76="Ring",INDEX(Regeneration!$B$6:$B$155,A76)*0.06,"")</f>
        <v/>
      </c>
      <c r="AX76" s="62" t="str">
        <f t="shared" si="66"/>
        <v/>
      </c>
      <c r="AZ76" s="16" t="str">
        <f t="shared" si="63"/>
        <v/>
      </c>
      <c r="BA76" s="6">
        <f t="shared" si="52"/>
        <v>0.05</v>
      </c>
      <c r="BB76" s="6">
        <f t="shared" si="65"/>
        <v>0.05</v>
      </c>
    </row>
    <row r="77" spans="1:54">
      <c r="A77" s="76">
        <v>20</v>
      </c>
      <c r="B77" s="30" t="s">
        <v>492</v>
      </c>
      <c r="C77" s="30" t="s">
        <v>10</v>
      </c>
      <c r="D77" s="30" t="s">
        <v>472</v>
      </c>
      <c r="E77" s="30" t="s">
        <v>587</v>
      </c>
      <c r="F77" s="30" t="s">
        <v>648</v>
      </c>
      <c r="G77" s="76">
        <f t="shared" si="42"/>
        <v>20</v>
      </c>
      <c r="H77" s="101">
        <v>150</v>
      </c>
      <c r="J77" s="76" t="s">
        <v>685</v>
      </c>
      <c r="K77" s="76" t="str">
        <f t="array" ref="K77">"A"&amp;IF(IF(ISBLANK(I77),OR(LEFT(LOWER(F77),1)={"a","e","I","o","u"}),OR(LEFT(LOWER(I77),1)={"a","e","I","o","u"})),"n "," ")&amp;I77&amp;IF(ISBLANK(I77),""," ")&amp;LOWER(F77)&amp;IF(LEFT(J77,1)="-",""," ")&amp;J77</f>
        <v>A holy weapon</v>
      </c>
      <c r="L77" s="76">
        <v>1</v>
      </c>
      <c r="M77" s="62">
        <v>29</v>
      </c>
      <c r="N77" s="62" t="s">
        <v>645</v>
      </c>
      <c r="O77" s="93" t="b">
        <f t="shared" si="53"/>
        <v>0</v>
      </c>
      <c r="P77" s="76" t="s">
        <v>504</v>
      </c>
      <c r="Q77" s="62" t="s">
        <v>643</v>
      </c>
      <c r="R77" s="100">
        <f t="shared" si="31"/>
        <v>1</v>
      </c>
      <c r="S77" s="93">
        <f t="shared" si="54"/>
        <v>1</v>
      </c>
      <c r="T77" s="98">
        <f t="shared" si="55"/>
        <v>1</v>
      </c>
      <c r="U77" s="95">
        <f t="shared" si="56"/>
        <v>2</v>
      </c>
      <c r="V77" s="98">
        <f t="shared" si="57"/>
        <v>650</v>
      </c>
      <c r="W77" s="6">
        <f t="shared" si="58"/>
        <v>0.18</v>
      </c>
      <c r="X77" s="6">
        <v>0</v>
      </c>
      <c r="Y77" s="76" t="b">
        <v>1</v>
      </c>
      <c r="Z77" s="76">
        <f t="shared" si="44"/>
        <v>20</v>
      </c>
      <c r="AA77" s="71">
        <f t="shared" si="45"/>
        <v>22</v>
      </c>
      <c r="AD77" s="71" t="str">
        <f t="shared" si="46"/>
        <v/>
      </c>
      <c r="AE77" s="71" t="str">
        <f t="shared" si="47"/>
        <v/>
      </c>
      <c r="AG77" s="43">
        <f>IF(N77,INDEX(Damage!$F$2:$F$151,A77)*R77*S77*V77/1000,"")</f>
        <v>66.460858585858588</v>
      </c>
      <c r="AH77" s="94">
        <f t="shared" si="59"/>
        <v>54.497904040404045</v>
      </c>
      <c r="AI77" s="94">
        <f t="shared" si="60"/>
        <v>78.423813131313139</v>
      </c>
      <c r="AJ77" s="79" t="s">
        <v>644</v>
      </c>
      <c r="AK77" s="6" t="b">
        <f t="array" ref="AK77">IF(AJ77,MAX(IF(Armor!$D$2:'Armor'!$D$7=D77,Armor!$E$2:$E$7),0))</f>
        <v>0</v>
      </c>
      <c r="AL77" s="6">
        <f t="shared" si="30"/>
        <v>0</v>
      </c>
      <c r="AM77" s="71">
        <f>(AL77+AK77)*INDEX(Armor!$B$2:$B$151,A77)+IF(AJ77,1,0)</f>
        <v>0</v>
      </c>
      <c r="AN77" s="71">
        <f>IF(C77="Caster",IF(ISERR(FIND("orb",LOWER(E77))),IF(ISERR(FIND("wand",LOWER(E77))),IF(NOT($D77="Polearm"),0,INDEX(Regeneration!$M$2:$M$151,A77+2)),INDEX(Regeneration!$L$2:$L$151,A77+2)),INDEX(Regeneration!$K$2:$K$151,A77+2)),0)</f>
        <v>0</v>
      </c>
      <c r="AO77" s="71" t="str">
        <f t="shared" si="48"/>
        <v/>
      </c>
      <c r="AP77" s="71" t="str">
        <f>IF(AND($N77,$C77="Caster"),IF(AND(NOT($D77="Polearm"),ISERR(FIND("wand",LOWER($E77)))),0,INDEX(Regeneration!F$2:F$151,A77)*0.06),"")</f>
        <v/>
      </c>
      <c r="AQ77" s="88">
        <f t="shared" si="61"/>
        <v>0.05</v>
      </c>
      <c r="AR77" s="88">
        <f t="shared" si="62"/>
        <v>0.05</v>
      </c>
      <c r="AS77" s="16" t="str">
        <f>IF(D77="Shield",INDEX(Regeneration!$C$2:$C$151,A77+3)*0.5*IF(ISERR(FIND("Rare",B77)),IF(ISERR(FIND("Uncommon",B77)),1,1.5),2.25),"")</f>
        <v/>
      </c>
      <c r="AT77" s="16" t="str">
        <f t="shared" si="49"/>
        <v/>
      </c>
      <c r="AU77" s="16" t="str">
        <f t="shared" si="50"/>
        <v/>
      </c>
      <c r="AV77" s="16" t="str">
        <f t="shared" si="51"/>
        <v/>
      </c>
      <c r="AW77" s="16" t="str">
        <f>IF(D77="Ring",INDEX(Regeneration!$B$6:$B$155,A77)*0.06,"")</f>
        <v/>
      </c>
      <c r="AX77" s="62" t="str">
        <f t="shared" si="66"/>
        <v/>
      </c>
      <c r="AZ77" s="16" t="str">
        <f t="shared" si="63"/>
        <v/>
      </c>
      <c r="BA77" s="6">
        <f t="shared" si="52"/>
        <v>0.05</v>
      </c>
      <c r="BB77" s="6">
        <f t="shared" si="65"/>
        <v>0.05</v>
      </c>
    </row>
    <row r="78" spans="1:54">
      <c r="A78" s="62">
        <v>20</v>
      </c>
      <c r="B78" s="30" t="s">
        <v>492</v>
      </c>
      <c r="C78" s="30" t="s">
        <v>10</v>
      </c>
      <c r="D78" s="30" t="s">
        <v>472</v>
      </c>
      <c r="E78" s="30" t="s">
        <v>586</v>
      </c>
      <c r="F78" s="30" t="s">
        <v>648</v>
      </c>
      <c r="G78" s="76">
        <f t="shared" si="42"/>
        <v>20</v>
      </c>
      <c r="H78" s="101">
        <v>150</v>
      </c>
      <c r="J78" s="76" t="s">
        <v>685</v>
      </c>
      <c r="K78" s="76" t="str">
        <f t="array" ref="K78">"A"&amp;IF(IF(ISBLANK(I78),OR(LEFT(LOWER(F78),1)={"a","e","I","o","u"}),OR(LEFT(LOWER(I78),1)={"a","e","I","o","u"})),"n "," ")&amp;I78&amp;IF(ISBLANK(I78),""," ")&amp;LOWER(F78)&amp;IF(LEFT(J78,1)="-",""," ")&amp;J78</f>
        <v>A holy weapon</v>
      </c>
      <c r="L78" s="76">
        <v>1</v>
      </c>
      <c r="M78" s="62">
        <v>29</v>
      </c>
      <c r="N78" s="62" t="s">
        <v>645</v>
      </c>
      <c r="O78" s="93" t="b">
        <f t="shared" si="53"/>
        <v>0</v>
      </c>
      <c r="P78" s="76" t="s">
        <v>504</v>
      </c>
      <c r="Q78" s="62" t="s">
        <v>506</v>
      </c>
      <c r="R78" s="100">
        <f t="shared" si="31"/>
        <v>0.9</v>
      </c>
      <c r="S78" s="93">
        <f t="shared" si="54"/>
        <v>1</v>
      </c>
      <c r="T78" s="98">
        <f t="shared" si="55"/>
        <v>0.7</v>
      </c>
      <c r="U78" s="95">
        <f t="shared" si="56"/>
        <v>2</v>
      </c>
      <c r="V78" s="98">
        <f t="shared" si="57"/>
        <v>454.99999999999994</v>
      </c>
      <c r="W78" s="6">
        <f t="shared" si="58"/>
        <v>0.15</v>
      </c>
      <c r="X78" s="6">
        <v>0</v>
      </c>
      <c r="Y78" s="76" t="b">
        <v>1</v>
      </c>
      <c r="Z78" s="76">
        <f t="shared" si="44"/>
        <v>20</v>
      </c>
      <c r="AA78" s="71">
        <f t="shared" si="45"/>
        <v>22</v>
      </c>
      <c r="AD78" s="71" t="str">
        <f t="shared" si="46"/>
        <v/>
      </c>
      <c r="AE78" s="71" t="str">
        <f t="shared" si="47"/>
        <v/>
      </c>
      <c r="AG78" s="43">
        <f>IF(N78,INDEX(Damage!$F$2:$F$151,A78)*R78*S78*V78/1000,"")</f>
        <v>41.870340909090906</v>
      </c>
      <c r="AH78" s="94">
        <f t="shared" si="59"/>
        <v>35.589789772727272</v>
      </c>
      <c r="AI78" s="94">
        <f t="shared" si="60"/>
        <v>48.15089204545454</v>
      </c>
      <c r="AJ78" s="79" t="s">
        <v>644</v>
      </c>
      <c r="AK78" s="6" t="b">
        <f t="array" ref="AK78">IF(AJ78,MAX(IF(Armor!$D$2:'Armor'!$D$7=D78,Armor!$E$2:$E$7),0))</f>
        <v>0</v>
      </c>
      <c r="AL78" s="6">
        <f t="shared" si="30"/>
        <v>0</v>
      </c>
      <c r="AM78" s="71">
        <f>(AL78+AK78)*INDEX(Armor!$B$2:$B$151,A78)+IF(AJ78,1,0)</f>
        <v>0</v>
      </c>
      <c r="AN78" s="71">
        <f>IF(C78="Caster",IF(ISERR(FIND("orb",LOWER(E78))),IF(ISERR(FIND("wand",LOWER(E78))),IF(NOT($D78="Polearm"),0,INDEX(Regeneration!$M$2:$M$151,A78+2)),INDEX(Regeneration!$L$2:$L$151,A78+2)),INDEX(Regeneration!$K$2:$K$151,A78+2)),0)</f>
        <v>0</v>
      </c>
      <c r="AO78" s="71" t="str">
        <f t="shared" si="48"/>
        <v/>
      </c>
      <c r="AP78" s="71" t="str">
        <f>IF(AND($N78,$C78="Caster"),IF(AND(NOT($D78="Polearm"),ISERR(FIND("wand",LOWER($E78)))),0,INDEX(Regeneration!F$2:F$151,A78)*0.06),"")</f>
        <v/>
      </c>
      <c r="AQ78" s="88">
        <f t="shared" si="61"/>
        <v>0.05</v>
      </c>
      <c r="AR78" s="88">
        <f t="shared" si="62"/>
        <v>0.05</v>
      </c>
      <c r="AS78" s="16" t="str">
        <f>IF(D78="Shield",INDEX(Regeneration!$C$2:$C$151,A78+3)*0.5*IF(ISERR(FIND("Rare",B78)),IF(ISERR(FIND("Uncommon",B78)),1,1.5),2.25),"")</f>
        <v/>
      </c>
      <c r="AT78" s="16" t="str">
        <f t="shared" si="49"/>
        <v/>
      </c>
      <c r="AU78" s="16" t="str">
        <f t="shared" si="50"/>
        <v/>
      </c>
      <c r="AV78" s="16" t="str">
        <f t="shared" si="51"/>
        <v/>
      </c>
      <c r="AW78" s="16" t="str">
        <f>IF(D78="Ring",INDEX(Regeneration!$B$6:$B$155,A78)*0.06,"")</f>
        <v/>
      </c>
      <c r="AX78" s="62" t="str">
        <f t="shared" si="66"/>
        <v/>
      </c>
      <c r="AZ78" s="16" t="str">
        <f t="shared" si="63"/>
        <v/>
      </c>
      <c r="BA78" s="6">
        <f t="shared" si="52"/>
        <v>0.05</v>
      </c>
      <c r="BB78" s="6">
        <f t="shared" si="65"/>
        <v>0.05</v>
      </c>
    </row>
    <row r="79" spans="1:54">
      <c r="A79" s="76">
        <v>20</v>
      </c>
      <c r="B79" s="30" t="s">
        <v>492</v>
      </c>
      <c r="C79" s="30" t="s">
        <v>496</v>
      </c>
      <c r="D79" s="30" t="s">
        <v>401</v>
      </c>
      <c r="E79" s="30" t="s">
        <v>582</v>
      </c>
      <c r="F79" s="30" t="s">
        <v>648</v>
      </c>
      <c r="G79" s="76">
        <f t="shared" si="42"/>
        <v>20</v>
      </c>
      <c r="H79" s="101">
        <v>150</v>
      </c>
      <c r="J79" s="76" t="str">
        <f t="shared" ref="J79:J90" si="67">LOWER(D79)</f>
        <v>armor</v>
      </c>
      <c r="K79" s="76" t="str">
        <f t="array" ref="K79">"A"&amp;IF(IF(ISBLANK(I79),OR(LEFT(LOWER(F79),1)={"a","e","I","o","u"}),OR(LEFT(LOWER(I79),1)={"a","e","I","o","u"})),"n "," ")&amp;I79&amp;IF(ISBLANK(I79),""," ")&amp;LOWER(F79)&amp;IF(LEFT(J79,1)="-",""," ")&amp;J79</f>
        <v>A holy armor</v>
      </c>
      <c r="L79" s="76">
        <v>1</v>
      </c>
      <c r="M79" s="62">
        <v>509</v>
      </c>
      <c r="N79" s="62" t="s">
        <v>644</v>
      </c>
      <c r="O79" s="93" t="b">
        <f t="shared" si="53"/>
        <v>0</v>
      </c>
      <c r="P79" s="76" t="s">
        <v>490</v>
      </c>
      <c r="Q79" s="62" t="s">
        <v>490</v>
      </c>
      <c r="R79" s="100" t="str">
        <f t="shared" si="31"/>
        <v/>
      </c>
      <c r="S79" s="93" t="str">
        <f t="shared" si="54"/>
        <v/>
      </c>
      <c r="T79" s="98" t="str">
        <f t="shared" si="55"/>
        <v/>
      </c>
      <c r="U79" s="95" t="str">
        <f t="shared" si="56"/>
        <v/>
      </c>
      <c r="V79" s="98" t="str">
        <f t="shared" si="57"/>
        <v/>
      </c>
      <c r="W79" s="6" t="str">
        <f t="shared" si="58"/>
        <v/>
      </c>
      <c r="X79" s="6">
        <v>0</v>
      </c>
      <c r="Y79" s="76" t="b">
        <v>1</v>
      </c>
      <c r="Z79" s="76">
        <f t="shared" si="44"/>
        <v>20</v>
      </c>
      <c r="AA79" s="71" t="str">
        <f t="shared" si="45"/>
        <v/>
      </c>
      <c r="AD79" s="71" t="str">
        <f t="shared" si="46"/>
        <v/>
      </c>
      <c r="AE79" s="71" t="str">
        <f t="shared" si="47"/>
        <v/>
      </c>
      <c r="AG79" s="43" t="str">
        <f>IF(N79,INDEX(Damage!$F$2:$F$151,A79)*R79*S79*V79/1000,"")</f>
        <v/>
      </c>
      <c r="AH79" s="94" t="str">
        <f t="shared" si="59"/>
        <v/>
      </c>
      <c r="AI79" s="94" t="str">
        <f t="shared" si="60"/>
        <v/>
      </c>
      <c r="AJ79" s="79" t="s">
        <v>645</v>
      </c>
      <c r="AK79" s="6">
        <f t="array" ref="AK79">IF(AJ79,MAX(IF(Armor!$D$2:'Armor'!$D$7=D79,Armor!$E$2:$E$7),0))</f>
        <v>0.45</v>
      </c>
      <c r="AL79" s="6">
        <f t="shared" si="30"/>
        <v>0</v>
      </c>
      <c r="AM79" s="71">
        <f>(AL79+AK79)*INDEX(Armor!$B$2:$B$151,A79)+IF(AJ79,1,0)</f>
        <v>74.8</v>
      </c>
      <c r="AN79" s="71">
        <f>IF(C79="Caster",IF(ISERR(FIND("orb",LOWER(E79))),IF(ISERR(FIND("wand",LOWER(E79))),IF(NOT($D79="Polearm"),0,INDEX(Regeneration!$M$2:$M$151,A79+2)),INDEX(Regeneration!$L$2:$L$151,A79+2)),INDEX(Regeneration!$K$2:$K$151,A79+2)),0)</f>
        <v>0</v>
      </c>
      <c r="AO79" s="71" t="str">
        <f t="shared" si="48"/>
        <v/>
      </c>
      <c r="AP79" s="71" t="str">
        <f>IF(AND($N79,$C79="Caster"),IF(AND(NOT($D79="Polearm"),ISERR(FIND("wand",LOWER($E79)))),0,INDEX(Regeneration!F$2:F$151,A79)*0.06),"")</f>
        <v/>
      </c>
      <c r="AQ79" s="88">
        <f t="shared" si="61"/>
        <v>0</v>
      </c>
      <c r="AR79" s="88">
        <f t="shared" si="62"/>
        <v>0</v>
      </c>
      <c r="AS79" s="16" t="str">
        <f>IF(D79="Shield",INDEX(Regeneration!$C$2:$C$151,A79+3)*0.5*IF(ISERR(FIND("Rare",B79)),IF(ISERR(FIND("Uncommon",B79)),1,1.5),2.25),"")</f>
        <v/>
      </c>
      <c r="AT79" s="16" t="str">
        <f t="shared" si="49"/>
        <v/>
      </c>
      <c r="AU79" s="16" t="str">
        <f t="shared" si="50"/>
        <v/>
      </c>
      <c r="AV79" s="16" t="str">
        <f t="shared" si="51"/>
        <v/>
      </c>
      <c r="AW79" s="16" t="str">
        <f>IF(D79="Ring",INDEX(Regeneration!$B$6:$B$155,A79)*0.06,"")</f>
        <v/>
      </c>
      <c r="AX79" s="62" t="str">
        <f t="shared" si="66"/>
        <v/>
      </c>
      <c r="AZ79" s="16" t="str">
        <f t="shared" si="63"/>
        <v/>
      </c>
      <c r="BA79" s="6">
        <f t="shared" si="52"/>
        <v>0</v>
      </c>
      <c r="BB79" s="6">
        <f t="shared" si="65"/>
        <v>0</v>
      </c>
    </row>
    <row r="80" spans="1:54">
      <c r="A80" s="76">
        <v>20</v>
      </c>
      <c r="B80" s="30" t="s">
        <v>492</v>
      </c>
      <c r="C80" s="30" t="s">
        <v>496</v>
      </c>
      <c r="D80" s="30" t="s">
        <v>484</v>
      </c>
      <c r="E80" s="30" t="s">
        <v>592</v>
      </c>
      <c r="F80" s="30" t="s">
        <v>648</v>
      </c>
      <c r="G80" s="76">
        <f t="shared" si="42"/>
        <v>20</v>
      </c>
      <c r="H80" s="101">
        <v>150</v>
      </c>
      <c r="J80" s="89" t="str">
        <f t="shared" si="67"/>
        <v>belt</v>
      </c>
      <c r="K80" s="76" t="str">
        <f t="array" ref="K80">"A"&amp;IF(IF(ISBLANK(I80),OR(LEFT(LOWER(F80),1)={"a","e","I","o","u"}),OR(LEFT(LOWER(I80),1)={"a","e","I","o","u"})),"n "," ")&amp;I80&amp;IF(ISBLANK(I80),""," ")&amp;LOWER(F80)&amp;IF(LEFT(J80,1)="-",""," ")&amp;J80</f>
        <v>A holy belt</v>
      </c>
      <c r="L80" s="76">
        <v>1</v>
      </c>
      <c r="M80" s="62">
        <v>29</v>
      </c>
      <c r="N80" s="62" t="s">
        <v>644</v>
      </c>
      <c r="O80" s="93" t="b">
        <f t="shared" si="53"/>
        <v>0</v>
      </c>
      <c r="P80" s="76" t="s">
        <v>490</v>
      </c>
      <c r="Q80" s="62" t="s">
        <v>490</v>
      </c>
      <c r="R80" s="100" t="str">
        <f t="shared" si="31"/>
        <v/>
      </c>
      <c r="S80" s="93" t="str">
        <f t="shared" si="54"/>
        <v/>
      </c>
      <c r="T80" s="98" t="str">
        <f t="shared" si="55"/>
        <v/>
      </c>
      <c r="U80" s="95" t="str">
        <f t="shared" si="56"/>
        <v/>
      </c>
      <c r="V80" s="98" t="str">
        <f t="shared" si="57"/>
        <v/>
      </c>
      <c r="W80" s="6" t="str">
        <f t="shared" si="58"/>
        <v/>
      </c>
      <c r="X80" s="6">
        <v>0</v>
      </c>
      <c r="Y80" s="76" t="b">
        <v>1</v>
      </c>
      <c r="Z80" s="76">
        <f t="shared" si="44"/>
        <v>20</v>
      </c>
      <c r="AA80" s="71" t="str">
        <f t="shared" si="45"/>
        <v/>
      </c>
      <c r="AD80" s="71" t="str">
        <f t="shared" si="46"/>
        <v/>
      </c>
      <c r="AE80" s="71" t="str">
        <f t="shared" si="47"/>
        <v/>
      </c>
      <c r="AG80" s="43" t="str">
        <f>IF(N80,INDEX(Damage!$F$2:$F$151,A80)*R80*S80*V80/1000,"")</f>
        <v/>
      </c>
      <c r="AH80" s="94" t="str">
        <f t="shared" si="59"/>
        <v/>
      </c>
      <c r="AI80" s="94" t="str">
        <f t="shared" si="60"/>
        <v/>
      </c>
      <c r="AJ80" s="79" t="s">
        <v>645</v>
      </c>
      <c r="AK80" s="6">
        <f t="array" ref="AK80">IF(AJ80,MAX(IF(Armor!$D$2:'Armor'!$D$7=D80,Armor!$E$2:$E$7),0))</f>
        <v>0.06</v>
      </c>
      <c r="AL80" s="6">
        <f t="shared" si="30"/>
        <v>0</v>
      </c>
      <c r="AM80" s="71">
        <f>(AL80+AK80)*INDEX(Armor!$B$2:$B$151,A80)+IF(AJ80,1,0)</f>
        <v>10.84</v>
      </c>
      <c r="AN80" s="71">
        <f>IF(C80="Caster",IF(ISERR(FIND("orb",LOWER(E80))),IF(ISERR(FIND("wand",LOWER(E80))),IF(NOT($D80="Polearm"),0,INDEX(Regeneration!$M$2:$M$151,A80+2)),INDEX(Regeneration!$L$2:$L$151,A80+2)),INDEX(Regeneration!$K$2:$K$151,A80+2)),0)</f>
        <v>0</v>
      </c>
      <c r="AO80" s="71" t="str">
        <f t="shared" si="48"/>
        <v/>
      </c>
      <c r="AP80" s="71" t="str">
        <f>IF(AND($N80,$C80="Caster"),IF(AND(NOT($D80="Polearm"),ISERR(FIND("wand",LOWER($E80)))),0,INDEX(Regeneration!F$2:F$151,A80)*0.06),"")</f>
        <v/>
      </c>
      <c r="AQ80" s="88">
        <f t="shared" si="61"/>
        <v>0</v>
      </c>
      <c r="AR80" s="88">
        <f t="shared" si="62"/>
        <v>0</v>
      </c>
      <c r="AS80" s="16" t="str">
        <f>IF(D80="Shield",INDEX(Regeneration!$C$2:$C$151,A80+3)*0.5*IF(ISERR(FIND("Rare",B80)),IF(ISERR(FIND("Uncommon",B80)),1,1.5),2.25),"")</f>
        <v/>
      </c>
      <c r="AT80" s="16" t="str">
        <f t="shared" si="49"/>
        <v/>
      </c>
      <c r="AU80" s="16" t="str">
        <f t="shared" si="50"/>
        <v/>
      </c>
      <c r="AV80" s="16" t="str">
        <f t="shared" si="51"/>
        <v/>
      </c>
      <c r="AW80" s="16" t="str">
        <f>IF(D80="Ring",INDEX(Regeneration!$B$6:$B$155,A80)*0.06,"")</f>
        <v/>
      </c>
      <c r="AX80" s="62" t="str">
        <f t="shared" si="66"/>
        <v/>
      </c>
      <c r="AZ80" s="16" t="str">
        <f t="shared" si="63"/>
        <v/>
      </c>
      <c r="BA80" s="6">
        <f t="shared" si="52"/>
        <v>0</v>
      </c>
      <c r="BB80" s="6">
        <f t="shared" si="65"/>
        <v>0</v>
      </c>
    </row>
    <row r="81" spans="1:54">
      <c r="A81" s="76">
        <v>20</v>
      </c>
      <c r="B81" s="30" t="s">
        <v>492</v>
      </c>
      <c r="C81" s="30" t="s">
        <v>496</v>
      </c>
      <c r="D81" s="30" t="s">
        <v>487</v>
      </c>
      <c r="E81" s="30" t="s">
        <v>583</v>
      </c>
      <c r="F81" s="30" t="s">
        <v>648</v>
      </c>
      <c r="G81" s="76">
        <f t="shared" si="42"/>
        <v>20</v>
      </c>
      <c r="H81" s="101">
        <v>150</v>
      </c>
      <c r="I81" s="76" t="s">
        <v>693</v>
      </c>
      <c r="J81" s="76" t="str">
        <f t="shared" si="67"/>
        <v>boots</v>
      </c>
      <c r="K81" s="76" t="str">
        <f t="array" ref="K81">"A"&amp;IF(IF(ISBLANK(I81),OR(LEFT(LOWER(F81),1)={"a","e","I","o","u"}),OR(LEFT(LOWER(I81),1)={"a","e","I","o","u"})),"n "," ")&amp;I81&amp;IF(ISBLANK(I81),""," ")&amp;LOWER(F81)&amp;IF(LEFT(J81,1)="-",""," ")&amp;J81</f>
        <v>A brilliant set of holy boots</v>
      </c>
      <c r="L81" s="76">
        <v>1</v>
      </c>
      <c r="M81" s="62">
        <v>89</v>
      </c>
      <c r="N81" s="62" t="s">
        <v>644</v>
      </c>
      <c r="O81" s="93" t="b">
        <f t="shared" si="53"/>
        <v>0</v>
      </c>
      <c r="P81" s="76" t="s">
        <v>490</v>
      </c>
      <c r="Q81" s="62" t="s">
        <v>490</v>
      </c>
      <c r="R81" s="100" t="str">
        <f t="shared" si="31"/>
        <v/>
      </c>
      <c r="S81" s="93" t="str">
        <f t="shared" si="54"/>
        <v/>
      </c>
      <c r="T81" s="98" t="str">
        <f t="shared" si="55"/>
        <v/>
      </c>
      <c r="U81" s="95" t="str">
        <f t="shared" si="56"/>
        <v/>
      </c>
      <c r="V81" s="98" t="str">
        <f t="shared" si="57"/>
        <v/>
      </c>
      <c r="W81" s="6" t="str">
        <f t="shared" si="58"/>
        <v/>
      </c>
      <c r="X81" s="6">
        <v>0</v>
      </c>
      <c r="Y81" s="76" t="b">
        <v>1</v>
      </c>
      <c r="Z81" s="76">
        <f t="shared" si="44"/>
        <v>20</v>
      </c>
      <c r="AA81" s="71" t="str">
        <f t="shared" si="45"/>
        <v/>
      </c>
      <c r="AD81" s="71" t="str">
        <f t="shared" si="46"/>
        <v/>
      </c>
      <c r="AE81" s="71" t="str">
        <f t="shared" si="47"/>
        <v/>
      </c>
      <c r="AG81" s="43" t="str">
        <f>IF(N81,INDEX(Damage!$F$2:$F$151,A81)*R81*S81*V81/1000,"")</f>
        <v/>
      </c>
      <c r="AH81" s="94" t="str">
        <f t="shared" si="59"/>
        <v/>
      </c>
      <c r="AI81" s="94" t="str">
        <f t="shared" si="60"/>
        <v/>
      </c>
      <c r="AJ81" s="79" t="s">
        <v>645</v>
      </c>
      <c r="AK81" s="6">
        <f t="array" ref="AK81">IF(AJ81,MAX(IF(Armor!$D$2:'Armor'!$D$7=D81,Armor!$E$2:$E$7),0))</f>
        <v>0.1</v>
      </c>
      <c r="AL81" s="6">
        <f t="shared" si="30"/>
        <v>0</v>
      </c>
      <c r="AM81" s="71">
        <f>(AL81+AK81)*INDEX(Armor!$B$2:$B$151,A81)+IF(AJ81,1,0)</f>
        <v>17.400000000000002</v>
      </c>
      <c r="AN81" s="71">
        <f>IF(C81="Caster",IF(ISERR(FIND("orb",LOWER(E81))),IF(ISERR(FIND("wand",LOWER(E81))),IF(NOT($D81="Polearm"),0,INDEX(Regeneration!$M$2:$M$151,A81+2)),INDEX(Regeneration!$L$2:$L$151,A81+2)),INDEX(Regeneration!$K$2:$K$151,A81+2)),0)</f>
        <v>0</v>
      </c>
      <c r="AO81" s="71" t="str">
        <f t="shared" si="48"/>
        <v/>
      </c>
      <c r="AP81" s="71" t="str">
        <f>IF(AND($N81,$C81="Caster"),IF(AND(NOT($D81="Polearm"),ISERR(FIND("wand",LOWER($E81)))),0,INDEX(Regeneration!F$2:F$151,A81)*0.06),"")</f>
        <v/>
      </c>
      <c r="AQ81" s="88">
        <f t="shared" si="61"/>
        <v>0</v>
      </c>
      <c r="AR81" s="88">
        <f t="shared" si="62"/>
        <v>0</v>
      </c>
      <c r="AS81" s="16" t="str">
        <f>IF(D81="Shield",INDEX(Regeneration!$C$2:$C$151,A81+3)*0.5*IF(ISERR(FIND("Rare",B81)),IF(ISERR(FIND("Uncommon",B81)),1,1.5),2.25),"")</f>
        <v/>
      </c>
      <c r="AT81" s="16" t="str">
        <f t="shared" si="49"/>
        <v/>
      </c>
      <c r="AU81" s="16" t="str">
        <f t="shared" si="50"/>
        <v/>
      </c>
      <c r="AV81" s="16" t="str">
        <f t="shared" si="51"/>
        <v/>
      </c>
      <c r="AW81" s="16" t="str">
        <f>IF(D81="Ring",INDEX(Regeneration!$B$6:$B$155,A81)*0.06,"")</f>
        <v/>
      </c>
      <c r="AX81" s="62" t="str">
        <f t="shared" si="66"/>
        <v/>
      </c>
      <c r="AZ81" s="16" t="str">
        <f t="shared" si="63"/>
        <v/>
      </c>
      <c r="BA81" s="6">
        <f t="shared" si="52"/>
        <v>0</v>
      </c>
      <c r="BB81" s="6">
        <f t="shared" si="65"/>
        <v>0</v>
      </c>
    </row>
    <row r="82" spans="1:54">
      <c r="A82" s="76">
        <v>20</v>
      </c>
      <c r="B82" s="30" t="s">
        <v>492</v>
      </c>
      <c r="C82" s="30" t="s">
        <v>10</v>
      </c>
      <c r="D82" s="30" t="s">
        <v>479</v>
      </c>
      <c r="E82" s="30" t="s">
        <v>590</v>
      </c>
      <c r="F82" s="30" t="s">
        <v>648</v>
      </c>
      <c r="G82" s="76">
        <f t="shared" si="42"/>
        <v>20</v>
      </c>
      <c r="H82" s="101">
        <v>150</v>
      </c>
      <c r="J82" s="89" t="str">
        <f t="shared" si="67"/>
        <v>bow</v>
      </c>
      <c r="K82" s="76" t="str">
        <f t="array" ref="K82">"A"&amp;IF(IF(ISBLANK(I82),OR(LEFT(LOWER(F82),1)={"a","e","I","o","u"}),OR(LEFT(LOWER(I82),1)={"a","e","I","o","u"})),"n "," ")&amp;I82&amp;IF(ISBLANK(I82),""," ")&amp;LOWER(F82)&amp;IF(LEFT(J82,1)="-",""," ")&amp;J82</f>
        <v>A holy bow</v>
      </c>
      <c r="L82" s="76">
        <v>1</v>
      </c>
      <c r="M82" s="62">
        <v>29</v>
      </c>
      <c r="N82" s="62" t="s">
        <v>645</v>
      </c>
      <c r="O82" s="93" t="b">
        <f t="shared" si="53"/>
        <v>1</v>
      </c>
      <c r="P82" s="76" t="s">
        <v>504</v>
      </c>
      <c r="Q82" s="62" t="s">
        <v>643</v>
      </c>
      <c r="R82" s="100">
        <f t="shared" si="31"/>
        <v>0.9</v>
      </c>
      <c r="S82" s="93">
        <f t="shared" si="54"/>
        <v>1</v>
      </c>
      <c r="T82" s="98">
        <f t="shared" si="55"/>
        <v>1</v>
      </c>
      <c r="U82" s="95">
        <f t="shared" si="56"/>
        <v>8</v>
      </c>
      <c r="V82" s="98">
        <f t="shared" si="57"/>
        <v>650</v>
      </c>
      <c r="W82" s="6">
        <f t="shared" si="58"/>
        <v>0.18</v>
      </c>
      <c r="X82" s="6">
        <v>0</v>
      </c>
      <c r="Y82" s="76" t="b">
        <v>1</v>
      </c>
      <c r="Z82" s="76">
        <f t="shared" si="44"/>
        <v>20</v>
      </c>
      <c r="AA82" s="71">
        <f t="shared" si="45"/>
        <v>22</v>
      </c>
      <c r="AD82" s="71" t="str">
        <f t="shared" si="46"/>
        <v/>
      </c>
      <c r="AE82" s="71" t="str">
        <f t="shared" si="47"/>
        <v/>
      </c>
      <c r="AG82" s="43">
        <f>IF(N82,INDEX(Damage!$F$2:$F$151,A82)*R82*S82*V82/1000,"")</f>
        <v>59.814772727272718</v>
      </c>
      <c r="AH82" s="94">
        <f t="shared" si="59"/>
        <v>49.048113636363631</v>
      </c>
      <c r="AI82" s="94">
        <f t="shared" si="60"/>
        <v>70.581431818181812</v>
      </c>
      <c r="AJ82" s="79" t="s">
        <v>644</v>
      </c>
      <c r="AK82" s="6" t="b">
        <f t="array" ref="AK82">IF(AJ82,MAX(IF(Armor!$D$2:'Armor'!$D$7=D82,Armor!$E$2:$E$7),0))</f>
        <v>0</v>
      </c>
      <c r="AL82" s="6">
        <f t="shared" si="30"/>
        <v>0</v>
      </c>
      <c r="AM82" s="71">
        <f>(AL82+AK82)*INDEX(Armor!$B$2:$B$151,A82)+IF(AJ82,1,0)</f>
        <v>0</v>
      </c>
      <c r="AN82" s="71">
        <f>IF(C82="Caster",IF(ISERR(FIND("orb",LOWER(E82))),IF(ISERR(FIND("wand",LOWER(E82))),IF(NOT($D82="Polearm"),0,INDEX(Regeneration!$M$2:$M$151,A82+2)),INDEX(Regeneration!$L$2:$L$151,A82+2)),INDEX(Regeneration!$K$2:$K$151,A82+2)),0)</f>
        <v>0</v>
      </c>
      <c r="AO82" s="71" t="str">
        <f t="shared" si="48"/>
        <v/>
      </c>
      <c r="AP82" s="71" t="str">
        <f>IF(AND($N82,$C82="Caster"),IF(AND(NOT($D82="Polearm"),ISERR(FIND("wand",LOWER($E82)))),0,INDEX(Regeneration!F$2:F$151,A82)*0.06),"")</f>
        <v/>
      </c>
      <c r="AQ82" s="88">
        <f t="shared" si="61"/>
        <v>0.15</v>
      </c>
      <c r="AR82" s="88">
        <f t="shared" si="62"/>
        <v>0.15</v>
      </c>
      <c r="AS82" s="16" t="str">
        <f>IF(D82="Shield",INDEX(Regeneration!$C$2:$C$151,A82+3)*0.5*IF(ISERR(FIND("Rare",B82)),IF(ISERR(FIND("Uncommon",B82)),1,1.5),2.25),"")</f>
        <v/>
      </c>
      <c r="AT82" s="16" t="str">
        <f t="shared" si="49"/>
        <v/>
      </c>
      <c r="AU82" s="16" t="str">
        <f t="shared" si="50"/>
        <v/>
      </c>
      <c r="AV82" s="16" t="str">
        <f t="shared" si="51"/>
        <v/>
      </c>
      <c r="AW82" s="16" t="str">
        <f>IF(D82="Ring",INDEX(Regeneration!$B$6:$B$155,A82)*0.06,"")</f>
        <v/>
      </c>
      <c r="AX82" s="62" t="str">
        <f t="shared" si="66"/>
        <v/>
      </c>
      <c r="AZ82" s="16" t="str">
        <f t="shared" si="63"/>
        <v/>
      </c>
      <c r="BA82" s="6">
        <f t="shared" si="52"/>
        <v>0.15</v>
      </c>
      <c r="BB82" s="6">
        <f t="shared" si="65"/>
        <v>0.15</v>
      </c>
    </row>
    <row r="83" spans="1:54">
      <c r="A83" s="76">
        <v>20</v>
      </c>
      <c r="B83" s="30" t="s">
        <v>492</v>
      </c>
      <c r="C83" s="30" t="s">
        <v>10</v>
      </c>
      <c r="D83" s="30" t="s">
        <v>450</v>
      </c>
      <c r="E83" s="30" t="s">
        <v>785</v>
      </c>
      <c r="F83" s="30" t="s">
        <v>648</v>
      </c>
      <c r="G83" s="76">
        <f t="shared" si="42"/>
        <v>20</v>
      </c>
      <c r="H83" s="101">
        <v>150</v>
      </c>
      <c r="J83" s="89" t="str">
        <f t="shared" si="67"/>
        <v>crossbow</v>
      </c>
      <c r="K83" s="76" t="str">
        <f t="array" ref="K83">"A"&amp;IF(IF(ISBLANK(I83),OR(LEFT(LOWER(F83),1)={"a","e","I","o","u"}),OR(LEFT(LOWER(I83),1)={"a","e","I","o","u"})),"n "," ")&amp;I83&amp;IF(ISBLANK(I83),""," ")&amp;LOWER(F83)&amp;IF(LEFT(J83,1)="-",""," ")&amp;J83</f>
        <v>A holy crossbow</v>
      </c>
      <c r="L83" s="76">
        <v>1</v>
      </c>
      <c r="M83" s="62">
        <v>80</v>
      </c>
      <c r="N83" s="62" t="b">
        <v>1</v>
      </c>
      <c r="O83" s="93" t="b">
        <f t="shared" si="53"/>
        <v>1</v>
      </c>
      <c r="P83" s="76"/>
      <c r="Q83" s="62" t="s">
        <v>505</v>
      </c>
      <c r="R83" s="100">
        <f t="shared" si="31"/>
        <v>1.0349999999999999</v>
      </c>
      <c r="S83" s="93">
        <f t="shared" si="54"/>
        <v>1</v>
      </c>
      <c r="T83" s="98">
        <f t="shared" si="55"/>
        <v>1.3</v>
      </c>
      <c r="U83" s="95">
        <f t="shared" si="56"/>
        <v>8</v>
      </c>
      <c r="V83" s="98">
        <f t="shared" si="57"/>
        <v>845</v>
      </c>
      <c r="W83" s="6">
        <f t="shared" si="58"/>
        <v>0.3</v>
      </c>
      <c r="X83" s="6">
        <v>0</v>
      </c>
      <c r="Y83" s="76" t="b">
        <v>1</v>
      </c>
      <c r="Z83" s="76">
        <f t="shared" si="44"/>
        <v>20</v>
      </c>
      <c r="AA83" s="71">
        <f t="shared" si="45"/>
        <v>22</v>
      </c>
      <c r="AD83" s="71" t="str">
        <f t="shared" si="46"/>
        <v/>
      </c>
      <c r="AE83" s="71" t="str">
        <f t="shared" si="47"/>
        <v/>
      </c>
      <c r="AG83" s="43">
        <f>IF(N83,INDEX(Damage!$F$2:$F$151,A83)*R83*S83*V83/1000,"")</f>
        <v>89.423085227272722</v>
      </c>
      <c r="AH83" s="94">
        <f t="shared" si="59"/>
        <v>62.596159659090901</v>
      </c>
      <c r="AI83" s="94">
        <f t="shared" si="60"/>
        <v>116.25001079545454</v>
      </c>
      <c r="AJ83" s="90" t="b">
        <v>0</v>
      </c>
      <c r="AK83" s="6" t="b">
        <f t="array" ref="AK83">IF(AJ83,MAX(IF(Armor!$D$2:'Armor'!$D$7=D83,Armor!$E$2:$E$7),0))</f>
        <v>0</v>
      </c>
      <c r="AL83" s="6">
        <f t="shared" si="30"/>
        <v>0</v>
      </c>
      <c r="AM83" s="71">
        <f>(AL83+AK83)*INDEX(Armor!$B$2:$B$151,A83)+IF(AJ83,1,0)</f>
        <v>0</v>
      </c>
      <c r="AN83" s="71">
        <f>IF(C83="Caster",IF(ISERR(FIND("orb",LOWER(E83))),IF(ISERR(FIND("wand",LOWER(E83))),IF(NOT($D83="Polearm"),0,INDEX(Regeneration!$M$2:$M$151,A83+2)),INDEX(Regeneration!$L$2:$L$151,A83+2)),INDEX(Regeneration!$K$2:$K$151,A83+2)),0)</f>
        <v>0</v>
      </c>
      <c r="AO83" s="71" t="str">
        <f t="shared" si="48"/>
        <v/>
      </c>
      <c r="AP83" s="71" t="str">
        <f>IF(AND($N83,$C83="Caster"),IF(AND(NOT($D83="Polearm"),ISERR(FIND("wand",LOWER($E83)))),0,INDEX(Regeneration!F$2:F$151,A83)*0.06),"")</f>
        <v/>
      </c>
      <c r="AQ83" s="88">
        <f t="shared" si="61"/>
        <v>0.15</v>
      </c>
      <c r="AR83" s="88">
        <f t="shared" si="62"/>
        <v>0.15</v>
      </c>
      <c r="AS83" s="16" t="str">
        <f>IF(D83="Shield",INDEX(Regeneration!$C$2:$C$151,A83+3)*0.5*IF(ISERR(FIND("Rare",B83)),IF(ISERR(FIND("Uncommon",B83)),1,1.5),2.25),"")</f>
        <v/>
      </c>
      <c r="AT83" s="16" t="str">
        <f t="shared" si="49"/>
        <v/>
      </c>
      <c r="AU83" s="16" t="str">
        <f t="shared" si="50"/>
        <v/>
      </c>
      <c r="AV83" s="16" t="str">
        <f t="shared" si="51"/>
        <v/>
      </c>
      <c r="AW83" s="16" t="str">
        <f>IF(D83="Ring",INDEX(Regeneration!$B$6:$B$155,A83)*0.06,"")</f>
        <v/>
      </c>
      <c r="AZ83" s="16" t="str">
        <f t="shared" si="63"/>
        <v/>
      </c>
      <c r="BA83" s="6">
        <f t="shared" si="52"/>
        <v>0.15</v>
      </c>
      <c r="BB83" s="6">
        <f t="shared" si="65"/>
        <v>0.15</v>
      </c>
    </row>
    <row r="84" spans="1:54">
      <c r="A84" s="76">
        <v>20</v>
      </c>
      <c r="B84" s="30" t="s">
        <v>492</v>
      </c>
      <c r="C84" s="30" t="s">
        <v>496</v>
      </c>
      <c r="D84" s="30" t="s">
        <v>488</v>
      </c>
      <c r="E84" s="30" t="s">
        <v>593</v>
      </c>
      <c r="F84" s="30" t="s">
        <v>648</v>
      </c>
      <c r="G84" s="76">
        <f t="shared" si="42"/>
        <v>20</v>
      </c>
      <c r="H84" s="101">
        <v>150</v>
      </c>
      <c r="J84" s="76" t="str">
        <f t="shared" si="67"/>
        <v>gloves</v>
      </c>
      <c r="K84" s="76" t="str">
        <f t="array" ref="K84">"A"&amp;IF(IF(ISBLANK(I84),OR(LEFT(LOWER(F84),1)={"a","e","I","o","u"}),OR(LEFT(LOWER(I84),1)={"a","e","I","o","u"})),"n "," ")&amp;I84&amp;IF(ISBLANK(I84),""," ")&amp;LOWER(F84)&amp;IF(LEFT(J84,1)="-",""," ")&amp;J84</f>
        <v>A holy gloves</v>
      </c>
      <c r="L84" s="76">
        <v>1</v>
      </c>
      <c r="M84" s="62">
        <v>29</v>
      </c>
      <c r="N84" s="62" t="s">
        <v>644</v>
      </c>
      <c r="O84" s="93" t="b">
        <f t="shared" si="53"/>
        <v>0</v>
      </c>
      <c r="P84" s="76" t="s">
        <v>490</v>
      </c>
      <c r="Q84" s="62" t="s">
        <v>490</v>
      </c>
      <c r="R84" s="100" t="str">
        <f t="shared" si="31"/>
        <v/>
      </c>
      <c r="S84" s="93" t="str">
        <f t="shared" si="54"/>
        <v/>
      </c>
      <c r="T84" s="98" t="str">
        <f t="shared" si="55"/>
        <v/>
      </c>
      <c r="U84" s="95" t="str">
        <f t="shared" si="56"/>
        <v/>
      </c>
      <c r="V84" s="98" t="str">
        <f t="shared" si="57"/>
        <v/>
      </c>
      <c r="W84" s="6" t="str">
        <f t="shared" si="58"/>
        <v/>
      </c>
      <c r="X84" s="6">
        <v>0</v>
      </c>
      <c r="Y84" s="76" t="b">
        <v>1</v>
      </c>
      <c r="Z84" s="76">
        <f t="shared" si="44"/>
        <v>20</v>
      </c>
      <c r="AA84" s="71" t="str">
        <f t="shared" si="45"/>
        <v/>
      </c>
      <c r="AD84" s="71" t="str">
        <f t="shared" si="46"/>
        <v/>
      </c>
      <c r="AE84" s="71" t="str">
        <f t="shared" si="47"/>
        <v/>
      </c>
      <c r="AG84" s="43" t="str">
        <f>IF(N84,INDEX(Damage!$F$2:$F$151,A84)*R84*S84*V84/1000,"")</f>
        <v/>
      </c>
      <c r="AH84" s="94" t="str">
        <f t="shared" si="59"/>
        <v/>
      </c>
      <c r="AI84" s="94" t="str">
        <f t="shared" si="60"/>
        <v/>
      </c>
      <c r="AJ84" s="79" t="s">
        <v>645</v>
      </c>
      <c r="AK84" s="6">
        <f t="array" ref="AK84">IF(AJ84,MAX(IF(Armor!$D$2:'Armor'!$D$7=D84,Armor!$E$2:$E$7),0))</f>
        <v>0.04</v>
      </c>
      <c r="AL84" s="6">
        <f t="shared" si="30"/>
        <v>0</v>
      </c>
      <c r="AM84" s="71">
        <f>(AL84+AK84)*INDEX(Armor!$B$2:$B$151,A84)+IF(AJ84,1,0)</f>
        <v>7.5600000000000005</v>
      </c>
      <c r="AN84" s="71">
        <f>IF(C84="Caster",IF(ISERR(FIND("orb",LOWER(E84))),IF(ISERR(FIND("wand",LOWER(E84))),IF(NOT($D84="Polearm"),0,INDEX(Regeneration!$M$2:$M$151,A84+2)),INDEX(Regeneration!$L$2:$L$151,A84+2)),INDEX(Regeneration!$K$2:$K$151,A84+2)),0)</f>
        <v>0</v>
      </c>
      <c r="AO84" s="71" t="str">
        <f t="shared" si="48"/>
        <v/>
      </c>
      <c r="AP84" s="71" t="str">
        <f>IF(AND($N84,$C84="Caster"),IF(AND(NOT($D84="Polearm"),ISERR(FIND("wand",LOWER($E84)))),0,INDEX(Regeneration!F$2:F$151,A84)*0.06),"")</f>
        <v/>
      </c>
      <c r="AQ84" s="88">
        <f t="shared" si="61"/>
        <v>0</v>
      </c>
      <c r="AR84" s="88">
        <f t="shared" si="62"/>
        <v>0</v>
      </c>
      <c r="AS84" s="16" t="str">
        <f>IF(D84="Shield",INDEX(Regeneration!$C$2:$C$151,A84+3)*0.5*IF(ISERR(FIND("Rare",B84)),IF(ISERR(FIND("Uncommon",B84)),1,1.5),2.25),"")</f>
        <v/>
      </c>
      <c r="AT84" s="16" t="str">
        <f t="shared" si="49"/>
        <v/>
      </c>
      <c r="AU84" s="16" t="str">
        <f t="shared" si="50"/>
        <v/>
      </c>
      <c r="AV84" s="16" t="str">
        <f t="shared" si="51"/>
        <v/>
      </c>
      <c r="AW84" s="16" t="str">
        <f>IF(D84="Ring",INDEX(Regeneration!$B$6:$B$155,A84)*0.06,"")</f>
        <v/>
      </c>
      <c r="AX84" s="62" t="str">
        <f>IF(AP84&lt;&gt;0,AP84,"")</f>
        <v/>
      </c>
      <c r="AZ84" s="16">
        <f t="shared" si="63"/>
        <v>6.4285714285714288</v>
      </c>
      <c r="BA84" s="6">
        <f t="shared" si="52"/>
        <v>0</v>
      </c>
      <c r="BB84" s="6">
        <f t="shared" si="65"/>
        <v>0</v>
      </c>
    </row>
    <row r="85" spans="1:54">
      <c r="A85" s="76">
        <v>20</v>
      </c>
      <c r="B85" s="30" t="s">
        <v>492</v>
      </c>
      <c r="C85" s="30" t="s">
        <v>496</v>
      </c>
      <c r="D85" s="30" t="s">
        <v>483</v>
      </c>
      <c r="E85" s="30" t="s">
        <v>584</v>
      </c>
      <c r="F85" s="30" t="s">
        <v>648</v>
      </c>
      <c r="G85" s="76">
        <f t="shared" si="42"/>
        <v>20</v>
      </c>
      <c r="H85" s="101">
        <v>150</v>
      </c>
      <c r="I85" s="76" t="s">
        <v>694</v>
      </c>
      <c r="J85" s="89" t="str">
        <f t="shared" si="67"/>
        <v>helmet</v>
      </c>
      <c r="K85" s="76" t="str">
        <f t="array" ref="K85">"A"&amp;IF(IF(ISBLANK(I85),OR(LEFT(LOWER(F85),1)={"a","e","I","o","u"}),OR(LEFT(LOWER(I85),1)={"a","e","I","o","u"})),"n "," ")&amp;I85&amp;IF(ISBLANK(I85),""," ")&amp;LOWER(F85)&amp;IF(LEFT(J85,1)="-",""," ")&amp;J85</f>
        <v>A glowing holy helmet</v>
      </c>
      <c r="L85" s="76">
        <v>1</v>
      </c>
      <c r="M85" s="62">
        <v>89</v>
      </c>
      <c r="N85" s="62" t="s">
        <v>644</v>
      </c>
      <c r="O85" s="93" t="b">
        <f t="shared" si="53"/>
        <v>0</v>
      </c>
      <c r="P85" s="76" t="s">
        <v>490</v>
      </c>
      <c r="Q85" s="62" t="s">
        <v>490</v>
      </c>
      <c r="R85" s="100" t="str">
        <f t="shared" si="31"/>
        <v/>
      </c>
      <c r="S85" s="93" t="str">
        <f t="shared" si="54"/>
        <v/>
      </c>
      <c r="T85" s="98" t="str">
        <f t="shared" si="55"/>
        <v/>
      </c>
      <c r="U85" s="95" t="str">
        <f t="shared" si="56"/>
        <v/>
      </c>
      <c r="V85" s="98" t="str">
        <f t="shared" si="57"/>
        <v/>
      </c>
      <c r="W85" s="6" t="str">
        <f t="shared" si="58"/>
        <v/>
      </c>
      <c r="X85" s="6">
        <v>0</v>
      </c>
      <c r="Y85" s="76" t="b">
        <v>1</v>
      </c>
      <c r="Z85" s="76">
        <f t="shared" si="44"/>
        <v>20</v>
      </c>
      <c r="AA85" s="71" t="str">
        <f t="shared" si="45"/>
        <v/>
      </c>
      <c r="AD85" s="71" t="str">
        <f t="shared" si="46"/>
        <v/>
      </c>
      <c r="AE85" s="71" t="str">
        <f t="shared" si="47"/>
        <v/>
      </c>
      <c r="AG85" s="43" t="str">
        <f>IF(N85,INDEX(Damage!$F$2:$F$151,A85)*R85*S85*V85/1000,"")</f>
        <v/>
      </c>
      <c r="AH85" s="94" t="str">
        <f t="shared" si="59"/>
        <v/>
      </c>
      <c r="AI85" s="94" t="str">
        <f t="shared" si="60"/>
        <v/>
      </c>
      <c r="AJ85" s="79" t="s">
        <v>645</v>
      </c>
      <c r="AK85" s="6">
        <f t="array" ref="AK85">IF(AJ85,MAX(IF(Armor!$D$2:'Armor'!$D$7=D85,Armor!$E$2:$E$7),0))</f>
        <v>0.1</v>
      </c>
      <c r="AL85" s="6">
        <f t="shared" si="30"/>
        <v>0</v>
      </c>
      <c r="AM85" s="71">
        <f>(AL85+AK85)*INDEX(Armor!$B$2:$B$151,A85)+IF(AJ85,1,0)</f>
        <v>17.400000000000002</v>
      </c>
      <c r="AN85" s="71">
        <f>IF(C85="Caster",IF(ISERR(FIND("orb",LOWER(E85))),IF(ISERR(FIND("wand",LOWER(E85))),IF(NOT($D85="Polearm"),0,INDEX(Regeneration!$M$2:$M$151,A85+2)),INDEX(Regeneration!$L$2:$L$151,A85+2)),INDEX(Regeneration!$K$2:$K$151,A85+2)),0)</f>
        <v>0</v>
      </c>
      <c r="AO85" s="71" t="str">
        <f t="shared" si="48"/>
        <v/>
      </c>
      <c r="AP85" s="71" t="str">
        <f>IF(AND($N85,$C85="Caster"),IF(AND(NOT($D85="Polearm"),ISERR(FIND("wand",LOWER($E85)))),0,INDEX(Regeneration!F$2:F$151,A85)*0.06),"")</f>
        <v/>
      </c>
      <c r="AQ85" s="88">
        <f t="shared" si="61"/>
        <v>0</v>
      </c>
      <c r="AR85" s="88">
        <f t="shared" si="62"/>
        <v>0</v>
      </c>
      <c r="AS85" s="16" t="str">
        <f>IF(D85="Shield",INDEX(Regeneration!$C$2:$C$151,A85+3)*0.5*IF(ISERR(FIND("Rare",B85)),IF(ISERR(FIND("Uncommon",B85)),1,1.5),2.25),"")</f>
        <v/>
      </c>
      <c r="AT85" s="16" t="str">
        <f t="shared" si="49"/>
        <v/>
      </c>
      <c r="AU85" s="16" t="str">
        <f t="shared" si="50"/>
        <v/>
      </c>
      <c r="AV85" s="16" t="str">
        <f t="shared" si="51"/>
        <v/>
      </c>
      <c r="AW85" s="16" t="str">
        <f>IF(D85="Ring",INDEX(Regeneration!$B$6:$B$155,A85)*0.06,"")</f>
        <v/>
      </c>
      <c r="AX85" s="62" t="str">
        <f>IF(AP85&lt;&gt;0,AP85,"")</f>
        <v/>
      </c>
      <c r="AZ85" s="16" t="str">
        <f t="shared" si="63"/>
        <v/>
      </c>
      <c r="BA85" s="6">
        <f t="shared" si="52"/>
        <v>0</v>
      </c>
      <c r="BB85" s="6">
        <f t="shared" si="65"/>
        <v>0</v>
      </c>
    </row>
    <row r="86" spans="1:54">
      <c r="A86" s="76">
        <v>20</v>
      </c>
      <c r="B86" s="30" t="s">
        <v>493</v>
      </c>
      <c r="C86" s="30" t="s">
        <v>780</v>
      </c>
      <c r="D86" s="30" t="s">
        <v>473</v>
      </c>
      <c r="E86" s="30" t="s">
        <v>775</v>
      </c>
      <c r="F86" s="30" t="s">
        <v>648</v>
      </c>
      <c r="G86" s="76">
        <f t="shared" ref="G86:G117" si="68">IF(ISERR(FIND("Rare",B86)),IF(ISERR(FIND("Uncommon",B86)),A86,A86+5),A86+10)</f>
        <v>25</v>
      </c>
      <c r="H86" s="101">
        <v>150</v>
      </c>
      <c r="I86" s="76" t="s">
        <v>662</v>
      </c>
      <c r="J86" s="76" t="str">
        <f t="shared" si="67"/>
        <v>mainhand</v>
      </c>
      <c r="K86" s="76" t="str">
        <f t="array" ref="K86">"A"&amp;IF(IF(ISBLANK(I86),OR(LEFT(LOWER(F86),1)={"a","e","I","o","u"}),OR(LEFT(LOWER(I86),1)={"a","e","I","o","u"})),"n "," ")&amp;I86&amp;IF(ISBLANK(I86),""," ")&amp;LOWER(F86)&amp;IF(LEFT(J86,1)="-",""," ")&amp;J86</f>
        <v>A magical holy mainhand</v>
      </c>
      <c r="L86" s="76">
        <v>1</v>
      </c>
      <c r="M86" s="62">
        <v>160</v>
      </c>
      <c r="N86" s="62" t="b">
        <v>1</v>
      </c>
      <c r="O86" s="93" t="b">
        <f t="shared" si="53"/>
        <v>0</v>
      </c>
      <c r="P86" s="76" t="s">
        <v>5</v>
      </c>
      <c r="Q86" s="62" t="s">
        <v>506</v>
      </c>
      <c r="R86" s="100">
        <f t="shared" si="31"/>
        <v>0.9</v>
      </c>
      <c r="S86" s="93">
        <f t="shared" si="54"/>
        <v>0.4</v>
      </c>
      <c r="T86" s="98">
        <f t="shared" si="55"/>
        <v>0.7</v>
      </c>
      <c r="U86" s="95">
        <f t="shared" si="56"/>
        <v>1.5</v>
      </c>
      <c r="V86" s="98">
        <f t="shared" si="57"/>
        <v>454.99999999999994</v>
      </c>
      <c r="W86" s="6">
        <f t="shared" si="58"/>
        <v>7.0000000000000007E-2</v>
      </c>
      <c r="X86" s="6">
        <v>0</v>
      </c>
      <c r="Y86" s="76" t="b">
        <v>1</v>
      </c>
      <c r="Z86" s="76">
        <f t="shared" si="44"/>
        <v>20</v>
      </c>
      <c r="AA86" s="71" t="str">
        <f t="shared" si="45"/>
        <v/>
      </c>
      <c r="AD86" s="71" t="str">
        <f t="shared" si="46"/>
        <v/>
      </c>
      <c r="AE86" s="71">
        <f t="shared" si="47"/>
        <v>22</v>
      </c>
      <c r="AG86" s="43">
        <f>IF(N86,INDEX(Damage!$F$2:$F$151,A86)*R86*S86*V86/1000,"")</f>
        <v>16.748136363636359</v>
      </c>
      <c r="AH86" s="94">
        <f t="shared" si="59"/>
        <v>15.575766818181814</v>
      </c>
      <c r="AI86" s="94">
        <f t="shared" si="60"/>
        <v>17.920505909090906</v>
      </c>
      <c r="AJ86" s="90" t="b">
        <v>0</v>
      </c>
      <c r="AK86" s="6" t="b">
        <f t="array" ref="AK86">IF(AJ86,MAX(IF(Armor!$D$2:'Armor'!$D$7=D86,Armor!$E$2:$E$7),0))</f>
        <v>0</v>
      </c>
      <c r="AL86" s="6">
        <f t="shared" si="30"/>
        <v>0.05</v>
      </c>
      <c r="AM86" s="71">
        <f>(AL86+AK86)*INDEX(Armor!$B$2:$B$151,A86)+IF(AJ86,1,0)</f>
        <v>8.2000000000000011</v>
      </c>
      <c r="AN86" s="71">
        <f>IF(C86="Caster",IF(ISERR(FIND("orb",LOWER(E86))),IF(ISERR(FIND("wand",LOWER(E86))),IF(NOT($D86="Polearm"),0,INDEX(Regeneration!$M$2:$M$151,A86+2)),INDEX(Regeneration!$L$2:$L$151,A86+2)),INDEX(Regeneration!$K$2:$K$151,A86+2)),0)</f>
        <v>68.148148148148152</v>
      </c>
      <c r="AO86" s="71">
        <f t="shared" si="48"/>
        <v>0</v>
      </c>
      <c r="AP86" s="71">
        <f>IF(AND($N86,$C86="Caster"),IF(AND(NOT($D86="Polearm"),ISERR(FIND("wand",LOWER($E86)))),0,INDEX(Regeneration!F$2:F$151,A86)*0.06),"")</f>
        <v>36.459999999999994</v>
      </c>
      <c r="AQ86" s="88">
        <f t="shared" si="61"/>
        <v>0</v>
      </c>
      <c r="AR86" s="88">
        <f t="shared" si="62"/>
        <v>0</v>
      </c>
      <c r="AS86" s="16" t="str">
        <f>IF(D86="Shield",INDEX(Regeneration!$C$2:$C$151,A86+3)*0.5*IF(ISERR(FIND("Rare",B86)),IF(ISERR(FIND("Uncommon",B86)),1,1.5),2.25),"")</f>
        <v/>
      </c>
      <c r="AT86" s="16">
        <f t="shared" si="49"/>
        <v>69.148148148148152</v>
      </c>
      <c r="AU86" s="16" t="str">
        <f t="shared" si="50"/>
        <v/>
      </c>
      <c r="AV86" s="16" t="str">
        <f t="shared" si="51"/>
        <v/>
      </c>
      <c r="AW86" s="16" t="str">
        <f>IF(D86="Ring",INDEX(Regeneration!$B$6:$B$155,A86)*0.06,"")</f>
        <v/>
      </c>
      <c r="AZ86" s="16" t="str">
        <f t="shared" si="63"/>
        <v/>
      </c>
      <c r="BA86" s="6">
        <f t="shared" si="52"/>
        <v>0</v>
      </c>
      <c r="BB86" s="6">
        <f t="shared" si="65"/>
        <v>0</v>
      </c>
    </row>
    <row r="87" spans="1:54">
      <c r="A87" s="76">
        <v>20</v>
      </c>
      <c r="B87" s="30" t="s">
        <v>492</v>
      </c>
      <c r="C87" s="30" t="s">
        <v>780</v>
      </c>
      <c r="D87" s="30" t="s">
        <v>474</v>
      </c>
      <c r="E87" s="30" t="s">
        <v>766</v>
      </c>
      <c r="F87" s="30" t="s">
        <v>648</v>
      </c>
      <c r="G87" s="76">
        <f t="shared" si="68"/>
        <v>20</v>
      </c>
      <c r="H87" s="101">
        <v>150</v>
      </c>
      <c r="I87" s="76" t="s">
        <v>662</v>
      </c>
      <c r="J87" s="76" t="str">
        <f t="shared" si="67"/>
        <v>offhand item</v>
      </c>
      <c r="K87" s="76" t="str">
        <f t="array" ref="K87">"A"&amp;IF(IF(ISBLANK(I87),OR(LEFT(LOWER(F87),1)={"a","e","I","o","u"}),OR(LEFT(LOWER(I87),1)={"a","e","I","o","u"})),"n "," ")&amp;I87&amp;IF(ISBLANK(I87),""," ")&amp;LOWER(F87)&amp;IF(LEFT(J87,1)="-",""," ")&amp;J87</f>
        <v>A magical holy offhand item</v>
      </c>
      <c r="L87" s="76">
        <v>1</v>
      </c>
      <c r="M87" s="62">
        <v>80</v>
      </c>
      <c r="N87" s="62" t="b">
        <v>0</v>
      </c>
      <c r="O87" s="93" t="b">
        <f t="shared" si="53"/>
        <v>0</v>
      </c>
      <c r="P87" s="76"/>
      <c r="R87" s="100" t="str">
        <f t="shared" si="31"/>
        <v/>
      </c>
      <c r="S87" s="93" t="str">
        <f t="shared" si="54"/>
        <v/>
      </c>
      <c r="T87" s="98" t="str">
        <f t="shared" si="55"/>
        <v/>
      </c>
      <c r="U87" s="95" t="str">
        <f t="shared" si="56"/>
        <v/>
      </c>
      <c r="V87" s="98" t="str">
        <f t="shared" si="57"/>
        <v/>
      </c>
      <c r="W87" s="6" t="str">
        <f t="shared" si="58"/>
        <v/>
      </c>
      <c r="X87" s="6">
        <v>0</v>
      </c>
      <c r="Y87" s="76" t="b">
        <v>1</v>
      </c>
      <c r="Z87" s="76">
        <f t="shared" si="44"/>
        <v>20</v>
      </c>
      <c r="AA87" s="71" t="str">
        <f t="shared" si="45"/>
        <v/>
      </c>
      <c r="AD87" s="71" t="str">
        <f t="shared" si="46"/>
        <v/>
      </c>
      <c r="AE87" s="71">
        <f t="shared" si="47"/>
        <v>22</v>
      </c>
      <c r="AG87" s="43" t="str">
        <f>IF(N87,INDEX(Damage!$F$2:$F$151,A87)*R87*S87*V87/1000,"")</f>
        <v/>
      </c>
      <c r="AH87" s="94" t="str">
        <f t="shared" si="59"/>
        <v/>
      </c>
      <c r="AI87" s="94" t="str">
        <f t="shared" si="60"/>
        <v/>
      </c>
      <c r="AJ87" s="90" t="b">
        <v>0</v>
      </c>
      <c r="AK87" s="6" t="b">
        <f t="array" ref="AK87">IF(AJ87,MAX(IF(Armor!$D$2:'Armor'!$D$7=D87,Armor!$E$2:$E$7),0))</f>
        <v>0</v>
      </c>
      <c r="AL87" s="6">
        <f t="shared" si="30"/>
        <v>0</v>
      </c>
      <c r="AM87" s="71">
        <f>(AL87+AK87)*INDEX(Armor!$B$2:$B$151,A87)+IF(AJ87,1,0)</f>
        <v>0</v>
      </c>
      <c r="AN87" s="71">
        <f>IF(C87="Caster",IF(ISERR(FIND("orb",LOWER(E87))),IF(ISERR(FIND("wand",LOWER(E87))),IF(NOT($D87="Polearm"),0,INDEX(Regeneration!$M$2:$M$151,A87+2)),INDEX(Regeneration!$L$2:$L$151,A87+2)),INDEX(Regeneration!$K$2:$K$151,A87+2)),0)</f>
        <v>54.518518518518526</v>
      </c>
      <c r="AO87" s="71" t="str">
        <f t="shared" si="48"/>
        <v/>
      </c>
      <c r="AP87" s="71" t="str">
        <f>IF(AND($N87,$C87="Caster"),IF(AND(NOT($D87="Polearm"),ISERR(FIND("wand",LOWER($E87)))),0,INDEX(Regeneration!F$2:F$151,A87)*0.06),"")</f>
        <v/>
      </c>
      <c r="AQ87" s="88">
        <f t="shared" si="61"/>
        <v>0</v>
      </c>
      <c r="AR87" s="88">
        <f t="shared" si="62"/>
        <v>0</v>
      </c>
      <c r="AS87" s="16" t="str">
        <f>IF(D87="Shield",INDEX(Regeneration!$C$2:$C$151,A87+3)*0.5*IF(ISERR(FIND("Rare",B87)),IF(ISERR(FIND("Uncommon",B87)),1,1.5),2.25),"")</f>
        <v/>
      </c>
      <c r="AT87" s="16">
        <f t="shared" si="49"/>
        <v>55.518518518518526</v>
      </c>
      <c r="AU87" s="16" t="str">
        <f t="shared" si="50"/>
        <v/>
      </c>
      <c r="AV87" s="16" t="str">
        <f t="shared" si="51"/>
        <v/>
      </c>
      <c r="AW87" s="16" t="str">
        <f>IF(D87="Ring",INDEX(Regeneration!$B$6:$B$155,A87)*0.06,"")</f>
        <v/>
      </c>
      <c r="AZ87" s="16" t="str">
        <f t="shared" si="63"/>
        <v/>
      </c>
      <c r="BA87" s="6">
        <f t="shared" si="52"/>
        <v>0</v>
      </c>
      <c r="BB87" s="6">
        <f t="shared" si="65"/>
        <v>0</v>
      </c>
    </row>
    <row r="88" spans="1:54">
      <c r="A88" s="76">
        <v>20</v>
      </c>
      <c r="B88" s="30" t="s">
        <v>493</v>
      </c>
      <c r="C88" s="30" t="s">
        <v>780</v>
      </c>
      <c r="D88" s="30" t="s">
        <v>478</v>
      </c>
      <c r="E88" s="30" t="s">
        <v>588</v>
      </c>
      <c r="F88" s="30" t="s">
        <v>648</v>
      </c>
      <c r="G88" s="76">
        <f t="shared" si="68"/>
        <v>25</v>
      </c>
      <c r="H88" s="101">
        <v>150</v>
      </c>
      <c r="J88" s="89" t="str">
        <f t="shared" si="67"/>
        <v>polearm</v>
      </c>
      <c r="K88" s="76" t="str">
        <f t="array" ref="K88">"A"&amp;IF(IF(ISBLANK(I88),OR(LEFT(LOWER(F88),1)={"a","e","I","o","u"}),OR(LEFT(LOWER(I88),1)={"a","e","I","o","u"})),"n "," ")&amp;I88&amp;IF(ISBLANK(I88),""," ")&amp;LOWER(F88)&amp;IF(LEFT(J88,1)="-",""," ")&amp;J88</f>
        <v>A holy polearm</v>
      </c>
      <c r="L88" s="76">
        <v>1</v>
      </c>
      <c r="M88" s="62">
        <v>489</v>
      </c>
      <c r="N88" s="62" t="s">
        <v>645</v>
      </c>
      <c r="O88" s="93" t="b">
        <f t="shared" si="53"/>
        <v>0</v>
      </c>
      <c r="P88" s="76" t="s">
        <v>7</v>
      </c>
      <c r="Q88" s="62" t="s">
        <v>505</v>
      </c>
      <c r="R88" s="100">
        <f t="shared" si="31"/>
        <v>1.1499999999999999</v>
      </c>
      <c r="S88" s="93">
        <f t="shared" si="54"/>
        <v>0.4</v>
      </c>
      <c r="T88" s="98">
        <f t="shared" si="55"/>
        <v>1.3</v>
      </c>
      <c r="U88" s="95">
        <f t="shared" si="56"/>
        <v>2.5</v>
      </c>
      <c r="V88" s="98">
        <f t="shared" si="57"/>
        <v>845</v>
      </c>
      <c r="W88" s="6">
        <f t="shared" si="58"/>
        <v>0.3</v>
      </c>
      <c r="X88" s="6">
        <v>0</v>
      </c>
      <c r="Y88" s="76" t="b">
        <v>1</v>
      </c>
      <c r="Z88" s="76">
        <f t="shared" si="44"/>
        <v>20</v>
      </c>
      <c r="AA88" s="71" t="str">
        <f t="shared" si="45"/>
        <v/>
      </c>
      <c r="AD88" s="71" t="str">
        <f t="shared" si="46"/>
        <v/>
      </c>
      <c r="AE88" s="71">
        <f t="shared" si="47"/>
        <v>22</v>
      </c>
      <c r="AG88" s="43">
        <f>IF(N88,INDEX(Damage!$F$2:$F$151,A88)*R88*S88*V88/1000,"")</f>
        <v>39.743593434343424</v>
      </c>
      <c r="AH88" s="94">
        <f t="shared" si="59"/>
        <v>27.8205154040404</v>
      </c>
      <c r="AI88" s="94">
        <f t="shared" si="60"/>
        <v>51.666671464646448</v>
      </c>
      <c r="AJ88" s="79" t="s">
        <v>644</v>
      </c>
      <c r="AK88" s="6" t="b">
        <f t="array" ref="AK88">IF(AJ88,MAX(IF(Armor!$D$2:'Armor'!$D$7=D88,Armor!$E$2:$E$7),0))</f>
        <v>0</v>
      </c>
      <c r="AL88" s="6">
        <f t="shared" ref="AL88:AL151" si="69">IF(ISERR(FIND("Rare",B88)),IF(ISERR(FIND("Uncommon",B88)),0,5%),10%)</f>
        <v>0.05</v>
      </c>
      <c r="AM88" s="71">
        <f>(AL88+AK88)*INDEX(Armor!$B$2:$B$151,A88)+IF(AJ88,1,0)</f>
        <v>8.2000000000000011</v>
      </c>
      <c r="AN88" s="71">
        <f>IF(C88="Caster",IF(ISERR(FIND("orb",LOWER(E88))),IF(ISERR(FIND("wand",LOWER(E88))),IF(NOT($D88="Polearm"),0,INDEX(Regeneration!$M$2:$M$151,A88+2)),INDEX(Regeneration!$L$2:$L$151,A88+2)),INDEX(Regeneration!$K$2:$K$151,A88+2)),0)</f>
        <v>136.2962962962963</v>
      </c>
      <c r="AO88" s="71">
        <f t="shared" si="48"/>
        <v>5</v>
      </c>
      <c r="AP88" s="71">
        <f>IF(AND($N88,$C88="Caster"),IF(AND(NOT($D88="Polearm"),ISERR(FIND("wand",LOWER($E88)))),0,INDEX(Regeneration!F$2:F$151,A88)*0.06),"")</f>
        <v>36.459999999999994</v>
      </c>
      <c r="AQ88" s="88">
        <f t="shared" si="61"/>
        <v>0</v>
      </c>
      <c r="AR88" s="88">
        <f t="shared" si="62"/>
        <v>0</v>
      </c>
      <c r="AS88" s="16" t="str">
        <f>IF(D88="Shield",INDEX(Regeneration!$C$2:$C$151,A88+3)*0.5*IF(ISERR(FIND("Rare",B88)),IF(ISERR(FIND("Uncommon",B88)),1,1.5),2.25),"")</f>
        <v/>
      </c>
      <c r="AT88" s="16">
        <f t="shared" si="49"/>
        <v>137.2962962962963</v>
      </c>
      <c r="AU88" s="16">
        <f t="shared" si="50"/>
        <v>5</v>
      </c>
      <c r="AV88" s="16" t="str">
        <f t="shared" si="51"/>
        <v/>
      </c>
      <c r="AW88" s="16" t="str">
        <f>IF(D88="Ring",INDEX(Regeneration!$B$6:$B$155,A88)*0.06,"")</f>
        <v/>
      </c>
      <c r="AX88" s="62">
        <f>IF(AP88&lt;&gt;0,AP88,"")</f>
        <v>36.459999999999994</v>
      </c>
      <c r="AZ88" s="16" t="str">
        <f t="shared" si="63"/>
        <v/>
      </c>
      <c r="BA88" s="6">
        <f t="shared" si="52"/>
        <v>0</v>
      </c>
      <c r="BB88" s="6">
        <f t="shared" si="65"/>
        <v>0</v>
      </c>
    </row>
    <row r="89" spans="1:54">
      <c r="A89" s="76">
        <v>20</v>
      </c>
      <c r="B89" s="30" t="s">
        <v>493</v>
      </c>
      <c r="C89" s="30" t="s">
        <v>496</v>
      </c>
      <c r="D89" s="30" t="s">
        <v>485</v>
      </c>
      <c r="E89" s="30" t="s">
        <v>591</v>
      </c>
      <c r="F89" s="30" t="s">
        <v>648</v>
      </c>
      <c r="G89" s="76">
        <f t="shared" si="68"/>
        <v>25</v>
      </c>
      <c r="H89" s="101">
        <v>150</v>
      </c>
      <c r="J89" s="76" t="str">
        <f t="shared" si="67"/>
        <v>ring</v>
      </c>
      <c r="K89" s="76" t="str">
        <f t="array" ref="K89">"A"&amp;IF(IF(ISBLANK(I89),OR(LEFT(LOWER(F89),1)={"a","e","I","o","u"}),OR(LEFT(LOWER(I89),1)={"a","e","I","o","u"})),"n "," ")&amp;I89&amp;IF(ISBLANK(I89),""," ")&amp;LOWER(F89)&amp;IF(LEFT(J89,1)="-",""," ")&amp;J89</f>
        <v>A holy ring</v>
      </c>
      <c r="L89" s="76">
        <v>1</v>
      </c>
      <c r="M89" s="62">
        <v>509</v>
      </c>
      <c r="N89" s="62" t="s">
        <v>644</v>
      </c>
      <c r="O89" s="93" t="b">
        <f t="shared" si="53"/>
        <v>0</v>
      </c>
      <c r="P89" s="76" t="s">
        <v>490</v>
      </c>
      <c r="Q89" s="62" t="s">
        <v>490</v>
      </c>
      <c r="R89" s="100" t="str">
        <f t="shared" si="31"/>
        <v/>
      </c>
      <c r="S89" s="93" t="str">
        <f t="shared" si="54"/>
        <v/>
      </c>
      <c r="T89" s="98" t="str">
        <f t="shared" si="55"/>
        <v/>
      </c>
      <c r="U89" s="95" t="str">
        <f t="shared" si="56"/>
        <v/>
      </c>
      <c r="V89" s="98" t="str">
        <f t="shared" si="57"/>
        <v/>
      </c>
      <c r="W89" s="6" t="str">
        <f t="shared" si="58"/>
        <v/>
      </c>
      <c r="X89" s="6">
        <v>0</v>
      </c>
      <c r="Y89" s="76" t="b">
        <v>1</v>
      </c>
      <c r="Z89" s="76">
        <f t="shared" si="44"/>
        <v>20</v>
      </c>
      <c r="AA89" s="71" t="str">
        <f t="shared" si="45"/>
        <v/>
      </c>
      <c r="AD89" s="71" t="str">
        <f t="shared" si="46"/>
        <v/>
      </c>
      <c r="AE89" s="71" t="str">
        <f t="shared" si="47"/>
        <v/>
      </c>
      <c r="AG89" s="43" t="str">
        <f>IF(N89,INDEX(Damage!$F$2:$F$151,A89)*R89*S89*V89/1000,"")</f>
        <v/>
      </c>
      <c r="AH89" s="94" t="str">
        <f t="shared" si="59"/>
        <v/>
      </c>
      <c r="AI89" s="94" t="str">
        <f t="shared" si="60"/>
        <v/>
      </c>
      <c r="AJ89" s="79" t="s">
        <v>644</v>
      </c>
      <c r="AK89" s="6" t="b">
        <f t="array" ref="AK89">IF(AJ89,MAX(IF(Armor!$D$2:'Armor'!$D$7=D89,Armor!$E$2:$E$7),0))</f>
        <v>0</v>
      </c>
      <c r="AL89" s="6">
        <f t="shared" si="69"/>
        <v>0.05</v>
      </c>
      <c r="AM89" s="71">
        <f>(AL89+AK89)*INDEX(Armor!$B$2:$B$151,A89)+IF(AJ89,1,0)</f>
        <v>8.2000000000000011</v>
      </c>
      <c r="AN89" s="71">
        <f>IF(C89="Caster",IF(ISERR(FIND("orb",LOWER(E89))),IF(ISERR(FIND("wand",LOWER(E89))),IF(NOT($D89="Polearm"),0,INDEX(Regeneration!$M$2:$M$151,A89+2)),INDEX(Regeneration!$L$2:$L$151,A89+2)),INDEX(Regeneration!$K$2:$K$151,A89+2)),0)</f>
        <v>0</v>
      </c>
      <c r="AO89" s="71" t="str">
        <f t="shared" si="48"/>
        <v/>
      </c>
      <c r="AP89" s="71" t="str">
        <f>IF(AND($N89,$C89="Caster"),IF(AND(NOT($D89="Polearm"),ISERR(FIND("wand",LOWER($E89)))),0,INDEX(Regeneration!F$2:F$151,A89)*0.06),"")</f>
        <v/>
      </c>
      <c r="AQ89" s="88">
        <f t="shared" si="61"/>
        <v>0</v>
      </c>
      <c r="AR89" s="88">
        <f t="shared" si="62"/>
        <v>0</v>
      </c>
      <c r="AS89" s="16" t="str">
        <f>IF(D89="Shield",INDEX(Regeneration!$C$2:$C$151,A89+3)*0.5*IF(ISERR(FIND("Rare",B89)),IF(ISERR(FIND("Uncommon",B89)),1,1.5),2.25),"")</f>
        <v/>
      </c>
      <c r="AT89" s="16" t="str">
        <f t="shared" si="49"/>
        <v/>
      </c>
      <c r="AU89" s="16" t="str">
        <f t="shared" si="50"/>
        <v/>
      </c>
      <c r="AV89" s="16">
        <f t="shared" si="51"/>
        <v>5</v>
      </c>
      <c r="AW89" s="16">
        <f>IF(D89="Ring",INDEX(Regeneration!$B$6:$B$155,A89)*0.06,"")</f>
        <v>46.48</v>
      </c>
      <c r="AX89" s="62" t="str">
        <f>IF(AP89&lt;&gt;0,AP89,"")</f>
        <v/>
      </c>
      <c r="AZ89" s="16" t="str">
        <f t="shared" si="63"/>
        <v/>
      </c>
      <c r="BA89" s="6">
        <f t="shared" si="52"/>
        <v>0</v>
      </c>
      <c r="BB89" s="6">
        <f t="shared" si="65"/>
        <v>0</v>
      </c>
    </row>
    <row r="90" spans="1:54">
      <c r="A90" s="76">
        <v>20</v>
      </c>
      <c r="B90" s="30" t="s">
        <v>492</v>
      </c>
      <c r="C90" s="30" t="s">
        <v>496</v>
      </c>
      <c r="D90" s="30" t="s">
        <v>475</v>
      </c>
      <c r="E90" s="30" t="s">
        <v>585</v>
      </c>
      <c r="F90" s="30" t="s">
        <v>648</v>
      </c>
      <c r="G90" s="76">
        <f t="shared" si="68"/>
        <v>20</v>
      </c>
      <c r="H90" s="101">
        <v>150</v>
      </c>
      <c r="I90" s="76" t="s">
        <v>695</v>
      </c>
      <c r="J90" s="76" t="str">
        <f t="shared" si="67"/>
        <v>shield</v>
      </c>
      <c r="K90" s="76" t="str">
        <f t="array" ref="K90">"A"&amp;IF(IF(ISBLANK(I90),OR(LEFT(LOWER(F90),1)={"a","e","I","o","u"}),OR(LEFT(LOWER(I90),1)={"a","e","I","o","u"})),"n "," ")&amp;I90&amp;IF(ISBLANK(I90),""," ")&amp;LOWER(F90)&amp;IF(LEFT(J90,1)="-",""," ")&amp;J90</f>
        <v>An enchanted holy shield</v>
      </c>
      <c r="L90" s="76">
        <v>1</v>
      </c>
      <c r="M90" s="62">
        <v>189</v>
      </c>
      <c r="N90" s="62" t="s">
        <v>644</v>
      </c>
      <c r="O90" s="93" t="b">
        <f t="shared" si="53"/>
        <v>0</v>
      </c>
      <c r="P90" s="76" t="s">
        <v>490</v>
      </c>
      <c r="Q90" s="62" t="s">
        <v>490</v>
      </c>
      <c r="R90" s="100" t="str">
        <f t="shared" si="31"/>
        <v/>
      </c>
      <c r="S90" s="93" t="str">
        <f t="shared" si="54"/>
        <v/>
      </c>
      <c r="T90" s="98" t="str">
        <f t="shared" si="55"/>
        <v/>
      </c>
      <c r="U90" s="95" t="str">
        <f t="shared" si="56"/>
        <v/>
      </c>
      <c r="V90" s="98" t="str">
        <f t="shared" si="57"/>
        <v/>
      </c>
      <c r="W90" s="6" t="str">
        <f t="shared" si="58"/>
        <v/>
      </c>
      <c r="X90" s="6">
        <v>0</v>
      </c>
      <c r="Y90" s="76" t="b">
        <v>1</v>
      </c>
      <c r="Z90" s="76">
        <f t="shared" si="44"/>
        <v>20</v>
      </c>
      <c r="AA90" s="71" t="str">
        <f t="shared" si="45"/>
        <v/>
      </c>
      <c r="AD90" s="71" t="str">
        <f t="shared" si="46"/>
        <v/>
      </c>
      <c r="AE90" s="71" t="str">
        <f t="shared" si="47"/>
        <v/>
      </c>
      <c r="AG90" s="43" t="str">
        <f>IF(N90,INDEX(Damage!$F$2:$F$151,A90)*R90*S90*V90/1000,"")</f>
        <v/>
      </c>
      <c r="AH90" s="94" t="str">
        <f t="shared" si="59"/>
        <v/>
      </c>
      <c r="AI90" s="94" t="str">
        <f t="shared" si="60"/>
        <v/>
      </c>
      <c r="AJ90" s="79" t="s">
        <v>645</v>
      </c>
      <c r="AK90" s="6">
        <f t="array" ref="AK90">IF(AJ90,MAX(IF(Armor!$D$2:'Armor'!$D$7=D90,Armor!$E$2:$E$7),0))</f>
        <v>0.25</v>
      </c>
      <c r="AL90" s="6">
        <f t="shared" si="69"/>
        <v>0</v>
      </c>
      <c r="AM90" s="71">
        <f>(AL90+AK90)*INDEX(Armor!$B$2:$B$151,A90)+IF(AJ90,1,0)</f>
        <v>42</v>
      </c>
      <c r="AN90" s="71">
        <f>IF(C90="Caster",IF(ISERR(FIND("orb",LOWER(E90))),IF(ISERR(FIND("wand",LOWER(E90))),IF(NOT($D90="Polearm"),0,INDEX(Regeneration!$M$2:$M$151,A90+2)),INDEX(Regeneration!$L$2:$L$151,A90+2)),INDEX(Regeneration!$K$2:$K$151,A90+2)),0)</f>
        <v>0</v>
      </c>
      <c r="AO90" s="71" t="str">
        <f t="shared" si="48"/>
        <v/>
      </c>
      <c r="AP90" s="71" t="str">
        <f>IF(AND($N90,$C90="Caster"),IF(AND(NOT($D90="Polearm"),ISERR(FIND("wand",LOWER($E90)))),0,INDEX(Regeneration!F$2:F$151,A90)*0.06),"")</f>
        <v/>
      </c>
      <c r="AQ90" s="88">
        <f t="shared" si="61"/>
        <v>0</v>
      </c>
      <c r="AR90" s="88">
        <f t="shared" si="62"/>
        <v>0</v>
      </c>
      <c r="AS90" s="16">
        <f>IF(D90="Shield",INDEX(Regeneration!$C$2:$C$151,A90+3)*0.5*IF(ISERR(FIND("Rare",B90)),IF(ISERR(FIND("Uncommon",B90)),1,1.5),2.25),"")</f>
        <v>78.006172839506178</v>
      </c>
      <c r="AT90" s="16" t="str">
        <f t="shared" si="49"/>
        <v/>
      </c>
      <c r="AU90" s="16" t="str">
        <f t="shared" si="50"/>
        <v/>
      </c>
      <c r="AV90" s="16" t="str">
        <f t="shared" si="51"/>
        <v/>
      </c>
      <c r="AW90" s="16" t="str">
        <f>IF(D90="Ring",INDEX(Regeneration!$B$6:$B$155,A90)*0.06,"")</f>
        <v/>
      </c>
      <c r="AZ90" s="16" t="str">
        <f t="shared" si="63"/>
        <v/>
      </c>
      <c r="BA90" s="6">
        <f t="shared" si="52"/>
        <v>0</v>
      </c>
      <c r="BB90" s="6">
        <f t="shared" si="65"/>
        <v>0</v>
      </c>
    </row>
    <row r="91" spans="1:54">
      <c r="A91" s="76">
        <v>20</v>
      </c>
      <c r="B91" s="30" t="s">
        <v>492</v>
      </c>
      <c r="C91" s="30" t="s">
        <v>10</v>
      </c>
      <c r="D91" s="30" t="s">
        <v>476</v>
      </c>
      <c r="E91" s="30" t="s">
        <v>589</v>
      </c>
      <c r="F91" s="30" t="s">
        <v>648</v>
      </c>
      <c r="G91" s="76">
        <f t="shared" si="68"/>
        <v>20</v>
      </c>
      <c r="H91" s="101">
        <v>150</v>
      </c>
      <c r="J91" s="76" t="s">
        <v>668</v>
      </c>
      <c r="K91" s="76" t="str">
        <f t="array" ref="K91">"A"&amp;IF(IF(ISBLANK(I91),OR(LEFT(LOWER(F91),1)={"a","e","I","o","u"}),OR(LEFT(LOWER(I91),1)={"a","e","I","o","u"})),"n "," ")&amp;I91&amp;IF(ISBLANK(I91),""," ")&amp;LOWER(F91)&amp;IF(LEFT(J91,1)="-",""," ")&amp;J91</f>
        <v>A holy throwing weapon</v>
      </c>
      <c r="L91" s="76">
        <v>1</v>
      </c>
      <c r="M91" s="62">
        <v>29</v>
      </c>
      <c r="N91" s="62" t="s">
        <v>645</v>
      </c>
      <c r="O91" s="93" t="b">
        <f t="shared" si="53"/>
        <v>1</v>
      </c>
      <c r="P91" s="76" t="s">
        <v>504</v>
      </c>
      <c r="Q91" s="62" t="s">
        <v>506</v>
      </c>
      <c r="R91" s="100">
        <f t="shared" ref="R91:R154" si="70">IF(N91,IF(O91,0.9,1)*IF(Q91="slow",1.15,IF(Q91="fast",0.9,1)),"")</f>
        <v>0.81</v>
      </c>
      <c r="S91" s="93">
        <f t="shared" si="54"/>
        <v>1</v>
      </c>
      <c r="T91" s="98">
        <f t="shared" si="55"/>
        <v>0.7</v>
      </c>
      <c r="U91" s="95">
        <f t="shared" si="56"/>
        <v>8</v>
      </c>
      <c r="V91" s="98">
        <f t="shared" si="57"/>
        <v>454.99999999999994</v>
      </c>
      <c r="W91" s="6">
        <f t="shared" si="58"/>
        <v>0.15</v>
      </c>
      <c r="X91" s="6">
        <v>0</v>
      </c>
      <c r="Y91" s="76" t="b">
        <v>1</v>
      </c>
      <c r="Z91" s="76">
        <f t="shared" si="44"/>
        <v>20</v>
      </c>
      <c r="AA91" s="71">
        <f t="shared" si="45"/>
        <v>22</v>
      </c>
      <c r="AD91" s="71" t="str">
        <f t="shared" si="46"/>
        <v/>
      </c>
      <c r="AE91" s="71" t="str">
        <f t="shared" si="47"/>
        <v/>
      </c>
      <c r="AG91" s="43">
        <f>IF(N91,INDEX(Damage!$F$2:$F$151,A91)*R91*S91*V91/1000,"")</f>
        <v>37.683306818181812</v>
      </c>
      <c r="AH91" s="94">
        <f t="shared" si="59"/>
        <v>32.030810795454542</v>
      </c>
      <c r="AI91" s="94">
        <f t="shared" si="60"/>
        <v>43.335802840909082</v>
      </c>
      <c r="AJ91" s="79" t="s">
        <v>644</v>
      </c>
      <c r="AK91" s="6" t="b">
        <f t="array" ref="AK91">IF(AJ91,MAX(IF(Armor!$D$2:'Armor'!$D$7=D91,Armor!$E$2:$E$7),0))</f>
        <v>0</v>
      </c>
      <c r="AL91" s="6">
        <f t="shared" si="69"/>
        <v>0</v>
      </c>
      <c r="AM91" s="71">
        <f>(AL91+AK91)*INDEX(Armor!$B$2:$B$151,A91)+IF(AJ91,1,0)</f>
        <v>0</v>
      </c>
      <c r="AN91" s="71">
        <f>IF(C91="Caster",IF(ISERR(FIND("orb",LOWER(E91))),IF(ISERR(FIND("wand",LOWER(E91))),IF(NOT($D91="Polearm"),0,INDEX(Regeneration!$M$2:$M$151,A91+2)),INDEX(Regeneration!$L$2:$L$151,A91+2)),INDEX(Regeneration!$K$2:$K$151,A91+2)),0)</f>
        <v>0</v>
      </c>
      <c r="AO91" s="71" t="str">
        <f t="shared" si="48"/>
        <v/>
      </c>
      <c r="AP91" s="71" t="str">
        <f>IF(AND($N91,$C91="Caster"),IF(AND(NOT($D91="Polearm"),ISERR(FIND("wand",LOWER($E91)))),0,INDEX(Regeneration!F$2:F$151,A91)*0.06),"")</f>
        <v/>
      </c>
      <c r="AQ91" s="88">
        <f t="shared" si="61"/>
        <v>0.05</v>
      </c>
      <c r="AR91" s="88">
        <f t="shared" si="62"/>
        <v>0.05</v>
      </c>
      <c r="AS91" s="16" t="str">
        <f>IF(D91="Shield",INDEX(Regeneration!$C$2:$C$151,A91+3)*0.5*IF(ISERR(FIND("Rare",B91)),IF(ISERR(FIND("Uncommon",B91)),1,1.5),2.25),"")</f>
        <v/>
      </c>
      <c r="AT91" s="16" t="str">
        <f t="shared" si="49"/>
        <v/>
      </c>
      <c r="AU91" s="16" t="str">
        <f t="shared" si="50"/>
        <v/>
      </c>
      <c r="AV91" s="16" t="str">
        <f t="shared" si="51"/>
        <v/>
      </c>
      <c r="AW91" s="16" t="str">
        <f>IF(D91="Ring",INDEX(Regeneration!$B$6:$B$155,A91)*0.06,"")</f>
        <v/>
      </c>
      <c r="AZ91" s="16" t="str">
        <f t="shared" si="63"/>
        <v/>
      </c>
      <c r="BA91" s="6">
        <f t="shared" si="52"/>
        <v>0.05</v>
      </c>
      <c r="BB91" s="6">
        <f t="shared" si="65"/>
        <v>0.05</v>
      </c>
    </row>
    <row r="92" spans="1:54">
      <c r="A92" s="76">
        <v>25</v>
      </c>
      <c r="B92" s="30" t="s">
        <v>492</v>
      </c>
      <c r="C92" s="30" t="s">
        <v>10</v>
      </c>
      <c r="D92" s="30" t="s">
        <v>472</v>
      </c>
      <c r="E92" s="30" t="s">
        <v>598</v>
      </c>
      <c r="F92" s="30" t="s">
        <v>649</v>
      </c>
      <c r="G92" s="76">
        <f t="shared" si="68"/>
        <v>25</v>
      </c>
      <c r="H92" s="101">
        <v>150</v>
      </c>
      <c r="J92" s="76" t="s">
        <v>685</v>
      </c>
      <c r="K92" s="76" t="str">
        <f t="array" ref="K92">"A"&amp;IF(IF(ISBLANK(I92),OR(LEFT(LOWER(F92),1)={"a","e","I","o","u"}),OR(LEFT(LOWER(I92),1)={"a","e","I","o","u"})),"n "," ")&amp;I92&amp;IF(ISBLANK(I92),""," ")&amp;LOWER(F92)&amp;IF(LEFT(J92,1)="-",""," ")&amp;J92</f>
        <v>A lightning weapon</v>
      </c>
      <c r="L92" s="76">
        <v>1</v>
      </c>
      <c r="M92" s="62">
        <v>34</v>
      </c>
      <c r="N92" s="62" t="s">
        <v>645</v>
      </c>
      <c r="O92" s="93" t="b">
        <f t="shared" si="53"/>
        <v>0</v>
      </c>
      <c r="P92" s="76" t="s">
        <v>504</v>
      </c>
      <c r="Q92" s="62" t="s">
        <v>506</v>
      </c>
      <c r="R92" s="100">
        <f t="shared" si="70"/>
        <v>0.9</v>
      </c>
      <c r="S92" s="93">
        <f t="shared" si="54"/>
        <v>1</v>
      </c>
      <c r="T92" s="98">
        <f t="shared" si="55"/>
        <v>0.7</v>
      </c>
      <c r="U92" s="95">
        <f t="shared" si="56"/>
        <v>2</v>
      </c>
      <c r="V92" s="98">
        <f t="shared" si="57"/>
        <v>454.99999999999994</v>
      </c>
      <c r="W92" s="6">
        <f t="shared" si="58"/>
        <v>0.15</v>
      </c>
      <c r="X92" s="6">
        <v>0</v>
      </c>
      <c r="Y92" s="76" t="b">
        <v>1</v>
      </c>
      <c r="Z92" s="76">
        <f t="shared" si="44"/>
        <v>25</v>
      </c>
      <c r="AA92" s="71">
        <f t="shared" si="45"/>
        <v>22</v>
      </c>
      <c r="AD92" s="71" t="str">
        <f t="shared" si="46"/>
        <v/>
      </c>
      <c r="AE92" s="71" t="str">
        <f t="shared" si="47"/>
        <v/>
      </c>
      <c r="AG92" s="43">
        <f>IF(N92,INDEX(Damage!$F$2:$F$151,A92)*R92*S92*V92/1000,"")</f>
        <v>51.387</v>
      </c>
      <c r="AH92" s="94">
        <f t="shared" si="59"/>
        <v>43.67895</v>
      </c>
      <c r="AI92" s="94">
        <f t="shared" si="60"/>
        <v>59.095050000000001</v>
      </c>
      <c r="AJ92" s="79" t="s">
        <v>644</v>
      </c>
      <c r="AK92" s="6" t="b">
        <f t="array" ref="AK92">IF(AJ92,MAX(IF(Armor!$D$2:'Armor'!$D$7=D92,Armor!$E$2:$E$7),0))</f>
        <v>0</v>
      </c>
      <c r="AL92" s="6">
        <f t="shared" si="69"/>
        <v>0</v>
      </c>
      <c r="AM92" s="71">
        <f>(AL92+AK92)*INDEX(Armor!$B$2:$B$151,A92)+IF(AJ92,1,0)</f>
        <v>0</v>
      </c>
      <c r="AN92" s="71">
        <f>IF(C92="Caster",IF(ISERR(FIND("orb",LOWER(E92))),IF(ISERR(FIND("wand",LOWER(E92))),IF(NOT($D92="Polearm"),0,INDEX(Regeneration!$M$2:$M$151,A92+2)),INDEX(Regeneration!$L$2:$L$151,A92+2)),INDEX(Regeneration!$K$2:$K$151,A92+2)),0)</f>
        <v>0</v>
      </c>
      <c r="AO92" s="71" t="str">
        <f t="shared" si="48"/>
        <v/>
      </c>
      <c r="AP92" s="71" t="str">
        <f>IF(AND($N92,$C92="Caster"),IF(AND(NOT($D92="Polearm"),ISERR(FIND("wand",LOWER($E92)))),0,INDEX(Regeneration!F$2:F$151,A92)*0.06),"")</f>
        <v/>
      </c>
      <c r="AQ92" s="88">
        <f t="shared" si="61"/>
        <v>0.05</v>
      </c>
      <c r="AR92" s="88">
        <f t="shared" si="62"/>
        <v>0.05</v>
      </c>
      <c r="AS92" s="16" t="str">
        <f>IF(D92="Shield",INDEX(Regeneration!$C$2:$C$151,A92+3)*0.5*IF(ISERR(FIND("Rare",B92)),IF(ISERR(FIND("Uncommon",B92)),1,1.5),2.25),"")</f>
        <v/>
      </c>
      <c r="AT92" s="16" t="str">
        <f t="shared" si="49"/>
        <v/>
      </c>
      <c r="AU92" s="16" t="str">
        <f t="shared" si="50"/>
        <v/>
      </c>
      <c r="AV92" s="16" t="str">
        <f t="shared" si="51"/>
        <v/>
      </c>
      <c r="AW92" s="16" t="str">
        <f>IF(D92="Ring",INDEX(Regeneration!$B$6:$B$155,A92)*0.06,"")</f>
        <v/>
      </c>
      <c r="AZ92" s="16" t="str">
        <f t="shared" si="63"/>
        <v/>
      </c>
      <c r="BA92" s="6">
        <f t="shared" si="52"/>
        <v>0.05</v>
      </c>
      <c r="BB92" s="6">
        <f t="shared" si="65"/>
        <v>0.05</v>
      </c>
    </row>
    <row r="93" spans="1:54">
      <c r="A93" s="76">
        <v>25</v>
      </c>
      <c r="B93" s="30" t="s">
        <v>492</v>
      </c>
      <c r="C93" s="30" t="s">
        <v>10</v>
      </c>
      <c r="D93" s="30" t="s">
        <v>472</v>
      </c>
      <c r="E93" s="30" t="s">
        <v>599</v>
      </c>
      <c r="F93" s="30" t="s">
        <v>649</v>
      </c>
      <c r="G93" s="76">
        <f t="shared" si="68"/>
        <v>25</v>
      </c>
      <c r="H93" s="101">
        <v>150</v>
      </c>
      <c r="J93" s="76" t="s">
        <v>685</v>
      </c>
      <c r="K93" s="76" t="str">
        <f t="array" ref="K93">"A"&amp;IF(IF(ISBLANK(I93),OR(LEFT(LOWER(F93),1)={"a","e","I","o","u"}),OR(LEFT(LOWER(I93),1)={"a","e","I","o","u"})),"n "," ")&amp;I93&amp;IF(ISBLANK(I93),""," ")&amp;LOWER(F93)&amp;IF(LEFT(J93,1)="-",""," ")&amp;J93</f>
        <v>A lightning weapon</v>
      </c>
      <c r="L93" s="76">
        <v>1</v>
      </c>
      <c r="M93" s="62">
        <v>34</v>
      </c>
      <c r="N93" s="62" t="s">
        <v>645</v>
      </c>
      <c r="O93" s="93" t="b">
        <f t="shared" si="53"/>
        <v>0</v>
      </c>
      <c r="P93" s="76" t="s">
        <v>504</v>
      </c>
      <c r="Q93" s="62" t="s">
        <v>643</v>
      </c>
      <c r="R93" s="100">
        <f t="shared" si="70"/>
        <v>1</v>
      </c>
      <c r="S93" s="93">
        <f t="shared" si="54"/>
        <v>1</v>
      </c>
      <c r="T93" s="98">
        <f t="shared" si="55"/>
        <v>1</v>
      </c>
      <c r="U93" s="95">
        <f t="shared" si="56"/>
        <v>2</v>
      </c>
      <c r="V93" s="98">
        <f t="shared" si="57"/>
        <v>650</v>
      </c>
      <c r="W93" s="6">
        <f t="shared" si="58"/>
        <v>0.18</v>
      </c>
      <c r="X93" s="6">
        <v>0</v>
      </c>
      <c r="Y93" s="76" t="b">
        <v>1</v>
      </c>
      <c r="Z93" s="76">
        <f t="shared" si="44"/>
        <v>25</v>
      </c>
      <c r="AA93" s="71">
        <f t="shared" si="45"/>
        <v>22</v>
      </c>
      <c r="AD93" s="71" t="str">
        <f t="shared" si="46"/>
        <v/>
      </c>
      <c r="AE93" s="71" t="str">
        <f t="shared" si="47"/>
        <v/>
      </c>
      <c r="AG93" s="43">
        <f>IF(N93,INDEX(Damage!$F$2:$F$151,A93)*R93*S93*V93/1000,"")</f>
        <v>81.566666666666677</v>
      </c>
      <c r="AH93" s="94">
        <f t="shared" si="59"/>
        <v>66.884666666666675</v>
      </c>
      <c r="AI93" s="94">
        <f t="shared" si="60"/>
        <v>96.248666666666679</v>
      </c>
      <c r="AJ93" s="79" t="s">
        <v>644</v>
      </c>
      <c r="AK93" s="6" t="b">
        <f t="array" ref="AK93">IF(AJ93,MAX(IF(Armor!$D$2:'Armor'!$D$7=D93,Armor!$E$2:$E$7),0))</f>
        <v>0</v>
      </c>
      <c r="AL93" s="6">
        <f t="shared" si="69"/>
        <v>0</v>
      </c>
      <c r="AM93" s="71">
        <f>(AL93+AK93)*INDEX(Armor!$B$2:$B$151,A93)+IF(AJ93,1,0)</f>
        <v>0</v>
      </c>
      <c r="AN93" s="71">
        <f>IF(C93="Caster",IF(ISERR(FIND("orb",LOWER(E93))),IF(ISERR(FIND("wand",LOWER(E93))),IF(NOT($D93="Polearm"),0,INDEX(Regeneration!$M$2:$M$151,A93+2)),INDEX(Regeneration!$L$2:$L$151,A93+2)),INDEX(Regeneration!$K$2:$K$151,A93+2)),0)</f>
        <v>0</v>
      </c>
      <c r="AO93" s="71" t="str">
        <f t="shared" si="48"/>
        <v/>
      </c>
      <c r="AP93" s="71" t="str">
        <f>IF(AND($N93,$C93="Caster"),IF(AND(NOT($D93="Polearm"),ISERR(FIND("wand",LOWER($E93)))),0,INDEX(Regeneration!F$2:F$151,A93)*0.06),"")</f>
        <v/>
      </c>
      <c r="AQ93" s="88">
        <f t="shared" si="61"/>
        <v>0.05</v>
      </c>
      <c r="AR93" s="88">
        <f t="shared" si="62"/>
        <v>0.05</v>
      </c>
      <c r="AS93" s="16" t="str">
        <f>IF(D93="Shield",INDEX(Regeneration!$C$2:$C$151,A93+3)*0.5*IF(ISERR(FIND("Rare",B93)),IF(ISERR(FIND("Uncommon",B93)),1,1.5),2.25),"")</f>
        <v/>
      </c>
      <c r="AT93" s="16" t="str">
        <f t="shared" si="49"/>
        <v/>
      </c>
      <c r="AU93" s="16" t="str">
        <f t="shared" si="50"/>
        <v/>
      </c>
      <c r="AV93" s="16" t="str">
        <f t="shared" si="51"/>
        <v/>
      </c>
      <c r="AW93" s="16" t="str">
        <f>IF(D93="Ring",INDEX(Regeneration!$B$6:$B$155,A93)*0.06,"")</f>
        <v/>
      </c>
      <c r="AZ93" s="16" t="str">
        <f t="shared" si="63"/>
        <v/>
      </c>
      <c r="BA93" s="6">
        <f t="shared" si="52"/>
        <v>0.05</v>
      </c>
      <c r="BB93" s="6">
        <f t="shared" si="65"/>
        <v>0.05</v>
      </c>
    </row>
    <row r="94" spans="1:54">
      <c r="A94" s="62">
        <v>25</v>
      </c>
      <c r="B94" s="30" t="s">
        <v>492</v>
      </c>
      <c r="C94" s="30" t="s">
        <v>496</v>
      </c>
      <c r="D94" s="30" t="s">
        <v>401</v>
      </c>
      <c r="E94" s="30" t="s">
        <v>594</v>
      </c>
      <c r="F94" s="30" t="s">
        <v>649</v>
      </c>
      <c r="G94" s="76">
        <f t="shared" si="68"/>
        <v>25</v>
      </c>
      <c r="H94" s="101">
        <v>150</v>
      </c>
      <c r="J94" s="76" t="str">
        <f>LOWER(D94)</f>
        <v>armor</v>
      </c>
      <c r="K94" s="76" t="str">
        <f t="array" ref="K94">"A"&amp;IF(IF(ISBLANK(I94),OR(LEFT(LOWER(F94),1)={"a","e","I","o","u"}),OR(LEFT(LOWER(I94),1)={"a","e","I","o","u"})),"n "," ")&amp;I94&amp;IF(ISBLANK(I94),""," ")&amp;LOWER(F94)&amp;IF(LEFT(J94,1)="-",""," ")&amp;J94</f>
        <v>A lightning armor</v>
      </c>
      <c r="L94" s="76">
        <v>1</v>
      </c>
      <c r="M94" s="62">
        <v>634</v>
      </c>
      <c r="N94" s="62" t="s">
        <v>644</v>
      </c>
      <c r="O94" s="93" t="b">
        <f t="shared" si="53"/>
        <v>0</v>
      </c>
      <c r="P94" s="76" t="s">
        <v>490</v>
      </c>
      <c r="Q94" s="62" t="s">
        <v>490</v>
      </c>
      <c r="R94" s="100" t="str">
        <f t="shared" si="70"/>
        <v/>
      </c>
      <c r="S94" s="93" t="str">
        <f t="shared" si="54"/>
        <v/>
      </c>
      <c r="T94" s="98" t="str">
        <f t="shared" si="55"/>
        <v/>
      </c>
      <c r="U94" s="95" t="str">
        <f t="shared" si="56"/>
        <v/>
      </c>
      <c r="V94" s="98" t="str">
        <f t="shared" si="57"/>
        <v/>
      </c>
      <c r="W94" s="6" t="str">
        <f t="shared" si="58"/>
        <v/>
      </c>
      <c r="X94" s="6">
        <v>0</v>
      </c>
      <c r="Y94" s="76" t="b">
        <v>1</v>
      </c>
      <c r="Z94" s="76">
        <f t="shared" si="44"/>
        <v>25</v>
      </c>
      <c r="AA94" s="71" t="str">
        <f t="shared" si="45"/>
        <v/>
      </c>
      <c r="AD94" s="71" t="str">
        <f t="shared" si="46"/>
        <v/>
      </c>
      <c r="AE94" s="71" t="str">
        <f t="shared" si="47"/>
        <v/>
      </c>
      <c r="AG94" s="43" t="str">
        <f>IF(N94,INDEX(Damage!$F$2:$F$151,A94)*R94*S94*V94/1000,"")</f>
        <v/>
      </c>
      <c r="AH94" s="94" t="str">
        <f t="shared" si="59"/>
        <v/>
      </c>
      <c r="AI94" s="94" t="str">
        <f t="shared" si="60"/>
        <v/>
      </c>
      <c r="AJ94" s="79" t="s">
        <v>645</v>
      </c>
      <c r="AK94" s="6">
        <f t="array" ref="AK94">IF(AJ94,MAX(IF(Armor!$D$2:'Armor'!$D$7=D94,Armor!$E$2:$E$7),0))</f>
        <v>0.45</v>
      </c>
      <c r="AL94" s="6">
        <f t="shared" si="69"/>
        <v>0</v>
      </c>
      <c r="AM94" s="71">
        <f>(AL94+AK94)*INDEX(Armor!$B$2:$B$151,A94)+IF(AJ94,1,0)</f>
        <v>88.3</v>
      </c>
      <c r="AN94" s="71">
        <f>IF(C94="Caster",IF(ISERR(FIND("orb",LOWER(E94))),IF(ISERR(FIND("wand",LOWER(E94))),IF(NOT($D94="Polearm"),0,INDEX(Regeneration!$M$2:$M$151,A94+2)),INDEX(Regeneration!$L$2:$L$151,A94+2)),INDEX(Regeneration!$K$2:$K$151,A94+2)),0)</f>
        <v>0</v>
      </c>
      <c r="AO94" s="71" t="str">
        <f t="shared" si="48"/>
        <v/>
      </c>
      <c r="AP94" s="71" t="str">
        <f>IF(AND($N94,$C94="Caster"),IF(AND(NOT($D94="Polearm"),ISERR(FIND("wand",LOWER($E94)))),0,INDEX(Regeneration!F$2:F$151,A94)*0.06),"")</f>
        <v/>
      </c>
      <c r="AQ94" s="88">
        <f t="shared" si="61"/>
        <v>0</v>
      </c>
      <c r="AR94" s="88">
        <f t="shared" si="62"/>
        <v>0</v>
      </c>
      <c r="AS94" s="16" t="str">
        <f>IF(D94="Shield",INDEX(Regeneration!$C$2:$C$151,A94+3)*0.5*IF(ISERR(FIND("Rare",B94)),IF(ISERR(FIND("Uncommon",B94)),1,1.5),2.25),"")</f>
        <v/>
      </c>
      <c r="AT94" s="16" t="str">
        <f t="shared" si="49"/>
        <v/>
      </c>
      <c r="AU94" s="16" t="str">
        <f t="shared" si="50"/>
        <v/>
      </c>
      <c r="AV94" s="16" t="str">
        <f t="shared" si="51"/>
        <v/>
      </c>
      <c r="AW94" s="16" t="str">
        <f>IF(D94="Ring",INDEX(Regeneration!$B$6:$B$155,A94)*0.06,"")</f>
        <v/>
      </c>
      <c r="AZ94" s="16" t="str">
        <f t="shared" si="63"/>
        <v/>
      </c>
      <c r="BA94" s="6">
        <f t="shared" si="52"/>
        <v>0</v>
      </c>
      <c r="BB94" s="6">
        <f t="shared" si="65"/>
        <v>0</v>
      </c>
    </row>
    <row r="95" spans="1:54">
      <c r="A95" s="76">
        <v>25</v>
      </c>
      <c r="B95" s="30" t="s">
        <v>492</v>
      </c>
      <c r="C95" s="30" t="s">
        <v>496</v>
      </c>
      <c r="D95" s="30" t="s">
        <v>484</v>
      </c>
      <c r="E95" s="30" t="s">
        <v>604</v>
      </c>
      <c r="F95" s="30" t="s">
        <v>649</v>
      </c>
      <c r="G95" s="76">
        <f t="shared" si="68"/>
        <v>25</v>
      </c>
      <c r="H95" s="101">
        <v>150</v>
      </c>
      <c r="J95" s="80" t="s">
        <v>697</v>
      </c>
      <c r="K95" s="76" t="str">
        <f t="array" ref="K95">"A"&amp;IF(IF(ISBLANK(I95),OR(LEFT(LOWER(F95),1)={"a","e","I","o","u"}),OR(LEFT(LOWER(I95),1)={"a","e","I","o","u"})),"n "," ")&amp;I95&amp;IF(ISBLANK(I95),""," ")&amp;LOWER(F95)&amp;IF(LEFT(J95,1)="-",""," ")&amp;J95</f>
        <v>A lightning-enchanted belt</v>
      </c>
      <c r="L95" s="76">
        <v>1</v>
      </c>
      <c r="M95" s="62">
        <v>34</v>
      </c>
      <c r="N95" s="62" t="s">
        <v>644</v>
      </c>
      <c r="O95" s="93" t="b">
        <f t="shared" si="53"/>
        <v>0</v>
      </c>
      <c r="P95" s="76" t="s">
        <v>490</v>
      </c>
      <c r="Q95" s="62" t="s">
        <v>490</v>
      </c>
      <c r="R95" s="100" t="str">
        <f t="shared" si="70"/>
        <v/>
      </c>
      <c r="S95" s="93" t="str">
        <f t="shared" si="54"/>
        <v/>
      </c>
      <c r="T95" s="98" t="str">
        <f t="shared" si="55"/>
        <v/>
      </c>
      <c r="U95" s="95" t="str">
        <f t="shared" si="56"/>
        <v/>
      </c>
      <c r="V95" s="98" t="str">
        <f t="shared" si="57"/>
        <v/>
      </c>
      <c r="W95" s="6" t="str">
        <f t="shared" si="58"/>
        <v/>
      </c>
      <c r="X95" s="6">
        <v>0</v>
      </c>
      <c r="Y95" s="76" t="b">
        <v>1</v>
      </c>
      <c r="Z95" s="76">
        <f t="shared" si="44"/>
        <v>25</v>
      </c>
      <c r="AA95" s="71" t="str">
        <f t="shared" si="45"/>
        <v/>
      </c>
      <c r="AD95" s="71" t="str">
        <f t="shared" si="46"/>
        <v/>
      </c>
      <c r="AE95" s="71" t="str">
        <f t="shared" si="47"/>
        <v/>
      </c>
      <c r="AG95" s="43" t="str">
        <f>IF(N95,INDEX(Damage!$F$2:$F$151,A95)*R95*S95*V95/1000,"")</f>
        <v/>
      </c>
      <c r="AH95" s="94" t="str">
        <f t="shared" si="59"/>
        <v/>
      </c>
      <c r="AI95" s="94" t="str">
        <f t="shared" si="60"/>
        <v/>
      </c>
      <c r="AJ95" s="79" t="s">
        <v>645</v>
      </c>
      <c r="AK95" s="6">
        <f t="array" ref="AK95">IF(AJ95,MAX(IF(Armor!$D$2:'Armor'!$D$7=D95,Armor!$E$2:$E$7),0))</f>
        <v>0.06</v>
      </c>
      <c r="AL95" s="6">
        <f t="shared" si="69"/>
        <v>0</v>
      </c>
      <c r="AM95" s="71">
        <f>(AL95+AK95)*INDEX(Armor!$B$2:$B$151,A95)+IF(AJ95,1,0)</f>
        <v>12.639999999999999</v>
      </c>
      <c r="AN95" s="71">
        <f>IF(C95="Caster",IF(ISERR(FIND("orb",LOWER(E95))),IF(ISERR(FIND("wand",LOWER(E95))),IF(NOT($D95="Polearm"),0,INDEX(Regeneration!$M$2:$M$151,A95+2)),INDEX(Regeneration!$L$2:$L$151,A95+2)),INDEX(Regeneration!$K$2:$K$151,A95+2)),0)</f>
        <v>0</v>
      </c>
      <c r="AO95" s="71" t="str">
        <f t="shared" si="48"/>
        <v/>
      </c>
      <c r="AP95" s="71" t="str">
        <f>IF(AND($N95,$C95="Caster"),IF(AND(NOT($D95="Polearm"),ISERR(FIND("wand",LOWER($E95)))),0,INDEX(Regeneration!F$2:F$151,A95)*0.06),"")</f>
        <v/>
      </c>
      <c r="AQ95" s="88">
        <f t="shared" si="61"/>
        <v>0</v>
      </c>
      <c r="AR95" s="88">
        <f t="shared" si="62"/>
        <v>0</v>
      </c>
      <c r="AS95" s="16" t="str">
        <f>IF(D95="Shield",INDEX(Regeneration!$C$2:$C$151,A95+3)*0.5*IF(ISERR(FIND("Rare",B95)),IF(ISERR(FIND("Uncommon",B95)),1,1.5),2.25),"")</f>
        <v/>
      </c>
      <c r="AT95" s="16" t="str">
        <f t="shared" si="49"/>
        <v/>
      </c>
      <c r="AU95" s="16" t="str">
        <f t="shared" si="50"/>
        <v/>
      </c>
      <c r="AV95" s="16" t="str">
        <f t="shared" si="51"/>
        <v/>
      </c>
      <c r="AW95" s="16" t="str">
        <f>IF(D95="Ring",INDEX(Regeneration!$B$6:$B$155,A95)*0.06,"")</f>
        <v/>
      </c>
      <c r="AZ95" s="16" t="str">
        <f t="shared" si="63"/>
        <v/>
      </c>
      <c r="BA95" s="6">
        <f t="shared" si="52"/>
        <v>0</v>
      </c>
      <c r="BB95" s="6">
        <f t="shared" si="65"/>
        <v>0</v>
      </c>
    </row>
    <row r="96" spans="1:54">
      <c r="A96" s="76">
        <v>25</v>
      </c>
      <c r="B96" s="30" t="s">
        <v>492</v>
      </c>
      <c r="C96" s="30" t="s">
        <v>496</v>
      </c>
      <c r="D96" s="30" t="s">
        <v>487</v>
      </c>
      <c r="E96" s="30" t="s">
        <v>595</v>
      </c>
      <c r="F96" s="30" t="s">
        <v>649</v>
      </c>
      <c r="G96" s="76">
        <f t="shared" si="68"/>
        <v>25</v>
      </c>
      <c r="H96" s="101">
        <v>150</v>
      </c>
      <c r="J96" s="76" t="str">
        <f>LOWER(D96)</f>
        <v>boots</v>
      </c>
      <c r="K96" s="76" t="str">
        <f t="array" ref="K96">"A"&amp;IF(IF(ISBLANK(I96),OR(LEFT(LOWER(F96),1)={"a","e","I","o","u"}),OR(LEFT(LOWER(I96),1)={"a","e","I","o","u"})),"n "," ")&amp;I96&amp;IF(ISBLANK(I96),""," ")&amp;LOWER(F96)&amp;IF(LEFT(J96,1)="-",""," ")&amp;J96</f>
        <v>A lightning boots</v>
      </c>
      <c r="L96" s="76">
        <v>1</v>
      </c>
      <c r="M96" s="62">
        <v>109</v>
      </c>
      <c r="N96" s="62" t="s">
        <v>644</v>
      </c>
      <c r="O96" s="93" t="b">
        <f t="shared" si="53"/>
        <v>0</v>
      </c>
      <c r="P96" s="76" t="s">
        <v>490</v>
      </c>
      <c r="Q96" s="62" t="s">
        <v>490</v>
      </c>
      <c r="R96" s="100" t="str">
        <f t="shared" si="70"/>
        <v/>
      </c>
      <c r="S96" s="93" t="str">
        <f t="shared" si="54"/>
        <v/>
      </c>
      <c r="T96" s="98" t="str">
        <f t="shared" si="55"/>
        <v/>
      </c>
      <c r="U96" s="95" t="str">
        <f t="shared" si="56"/>
        <v/>
      </c>
      <c r="V96" s="98" t="str">
        <f t="shared" si="57"/>
        <v/>
      </c>
      <c r="W96" s="6" t="str">
        <f t="shared" si="58"/>
        <v/>
      </c>
      <c r="X96" s="6">
        <v>0</v>
      </c>
      <c r="Y96" s="76" t="b">
        <v>1</v>
      </c>
      <c r="Z96" s="76">
        <f t="shared" si="44"/>
        <v>25</v>
      </c>
      <c r="AA96" s="71" t="str">
        <f t="shared" si="45"/>
        <v/>
      </c>
      <c r="AD96" s="71" t="str">
        <f t="shared" si="46"/>
        <v/>
      </c>
      <c r="AE96" s="71" t="str">
        <f t="shared" si="47"/>
        <v/>
      </c>
      <c r="AG96" s="43" t="str">
        <f>IF(N96,INDEX(Damage!$F$2:$F$151,A96)*R96*S96*V96/1000,"")</f>
        <v/>
      </c>
      <c r="AH96" s="94" t="str">
        <f t="shared" si="59"/>
        <v/>
      </c>
      <c r="AI96" s="94" t="str">
        <f t="shared" si="60"/>
        <v/>
      </c>
      <c r="AJ96" s="79" t="s">
        <v>645</v>
      </c>
      <c r="AK96" s="6">
        <f t="array" ref="AK96">IF(AJ96,MAX(IF(Armor!$D$2:'Armor'!$D$7=D96,Armor!$E$2:$E$7),0))</f>
        <v>0.1</v>
      </c>
      <c r="AL96" s="6">
        <f t="shared" si="69"/>
        <v>0</v>
      </c>
      <c r="AM96" s="71">
        <f>(AL96+AK96)*INDEX(Armor!$B$2:$B$151,A96)+IF(AJ96,1,0)</f>
        <v>20.400000000000002</v>
      </c>
      <c r="AN96" s="71">
        <f>IF(C96="Caster",IF(ISERR(FIND("orb",LOWER(E96))),IF(ISERR(FIND("wand",LOWER(E96))),IF(NOT($D96="Polearm"),0,INDEX(Regeneration!$M$2:$M$151,A96+2)),INDEX(Regeneration!$L$2:$L$151,A96+2)),INDEX(Regeneration!$K$2:$K$151,A96+2)),0)</f>
        <v>0</v>
      </c>
      <c r="AO96" s="71" t="str">
        <f t="shared" si="48"/>
        <v/>
      </c>
      <c r="AP96" s="71" t="str">
        <f>IF(AND($N96,$C96="Caster"),IF(AND(NOT($D96="Polearm"),ISERR(FIND("wand",LOWER($E96)))),0,INDEX(Regeneration!F$2:F$151,A96)*0.06),"")</f>
        <v/>
      </c>
      <c r="AQ96" s="88">
        <f t="shared" si="61"/>
        <v>0</v>
      </c>
      <c r="AR96" s="88">
        <f t="shared" si="62"/>
        <v>0</v>
      </c>
      <c r="AS96" s="16" t="str">
        <f>IF(D96="Shield",INDEX(Regeneration!$C$2:$C$151,A96+3)*0.5*IF(ISERR(FIND("Rare",B96)),IF(ISERR(FIND("Uncommon",B96)),1,1.5),2.25),"")</f>
        <v/>
      </c>
      <c r="AT96" s="16" t="str">
        <f t="shared" si="49"/>
        <v/>
      </c>
      <c r="AU96" s="16" t="str">
        <f t="shared" si="50"/>
        <v/>
      </c>
      <c r="AV96" s="16" t="str">
        <f t="shared" si="51"/>
        <v/>
      </c>
      <c r="AW96" s="16" t="str">
        <f>IF(D96="Ring",INDEX(Regeneration!$B$6:$B$155,A96)*0.06,"")</f>
        <v/>
      </c>
      <c r="AZ96" s="16" t="str">
        <f t="shared" si="63"/>
        <v/>
      </c>
      <c r="BA96" s="6">
        <f t="shared" si="52"/>
        <v>0</v>
      </c>
      <c r="BB96" s="6">
        <f t="shared" si="65"/>
        <v>0</v>
      </c>
    </row>
    <row r="97" spans="1:54">
      <c r="A97" s="76">
        <v>25</v>
      </c>
      <c r="B97" s="30" t="s">
        <v>495</v>
      </c>
      <c r="C97" s="30" t="s">
        <v>10</v>
      </c>
      <c r="D97" s="30" t="s">
        <v>479</v>
      </c>
      <c r="E97" s="30" t="s">
        <v>710</v>
      </c>
      <c r="G97" s="76">
        <f t="shared" si="68"/>
        <v>35</v>
      </c>
      <c r="H97" s="101">
        <v>150</v>
      </c>
      <c r="I97" s="76" t="s">
        <v>812</v>
      </c>
      <c r="J97" s="76" t="str">
        <f>LOWER(D97)</f>
        <v>bow</v>
      </c>
      <c r="K97" s="76" t="str">
        <f t="array" ref="K97">"A"&amp;IF(IF(ISBLANK(I97),OR(LEFT(LOWER(F97),1)={"a","e","I","o","u"}),OR(LEFT(LOWER(I97),1)={"a","e","I","o","u"})),"n "," ")&amp;I97&amp;IF(ISBLANK(I97),""," ")&amp;LOWER(F97)&amp;IF(LEFT(J97,1)="-",""," ")&amp;J97</f>
        <v>A legendary  bow</v>
      </c>
      <c r="L97" s="76">
        <v>1</v>
      </c>
      <c r="M97" s="62">
        <v>2000</v>
      </c>
      <c r="N97" s="62" t="b">
        <v>1</v>
      </c>
      <c r="O97" s="93" t="b">
        <f t="shared" si="53"/>
        <v>1</v>
      </c>
      <c r="P97" s="76" t="s">
        <v>7</v>
      </c>
      <c r="Q97" s="62" t="s">
        <v>506</v>
      </c>
      <c r="R97" s="100">
        <f t="shared" si="70"/>
        <v>0.81</v>
      </c>
      <c r="S97" s="93">
        <f t="shared" si="54"/>
        <v>1</v>
      </c>
      <c r="T97" s="98">
        <f t="shared" si="55"/>
        <v>0.7</v>
      </c>
      <c r="U97" s="95">
        <f t="shared" si="56"/>
        <v>8</v>
      </c>
      <c r="V97" s="98">
        <f t="shared" si="57"/>
        <v>454.99999999999994</v>
      </c>
      <c r="W97" s="6">
        <f t="shared" si="58"/>
        <v>0.22</v>
      </c>
      <c r="X97" s="6">
        <v>0</v>
      </c>
      <c r="Y97" s="76" t="b">
        <v>1</v>
      </c>
      <c r="Z97" s="76">
        <f t="shared" si="44"/>
        <v>25</v>
      </c>
      <c r="AA97" s="71">
        <f t="shared" si="45"/>
        <v>22</v>
      </c>
      <c r="AD97" s="71" t="str">
        <f t="shared" si="46"/>
        <v/>
      </c>
      <c r="AE97" s="71" t="str">
        <f t="shared" si="47"/>
        <v/>
      </c>
      <c r="AF97" s="7">
        <v>0.15</v>
      </c>
      <c r="AG97" s="43">
        <f>IF(N97,INDEX(Damage!$F$2:$F$151,A97)*R97*S97*V97/1000,"")</f>
        <v>46.2483</v>
      </c>
      <c r="AH97" s="94">
        <f t="shared" si="59"/>
        <v>41.484725099999991</v>
      </c>
      <c r="AI97" s="94">
        <f t="shared" si="60"/>
        <v>64.886364900000004</v>
      </c>
      <c r="AJ97" s="90" t="b">
        <v>0</v>
      </c>
      <c r="AK97" s="6" t="b">
        <f t="array" ref="AK97">IF(AJ97,MAX(IF(Armor!$D$2:'Armor'!$D$7=D97,Armor!$E$2:$E$7),0))</f>
        <v>0</v>
      </c>
      <c r="AL97" s="6">
        <f t="shared" si="69"/>
        <v>0.1</v>
      </c>
      <c r="AM97" s="71">
        <f>(AL97+AK97)*INDEX(Armor!$B$2:$B$151,A97)+IF(AJ97,1,0)</f>
        <v>19.400000000000002</v>
      </c>
      <c r="AN97" s="71">
        <f>IF(C97="Caster",IF(ISERR(FIND("orb",LOWER(E97))),IF(ISERR(FIND("wand",LOWER(E97))),IF(NOT($D97="Polearm"),0,INDEX(Regeneration!$M$2:$M$151,A97+2)),INDEX(Regeneration!$L$2:$L$151,A97+2)),INDEX(Regeneration!$K$2:$K$151,A97+2)),0)</f>
        <v>0</v>
      </c>
      <c r="AO97" s="71" t="str">
        <f t="shared" si="48"/>
        <v/>
      </c>
      <c r="AP97" s="71" t="str">
        <f>IF(AND($N97,$C97="Caster"),IF(AND(NOT($D97="Polearm"),ISERR(FIND("wand",LOWER($E97)))),0,INDEX(Regeneration!F$2:F$151,A97)*0.06),"")</f>
        <v/>
      </c>
      <c r="AQ97" s="88">
        <f t="shared" si="61"/>
        <v>0.15</v>
      </c>
      <c r="AR97" s="88">
        <f t="shared" si="62"/>
        <v>0.15</v>
      </c>
      <c r="AS97" s="16" t="str">
        <f>IF(D97="Shield",INDEX(Regeneration!$C$2:$C$151,A97+3)*0.5*IF(ISERR(FIND("Rare",B97)),IF(ISERR(FIND("Uncommon",B97)),1,1.5),2.25),"")</f>
        <v/>
      </c>
      <c r="AT97" s="16" t="str">
        <f t="shared" si="49"/>
        <v/>
      </c>
      <c r="AU97" s="16" t="str">
        <f t="shared" si="50"/>
        <v/>
      </c>
      <c r="AV97" s="16" t="str">
        <f t="shared" si="51"/>
        <v/>
      </c>
      <c r="AW97" s="16" t="str">
        <f>IF(D97="Ring",INDEX(Regeneration!$B$6:$B$155,A97)*0.06,"")</f>
        <v/>
      </c>
      <c r="AZ97" s="16" t="str">
        <f t="shared" si="63"/>
        <v/>
      </c>
      <c r="BA97" s="6">
        <f t="shared" si="52"/>
        <v>0.33749999999999997</v>
      </c>
      <c r="BB97" s="6">
        <f t="shared" si="65"/>
        <v>0.33749999999999997</v>
      </c>
    </row>
    <row r="98" spans="1:54">
      <c r="A98" s="76">
        <v>25</v>
      </c>
      <c r="B98" s="30" t="s">
        <v>492</v>
      </c>
      <c r="C98" s="30" t="s">
        <v>10</v>
      </c>
      <c r="D98" s="30" t="s">
        <v>479</v>
      </c>
      <c r="E98" s="30" t="s">
        <v>602</v>
      </c>
      <c r="F98" s="30" t="s">
        <v>649</v>
      </c>
      <c r="G98" s="76">
        <f t="shared" si="68"/>
        <v>25</v>
      </c>
      <c r="H98" s="101">
        <v>150</v>
      </c>
      <c r="J98" s="76" t="str">
        <f>LOWER(D98)</f>
        <v>bow</v>
      </c>
      <c r="K98" s="76" t="str">
        <f t="array" ref="K98">"A"&amp;IF(IF(ISBLANK(I98),OR(LEFT(LOWER(F98),1)={"a","e","I","o","u"}),OR(LEFT(LOWER(I98),1)={"a","e","I","o","u"})),"n "," ")&amp;I98&amp;IF(ISBLANK(I98),""," ")&amp;LOWER(F98)&amp;IF(LEFT(J98,1)="-",""," ")&amp;J98</f>
        <v>A lightning bow</v>
      </c>
      <c r="L98" s="76">
        <v>1</v>
      </c>
      <c r="M98" s="62">
        <v>34</v>
      </c>
      <c r="N98" s="62" t="s">
        <v>645</v>
      </c>
      <c r="O98" s="93" t="b">
        <f t="shared" si="53"/>
        <v>1</v>
      </c>
      <c r="P98" s="76" t="s">
        <v>504</v>
      </c>
      <c r="Q98" s="62" t="s">
        <v>643</v>
      </c>
      <c r="R98" s="100">
        <f t="shared" si="70"/>
        <v>0.9</v>
      </c>
      <c r="S98" s="93">
        <f t="shared" si="54"/>
        <v>1</v>
      </c>
      <c r="T98" s="98">
        <f t="shared" si="55"/>
        <v>1</v>
      </c>
      <c r="U98" s="95">
        <f t="shared" si="56"/>
        <v>8</v>
      </c>
      <c r="V98" s="98">
        <f t="shared" si="57"/>
        <v>650</v>
      </c>
      <c r="W98" s="6">
        <f t="shared" si="58"/>
        <v>0.18</v>
      </c>
      <c r="X98" s="6">
        <v>0</v>
      </c>
      <c r="Y98" s="76" t="b">
        <v>1</v>
      </c>
      <c r="Z98" s="76">
        <f t="shared" ref="Z98:Z129" si="71">IF(ISERR(FIND("Consumable",B98)),IF(A98&gt;1,A98,0),0)</f>
        <v>25</v>
      </c>
      <c r="AA98" s="71">
        <f t="shared" si="45"/>
        <v>22</v>
      </c>
      <c r="AD98" s="71" t="str">
        <f t="shared" ref="AD98:AD129" si="72">IF(AND($AN98&gt;0,MOD($A98/5,2)=1),IF($A98&lt;10,16,IF($A98&lt;20,18,IF($A98&lt;40,22,28))),"")</f>
        <v/>
      </c>
      <c r="AE98" s="71" t="str">
        <f t="shared" ref="AE98:AE129" si="73">IF(AND($AN98&gt;0,MOD($A98/5,2)=0),IF($A98&lt;10,16,IF($A98&lt;20,18,IF($A98&lt;40,22,28))),"")</f>
        <v/>
      </c>
      <c r="AG98" s="43">
        <f>IF(N98,INDEX(Damage!$F$2:$F$151,A98)*R98*S98*V98/1000,"")</f>
        <v>73.410000000000011</v>
      </c>
      <c r="AH98" s="94">
        <f t="shared" si="59"/>
        <v>60.196200000000012</v>
      </c>
      <c r="AI98" s="94">
        <f t="shared" si="60"/>
        <v>86.623800000000017</v>
      </c>
      <c r="AJ98" s="79" t="s">
        <v>644</v>
      </c>
      <c r="AK98" s="6" t="b">
        <f t="array" ref="AK98">IF(AJ98,MAX(IF(Armor!$D$2:'Armor'!$D$7=D98,Armor!$E$2:$E$7),0))</f>
        <v>0</v>
      </c>
      <c r="AL98" s="6">
        <f t="shared" si="69"/>
        <v>0</v>
      </c>
      <c r="AM98" s="71">
        <f>(AL98+AK98)*INDEX(Armor!$B$2:$B$151,A98)+IF(AJ98,1,0)</f>
        <v>0</v>
      </c>
      <c r="AN98" s="71">
        <f>IF(C98="Caster",IF(ISERR(FIND("orb",LOWER(E98))),IF(ISERR(FIND("wand",LOWER(E98))),IF(NOT($D98="Polearm"),0,INDEX(Regeneration!$M$2:$M$151,A98+2)),INDEX(Regeneration!$L$2:$L$151,A98+2)),INDEX(Regeneration!$K$2:$K$151,A98+2)),0)</f>
        <v>0</v>
      </c>
      <c r="AO98" s="71" t="str">
        <f t="shared" ref="AO98:AO129" si="74">IF(AND($N98,$C98="Caster"),IF(AND(NOT($D98="Polearm"),ISERR(FIND("orb",LOWER($E98)))),0,5),"")</f>
        <v/>
      </c>
      <c r="AP98" s="71" t="str">
        <f>IF(AND($N98,$C98="Caster"),IF(AND(NOT($D98="Polearm"),ISERR(FIND("wand",LOWER($E98)))),0,INDEX(Regeneration!F$2:F$151,A98)*0.06),"")</f>
        <v/>
      </c>
      <c r="AQ98" s="88">
        <f t="shared" si="61"/>
        <v>0.15</v>
      </c>
      <c r="AR98" s="88">
        <f t="shared" si="62"/>
        <v>0.15</v>
      </c>
      <c r="AS98" s="16" t="str">
        <f>IF(D98="Shield",INDEX(Regeneration!$C$2:$C$151,A98+3)*0.5*IF(ISERR(FIND("Rare",B98)),IF(ISERR(FIND("Uncommon",B98)),1,1.5),2.25),"")</f>
        <v/>
      </c>
      <c r="AT98" s="16" t="str">
        <f t="shared" ref="AT98:AT129" si="75">IF(AN98&lt;&gt;0,AN98+1,"")</f>
        <v/>
      </c>
      <c r="AU98" s="16" t="str">
        <f t="shared" ref="AU98:AU129" si="76">IF(AO98&lt;&gt;0,AO98,"")</f>
        <v/>
      </c>
      <c r="AV98" s="16" t="str">
        <f t="shared" ref="AV98:AV129" si="77">IF(D98="Ring",5,"")</f>
        <v/>
      </c>
      <c r="AW98" s="16" t="str">
        <f>IF(D98="Ring",INDEX(Regeneration!$B$6:$B$155,A98)*0.06,"")</f>
        <v/>
      </c>
      <c r="AZ98" s="16" t="str">
        <f t="shared" si="63"/>
        <v/>
      </c>
      <c r="BA98" s="6">
        <f t="shared" si="52"/>
        <v>0.15</v>
      </c>
      <c r="BB98" s="6">
        <f t="shared" si="65"/>
        <v>0.15</v>
      </c>
    </row>
    <row r="99" spans="1:54">
      <c r="A99" s="76">
        <v>25</v>
      </c>
      <c r="B99" s="30" t="s">
        <v>492</v>
      </c>
      <c r="C99" s="30" t="s">
        <v>10</v>
      </c>
      <c r="D99" s="30" t="s">
        <v>450</v>
      </c>
      <c r="E99" s="30" t="s">
        <v>786</v>
      </c>
      <c r="F99" s="30" t="s">
        <v>649</v>
      </c>
      <c r="G99" s="76">
        <f t="shared" si="68"/>
        <v>25</v>
      </c>
      <c r="H99" s="101">
        <v>150</v>
      </c>
      <c r="J99" s="76" t="str">
        <f>LOWER(D99)</f>
        <v>crossbow</v>
      </c>
      <c r="K99" s="76" t="str">
        <f t="array" ref="K99">"A"&amp;IF(IF(ISBLANK(I99),OR(LEFT(LOWER(F99),1)={"a","e","I","o","u"}),OR(LEFT(LOWER(I99),1)={"a","e","I","o","u"})),"n "," ")&amp;I99&amp;IF(ISBLANK(I99),""," ")&amp;LOWER(F99)&amp;IF(LEFT(J99,1)="-",""," ")&amp;J99</f>
        <v>A lightning crossbow</v>
      </c>
      <c r="L99" s="76">
        <v>1</v>
      </c>
      <c r="M99" s="62">
        <v>160</v>
      </c>
      <c r="N99" s="62" t="b">
        <v>1</v>
      </c>
      <c r="O99" s="93" t="b">
        <f t="shared" si="53"/>
        <v>1</v>
      </c>
      <c r="P99" s="76"/>
      <c r="Q99" s="62" t="s">
        <v>505</v>
      </c>
      <c r="R99" s="100">
        <f t="shared" si="70"/>
        <v>1.0349999999999999</v>
      </c>
      <c r="S99" s="93">
        <f t="shared" si="54"/>
        <v>1</v>
      </c>
      <c r="T99" s="98">
        <f t="shared" si="55"/>
        <v>1.3</v>
      </c>
      <c r="U99" s="95">
        <f t="shared" si="56"/>
        <v>8</v>
      </c>
      <c r="V99" s="98">
        <f t="shared" si="57"/>
        <v>845</v>
      </c>
      <c r="W99" s="6">
        <f t="shared" si="58"/>
        <v>0.3</v>
      </c>
      <c r="X99" s="6">
        <v>0</v>
      </c>
      <c r="Y99" s="76" t="b">
        <v>1</v>
      </c>
      <c r="Z99" s="76">
        <f t="shared" si="71"/>
        <v>25</v>
      </c>
      <c r="AA99" s="71">
        <f t="shared" si="45"/>
        <v>22</v>
      </c>
      <c r="AD99" s="71" t="str">
        <f t="shared" si="72"/>
        <v/>
      </c>
      <c r="AE99" s="71" t="str">
        <f t="shared" si="73"/>
        <v/>
      </c>
      <c r="AG99" s="43">
        <f>IF(N99,INDEX(Damage!$F$2:$F$151,A99)*R99*S99*V99/1000,"")</f>
        <v>109.74795000000002</v>
      </c>
      <c r="AH99" s="94">
        <f t="shared" si="59"/>
        <v>76.823565000000016</v>
      </c>
      <c r="AI99" s="94">
        <f t="shared" si="60"/>
        <v>142.67233500000003</v>
      </c>
      <c r="AJ99" s="90" t="b">
        <v>0</v>
      </c>
      <c r="AK99" s="6" t="b">
        <f t="array" ref="AK99">IF(AJ99,MAX(IF(Armor!$D$2:'Armor'!$D$7=D99,Armor!$E$2:$E$7),0))</f>
        <v>0</v>
      </c>
      <c r="AL99" s="6">
        <f t="shared" si="69"/>
        <v>0</v>
      </c>
      <c r="AM99" s="71">
        <f>(AL99+AK99)*INDEX(Armor!$B$2:$B$151,A99)+IF(AJ99,1,0)</f>
        <v>0</v>
      </c>
      <c r="AN99" s="71">
        <f>IF(C99="Caster",IF(ISERR(FIND("orb",LOWER(E99))),IF(ISERR(FIND("wand",LOWER(E99))),IF(NOT($D99="Polearm"),0,INDEX(Regeneration!$M$2:$M$151,A99+2)),INDEX(Regeneration!$L$2:$L$151,A99+2)),INDEX(Regeneration!$K$2:$K$151,A99+2)),0)</f>
        <v>0</v>
      </c>
      <c r="AO99" s="71" t="str">
        <f t="shared" si="74"/>
        <v/>
      </c>
      <c r="AP99" s="71" t="str">
        <f>IF(AND($N99,$C99="Caster"),IF(AND(NOT($D99="Polearm"),ISERR(FIND("wand",LOWER($E99)))),0,INDEX(Regeneration!F$2:F$151,A99)*0.06),"")</f>
        <v/>
      </c>
      <c r="AQ99" s="88">
        <f t="shared" si="61"/>
        <v>0.15</v>
      </c>
      <c r="AR99" s="88">
        <f t="shared" si="62"/>
        <v>0.15</v>
      </c>
      <c r="AS99" s="16" t="str">
        <f>IF(D99="Shield",INDEX(Regeneration!$C$2:$C$151,A99+3)*0.5*IF(ISERR(FIND("Rare",B99)),IF(ISERR(FIND("Uncommon",B99)),1,1.5),2.25),"")</f>
        <v/>
      </c>
      <c r="AT99" s="16" t="str">
        <f t="shared" si="75"/>
        <v/>
      </c>
      <c r="AU99" s="16" t="str">
        <f t="shared" si="76"/>
        <v/>
      </c>
      <c r="AV99" s="16" t="str">
        <f t="shared" si="77"/>
        <v/>
      </c>
      <c r="AW99" s="16" t="str">
        <f>IF(D99="Ring",INDEX(Regeneration!$B$6:$B$155,A99)*0.06,"")</f>
        <v/>
      </c>
      <c r="AZ99" s="16" t="str">
        <f t="shared" si="63"/>
        <v/>
      </c>
      <c r="BA99" s="6">
        <f t="shared" si="52"/>
        <v>0.15</v>
      </c>
      <c r="BB99" s="6">
        <f t="shared" si="65"/>
        <v>0.15</v>
      </c>
    </row>
    <row r="100" spans="1:54">
      <c r="A100" s="76">
        <v>25</v>
      </c>
      <c r="B100" s="30" t="s">
        <v>492</v>
      </c>
      <c r="C100" s="30" t="s">
        <v>496</v>
      </c>
      <c r="D100" s="30" t="s">
        <v>488</v>
      </c>
      <c r="E100" s="30" t="s">
        <v>605</v>
      </c>
      <c r="F100" s="30" t="s">
        <v>649</v>
      </c>
      <c r="G100" s="76">
        <f t="shared" si="68"/>
        <v>25</v>
      </c>
      <c r="H100" s="101">
        <v>150</v>
      </c>
      <c r="I100" s="76" t="s">
        <v>673</v>
      </c>
      <c r="J100" s="80" t="s">
        <v>674</v>
      </c>
      <c r="K100" s="76" t="str">
        <f t="array" ref="K100">"A"&amp;IF(IF(ISBLANK(I100),OR(LEFT(LOWER(F100),1)={"a","e","I","o","u"}),OR(LEFT(LOWER(I100),1)={"a","e","I","o","u"})),"n "," ")&amp;I100&amp;IF(ISBLANK(I100),""," ")&amp;LOWER(F100)&amp;IF(LEFT(J100,1)="-",""," ")&amp;J100</f>
        <v>A fine pair of lightning-touched gauntlets</v>
      </c>
      <c r="L100" s="76">
        <v>1</v>
      </c>
      <c r="M100" s="62">
        <v>34</v>
      </c>
      <c r="N100" s="62" t="s">
        <v>644</v>
      </c>
      <c r="O100" s="93" t="b">
        <f t="shared" si="53"/>
        <v>0</v>
      </c>
      <c r="P100" s="76" t="s">
        <v>490</v>
      </c>
      <c r="Q100" s="62" t="s">
        <v>490</v>
      </c>
      <c r="R100" s="100" t="str">
        <f t="shared" si="70"/>
        <v/>
      </c>
      <c r="S100" s="93" t="str">
        <f t="shared" si="54"/>
        <v/>
      </c>
      <c r="T100" s="98" t="str">
        <f t="shared" si="55"/>
        <v/>
      </c>
      <c r="U100" s="95" t="str">
        <f t="shared" si="56"/>
        <v/>
      </c>
      <c r="V100" s="98" t="str">
        <f t="shared" si="57"/>
        <v/>
      </c>
      <c r="W100" s="6" t="str">
        <f t="shared" si="58"/>
        <v/>
      </c>
      <c r="X100" s="6">
        <v>0</v>
      </c>
      <c r="Y100" s="76" t="b">
        <v>1</v>
      </c>
      <c r="Z100" s="76">
        <f t="shared" si="71"/>
        <v>25</v>
      </c>
      <c r="AA100" s="71" t="str">
        <f t="shared" si="45"/>
        <v/>
      </c>
      <c r="AD100" s="71" t="str">
        <f t="shared" si="72"/>
        <v/>
      </c>
      <c r="AE100" s="71" t="str">
        <f t="shared" si="73"/>
        <v/>
      </c>
      <c r="AG100" s="43" t="str">
        <f>IF(N100,INDEX(Damage!$F$2:$F$151,A100)*R100*S100*V100/1000,"")</f>
        <v/>
      </c>
      <c r="AH100" s="94" t="str">
        <f t="shared" si="59"/>
        <v/>
      </c>
      <c r="AI100" s="94" t="str">
        <f t="shared" si="60"/>
        <v/>
      </c>
      <c r="AJ100" s="79" t="s">
        <v>645</v>
      </c>
      <c r="AK100" s="6">
        <f t="array" ref="AK100">IF(AJ100,MAX(IF(Armor!$D$2:'Armor'!$D$7=D100,Armor!$E$2:$E$7),0))</f>
        <v>0.04</v>
      </c>
      <c r="AL100" s="6">
        <f t="shared" si="69"/>
        <v>0</v>
      </c>
      <c r="AM100" s="71">
        <f>(AL100+AK100)*INDEX(Armor!$B$2:$B$151,A100)+IF(AJ100,1,0)</f>
        <v>8.76</v>
      </c>
      <c r="AN100" s="71">
        <f>IF(C100="Caster",IF(ISERR(FIND("orb",LOWER(E100))),IF(ISERR(FIND("wand",LOWER(E100))),IF(NOT($D100="Polearm"),0,INDEX(Regeneration!$M$2:$M$151,A100+2)),INDEX(Regeneration!$L$2:$L$151,A100+2)),INDEX(Regeneration!$K$2:$K$151,A100+2)),0)</f>
        <v>0</v>
      </c>
      <c r="AO100" s="71" t="str">
        <f t="shared" si="74"/>
        <v/>
      </c>
      <c r="AP100" s="71" t="str">
        <f>IF(AND($N100,$C100="Caster"),IF(AND(NOT($D100="Polearm"),ISERR(FIND("wand",LOWER($E100)))),0,INDEX(Regeneration!F$2:F$151,A100)*0.06),"")</f>
        <v/>
      </c>
      <c r="AQ100" s="88">
        <f t="shared" si="61"/>
        <v>0</v>
      </c>
      <c r="AR100" s="88">
        <f t="shared" si="62"/>
        <v>0</v>
      </c>
      <c r="AS100" s="16" t="str">
        <f>IF(D100="Shield",INDEX(Regeneration!$C$2:$C$151,A100+3)*0.5*IF(ISERR(FIND("Rare",B100)),IF(ISERR(FIND("Uncommon",B100)),1,1.5),2.25),"")</f>
        <v/>
      </c>
      <c r="AT100" s="16" t="str">
        <f t="shared" si="75"/>
        <v/>
      </c>
      <c r="AU100" s="16" t="str">
        <f t="shared" si="76"/>
        <v/>
      </c>
      <c r="AV100" s="16" t="str">
        <f t="shared" si="77"/>
        <v/>
      </c>
      <c r="AW100" s="16" t="str">
        <f>IF(D100="Ring",INDEX(Regeneration!$B$6:$B$155,A100)*0.06,"")</f>
        <v/>
      </c>
      <c r="AZ100" s="16">
        <f t="shared" si="63"/>
        <v>7</v>
      </c>
      <c r="BA100" s="6">
        <f t="shared" si="52"/>
        <v>0</v>
      </c>
      <c r="BB100" s="6">
        <f t="shared" si="65"/>
        <v>0</v>
      </c>
    </row>
    <row r="101" spans="1:54">
      <c r="A101" s="76">
        <v>25</v>
      </c>
      <c r="B101" s="30" t="s">
        <v>492</v>
      </c>
      <c r="C101" s="30" t="s">
        <v>496</v>
      </c>
      <c r="D101" s="30" t="s">
        <v>483</v>
      </c>
      <c r="E101" s="30" t="s">
        <v>596</v>
      </c>
      <c r="F101" s="30" t="s">
        <v>649</v>
      </c>
      <c r="G101" s="76">
        <f t="shared" si="68"/>
        <v>25</v>
      </c>
      <c r="H101" s="101">
        <v>150</v>
      </c>
      <c r="J101" s="76" t="str">
        <f>LOWER(D101)</f>
        <v>helmet</v>
      </c>
      <c r="K101" s="76" t="str">
        <f t="array" ref="K101">"A"&amp;IF(IF(ISBLANK(I101),OR(LEFT(LOWER(F101),1)={"a","e","I","o","u"}),OR(LEFT(LOWER(I101),1)={"a","e","I","o","u"})),"n "," ")&amp;I101&amp;IF(ISBLANK(I101),""," ")&amp;LOWER(F101)&amp;IF(LEFT(J101,1)="-",""," ")&amp;J101</f>
        <v>A lightning helmet</v>
      </c>
      <c r="L101" s="76">
        <v>1</v>
      </c>
      <c r="M101" s="62">
        <v>109</v>
      </c>
      <c r="N101" s="62" t="s">
        <v>644</v>
      </c>
      <c r="O101" s="93" t="b">
        <f t="shared" si="53"/>
        <v>0</v>
      </c>
      <c r="P101" s="76" t="s">
        <v>490</v>
      </c>
      <c r="Q101" s="62" t="s">
        <v>490</v>
      </c>
      <c r="R101" s="100" t="str">
        <f t="shared" si="70"/>
        <v/>
      </c>
      <c r="S101" s="93" t="str">
        <f t="shared" si="54"/>
        <v/>
      </c>
      <c r="T101" s="98" t="str">
        <f t="shared" si="55"/>
        <v/>
      </c>
      <c r="U101" s="95" t="str">
        <f t="shared" si="56"/>
        <v/>
      </c>
      <c r="V101" s="98" t="str">
        <f t="shared" si="57"/>
        <v/>
      </c>
      <c r="W101" s="6" t="str">
        <f t="shared" si="58"/>
        <v/>
      </c>
      <c r="X101" s="6">
        <v>0</v>
      </c>
      <c r="Y101" s="76" t="b">
        <v>1</v>
      </c>
      <c r="Z101" s="76">
        <f t="shared" si="71"/>
        <v>25</v>
      </c>
      <c r="AA101" s="71" t="str">
        <f t="shared" si="45"/>
        <v/>
      </c>
      <c r="AD101" s="71" t="str">
        <f t="shared" si="72"/>
        <v/>
      </c>
      <c r="AE101" s="71" t="str">
        <f t="shared" si="73"/>
        <v/>
      </c>
      <c r="AG101" s="43" t="str">
        <f>IF(N101,INDEX(Damage!$F$2:$F$151,A101)*R101*S101*V101/1000,"")</f>
        <v/>
      </c>
      <c r="AH101" s="94" t="str">
        <f t="shared" si="59"/>
        <v/>
      </c>
      <c r="AI101" s="94" t="str">
        <f t="shared" si="60"/>
        <v/>
      </c>
      <c r="AJ101" s="79" t="s">
        <v>645</v>
      </c>
      <c r="AK101" s="6">
        <f t="array" ref="AK101">IF(AJ101,MAX(IF(Armor!$D$2:'Armor'!$D$7=D101,Armor!$E$2:$E$7),0))</f>
        <v>0.1</v>
      </c>
      <c r="AL101" s="6">
        <f t="shared" si="69"/>
        <v>0</v>
      </c>
      <c r="AM101" s="71">
        <f>(AL101+AK101)*INDEX(Armor!$B$2:$B$151,A101)+IF(AJ101,1,0)</f>
        <v>20.400000000000002</v>
      </c>
      <c r="AN101" s="71">
        <f>IF(C101="Caster",IF(ISERR(FIND("orb",LOWER(E101))),IF(ISERR(FIND("wand",LOWER(E101))),IF(NOT($D101="Polearm"),0,INDEX(Regeneration!$M$2:$M$151,A101+2)),INDEX(Regeneration!$L$2:$L$151,A101+2)),INDEX(Regeneration!$K$2:$K$151,A101+2)),0)</f>
        <v>0</v>
      </c>
      <c r="AO101" s="71" t="str">
        <f t="shared" si="74"/>
        <v/>
      </c>
      <c r="AP101" s="71" t="str">
        <f>IF(AND($N101,$C101="Caster"),IF(AND(NOT($D101="Polearm"),ISERR(FIND("wand",LOWER($E101)))),0,INDEX(Regeneration!F$2:F$151,A101)*0.06),"")</f>
        <v/>
      </c>
      <c r="AQ101" s="88">
        <f t="shared" si="61"/>
        <v>0</v>
      </c>
      <c r="AR101" s="88">
        <f t="shared" si="62"/>
        <v>0</v>
      </c>
      <c r="AS101" s="16" t="str">
        <f>IF(D101="Shield",INDEX(Regeneration!$C$2:$C$151,A101+3)*0.5*IF(ISERR(FIND("Rare",B101)),IF(ISERR(FIND("Uncommon",B101)),1,1.5),2.25),"")</f>
        <v/>
      </c>
      <c r="AT101" s="16" t="str">
        <f t="shared" si="75"/>
        <v/>
      </c>
      <c r="AU101" s="16" t="str">
        <f t="shared" si="76"/>
        <v/>
      </c>
      <c r="AV101" s="16" t="str">
        <f t="shared" si="77"/>
        <v/>
      </c>
      <c r="AW101" s="16" t="str">
        <f>IF(D101="Ring",INDEX(Regeneration!$B$6:$B$155,A101)*0.06,"")</f>
        <v/>
      </c>
      <c r="AZ101" s="16" t="str">
        <f t="shared" si="63"/>
        <v/>
      </c>
      <c r="BA101" s="6">
        <f t="shared" si="52"/>
        <v>0</v>
      </c>
      <c r="BB101" s="6">
        <f t="shared" si="65"/>
        <v>0</v>
      </c>
    </row>
    <row r="102" spans="1:54">
      <c r="A102" s="76">
        <v>25</v>
      </c>
      <c r="B102" s="30" t="s">
        <v>492</v>
      </c>
      <c r="C102" s="30" t="s">
        <v>10</v>
      </c>
      <c r="D102" s="30" t="s">
        <v>449</v>
      </c>
      <c r="E102" s="30" t="s">
        <v>601</v>
      </c>
      <c r="F102" s="30" t="s">
        <v>649</v>
      </c>
      <c r="G102" s="76">
        <f t="shared" si="68"/>
        <v>25</v>
      </c>
      <c r="H102" s="101">
        <v>150</v>
      </c>
      <c r="I102" s="76" t="s">
        <v>696</v>
      </c>
      <c r="J102" s="76" t="s">
        <v>668</v>
      </c>
      <c r="K102" s="76" t="str">
        <f t="array" ref="K102">"A"&amp;IF(IF(ISBLANK(I102),OR(LEFT(LOWER(F102),1)={"a","e","I","o","u"}),OR(LEFT(LOWER(I102),1)={"a","e","I","o","u"})),"n "," ")&amp;I102&amp;IF(ISBLANK(I102),""," ")&amp;LOWER(F102)&amp;IF(LEFT(J102,1)="-",""," ")&amp;J102</f>
        <v>A thundrous lightning throwing weapon</v>
      </c>
      <c r="L102" s="76">
        <v>1</v>
      </c>
      <c r="M102" s="62">
        <v>34</v>
      </c>
      <c r="N102" s="62" t="s">
        <v>645</v>
      </c>
      <c r="O102" s="93" t="b">
        <f t="shared" si="53"/>
        <v>0</v>
      </c>
      <c r="P102" s="76" t="s">
        <v>504</v>
      </c>
      <c r="Q102" s="62" t="s">
        <v>506</v>
      </c>
      <c r="R102" s="100">
        <f t="shared" si="70"/>
        <v>0.9</v>
      </c>
      <c r="S102" s="93">
        <f t="shared" si="54"/>
        <v>1</v>
      </c>
      <c r="T102" s="98">
        <f t="shared" si="55"/>
        <v>0.7</v>
      </c>
      <c r="U102" s="95">
        <f t="shared" si="56"/>
        <v>2</v>
      </c>
      <c r="V102" s="98">
        <f t="shared" si="57"/>
        <v>454.99999999999994</v>
      </c>
      <c r="W102" s="6">
        <f t="shared" si="58"/>
        <v>0.15</v>
      </c>
      <c r="X102" s="6">
        <v>0</v>
      </c>
      <c r="Y102" s="76" t="b">
        <v>1</v>
      </c>
      <c r="Z102" s="76">
        <f t="shared" si="71"/>
        <v>25</v>
      </c>
      <c r="AA102" s="71">
        <f t="shared" si="45"/>
        <v>22</v>
      </c>
      <c r="AD102" s="71" t="str">
        <f t="shared" si="72"/>
        <v/>
      </c>
      <c r="AE102" s="71" t="str">
        <f t="shared" si="73"/>
        <v/>
      </c>
      <c r="AG102" s="43">
        <f>IF(N102,INDEX(Damage!$F$2:$F$151,A102)*R102*S102*V102/1000,"")</f>
        <v>51.387</v>
      </c>
      <c r="AH102" s="94">
        <f t="shared" si="59"/>
        <v>43.67895</v>
      </c>
      <c r="AI102" s="94">
        <f t="shared" si="60"/>
        <v>59.095050000000001</v>
      </c>
      <c r="AJ102" s="79" t="s">
        <v>644</v>
      </c>
      <c r="AK102" s="6" t="b">
        <f t="array" ref="AK102">IF(AJ102,MAX(IF(Armor!$D$2:'Armor'!$D$7=D102,Armor!$E$2:$E$7),0))</f>
        <v>0</v>
      </c>
      <c r="AL102" s="6">
        <f t="shared" si="69"/>
        <v>0</v>
      </c>
      <c r="AM102" s="71">
        <f>(AL102+AK102)*INDEX(Armor!$B$2:$B$151,A102)+IF(AJ102,1,0)</f>
        <v>0</v>
      </c>
      <c r="AN102" s="71">
        <f>IF(C102="Caster",IF(ISERR(FIND("orb",LOWER(E102))),IF(ISERR(FIND("wand",LOWER(E102))),IF(NOT($D102="Polearm"),0,INDEX(Regeneration!$M$2:$M$151,A102+2)),INDEX(Regeneration!$L$2:$L$151,A102+2)),INDEX(Regeneration!$K$2:$K$151,A102+2)),0)</f>
        <v>0</v>
      </c>
      <c r="AO102" s="71" t="str">
        <f t="shared" si="74"/>
        <v/>
      </c>
      <c r="AP102" s="71" t="str">
        <f>IF(AND($N102,$C102="Caster"),IF(AND(NOT($D102="Polearm"),ISERR(FIND("wand",LOWER($E102)))),0,INDEX(Regeneration!F$2:F$151,A102)*0.06),"")</f>
        <v/>
      </c>
      <c r="AQ102" s="88">
        <f t="shared" si="61"/>
        <v>0.05</v>
      </c>
      <c r="AR102" s="88">
        <f t="shared" si="62"/>
        <v>0.05</v>
      </c>
      <c r="AS102" s="16" t="str">
        <f>IF(D102="Shield",INDEX(Regeneration!$C$2:$C$151,A102+3)*0.5*IF(ISERR(FIND("Rare",B102)),IF(ISERR(FIND("Uncommon",B102)),1,1.5),2.25),"")</f>
        <v/>
      </c>
      <c r="AT102" s="16" t="str">
        <f t="shared" si="75"/>
        <v/>
      </c>
      <c r="AU102" s="16" t="str">
        <f t="shared" si="76"/>
        <v/>
      </c>
      <c r="AV102" s="16" t="str">
        <f t="shared" si="77"/>
        <v/>
      </c>
      <c r="AW102" s="16" t="str">
        <f>IF(D102="Ring",INDEX(Regeneration!$B$6:$B$155,A102)*0.06,"")</f>
        <v/>
      </c>
      <c r="AZ102" s="16" t="str">
        <f t="shared" si="63"/>
        <v/>
      </c>
      <c r="BA102" s="6">
        <f t="shared" si="52"/>
        <v>0.05</v>
      </c>
      <c r="BB102" s="6">
        <f t="shared" si="65"/>
        <v>0.05</v>
      </c>
    </row>
    <row r="103" spans="1:54">
      <c r="A103" s="76">
        <v>25</v>
      </c>
      <c r="B103" s="30" t="s">
        <v>493</v>
      </c>
      <c r="C103" s="30" t="s">
        <v>780</v>
      </c>
      <c r="D103" s="30" t="s">
        <v>473</v>
      </c>
      <c r="E103" s="30" t="s">
        <v>776</v>
      </c>
      <c r="F103" s="30" t="s">
        <v>649</v>
      </c>
      <c r="G103" s="76">
        <f t="shared" si="68"/>
        <v>30</v>
      </c>
      <c r="H103" s="101">
        <v>150</v>
      </c>
      <c r="I103" s="76" t="s">
        <v>662</v>
      </c>
      <c r="J103" s="76" t="str">
        <f>LOWER(D103)</f>
        <v>mainhand</v>
      </c>
      <c r="K103" s="76" t="str">
        <f t="array" ref="K103">"A"&amp;IF(IF(ISBLANK(I103),OR(LEFT(LOWER(F103),1)={"a","e","I","o","u"}),OR(LEFT(LOWER(I103),1)={"a","e","I","o","u"})),"n "," ")&amp;I103&amp;IF(ISBLANK(I103),""," ")&amp;LOWER(F103)&amp;IF(LEFT(J103,1)="-",""," ")&amp;J103</f>
        <v>A magical lightning mainhand</v>
      </c>
      <c r="L103" s="76">
        <v>1</v>
      </c>
      <c r="M103" s="62">
        <v>320</v>
      </c>
      <c r="N103" s="62" t="b">
        <v>1</v>
      </c>
      <c r="O103" s="93" t="b">
        <f t="shared" si="53"/>
        <v>0</v>
      </c>
      <c r="P103" s="76" t="s">
        <v>5</v>
      </c>
      <c r="Q103" s="62" t="s">
        <v>506</v>
      </c>
      <c r="R103" s="100">
        <f t="shared" si="70"/>
        <v>0.9</v>
      </c>
      <c r="S103" s="93">
        <f t="shared" si="54"/>
        <v>0.4</v>
      </c>
      <c r="T103" s="98">
        <f t="shared" si="55"/>
        <v>0.7</v>
      </c>
      <c r="U103" s="95">
        <f t="shared" si="56"/>
        <v>1.5</v>
      </c>
      <c r="V103" s="98">
        <f t="shared" si="57"/>
        <v>454.99999999999994</v>
      </c>
      <c r="W103" s="6">
        <f t="shared" si="58"/>
        <v>7.0000000000000007E-2</v>
      </c>
      <c r="X103" s="6">
        <v>0</v>
      </c>
      <c r="Y103" s="76" t="b">
        <v>1</v>
      </c>
      <c r="Z103" s="76">
        <f t="shared" si="71"/>
        <v>25</v>
      </c>
      <c r="AA103" s="71" t="str">
        <f t="shared" si="45"/>
        <v/>
      </c>
      <c r="AD103" s="71">
        <f t="shared" si="72"/>
        <v>22</v>
      </c>
      <c r="AE103" s="71" t="str">
        <f t="shared" si="73"/>
        <v/>
      </c>
      <c r="AG103" s="43">
        <f>IF(N103,INDEX(Damage!$F$2:$F$151,A103)*R103*S103*V103/1000,"")</f>
        <v>20.5548</v>
      </c>
      <c r="AH103" s="94">
        <f t="shared" si="59"/>
        <v>19.115963999999998</v>
      </c>
      <c r="AI103" s="94">
        <f t="shared" si="60"/>
        <v>21.993636000000002</v>
      </c>
      <c r="AJ103" s="90" t="b">
        <v>0</v>
      </c>
      <c r="AK103" s="6" t="b">
        <f t="array" ref="AK103">IF(AJ103,MAX(IF(Armor!$D$2:'Armor'!$D$7=D103,Armor!$E$2:$E$7),0))</f>
        <v>0</v>
      </c>
      <c r="AL103" s="6">
        <f t="shared" si="69"/>
        <v>0.05</v>
      </c>
      <c r="AM103" s="71">
        <f>(AL103+AK103)*INDEX(Armor!$B$2:$B$151,A103)+IF(AJ103,1,0)</f>
        <v>9.7000000000000011</v>
      </c>
      <c r="AN103" s="71">
        <f>IF(C103="Caster",IF(ISERR(FIND("orb",LOWER(E103))),IF(ISERR(FIND("wand",LOWER(E103))),IF(NOT($D103="Polearm"),0,INDEX(Regeneration!$M$2:$M$151,A103+2)),INDEX(Regeneration!$L$2:$L$151,A103+2)),INDEX(Regeneration!$K$2:$K$151,A103+2)),0)</f>
        <v>85.111111111111114</v>
      </c>
      <c r="AO103" s="71">
        <f t="shared" si="74"/>
        <v>0</v>
      </c>
      <c r="AP103" s="71">
        <f>IF(AND($N103,$C103="Caster"),IF(AND(NOT($D103="Polearm"),ISERR(FIND("wand",LOWER($E103)))),0,INDEX(Regeneration!F$2:F$151,A103)*0.06),"")</f>
        <v>45.62</v>
      </c>
      <c r="AQ103" s="88">
        <f t="shared" si="61"/>
        <v>0</v>
      </c>
      <c r="AR103" s="88">
        <f t="shared" si="62"/>
        <v>0</v>
      </c>
      <c r="AS103" s="16" t="str">
        <f>IF(D103="Shield",INDEX(Regeneration!$C$2:$C$151,A103+3)*0.5*IF(ISERR(FIND("Rare",B103)),IF(ISERR(FIND("Uncommon",B103)),1,1.5),2.25),"")</f>
        <v/>
      </c>
      <c r="AT103" s="16">
        <f t="shared" si="75"/>
        <v>86.111111111111114</v>
      </c>
      <c r="AU103" s="16" t="str">
        <f t="shared" si="76"/>
        <v/>
      </c>
      <c r="AV103" s="16" t="str">
        <f t="shared" si="77"/>
        <v/>
      </c>
      <c r="AW103" s="16" t="str">
        <f>IF(D103="Ring",INDEX(Regeneration!$B$6:$B$155,A103)*0.06,"")</f>
        <v/>
      </c>
      <c r="AZ103" s="16" t="str">
        <f t="shared" si="63"/>
        <v/>
      </c>
      <c r="BA103" s="6">
        <f t="shared" si="52"/>
        <v>0</v>
      </c>
      <c r="BB103" s="6">
        <f t="shared" si="65"/>
        <v>0</v>
      </c>
    </row>
    <row r="104" spans="1:54">
      <c r="A104" s="76">
        <v>25</v>
      </c>
      <c r="B104" s="30" t="s">
        <v>492</v>
      </c>
      <c r="C104" s="30" t="s">
        <v>780</v>
      </c>
      <c r="D104" s="30" t="s">
        <v>474</v>
      </c>
      <c r="E104" s="30" t="s">
        <v>767</v>
      </c>
      <c r="F104" s="30" t="s">
        <v>649</v>
      </c>
      <c r="G104" s="76">
        <f t="shared" si="68"/>
        <v>25</v>
      </c>
      <c r="H104" s="101">
        <v>150</v>
      </c>
      <c r="I104" s="76" t="s">
        <v>662</v>
      </c>
      <c r="J104" s="76" t="str">
        <f>LOWER(D104)</f>
        <v>offhand item</v>
      </c>
      <c r="K104" s="76" t="str">
        <f t="array" ref="K104">"A"&amp;IF(IF(ISBLANK(I104),OR(LEFT(LOWER(F104),1)={"a","e","I","o","u"}),OR(LEFT(LOWER(I104),1)={"a","e","I","o","u"})),"n "," ")&amp;I104&amp;IF(ISBLANK(I104),""," ")&amp;LOWER(F104)&amp;IF(LEFT(J104,1)="-",""," ")&amp;J104</f>
        <v>A magical lightning offhand item</v>
      </c>
      <c r="L104" s="76">
        <v>1</v>
      </c>
      <c r="M104" s="62">
        <v>160</v>
      </c>
      <c r="N104" s="62" t="b">
        <v>0</v>
      </c>
      <c r="O104" s="93" t="b">
        <f t="shared" si="53"/>
        <v>0</v>
      </c>
      <c r="P104" s="76"/>
      <c r="R104" s="100" t="str">
        <f t="shared" si="70"/>
        <v/>
      </c>
      <c r="S104" s="93" t="str">
        <f t="shared" si="54"/>
        <v/>
      </c>
      <c r="T104" s="98" t="str">
        <f t="shared" si="55"/>
        <v/>
      </c>
      <c r="U104" s="95" t="str">
        <f t="shared" si="56"/>
        <v/>
      </c>
      <c r="V104" s="98" t="str">
        <f t="shared" si="57"/>
        <v/>
      </c>
      <c r="W104" s="6" t="str">
        <f t="shared" si="58"/>
        <v/>
      </c>
      <c r="X104" s="6">
        <v>0</v>
      </c>
      <c r="Y104" s="76" t="b">
        <v>1</v>
      </c>
      <c r="Z104" s="76">
        <f t="shared" si="71"/>
        <v>25</v>
      </c>
      <c r="AA104" s="71" t="str">
        <f t="shared" si="45"/>
        <v/>
      </c>
      <c r="AD104" s="71">
        <f t="shared" si="72"/>
        <v>22</v>
      </c>
      <c r="AE104" s="71" t="str">
        <f t="shared" si="73"/>
        <v/>
      </c>
      <c r="AG104" s="43" t="str">
        <f>IF(N104,INDEX(Damage!$F$2:$F$151,A104)*R104*S104*V104/1000,"")</f>
        <v/>
      </c>
      <c r="AH104" s="94" t="str">
        <f t="shared" si="59"/>
        <v/>
      </c>
      <c r="AI104" s="94" t="str">
        <f t="shared" si="60"/>
        <v/>
      </c>
      <c r="AJ104" s="90" t="b">
        <v>0</v>
      </c>
      <c r="AK104" s="6" t="b">
        <f t="array" ref="AK104">IF(AJ104,MAX(IF(Armor!$D$2:'Armor'!$D$7=D104,Armor!$E$2:$E$7),0))</f>
        <v>0</v>
      </c>
      <c r="AL104" s="6">
        <f t="shared" si="69"/>
        <v>0</v>
      </c>
      <c r="AM104" s="71">
        <f>(AL104+AK104)*INDEX(Armor!$B$2:$B$151,A104)+IF(AJ104,1,0)</f>
        <v>0</v>
      </c>
      <c r="AN104" s="71">
        <f>IF(C104="Caster",IF(ISERR(FIND("orb",LOWER(E104))),IF(ISERR(FIND("wand",LOWER(E104))),IF(NOT($D104="Polearm"),0,INDEX(Regeneration!$M$2:$M$151,A104+2)),INDEX(Regeneration!$L$2:$L$151,A104+2)),INDEX(Regeneration!$K$2:$K$151,A104+2)),0)</f>
        <v>68.088888888888889</v>
      </c>
      <c r="AO104" s="71" t="str">
        <f t="shared" si="74"/>
        <v/>
      </c>
      <c r="AP104" s="71" t="str">
        <f>IF(AND($N104,$C104="Caster"),IF(AND(NOT($D104="Polearm"),ISERR(FIND("wand",LOWER($E104)))),0,INDEX(Regeneration!F$2:F$151,A104)*0.06),"")</f>
        <v/>
      </c>
      <c r="AQ104" s="88">
        <f t="shared" si="61"/>
        <v>0</v>
      </c>
      <c r="AR104" s="88">
        <f t="shared" si="62"/>
        <v>0</v>
      </c>
      <c r="AS104" s="16" t="str">
        <f>IF(D104="Shield",INDEX(Regeneration!$C$2:$C$151,A104+3)*0.5*IF(ISERR(FIND("Rare",B104)),IF(ISERR(FIND("Uncommon",B104)),1,1.5),2.25),"")</f>
        <v/>
      </c>
      <c r="AT104" s="16">
        <f t="shared" si="75"/>
        <v>69.088888888888889</v>
      </c>
      <c r="AU104" s="16" t="str">
        <f t="shared" si="76"/>
        <v/>
      </c>
      <c r="AV104" s="16" t="str">
        <f t="shared" si="77"/>
        <v/>
      </c>
      <c r="AW104" s="16" t="str">
        <f>IF(D104="Ring",INDEX(Regeneration!$B$6:$B$155,A104)*0.06,"")</f>
        <v/>
      </c>
      <c r="AZ104" s="16" t="str">
        <f t="shared" si="63"/>
        <v/>
      </c>
      <c r="BA104" s="6">
        <f t="shared" si="52"/>
        <v>0</v>
      </c>
      <c r="BB104" s="6">
        <f t="shared" si="65"/>
        <v>0</v>
      </c>
    </row>
    <row r="105" spans="1:54">
      <c r="A105" s="76">
        <v>25</v>
      </c>
      <c r="B105" s="30" t="s">
        <v>493</v>
      </c>
      <c r="C105" s="30" t="s">
        <v>780</v>
      </c>
      <c r="D105" s="30" t="s">
        <v>478</v>
      </c>
      <c r="E105" s="30" t="s">
        <v>600</v>
      </c>
      <c r="F105" s="30" t="s">
        <v>649</v>
      </c>
      <c r="G105" s="76">
        <f t="shared" si="68"/>
        <v>30</v>
      </c>
      <c r="H105" s="101">
        <v>150</v>
      </c>
      <c r="J105" s="76" t="str">
        <f>LOWER(D105)</f>
        <v>polearm</v>
      </c>
      <c r="K105" s="76" t="str">
        <f t="array" ref="K105">"A"&amp;IF(IF(ISBLANK(I105),OR(LEFT(LOWER(F105),1)={"a","e","I","o","u"}),OR(LEFT(LOWER(I105),1)={"a","e","I","o","u"})),"n "," ")&amp;I105&amp;IF(ISBLANK(I105),""," ")&amp;LOWER(F105)&amp;IF(LEFT(J105,1)="-",""," ")&amp;J105</f>
        <v>A lightning polearm</v>
      </c>
      <c r="L105" s="76">
        <v>1</v>
      </c>
      <c r="M105" s="62">
        <v>834</v>
      </c>
      <c r="N105" s="62" t="s">
        <v>645</v>
      </c>
      <c r="O105" s="93" t="b">
        <f t="shared" si="53"/>
        <v>0</v>
      </c>
      <c r="P105" s="76" t="s">
        <v>7</v>
      </c>
      <c r="Q105" s="62" t="s">
        <v>505</v>
      </c>
      <c r="R105" s="100">
        <f t="shared" si="70"/>
        <v>1.1499999999999999</v>
      </c>
      <c r="S105" s="93">
        <f t="shared" si="54"/>
        <v>0.4</v>
      </c>
      <c r="T105" s="98">
        <f t="shared" si="55"/>
        <v>1.3</v>
      </c>
      <c r="U105" s="95">
        <f t="shared" si="56"/>
        <v>2.5</v>
      </c>
      <c r="V105" s="98">
        <f t="shared" si="57"/>
        <v>845</v>
      </c>
      <c r="W105" s="6">
        <f t="shared" si="58"/>
        <v>0.3</v>
      </c>
      <c r="X105" s="6">
        <v>0</v>
      </c>
      <c r="Y105" s="76" t="b">
        <v>1</v>
      </c>
      <c r="Z105" s="76">
        <f t="shared" si="71"/>
        <v>25</v>
      </c>
      <c r="AA105" s="71" t="str">
        <f t="shared" si="45"/>
        <v/>
      </c>
      <c r="AD105" s="71">
        <f t="shared" si="72"/>
        <v>22</v>
      </c>
      <c r="AE105" s="71" t="str">
        <f t="shared" si="73"/>
        <v/>
      </c>
      <c r="AG105" s="43">
        <f>IF(N105,INDEX(Damage!$F$2:$F$151,A105)*R105*S105*V105/1000,"")</f>
        <v>48.77686666666667</v>
      </c>
      <c r="AH105" s="94">
        <f t="shared" si="59"/>
        <v>34.14380666666667</v>
      </c>
      <c r="AI105" s="94">
        <f t="shared" si="60"/>
        <v>63.409926666666671</v>
      </c>
      <c r="AJ105" s="79" t="s">
        <v>644</v>
      </c>
      <c r="AK105" s="6" t="b">
        <f t="array" ref="AK105">IF(AJ105,MAX(IF(Armor!$D$2:'Armor'!$D$7=D105,Armor!$E$2:$E$7),0))</f>
        <v>0</v>
      </c>
      <c r="AL105" s="6">
        <f t="shared" si="69"/>
        <v>0.05</v>
      </c>
      <c r="AM105" s="71">
        <f>(AL105+AK105)*INDEX(Armor!$B$2:$B$151,A105)+IF(AJ105,1,0)</f>
        <v>9.7000000000000011</v>
      </c>
      <c r="AN105" s="71">
        <f>IF(C105="Caster",IF(ISERR(FIND("orb",LOWER(E105))),IF(ISERR(FIND("wand",LOWER(E105))),IF(NOT($D105="Polearm"),0,INDEX(Regeneration!$M$2:$M$151,A105+2)),INDEX(Regeneration!$L$2:$L$151,A105+2)),INDEX(Regeneration!$K$2:$K$151,A105+2)),0)</f>
        <v>170.22222222222223</v>
      </c>
      <c r="AO105" s="71">
        <f t="shared" si="74"/>
        <v>5</v>
      </c>
      <c r="AP105" s="71">
        <f>IF(AND($N105,$C105="Caster"),IF(AND(NOT($D105="Polearm"),ISERR(FIND("wand",LOWER($E105)))),0,INDEX(Regeneration!F$2:F$151,A105)*0.06),"")</f>
        <v>45.62</v>
      </c>
      <c r="AQ105" s="88">
        <f t="shared" si="61"/>
        <v>0</v>
      </c>
      <c r="AR105" s="88">
        <f t="shared" si="62"/>
        <v>0</v>
      </c>
      <c r="AS105" s="16" t="str">
        <f>IF(D105="Shield",INDEX(Regeneration!$C$2:$C$151,A105+3)*0.5*IF(ISERR(FIND("Rare",B105)),IF(ISERR(FIND("Uncommon",B105)),1,1.5),2.25),"")</f>
        <v/>
      </c>
      <c r="AT105" s="16">
        <f t="shared" si="75"/>
        <v>171.22222222222223</v>
      </c>
      <c r="AU105" s="16">
        <f t="shared" si="76"/>
        <v>5</v>
      </c>
      <c r="AV105" s="16" t="str">
        <f t="shared" si="77"/>
        <v/>
      </c>
      <c r="AW105" s="16" t="str">
        <f>IF(D105="Ring",INDEX(Regeneration!$B$6:$B$155,A105)*0.06,"")</f>
        <v/>
      </c>
      <c r="AZ105" s="16">
        <f t="shared" si="63"/>
        <v>7</v>
      </c>
      <c r="BA105" s="6">
        <f t="shared" si="52"/>
        <v>0</v>
      </c>
      <c r="BB105" s="6">
        <f t="shared" si="65"/>
        <v>0</v>
      </c>
    </row>
    <row r="106" spans="1:54">
      <c r="A106" s="62">
        <v>25</v>
      </c>
      <c r="B106" s="30" t="s">
        <v>493</v>
      </c>
      <c r="C106" s="30" t="s">
        <v>496</v>
      </c>
      <c r="D106" s="30" t="s">
        <v>485</v>
      </c>
      <c r="E106" s="30" t="s">
        <v>603</v>
      </c>
      <c r="F106" s="30" t="s">
        <v>649</v>
      </c>
      <c r="G106" s="76">
        <f t="shared" si="68"/>
        <v>30</v>
      </c>
      <c r="H106" s="101">
        <v>150</v>
      </c>
      <c r="I106" s="76" t="s">
        <v>654</v>
      </c>
      <c r="J106" s="76" t="str">
        <f>LOWER(D106)</f>
        <v>ring</v>
      </c>
      <c r="K106" s="76" t="str">
        <f t="array" ref="K106">"A"&amp;IF(IF(ISBLANK(I106),OR(LEFT(LOWER(F106),1)={"a","e","I","o","u"}),OR(LEFT(LOWER(I106),1)={"a","e","I","o","u"})),"n "," ")&amp;I106&amp;IF(ISBLANK(I106),""," ")&amp;LOWER(F106)&amp;IF(LEFT(J106,1)="-",""," ")&amp;J106</f>
        <v>A powerful lightning ring</v>
      </c>
      <c r="L106" s="76">
        <v>1</v>
      </c>
      <c r="M106" s="62">
        <v>634</v>
      </c>
      <c r="N106" s="62" t="s">
        <v>644</v>
      </c>
      <c r="O106" s="93" t="b">
        <f t="shared" si="53"/>
        <v>0</v>
      </c>
      <c r="P106" s="76" t="s">
        <v>490</v>
      </c>
      <c r="Q106" s="62" t="s">
        <v>490</v>
      </c>
      <c r="R106" s="100" t="str">
        <f t="shared" si="70"/>
        <v/>
      </c>
      <c r="S106" s="93" t="str">
        <f t="shared" si="54"/>
        <v/>
      </c>
      <c r="T106" s="98" t="str">
        <f t="shared" si="55"/>
        <v/>
      </c>
      <c r="U106" s="95" t="str">
        <f t="shared" si="56"/>
        <v/>
      </c>
      <c r="V106" s="98" t="str">
        <f t="shared" si="57"/>
        <v/>
      </c>
      <c r="W106" s="6" t="str">
        <f t="shared" si="58"/>
        <v/>
      </c>
      <c r="X106" s="6">
        <v>0</v>
      </c>
      <c r="Y106" s="76" t="b">
        <v>1</v>
      </c>
      <c r="Z106" s="76">
        <f t="shared" si="71"/>
        <v>25</v>
      </c>
      <c r="AA106" s="71" t="str">
        <f t="shared" si="45"/>
        <v/>
      </c>
      <c r="AD106" s="71" t="str">
        <f t="shared" si="72"/>
        <v/>
      </c>
      <c r="AE106" s="71" t="str">
        <f t="shared" si="73"/>
        <v/>
      </c>
      <c r="AG106" s="43" t="str">
        <f>IF(N106,INDEX(Damage!$F$2:$F$151,A106)*R106*S106*V106/1000,"")</f>
        <v/>
      </c>
      <c r="AH106" s="94" t="str">
        <f t="shared" si="59"/>
        <v/>
      </c>
      <c r="AI106" s="94" t="str">
        <f t="shared" si="60"/>
        <v/>
      </c>
      <c r="AJ106" s="79" t="s">
        <v>644</v>
      </c>
      <c r="AK106" s="6" t="b">
        <f t="array" ref="AK106">IF(AJ106,MAX(IF(Armor!$D$2:'Armor'!$D$7=D106,Armor!$E$2:$E$7),0))</f>
        <v>0</v>
      </c>
      <c r="AL106" s="6">
        <f t="shared" si="69"/>
        <v>0.05</v>
      </c>
      <c r="AM106" s="71">
        <f>(AL106+AK106)*INDEX(Armor!$B$2:$B$151,A106)+IF(AJ106,1,0)</f>
        <v>9.7000000000000011</v>
      </c>
      <c r="AN106" s="71">
        <f>IF(C106="Caster",IF(ISERR(FIND("orb",LOWER(E106))),IF(ISERR(FIND("wand",LOWER(E106))),IF(NOT($D106="Polearm"),0,INDEX(Regeneration!$M$2:$M$151,A106+2)),INDEX(Regeneration!$L$2:$L$151,A106+2)),INDEX(Regeneration!$K$2:$K$151,A106+2)),0)</f>
        <v>0</v>
      </c>
      <c r="AO106" s="71" t="str">
        <f t="shared" si="74"/>
        <v/>
      </c>
      <c r="AP106" s="71" t="str">
        <f>IF(AND($N106,$C106="Caster"),IF(AND(NOT($D106="Polearm"),ISERR(FIND("wand",LOWER($E106)))),0,INDEX(Regeneration!F$2:F$151,A106)*0.06),"")</f>
        <v/>
      </c>
      <c r="AQ106" s="88">
        <f t="shared" si="61"/>
        <v>0</v>
      </c>
      <c r="AR106" s="88">
        <f t="shared" si="62"/>
        <v>0</v>
      </c>
      <c r="AS106" s="16" t="str">
        <f>IF(D106="Shield",INDEX(Regeneration!$C$2:$C$151,A106+3)*0.5*IF(ISERR(FIND("Rare",B106)),IF(ISERR(FIND("Uncommon",B106)),1,1.5),2.25),"")</f>
        <v/>
      </c>
      <c r="AT106" s="16" t="str">
        <f t="shared" si="75"/>
        <v/>
      </c>
      <c r="AU106" s="16" t="str">
        <f t="shared" si="76"/>
        <v/>
      </c>
      <c r="AV106" s="16">
        <f t="shared" si="77"/>
        <v>5</v>
      </c>
      <c r="AW106" s="16">
        <f>IF(D106="Ring",INDEX(Regeneration!$B$6:$B$155,A106)*0.06,"")</f>
        <v>56.323333333333331</v>
      </c>
      <c r="AY106" s="16">
        <v>5</v>
      </c>
      <c r="AZ106" s="16" t="str">
        <f t="shared" si="63"/>
        <v/>
      </c>
      <c r="BA106" s="6">
        <f t="shared" si="52"/>
        <v>0</v>
      </c>
      <c r="BB106" s="6">
        <f t="shared" si="65"/>
        <v>0</v>
      </c>
    </row>
    <row r="107" spans="1:54">
      <c r="A107" s="76">
        <v>25</v>
      </c>
      <c r="B107" s="30" t="s">
        <v>492</v>
      </c>
      <c r="C107" s="30" t="s">
        <v>496</v>
      </c>
      <c r="D107" s="30" t="s">
        <v>475</v>
      </c>
      <c r="E107" s="30" t="s">
        <v>597</v>
      </c>
      <c r="F107" s="30" t="s">
        <v>649</v>
      </c>
      <c r="G107" s="76">
        <f t="shared" si="68"/>
        <v>25</v>
      </c>
      <c r="H107" s="101">
        <v>150</v>
      </c>
      <c r="J107" s="76" t="str">
        <f>LOWER(D107)</f>
        <v>shield</v>
      </c>
      <c r="K107" s="76" t="str">
        <f t="array" ref="K107">"A"&amp;IF(IF(ISBLANK(I107),OR(LEFT(LOWER(F107),1)={"a","e","I","o","u"}),OR(LEFT(LOWER(I107),1)={"a","e","I","o","u"})),"n "," ")&amp;I107&amp;IF(ISBLANK(I107),""," ")&amp;LOWER(F107)&amp;IF(LEFT(J107,1)="-",""," ")&amp;J107</f>
        <v>A lightning shield</v>
      </c>
      <c r="L107" s="76">
        <v>1</v>
      </c>
      <c r="M107" s="62">
        <v>234</v>
      </c>
      <c r="N107" s="62" t="s">
        <v>644</v>
      </c>
      <c r="O107" s="93" t="b">
        <f t="shared" si="53"/>
        <v>0</v>
      </c>
      <c r="P107" s="76" t="s">
        <v>490</v>
      </c>
      <c r="Q107" s="62" t="s">
        <v>490</v>
      </c>
      <c r="R107" s="100" t="str">
        <f t="shared" si="70"/>
        <v/>
      </c>
      <c r="S107" s="93" t="str">
        <f t="shared" si="54"/>
        <v/>
      </c>
      <c r="T107" s="98" t="str">
        <f t="shared" si="55"/>
        <v/>
      </c>
      <c r="U107" s="95" t="str">
        <f t="shared" si="56"/>
        <v/>
      </c>
      <c r="V107" s="98" t="str">
        <f t="shared" si="57"/>
        <v/>
      </c>
      <c r="W107" s="6" t="str">
        <f t="shared" si="58"/>
        <v/>
      </c>
      <c r="X107" s="6">
        <v>0</v>
      </c>
      <c r="Y107" s="76" t="b">
        <v>1</v>
      </c>
      <c r="Z107" s="76">
        <f t="shared" si="71"/>
        <v>25</v>
      </c>
      <c r="AA107" s="71" t="str">
        <f t="shared" si="45"/>
        <v/>
      </c>
      <c r="AD107" s="71" t="str">
        <f t="shared" si="72"/>
        <v/>
      </c>
      <c r="AE107" s="71" t="str">
        <f t="shared" si="73"/>
        <v/>
      </c>
      <c r="AG107" s="43" t="str">
        <f>IF(N107,INDEX(Damage!$F$2:$F$151,A107)*R107*S107*V107/1000,"")</f>
        <v/>
      </c>
      <c r="AH107" s="94" t="str">
        <f t="shared" si="59"/>
        <v/>
      </c>
      <c r="AI107" s="94" t="str">
        <f t="shared" si="60"/>
        <v/>
      </c>
      <c r="AJ107" s="79" t="s">
        <v>645</v>
      </c>
      <c r="AK107" s="6">
        <f t="array" ref="AK107">IF(AJ107,MAX(IF(Armor!$D$2:'Armor'!$D$7=D107,Armor!$E$2:$E$7),0))</f>
        <v>0.25</v>
      </c>
      <c r="AL107" s="6">
        <f t="shared" si="69"/>
        <v>0</v>
      </c>
      <c r="AM107" s="71">
        <f>(AL107+AK107)*INDEX(Armor!$B$2:$B$151,A107)+IF(AJ107,1,0)</f>
        <v>49.5</v>
      </c>
      <c r="AN107" s="71">
        <f>IF(C107="Caster",IF(ISERR(FIND("orb",LOWER(E107))),IF(ISERR(FIND("wand",LOWER(E107))),IF(NOT($D107="Polearm"),0,INDEX(Regeneration!$M$2:$M$151,A107+2)),INDEX(Regeneration!$L$2:$L$151,A107+2)),INDEX(Regeneration!$K$2:$K$151,A107+2)),0)</f>
        <v>0</v>
      </c>
      <c r="AO107" s="71" t="str">
        <f t="shared" si="74"/>
        <v/>
      </c>
      <c r="AP107" s="71" t="str">
        <f>IF(AND($N107,$C107="Caster"),IF(AND(NOT($D107="Polearm"),ISERR(FIND("wand",LOWER($E107)))),0,INDEX(Regeneration!F$2:F$151,A107)*0.06),"")</f>
        <v/>
      </c>
      <c r="AQ107" s="88">
        <f t="shared" si="61"/>
        <v>0</v>
      </c>
      <c r="AR107" s="88">
        <f t="shared" si="62"/>
        <v>0</v>
      </c>
      <c r="AS107" s="16">
        <f>IF(D107="Shield",INDEX(Regeneration!$C$2:$C$151,A107+3)*0.5*IF(ISERR(FIND("Rare",B107)),IF(ISERR(FIND("Uncommon",B107)),1,1.5),2.25),"")</f>
        <v>96.23456790123457</v>
      </c>
      <c r="AT107" s="16" t="str">
        <f t="shared" si="75"/>
        <v/>
      </c>
      <c r="AU107" s="16" t="str">
        <f t="shared" si="76"/>
        <v/>
      </c>
      <c r="AV107" s="16" t="str">
        <f t="shared" si="77"/>
        <v/>
      </c>
      <c r="AW107" s="16" t="str">
        <f>IF(D107="Ring",INDEX(Regeneration!$B$6:$B$155,A107)*0.06,"")</f>
        <v/>
      </c>
      <c r="AZ107" s="16" t="str">
        <f t="shared" si="63"/>
        <v/>
      </c>
      <c r="BA107" s="6">
        <f t="shared" si="52"/>
        <v>0</v>
      </c>
      <c r="BB107" s="6">
        <f t="shared" si="65"/>
        <v>0</v>
      </c>
    </row>
    <row r="108" spans="1:54">
      <c r="A108" s="76">
        <v>30</v>
      </c>
      <c r="B108" s="30" t="s">
        <v>493</v>
      </c>
      <c r="C108" s="30" t="s">
        <v>10</v>
      </c>
      <c r="D108" s="30" t="s">
        <v>472</v>
      </c>
      <c r="E108" s="30" t="s">
        <v>446</v>
      </c>
      <c r="F108" s="30" t="s">
        <v>436</v>
      </c>
      <c r="G108" s="76">
        <f t="shared" si="68"/>
        <v>35</v>
      </c>
      <c r="H108" s="101">
        <v>150</v>
      </c>
      <c r="J108" s="76" t="s">
        <v>685</v>
      </c>
      <c r="K108" s="76" t="str">
        <f t="array" ref="K108">"A"&amp;IF(IF(ISBLANK(I108),OR(LEFT(LOWER(F108),1)={"a","e","I","o","u"}),OR(LEFT(LOWER(I108),1)={"a","e","I","o","u"})),"n "," ")&amp;I108&amp;IF(ISBLANK(I108),""," ")&amp;LOWER(F108)&amp;IF(LEFT(J108,1)="-",""," ")&amp;J108</f>
        <v>A bone weapon</v>
      </c>
      <c r="L108" s="76">
        <v>1</v>
      </c>
      <c r="M108" s="62">
        <v>39</v>
      </c>
      <c r="N108" s="62" t="s">
        <v>645</v>
      </c>
      <c r="O108" s="93" t="b">
        <f t="shared" si="53"/>
        <v>0</v>
      </c>
      <c r="P108" s="76" t="s">
        <v>504</v>
      </c>
      <c r="Q108" s="62" t="s">
        <v>643</v>
      </c>
      <c r="R108" s="100">
        <f t="shared" si="70"/>
        <v>1</v>
      </c>
      <c r="S108" s="93">
        <f t="shared" si="54"/>
        <v>1</v>
      </c>
      <c r="T108" s="98">
        <f t="shared" si="55"/>
        <v>1</v>
      </c>
      <c r="U108" s="95">
        <f t="shared" si="56"/>
        <v>2</v>
      </c>
      <c r="V108" s="98">
        <f t="shared" si="57"/>
        <v>650</v>
      </c>
      <c r="W108" s="6">
        <f t="shared" si="58"/>
        <v>0.18</v>
      </c>
      <c r="X108" s="6">
        <v>0</v>
      </c>
      <c r="Y108" s="76" t="b">
        <v>1</v>
      </c>
      <c r="Z108" s="76">
        <f t="shared" si="71"/>
        <v>30</v>
      </c>
      <c r="AA108" s="71">
        <f t="shared" si="45"/>
        <v>22</v>
      </c>
      <c r="AD108" s="71" t="str">
        <f t="shared" si="72"/>
        <v/>
      </c>
      <c r="AE108" s="71" t="str">
        <f t="shared" si="73"/>
        <v/>
      </c>
      <c r="AG108" s="43">
        <f>IF(N108,INDEX(Damage!$F$2:$F$151,A108)*R108*S108*V108/1000,"")</f>
        <v>98.684444444444438</v>
      </c>
      <c r="AH108" s="94">
        <f t="shared" si="59"/>
        <v>80.92124444444444</v>
      </c>
      <c r="AI108" s="94">
        <f t="shared" si="60"/>
        <v>116.44764444444444</v>
      </c>
      <c r="AJ108" s="79" t="s">
        <v>644</v>
      </c>
      <c r="AK108" s="6" t="b">
        <f t="array" ref="AK108">IF(AJ108,MAX(IF(Armor!$D$2:'Armor'!$D$7=D108,Armor!$E$2:$E$7),0))</f>
        <v>0</v>
      </c>
      <c r="AL108" s="6">
        <f t="shared" si="69"/>
        <v>0.05</v>
      </c>
      <c r="AM108" s="71">
        <f>(AL108+AK108)*INDEX(Armor!$B$2:$B$151,A108)+IF(AJ108,1,0)</f>
        <v>11.200000000000001</v>
      </c>
      <c r="AN108" s="71">
        <f>IF(C108="Caster",IF(ISERR(FIND("orb",LOWER(E108))),IF(ISERR(FIND("wand",LOWER(E108))),IF(NOT($D108="Polearm"),0,INDEX(Regeneration!$M$2:$M$151,A108+2)),INDEX(Regeneration!$L$2:$L$151,A108+2)),INDEX(Regeneration!$K$2:$K$151,A108+2)),0)</f>
        <v>0</v>
      </c>
      <c r="AO108" s="71" t="str">
        <f t="shared" si="74"/>
        <v/>
      </c>
      <c r="AP108" s="71" t="str">
        <f>IF(AND($N108,$C108="Caster"),IF(AND(NOT($D108="Polearm"),ISERR(FIND("wand",LOWER($E108)))),0,INDEX(Regeneration!F$2:F$151,A108)*0.06),"")</f>
        <v/>
      </c>
      <c r="AQ108" s="88">
        <f t="shared" si="61"/>
        <v>0.05</v>
      </c>
      <c r="AR108" s="88">
        <f t="shared" si="62"/>
        <v>0.05</v>
      </c>
      <c r="AS108" s="16" t="str">
        <f>IF(D108="Shield",INDEX(Regeneration!$C$2:$C$151,A108+3)*0.5*IF(ISERR(FIND("Rare",B108)),IF(ISERR(FIND("Uncommon",B108)),1,1.5),2.25),"")</f>
        <v/>
      </c>
      <c r="AT108" s="16" t="str">
        <f t="shared" si="75"/>
        <v/>
      </c>
      <c r="AU108" s="16" t="str">
        <f t="shared" si="76"/>
        <v/>
      </c>
      <c r="AV108" s="16" t="str">
        <f t="shared" si="77"/>
        <v/>
      </c>
      <c r="AW108" s="16" t="str">
        <f>IF(D108="Ring",INDEX(Regeneration!$B$6:$B$155,A108)*0.06,"")</f>
        <v/>
      </c>
      <c r="AZ108" s="16" t="str">
        <f t="shared" si="63"/>
        <v/>
      </c>
      <c r="BA108" s="6">
        <f t="shared" si="52"/>
        <v>7.5000000000000011E-2</v>
      </c>
      <c r="BB108" s="6">
        <f t="shared" si="65"/>
        <v>7.5000000000000011E-2</v>
      </c>
    </row>
    <row r="109" spans="1:54">
      <c r="A109" s="76">
        <v>30</v>
      </c>
      <c r="B109" s="30" t="s">
        <v>493</v>
      </c>
      <c r="C109" s="30" t="s">
        <v>10</v>
      </c>
      <c r="D109" s="30" t="s">
        <v>472</v>
      </c>
      <c r="E109" s="30" t="s">
        <v>618</v>
      </c>
      <c r="F109" s="30" t="s">
        <v>436</v>
      </c>
      <c r="G109" s="76">
        <f t="shared" si="68"/>
        <v>35</v>
      </c>
      <c r="H109" s="101">
        <v>150</v>
      </c>
      <c r="J109" s="76" t="s">
        <v>685</v>
      </c>
      <c r="K109" s="76" t="str">
        <f t="array" ref="K109">"A"&amp;IF(IF(ISBLANK(I109),OR(LEFT(LOWER(F109),1)={"a","e","I","o","u"}),OR(LEFT(LOWER(I109),1)={"a","e","I","o","u"})),"n "," ")&amp;I109&amp;IF(ISBLANK(I109),""," ")&amp;LOWER(F109)&amp;IF(LEFT(J109,1)="-",""," ")&amp;J109</f>
        <v>A bone weapon</v>
      </c>
      <c r="L109" s="76">
        <v>1</v>
      </c>
      <c r="M109" s="62">
        <v>39</v>
      </c>
      <c r="N109" s="62" t="s">
        <v>645</v>
      </c>
      <c r="O109" s="93" t="b">
        <f t="shared" si="53"/>
        <v>0</v>
      </c>
      <c r="P109" s="76" t="s">
        <v>504</v>
      </c>
      <c r="Q109" s="62" t="s">
        <v>506</v>
      </c>
      <c r="R109" s="100">
        <f t="shared" si="70"/>
        <v>0.9</v>
      </c>
      <c r="S109" s="93">
        <f t="shared" si="54"/>
        <v>1</v>
      </c>
      <c r="T109" s="98">
        <f t="shared" si="55"/>
        <v>0.7</v>
      </c>
      <c r="U109" s="95">
        <f t="shared" si="56"/>
        <v>2</v>
      </c>
      <c r="V109" s="98">
        <f t="shared" si="57"/>
        <v>454.99999999999994</v>
      </c>
      <c r="W109" s="6">
        <f t="shared" si="58"/>
        <v>0.15</v>
      </c>
      <c r="X109" s="6">
        <v>0</v>
      </c>
      <c r="Y109" s="76" t="b">
        <v>1</v>
      </c>
      <c r="Z109" s="76">
        <f t="shared" si="71"/>
        <v>30</v>
      </c>
      <c r="AA109" s="71">
        <f t="shared" si="45"/>
        <v>22</v>
      </c>
      <c r="AD109" s="71" t="str">
        <f t="shared" si="72"/>
        <v/>
      </c>
      <c r="AE109" s="71" t="str">
        <f t="shared" si="73"/>
        <v/>
      </c>
      <c r="AG109" s="43">
        <f>IF(N109,INDEX(Damage!$F$2:$F$151,A109)*R109*S109*V109/1000,"")</f>
        <v>62.171199999999999</v>
      </c>
      <c r="AH109" s="94">
        <f t="shared" si="59"/>
        <v>52.84552</v>
      </c>
      <c r="AI109" s="94">
        <f t="shared" si="60"/>
        <v>71.496880000000004</v>
      </c>
      <c r="AJ109" s="79" t="s">
        <v>644</v>
      </c>
      <c r="AK109" s="6" t="b">
        <f t="array" ref="AK109">IF(AJ109,MAX(IF(Armor!$D$2:'Armor'!$D$7=D109,Armor!$E$2:$E$7),0))</f>
        <v>0</v>
      </c>
      <c r="AL109" s="6">
        <f t="shared" si="69"/>
        <v>0.05</v>
      </c>
      <c r="AM109" s="71">
        <f>(AL109+AK109)*INDEX(Armor!$B$2:$B$151,A109)+IF(AJ109,1,0)</f>
        <v>11.200000000000001</v>
      </c>
      <c r="AN109" s="71">
        <f>IF(C109="Caster",IF(ISERR(FIND("orb",LOWER(E109))),IF(ISERR(FIND("wand",LOWER(E109))),IF(NOT($D109="Polearm"),0,INDEX(Regeneration!$M$2:$M$151,A109+2)),INDEX(Regeneration!$L$2:$L$151,A109+2)),INDEX(Regeneration!$K$2:$K$151,A109+2)),0)</f>
        <v>0</v>
      </c>
      <c r="AO109" s="71" t="str">
        <f t="shared" si="74"/>
        <v/>
      </c>
      <c r="AP109" s="71" t="str">
        <f>IF(AND($N109,$C109="Caster"),IF(AND(NOT($D109="Polearm"),ISERR(FIND("wand",LOWER($E109)))),0,INDEX(Regeneration!F$2:F$151,A109)*0.06),"")</f>
        <v/>
      </c>
      <c r="AQ109" s="88">
        <f t="shared" si="61"/>
        <v>0.05</v>
      </c>
      <c r="AR109" s="88">
        <f t="shared" si="62"/>
        <v>0.05</v>
      </c>
      <c r="AS109" s="16" t="str">
        <f>IF(D109="Shield",INDEX(Regeneration!$C$2:$C$151,A109+3)*0.5*IF(ISERR(FIND("Rare",B109)),IF(ISERR(FIND("Uncommon",B109)),1,1.5),2.25),"")</f>
        <v/>
      </c>
      <c r="AT109" s="16" t="str">
        <f t="shared" si="75"/>
        <v/>
      </c>
      <c r="AU109" s="16" t="str">
        <f t="shared" si="76"/>
        <v/>
      </c>
      <c r="AV109" s="16" t="str">
        <f t="shared" si="77"/>
        <v/>
      </c>
      <c r="AW109" s="16" t="str">
        <f>IF(D109="Ring",INDEX(Regeneration!$B$6:$B$155,A109)*0.06,"")</f>
        <v/>
      </c>
      <c r="AZ109" s="16" t="str">
        <f t="shared" si="63"/>
        <v/>
      </c>
      <c r="BA109" s="6">
        <f t="shared" si="52"/>
        <v>7.5000000000000011E-2</v>
      </c>
      <c r="BB109" s="6">
        <f t="shared" si="65"/>
        <v>7.5000000000000011E-2</v>
      </c>
    </row>
    <row r="110" spans="1:54">
      <c r="A110" s="76">
        <v>30</v>
      </c>
      <c r="B110" s="30" t="s">
        <v>492</v>
      </c>
      <c r="C110" s="30" t="s">
        <v>10</v>
      </c>
      <c r="D110" s="30" t="s">
        <v>472</v>
      </c>
      <c r="E110" s="30" t="s">
        <v>610</v>
      </c>
      <c r="F110" s="30" t="s">
        <v>650</v>
      </c>
      <c r="G110" s="76">
        <f t="shared" si="68"/>
        <v>30</v>
      </c>
      <c r="H110" s="101">
        <v>150</v>
      </c>
      <c r="J110" s="89" t="s">
        <v>685</v>
      </c>
      <c r="K110" s="76" t="str">
        <f t="array" ref="K110">"A"&amp;IF(IF(ISBLANK(I110),OR(LEFT(LOWER(F110),1)={"a","e","I","o","u"}),OR(LEFT(LOWER(I110),1)={"a","e","I","o","u"})),"n "," ")&amp;I110&amp;IF(ISBLANK(I110),""," ")&amp;LOWER(F110)&amp;IF(LEFT(J110,1)="-",""," ")&amp;J110</f>
        <v>A spectral weapon</v>
      </c>
      <c r="L110" s="76">
        <v>1</v>
      </c>
      <c r="M110" s="62">
        <v>39</v>
      </c>
      <c r="N110" s="62" t="s">
        <v>645</v>
      </c>
      <c r="O110" s="93" t="b">
        <f t="shared" si="53"/>
        <v>0</v>
      </c>
      <c r="P110" s="76" t="s">
        <v>504</v>
      </c>
      <c r="Q110" s="62" t="s">
        <v>506</v>
      </c>
      <c r="R110" s="100">
        <f t="shared" si="70"/>
        <v>0.9</v>
      </c>
      <c r="S110" s="93">
        <f t="shared" si="54"/>
        <v>1</v>
      </c>
      <c r="T110" s="98">
        <f t="shared" si="55"/>
        <v>0.7</v>
      </c>
      <c r="U110" s="95">
        <f t="shared" si="56"/>
        <v>2</v>
      </c>
      <c r="V110" s="98">
        <f t="shared" si="57"/>
        <v>454.99999999999994</v>
      </c>
      <c r="W110" s="6">
        <f t="shared" si="58"/>
        <v>0.15</v>
      </c>
      <c r="X110" s="6">
        <v>0</v>
      </c>
      <c r="Y110" s="76" t="b">
        <v>1</v>
      </c>
      <c r="Z110" s="76">
        <f t="shared" si="71"/>
        <v>30</v>
      </c>
      <c r="AA110" s="71">
        <f t="shared" si="45"/>
        <v>22</v>
      </c>
      <c r="AD110" s="71" t="str">
        <f t="shared" si="72"/>
        <v/>
      </c>
      <c r="AE110" s="71" t="str">
        <f t="shared" si="73"/>
        <v/>
      </c>
      <c r="AG110" s="43">
        <f>IF(N110,INDEX(Damage!$F$2:$F$151,A110)*R110*S110*V110/1000,"")</f>
        <v>62.171199999999999</v>
      </c>
      <c r="AH110" s="94">
        <f t="shared" si="59"/>
        <v>52.84552</v>
      </c>
      <c r="AI110" s="94">
        <f t="shared" si="60"/>
        <v>71.496880000000004</v>
      </c>
      <c r="AJ110" s="79" t="s">
        <v>644</v>
      </c>
      <c r="AK110" s="6" t="b">
        <f t="array" ref="AK110">IF(AJ110,MAX(IF(Armor!$D$2:'Armor'!$D$7=D110,Armor!$E$2:$E$7),0))</f>
        <v>0</v>
      </c>
      <c r="AL110" s="6">
        <f t="shared" si="69"/>
        <v>0</v>
      </c>
      <c r="AM110" s="71">
        <f>(AL110+AK110)*INDEX(Armor!$B$2:$B$151,A110)+IF(AJ110,1,0)</f>
        <v>0</v>
      </c>
      <c r="AN110" s="71">
        <f>IF(C110="Caster",IF(ISERR(FIND("orb",LOWER(E110))),IF(ISERR(FIND("wand",LOWER(E110))),IF(NOT($D110="Polearm"),0,INDEX(Regeneration!$M$2:$M$151,A110+2)),INDEX(Regeneration!$L$2:$L$151,A110+2)),INDEX(Regeneration!$K$2:$K$151,A110+2)),0)</f>
        <v>0</v>
      </c>
      <c r="AO110" s="71" t="str">
        <f t="shared" si="74"/>
        <v/>
      </c>
      <c r="AP110" s="71" t="str">
        <f>IF(AND($N110,$C110="Caster"),IF(AND(NOT($D110="Polearm"),ISERR(FIND("wand",LOWER($E110)))),0,INDEX(Regeneration!F$2:F$151,A110)*0.06),"")</f>
        <v/>
      </c>
      <c r="AQ110" s="88">
        <f t="shared" si="61"/>
        <v>0.05</v>
      </c>
      <c r="AR110" s="88">
        <f t="shared" si="62"/>
        <v>0.05</v>
      </c>
      <c r="AS110" s="16" t="str">
        <f>IF(D110="Shield",INDEX(Regeneration!$C$2:$C$151,A110+3)*0.5*IF(ISERR(FIND("Rare",B110)),IF(ISERR(FIND("Uncommon",B110)),1,1.5),2.25),"")</f>
        <v/>
      </c>
      <c r="AT110" s="16" t="str">
        <f t="shared" si="75"/>
        <v/>
      </c>
      <c r="AU110" s="16" t="str">
        <f t="shared" si="76"/>
        <v/>
      </c>
      <c r="AV110" s="16" t="str">
        <f t="shared" si="77"/>
        <v/>
      </c>
      <c r="AW110" s="16" t="str">
        <f>IF(D110="Ring",INDEX(Regeneration!$B$6:$B$155,A110)*0.06,"")</f>
        <v/>
      </c>
      <c r="AZ110" s="16" t="str">
        <f t="shared" si="63"/>
        <v/>
      </c>
      <c r="BA110" s="6">
        <f t="shared" si="52"/>
        <v>0.05</v>
      </c>
      <c r="BB110" s="6">
        <f t="shared" si="65"/>
        <v>0.05</v>
      </c>
    </row>
    <row r="111" spans="1:54">
      <c r="A111" s="76">
        <v>30</v>
      </c>
      <c r="B111" s="30" t="s">
        <v>492</v>
      </c>
      <c r="C111" s="30" t="s">
        <v>10</v>
      </c>
      <c r="D111" s="30" t="s">
        <v>472</v>
      </c>
      <c r="E111" s="30" t="s">
        <v>611</v>
      </c>
      <c r="F111" s="30" t="s">
        <v>650</v>
      </c>
      <c r="G111" s="76">
        <f t="shared" si="68"/>
        <v>30</v>
      </c>
      <c r="H111" s="101">
        <v>150</v>
      </c>
      <c r="J111" s="89" t="s">
        <v>685</v>
      </c>
      <c r="K111" s="76" t="str">
        <f t="array" ref="K111">"A"&amp;IF(IF(ISBLANK(I111),OR(LEFT(LOWER(F111),1)={"a","e","I","o","u"}),OR(LEFT(LOWER(I111),1)={"a","e","I","o","u"})),"n "," ")&amp;I111&amp;IF(ISBLANK(I111),""," ")&amp;LOWER(F111)&amp;IF(LEFT(J111,1)="-",""," ")&amp;J111</f>
        <v>A spectral weapon</v>
      </c>
      <c r="L111" s="76">
        <v>1</v>
      </c>
      <c r="M111" s="62">
        <v>39</v>
      </c>
      <c r="N111" s="62" t="s">
        <v>645</v>
      </c>
      <c r="O111" s="93" t="b">
        <f t="shared" si="53"/>
        <v>0</v>
      </c>
      <c r="P111" s="76" t="s">
        <v>504</v>
      </c>
      <c r="Q111" s="62" t="s">
        <v>643</v>
      </c>
      <c r="R111" s="100">
        <f t="shared" si="70"/>
        <v>1</v>
      </c>
      <c r="S111" s="93">
        <f t="shared" si="54"/>
        <v>1</v>
      </c>
      <c r="T111" s="98">
        <f t="shared" si="55"/>
        <v>1</v>
      </c>
      <c r="U111" s="95">
        <f t="shared" si="56"/>
        <v>2</v>
      </c>
      <c r="V111" s="98">
        <f t="shared" si="57"/>
        <v>650</v>
      </c>
      <c r="W111" s="6">
        <f t="shared" si="58"/>
        <v>0.18</v>
      </c>
      <c r="X111" s="6">
        <v>0</v>
      </c>
      <c r="Y111" s="76" t="b">
        <v>1</v>
      </c>
      <c r="Z111" s="76">
        <f t="shared" si="71"/>
        <v>30</v>
      </c>
      <c r="AA111" s="71">
        <f t="shared" si="45"/>
        <v>22</v>
      </c>
      <c r="AD111" s="71" t="str">
        <f t="shared" si="72"/>
        <v/>
      </c>
      <c r="AE111" s="71" t="str">
        <f t="shared" si="73"/>
        <v/>
      </c>
      <c r="AG111" s="43">
        <f>IF(N111,INDEX(Damage!$F$2:$F$151,A111)*R111*S111*V111/1000,"")</f>
        <v>98.684444444444438</v>
      </c>
      <c r="AH111" s="94">
        <f t="shared" si="59"/>
        <v>80.92124444444444</v>
      </c>
      <c r="AI111" s="94">
        <f t="shared" si="60"/>
        <v>116.44764444444444</v>
      </c>
      <c r="AJ111" s="79" t="s">
        <v>644</v>
      </c>
      <c r="AK111" s="6" t="b">
        <f t="array" ref="AK111">IF(AJ111,MAX(IF(Armor!$D$2:'Armor'!$D$7=D111,Armor!$E$2:$E$7),0))</f>
        <v>0</v>
      </c>
      <c r="AL111" s="6">
        <f t="shared" si="69"/>
        <v>0</v>
      </c>
      <c r="AM111" s="71">
        <f>(AL111+AK111)*INDEX(Armor!$B$2:$B$151,A111)+IF(AJ111,1,0)</f>
        <v>0</v>
      </c>
      <c r="AN111" s="71">
        <f>IF(C111="Caster",IF(ISERR(FIND("orb",LOWER(E111))),IF(ISERR(FIND("wand",LOWER(E111))),IF(NOT($D111="Polearm"),0,INDEX(Regeneration!$M$2:$M$151,A111+2)),INDEX(Regeneration!$L$2:$L$151,A111+2)),INDEX(Regeneration!$K$2:$K$151,A111+2)),0)</f>
        <v>0</v>
      </c>
      <c r="AO111" s="71" t="str">
        <f t="shared" si="74"/>
        <v/>
      </c>
      <c r="AP111" s="71" t="str">
        <f>IF(AND($N111,$C111="Caster"),IF(AND(NOT($D111="Polearm"),ISERR(FIND("wand",LOWER($E111)))),0,INDEX(Regeneration!F$2:F$151,A111)*0.06),"")</f>
        <v/>
      </c>
      <c r="AQ111" s="88">
        <f t="shared" si="61"/>
        <v>0.05</v>
      </c>
      <c r="AR111" s="88">
        <f t="shared" si="62"/>
        <v>0.05</v>
      </c>
      <c r="AS111" s="16" t="str">
        <f>IF(D111="Shield",INDEX(Regeneration!$C$2:$C$151,A111+3)*0.5*IF(ISERR(FIND("Rare",B111)),IF(ISERR(FIND("Uncommon",B111)),1,1.5),2.25),"")</f>
        <v/>
      </c>
      <c r="AT111" s="16" t="str">
        <f t="shared" si="75"/>
        <v/>
      </c>
      <c r="AU111" s="16" t="str">
        <f t="shared" si="76"/>
        <v/>
      </c>
      <c r="AV111" s="16" t="str">
        <f t="shared" si="77"/>
        <v/>
      </c>
      <c r="AW111" s="16" t="str">
        <f>IF(D111="Ring",INDEX(Regeneration!$B$6:$B$155,A111)*0.06,"")</f>
        <v/>
      </c>
      <c r="AZ111" s="16" t="str">
        <f t="shared" si="63"/>
        <v/>
      </c>
      <c r="BA111" s="6">
        <f t="shared" si="52"/>
        <v>0.05</v>
      </c>
      <c r="BB111" s="6">
        <f t="shared" si="65"/>
        <v>0.05</v>
      </c>
    </row>
    <row r="112" spans="1:54">
      <c r="A112" s="76">
        <v>30</v>
      </c>
      <c r="B112" s="30" t="s">
        <v>492</v>
      </c>
      <c r="C112" s="30" t="s">
        <v>496</v>
      </c>
      <c r="D112" s="30" t="s">
        <v>401</v>
      </c>
      <c r="E112" s="30" t="s">
        <v>606</v>
      </c>
      <c r="F112" s="30" t="s">
        <v>650</v>
      </c>
      <c r="G112" s="76">
        <f t="shared" si="68"/>
        <v>30</v>
      </c>
      <c r="H112" s="101">
        <v>150</v>
      </c>
      <c r="J112" s="76" t="str">
        <f t="shared" ref="J112:J125" si="78">LOWER(D112)</f>
        <v>armor</v>
      </c>
      <c r="K112" s="76" t="str">
        <f t="array" ref="K112">"A"&amp;IF(IF(ISBLANK(I112),OR(LEFT(LOWER(F112),1)={"a","e","I","o","u"}),OR(LEFT(LOWER(I112),1)={"a","e","I","o","u"})),"n "," ")&amp;I112&amp;IF(ISBLANK(I112),""," ")&amp;LOWER(F112)&amp;IF(LEFT(J112,1)="-",""," ")&amp;J112</f>
        <v>A spectral armor</v>
      </c>
      <c r="L112" s="76">
        <v>1</v>
      </c>
      <c r="M112" s="62">
        <v>759</v>
      </c>
      <c r="N112" s="62" t="s">
        <v>644</v>
      </c>
      <c r="O112" s="93" t="b">
        <f t="shared" si="53"/>
        <v>0</v>
      </c>
      <c r="P112" s="76" t="s">
        <v>490</v>
      </c>
      <c r="Q112" s="62" t="s">
        <v>490</v>
      </c>
      <c r="R112" s="100" t="str">
        <f t="shared" si="70"/>
        <v/>
      </c>
      <c r="S112" s="93" t="str">
        <f t="shared" si="54"/>
        <v/>
      </c>
      <c r="T112" s="98" t="str">
        <f t="shared" si="55"/>
        <v/>
      </c>
      <c r="U112" s="95" t="str">
        <f t="shared" si="56"/>
        <v/>
      </c>
      <c r="V112" s="98" t="str">
        <f t="shared" si="57"/>
        <v/>
      </c>
      <c r="W112" s="6" t="str">
        <f t="shared" si="58"/>
        <v/>
      </c>
      <c r="X112" s="6">
        <v>0</v>
      </c>
      <c r="Y112" s="76" t="b">
        <v>1</v>
      </c>
      <c r="Z112" s="76">
        <f t="shared" si="71"/>
        <v>30</v>
      </c>
      <c r="AA112" s="71" t="str">
        <f t="shared" si="45"/>
        <v/>
      </c>
      <c r="AD112" s="71" t="str">
        <f t="shared" si="72"/>
        <v/>
      </c>
      <c r="AE112" s="71" t="str">
        <f t="shared" si="73"/>
        <v/>
      </c>
      <c r="AG112" s="43" t="str">
        <f>IF(N112,INDEX(Damage!$F$2:$F$151,A112)*R112*S112*V112/1000,"")</f>
        <v/>
      </c>
      <c r="AH112" s="94" t="str">
        <f t="shared" si="59"/>
        <v/>
      </c>
      <c r="AI112" s="94" t="str">
        <f t="shared" si="60"/>
        <v/>
      </c>
      <c r="AJ112" s="79" t="s">
        <v>645</v>
      </c>
      <c r="AK112" s="6">
        <f t="array" ref="AK112">IF(AJ112,MAX(IF(Armor!$D$2:'Armor'!$D$7=D112,Armor!$E$2:$E$7),0))</f>
        <v>0.45</v>
      </c>
      <c r="AL112" s="6">
        <f t="shared" si="69"/>
        <v>0</v>
      </c>
      <c r="AM112" s="71">
        <f>(AL112+AK112)*INDEX(Armor!$B$2:$B$151,A112)+IF(AJ112,1,0)</f>
        <v>101.8</v>
      </c>
      <c r="AN112" s="71">
        <f>IF(C112="Caster",IF(ISERR(FIND("orb",LOWER(E112))),IF(ISERR(FIND("wand",LOWER(E112))),IF(NOT($D112="Polearm"),0,INDEX(Regeneration!$M$2:$M$151,A112+2)),INDEX(Regeneration!$L$2:$L$151,A112+2)),INDEX(Regeneration!$K$2:$K$151,A112+2)),0)</f>
        <v>0</v>
      </c>
      <c r="AO112" s="71" t="str">
        <f t="shared" si="74"/>
        <v/>
      </c>
      <c r="AP112" s="71" t="str">
        <f>IF(AND($N112,$C112="Caster"),IF(AND(NOT($D112="Polearm"),ISERR(FIND("wand",LOWER($E112)))),0,INDEX(Regeneration!F$2:F$151,A112)*0.06),"")</f>
        <v/>
      </c>
      <c r="AQ112" s="88">
        <f t="shared" si="61"/>
        <v>0</v>
      </c>
      <c r="AR112" s="88">
        <f t="shared" si="62"/>
        <v>0</v>
      </c>
      <c r="AS112" s="16" t="str">
        <f>IF(D112="Shield",INDEX(Regeneration!$C$2:$C$151,A112+3)*0.5*IF(ISERR(FIND("Rare",B112)),IF(ISERR(FIND("Uncommon",B112)),1,1.5),2.25),"")</f>
        <v/>
      </c>
      <c r="AT112" s="16" t="str">
        <f t="shared" si="75"/>
        <v/>
      </c>
      <c r="AU112" s="16" t="str">
        <f t="shared" si="76"/>
        <v/>
      </c>
      <c r="AV112" s="16" t="str">
        <f t="shared" si="77"/>
        <v/>
      </c>
      <c r="AW112" s="16" t="str">
        <f>IF(D112="Ring",INDEX(Regeneration!$B$6:$B$155,A112)*0.06,"")</f>
        <v/>
      </c>
      <c r="AZ112" s="16" t="str">
        <f t="shared" si="63"/>
        <v/>
      </c>
      <c r="BA112" s="6">
        <f t="shared" si="52"/>
        <v>0</v>
      </c>
      <c r="BB112" s="6">
        <f t="shared" si="65"/>
        <v>0</v>
      </c>
    </row>
    <row r="113" spans="1:54">
      <c r="A113" s="76">
        <v>30</v>
      </c>
      <c r="B113" s="30" t="s">
        <v>492</v>
      </c>
      <c r="C113" s="30" t="s">
        <v>496</v>
      </c>
      <c r="D113" s="30" t="s">
        <v>484</v>
      </c>
      <c r="E113" s="30" t="s">
        <v>616</v>
      </c>
      <c r="F113" s="30" t="s">
        <v>650</v>
      </c>
      <c r="G113" s="76">
        <f t="shared" si="68"/>
        <v>30</v>
      </c>
      <c r="H113" s="101">
        <v>150</v>
      </c>
      <c r="J113" s="76" t="str">
        <f t="shared" si="78"/>
        <v>belt</v>
      </c>
      <c r="K113" s="76" t="str">
        <f t="array" ref="K113">"A"&amp;IF(IF(ISBLANK(I113),OR(LEFT(LOWER(F113),1)={"a","e","I","o","u"}),OR(LEFT(LOWER(I113),1)={"a","e","I","o","u"})),"n "," ")&amp;I113&amp;IF(ISBLANK(I113),""," ")&amp;LOWER(F113)&amp;IF(LEFT(J113,1)="-",""," ")&amp;J113</f>
        <v>A spectral belt</v>
      </c>
      <c r="L113" s="76">
        <v>1</v>
      </c>
      <c r="M113" s="62">
        <v>39</v>
      </c>
      <c r="N113" s="62" t="s">
        <v>644</v>
      </c>
      <c r="O113" s="93" t="b">
        <f t="shared" si="53"/>
        <v>0</v>
      </c>
      <c r="P113" s="76" t="s">
        <v>490</v>
      </c>
      <c r="Q113" s="62" t="s">
        <v>490</v>
      </c>
      <c r="R113" s="100" t="str">
        <f t="shared" si="70"/>
        <v/>
      </c>
      <c r="S113" s="93" t="str">
        <f t="shared" si="54"/>
        <v/>
      </c>
      <c r="T113" s="98" t="str">
        <f t="shared" si="55"/>
        <v/>
      </c>
      <c r="U113" s="95" t="str">
        <f t="shared" si="56"/>
        <v/>
      </c>
      <c r="V113" s="98" t="str">
        <f t="shared" si="57"/>
        <v/>
      </c>
      <c r="W113" s="6" t="str">
        <f t="shared" si="58"/>
        <v/>
      </c>
      <c r="X113" s="6">
        <v>0</v>
      </c>
      <c r="Y113" s="76" t="b">
        <v>1</v>
      </c>
      <c r="Z113" s="76">
        <f t="shared" si="71"/>
        <v>30</v>
      </c>
      <c r="AA113" s="71" t="str">
        <f t="shared" si="45"/>
        <v/>
      </c>
      <c r="AD113" s="71" t="str">
        <f t="shared" si="72"/>
        <v/>
      </c>
      <c r="AE113" s="71" t="str">
        <f t="shared" si="73"/>
        <v/>
      </c>
      <c r="AG113" s="43" t="str">
        <f>IF(N113,INDEX(Damage!$F$2:$F$151,A113)*R113*S113*V113/1000,"")</f>
        <v/>
      </c>
      <c r="AH113" s="94" t="str">
        <f t="shared" si="59"/>
        <v/>
      </c>
      <c r="AI113" s="94" t="str">
        <f t="shared" si="60"/>
        <v/>
      </c>
      <c r="AJ113" s="79" t="s">
        <v>645</v>
      </c>
      <c r="AK113" s="6">
        <f t="array" ref="AK113">IF(AJ113,MAX(IF(Armor!$D$2:'Armor'!$D$7=D113,Armor!$E$2:$E$7),0))</f>
        <v>0.06</v>
      </c>
      <c r="AL113" s="6">
        <f t="shared" si="69"/>
        <v>0</v>
      </c>
      <c r="AM113" s="71">
        <f>(AL113+AK113)*INDEX(Armor!$B$2:$B$151,A113)+IF(AJ113,1,0)</f>
        <v>14.44</v>
      </c>
      <c r="AN113" s="71">
        <f>IF(C113="Caster",IF(ISERR(FIND("orb",LOWER(E113))),IF(ISERR(FIND("wand",LOWER(E113))),IF(NOT($D113="Polearm"),0,INDEX(Regeneration!$M$2:$M$151,A113+2)),INDEX(Regeneration!$L$2:$L$151,A113+2)),INDEX(Regeneration!$K$2:$K$151,A113+2)),0)</f>
        <v>0</v>
      </c>
      <c r="AO113" s="71" t="str">
        <f t="shared" si="74"/>
        <v/>
      </c>
      <c r="AP113" s="71" t="str">
        <f>IF(AND($N113,$C113="Caster"),IF(AND(NOT($D113="Polearm"),ISERR(FIND("wand",LOWER($E113)))),0,INDEX(Regeneration!F$2:F$151,A113)*0.06),"")</f>
        <v/>
      </c>
      <c r="AQ113" s="88">
        <f t="shared" si="61"/>
        <v>0</v>
      </c>
      <c r="AR113" s="88">
        <f t="shared" si="62"/>
        <v>0</v>
      </c>
      <c r="AS113" s="16" t="str">
        <f>IF(D113="Shield",INDEX(Regeneration!$C$2:$C$151,A113+3)*0.5*IF(ISERR(FIND("Rare",B113)),IF(ISERR(FIND("Uncommon",B113)),1,1.5),2.25),"")</f>
        <v/>
      </c>
      <c r="AT113" s="16" t="str">
        <f t="shared" si="75"/>
        <v/>
      </c>
      <c r="AU113" s="16" t="str">
        <f t="shared" si="76"/>
        <v/>
      </c>
      <c r="AV113" s="16" t="str">
        <f t="shared" si="77"/>
        <v/>
      </c>
      <c r="AW113" s="16" t="str">
        <f>IF(D113="Ring",INDEX(Regeneration!$B$6:$B$155,A113)*0.06,"")</f>
        <v/>
      </c>
      <c r="AZ113" s="16" t="str">
        <f t="shared" si="63"/>
        <v/>
      </c>
      <c r="BA113" s="6">
        <f t="shared" si="52"/>
        <v>0</v>
      </c>
      <c r="BB113" s="6">
        <f t="shared" si="65"/>
        <v>0</v>
      </c>
    </row>
    <row r="114" spans="1:54">
      <c r="A114" s="76">
        <v>30</v>
      </c>
      <c r="B114" s="30" t="s">
        <v>492</v>
      </c>
      <c r="C114" s="30" t="s">
        <v>496</v>
      </c>
      <c r="D114" s="30" t="s">
        <v>487</v>
      </c>
      <c r="E114" s="30" t="s">
        <v>607</v>
      </c>
      <c r="F114" s="30" t="s">
        <v>650</v>
      </c>
      <c r="G114" s="76">
        <f t="shared" si="68"/>
        <v>30</v>
      </c>
      <c r="H114" s="101">
        <v>150</v>
      </c>
      <c r="J114" s="76" t="str">
        <f t="shared" si="78"/>
        <v>boots</v>
      </c>
      <c r="K114" s="76" t="str">
        <f t="array" ref="K114">"A"&amp;IF(IF(ISBLANK(I114),OR(LEFT(LOWER(F114),1)={"a","e","I","o","u"}),OR(LEFT(LOWER(I114),1)={"a","e","I","o","u"})),"n "," ")&amp;I114&amp;IF(ISBLANK(I114),""," ")&amp;LOWER(F114)&amp;IF(LEFT(J114,1)="-",""," ")&amp;J114</f>
        <v>A spectral boots</v>
      </c>
      <c r="L114" s="76">
        <v>1</v>
      </c>
      <c r="M114" s="62">
        <v>129</v>
      </c>
      <c r="N114" s="62" t="s">
        <v>644</v>
      </c>
      <c r="O114" s="93" t="b">
        <f t="shared" si="53"/>
        <v>0</v>
      </c>
      <c r="P114" s="76" t="s">
        <v>490</v>
      </c>
      <c r="Q114" s="62" t="s">
        <v>490</v>
      </c>
      <c r="R114" s="100" t="str">
        <f t="shared" si="70"/>
        <v/>
      </c>
      <c r="S114" s="93" t="str">
        <f t="shared" si="54"/>
        <v/>
      </c>
      <c r="T114" s="98" t="str">
        <f t="shared" si="55"/>
        <v/>
      </c>
      <c r="U114" s="95" t="str">
        <f t="shared" si="56"/>
        <v/>
      </c>
      <c r="V114" s="98" t="str">
        <f t="shared" si="57"/>
        <v/>
      </c>
      <c r="W114" s="6" t="str">
        <f t="shared" si="58"/>
        <v/>
      </c>
      <c r="X114" s="6">
        <v>0</v>
      </c>
      <c r="Y114" s="76" t="b">
        <v>1</v>
      </c>
      <c r="Z114" s="76">
        <f t="shared" si="71"/>
        <v>30</v>
      </c>
      <c r="AA114" s="71" t="str">
        <f t="shared" si="45"/>
        <v/>
      </c>
      <c r="AD114" s="71" t="str">
        <f t="shared" si="72"/>
        <v/>
      </c>
      <c r="AE114" s="71" t="str">
        <f t="shared" si="73"/>
        <v/>
      </c>
      <c r="AG114" s="43" t="str">
        <f>IF(N114,INDEX(Damage!$F$2:$F$151,A114)*R114*S114*V114/1000,"")</f>
        <v/>
      </c>
      <c r="AH114" s="94" t="str">
        <f t="shared" si="59"/>
        <v/>
      </c>
      <c r="AI114" s="94" t="str">
        <f t="shared" si="60"/>
        <v/>
      </c>
      <c r="AJ114" s="79" t="s">
        <v>645</v>
      </c>
      <c r="AK114" s="6">
        <f t="array" ref="AK114">IF(AJ114,MAX(IF(Armor!$D$2:'Armor'!$D$7=D114,Armor!$E$2:$E$7),0))</f>
        <v>0.1</v>
      </c>
      <c r="AL114" s="6">
        <f t="shared" si="69"/>
        <v>0</v>
      </c>
      <c r="AM114" s="71">
        <f>(AL114+AK114)*INDEX(Armor!$B$2:$B$151,A114)+IF(AJ114,1,0)</f>
        <v>23.400000000000002</v>
      </c>
      <c r="AN114" s="71">
        <f>IF(C114="Caster",IF(ISERR(FIND("orb",LOWER(E114))),IF(ISERR(FIND("wand",LOWER(E114))),IF(NOT($D114="Polearm"),0,INDEX(Regeneration!$M$2:$M$151,A114+2)),INDEX(Regeneration!$L$2:$L$151,A114+2)),INDEX(Regeneration!$K$2:$K$151,A114+2)),0)</f>
        <v>0</v>
      </c>
      <c r="AO114" s="71" t="str">
        <f t="shared" si="74"/>
        <v/>
      </c>
      <c r="AP114" s="71" t="str">
        <f>IF(AND($N114,$C114="Caster"),IF(AND(NOT($D114="Polearm"),ISERR(FIND("wand",LOWER($E114)))),0,INDEX(Regeneration!F$2:F$151,A114)*0.06),"")</f>
        <v/>
      </c>
      <c r="AQ114" s="88">
        <f t="shared" si="61"/>
        <v>0</v>
      </c>
      <c r="AR114" s="88">
        <f t="shared" si="62"/>
        <v>0</v>
      </c>
      <c r="AS114" s="16" t="str">
        <f>IF(D114="Shield",INDEX(Regeneration!$C$2:$C$151,A114+3)*0.5*IF(ISERR(FIND("Rare",B114)),IF(ISERR(FIND("Uncommon",B114)),1,1.5),2.25),"")</f>
        <v/>
      </c>
      <c r="AT114" s="16" t="str">
        <f t="shared" si="75"/>
        <v/>
      </c>
      <c r="AU114" s="16" t="str">
        <f t="shared" si="76"/>
        <v/>
      </c>
      <c r="AV114" s="16" t="str">
        <f t="shared" si="77"/>
        <v/>
      </c>
      <c r="AW114" s="16" t="str">
        <f>IF(D114="Ring",INDEX(Regeneration!$B$6:$B$155,A114)*0.06,"")</f>
        <v/>
      </c>
      <c r="AZ114" s="16" t="str">
        <f t="shared" si="63"/>
        <v/>
      </c>
      <c r="BA114" s="6">
        <f t="shared" si="52"/>
        <v>0</v>
      </c>
      <c r="BB114" s="6">
        <f t="shared" si="65"/>
        <v>0</v>
      </c>
    </row>
    <row r="115" spans="1:54">
      <c r="A115" s="76">
        <v>30</v>
      </c>
      <c r="B115" s="30" t="s">
        <v>492</v>
      </c>
      <c r="C115" s="30" t="s">
        <v>10</v>
      </c>
      <c r="D115" s="30" t="s">
        <v>479</v>
      </c>
      <c r="E115" s="30" t="s">
        <v>614</v>
      </c>
      <c r="F115" s="30" t="s">
        <v>650</v>
      </c>
      <c r="G115" s="76">
        <f t="shared" si="68"/>
        <v>30</v>
      </c>
      <c r="H115" s="101">
        <v>150</v>
      </c>
      <c r="J115" s="76" t="str">
        <f t="shared" si="78"/>
        <v>bow</v>
      </c>
      <c r="K115" s="76" t="str">
        <f t="array" ref="K115">"A"&amp;IF(IF(ISBLANK(I115),OR(LEFT(LOWER(F115),1)={"a","e","I","o","u"}),OR(LEFT(LOWER(I115),1)={"a","e","I","o","u"})),"n "," ")&amp;I115&amp;IF(ISBLANK(I115),""," ")&amp;LOWER(F115)&amp;IF(LEFT(J115,1)="-",""," ")&amp;J115</f>
        <v>A spectral bow</v>
      </c>
      <c r="L115" s="76">
        <v>1</v>
      </c>
      <c r="M115" s="62">
        <v>39</v>
      </c>
      <c r="N115" s="62" t="s">
        <v>645</v>
      </c>
      <c r="O115" s="93" t="b">
        <f t="shared" si="53"/>
        <v>1</v>
      </c>
      <c r="P115" s="76" t="s">
        <v>504</v>
      </c>
      <c r="Q115" s="62" t="s">
        <v>643</v>
      </c>
      <c r="R115" s="100">
        <f t="shared" si="70"/>
        <v>0.9</v>
      </c>
      <c r="S115" s="93">
        <f t="shared" si="54"/>
        <v>1</v>
      </c>
      <c r="T115" s="98">
        <f t="shared" si="55"/>
        <v>1</v>
      </c>
      <c r="U115" s="95">
        <f t="shared" si="56"/>
        <v>8</v>
      </c>
      <c r="V115" s="98">
        <f t="shared" si="57"/>
        <v>650</v>
      </c>
      <c r="W115" s="6">
        <f t="shared" si="58"/>
        <v>0.18</v>
      </c>
      <c r="X115" s="6">
        <v>0</v>
      </c>
      <c r="Y115" s="76" t="b">
        <v>1</v>
      </c>
      <c r="Z115" s="76">
        <f t="shared" si="71"/>
        <v>30</v>
      </c>
      <c r="AA115" s="71">
        <f t="shared" si="45"/>
        <v>22</v>
      </c>
      <c r="AD115" s="71" t="str">
        <f t="shared" si="72"/>
        <v/>
      </c>
      <c r="AE115" s="71" t="str">
        <f t="shared" si="73"/>
        <v/>
      </c>
      <c r="AG115" s="43">
        <f>IF(N115,INDEX(Damage!$F$2:$F$151,A115)*R115*S115*V115/1000,"")</f>
        <v>88.816000000000017</v>
      </c>
      <c r="AH115" s="94">
        <f t="shared" si="59"/>
        <v>72.829120000000017</v>
      </c>
      <c r="AI115" s="94">
        <f t="shared" si="60"/>
        <v>104.80288000000002</v>
      </c>
      <c r="AJ115" s="79" t="s">
        <v>644</v>
      </c>
      <c r="AK115" s="6" t="b">
        <f t="array" ref="AK115">IF(AJ115,MAX(IF(Armor!$D$2:'Armor'!$D$7=D115,Armor!$E$2:$E$7),0))</f>
        <v>0</v>
      </c>
      <c r="AL115" s="6">
        <f t="shared" si="69"/>
        <v>0</v>
      </c>
      <c r="AM115" s="71">
        <f>(AL115+AK115)*INDEX(Armor!$B$2:$B$151,A115)+IF(AJ115,1,0)</f>
        <v>0</v>
      </c>
      <c r="AN115" s="71">
        <f>IF(C115="Caster",IF(ISERR(FIND("orb",LOWER(E115))),IF(ISERR(FIND("wand",LOWER(E115))),IF(NOT($D115="Polearm"),0,INDEX(Regeneration!$M$2:$M$151,A115+2)),INDEX(Regeneration!$L$2:$L$151,A115+2)),INDEX(Regeneration!$K$2:$K$151,A115+2)),0)</f>
        <v>0</v>
      </c>
      <c r="AO115" s="71" t="str">
        <f t="shared" si="74"/>
        <v/>
      </c>
      <c r="AP115" s="71" t="str">
        <f>IF(AND($N115,$C115="Caster"),IF(AND(NOT($D115="Polearm"),ISERR(FIND("wand",LOWER($E115)))),0,INDEX(Regeneration!F$2:F$151,A115)*0.06),"")</f>
        <v/>
      </c>
      <c r="AQ115" s="88">
        <f t="shared" si="61"/>
        <v>0.15</v>
      </c>
      <c r="AR115" s="88">
        <f t="shared" si="62"/>
        <v>0.15</v>
      </c>
      <c r="AS115" s="16" t="str">
        <f>IF(D115="Shield",INDEX(Regeneration!$C$2:$C$151,A115+3)*0.5*IF(ISERR(FIND("Rare",B115)),IF(ISERR(FIND("Uncommon",B115)),1,1.5),2.25),"")</f>
        <v/>
      </c>
      <c r="AT115" s="16" t="str">
        <f t="shared" si="75"/>
        <v/>
      </c>
      <c r="AU115" s="16" t="str">
        <f t="shared" si="76"/>
        <v/>
      </c>
      <c r="AV115" s="16" t="str">
        <f t="shared" si="77"/>
        <v/>
      </c>
      <c r="AW115" s="16" t="str">
        <f>IF(D115="Ring",INDEX(Regeneration!$B$6:$B$155,A115)*0.06,"")</f>
        <v/>
      </c>
      <c r="AZ115" s="16" t="str">
        <f t="shared" si="63"/>
        <v/>
      </c>
      <c r="BA115" s="6">
        <f t="shared" si="52"/>
        <v>0.15</v>
      </c>
      <c r="BB115" s="6">
        <f t="shared" si="65"/>
        <v>0.15</v>
      </c>
    </row>
    <row r="116" spans="1:54">
      <c r="A116" s="76">
        <v>30</v>
      </c>
      <c r="B116" s="30" t="s">
        <v>492</v>
      </c>
      <c r="C116" s="30" t="s">
        <v>10</v>
      </c>
      <c r="D116" s="30" t="s">
        <v>450</v>
      </c>
      <c r="E116" s="30" t="s">
        <v>787</v>
      </c>
      <c r="F116" s="30" t="s">
        <v>650</v>
      </c>
      <c r="G116" s="76">
        <f t="shared" si="68"/>
        <v>30</v>
      </c>
      <c r="H116" s="101">
        <v>150</v>
      </c>
      <c r="J116" s="89" t="str">
        <f t="shared" si="78"/>
        <v>crossbow</v>
      </c>
      <c r="K116" s="76" t="str">
        <f t="array" ref="K116">"A"&amp;IF(IF(ISBLANK(I116),OR(LEFT(LOWER(F116),1)={"a","e","I","o","u"}),OR(LEFT(LOWER(I116),1)={"a","e","I","o","u"})),"n "," ")&amp;I116&amp;IF(ISBLANK(I116),""," ")&amp;LOWER(F116)&amp;IF(LEFT(J116,1)="-",""," ")&amp;J116</f>
        <v>A spectral crossbow</v>
      </c>
      <c r="L116" s="76">
        <v>1</v>
      </c>
      <c r="M116" s="62">
        <v>320</v>
      </c>
      <c r="N116" s="62" t="b">
        <v>1</v>
      </c>
      <c r="O116" s="93" t="b">
        <f t="shared" si="53"/>
        <v>1</v>
      </c>
      <c r="P116" s="76"/>
      <c r="Q116" s="62" t="s">
        <v>505</v>
      </c>
      <c r="R116" s="100">
        <f t="shared" si="70"/>
        <v>1.0349999999999999</v>
      </c>
      <c r="S116" s="93">
        <f t="shared" si="54"/>
        <v>1</v>
      </c>
      <c r="T116" s="98">
        <f t="shared" si="55"/>
        <v>1.3</v>
      </c>
      <c r="U116" s="95">
        <f t="shared" si="56"/>
        <v>8</v>
      </c>
      <c r="V116" s="98">
        <f t="shared" si="57"/>
        <v>845</v>
      </c>
      <c r="W116" s="6">
        <f t="shared" si="58"/>
        <v>0.3</v>
      </c>
      <c r="X116" s="6">
        <v>0</v>
      </c>
      <c r="Y116" s="76" t="b">
        <v>1</v>
      </c>
      <c r="Z116" s="76">
        <f t="shared" si="71"/>
        <v>30</v>
      </c>
      <c r="AA116" s="71">
        <f t="shared" si="45"/>
        <v>22</v>
      </c>
      <c r="AD116" s="71" t="str">
        <f t="shared" si="72"/>
        <v/>
      </c>
      <c r="AE116" s="71" t="str">
        <f t="shared" si="73"/>
        <v/>
      </c>
      <c r="AG116" s="43">
        <f>IF(N116,INDEX(Damage!$F$2:$F$151,A116)*R116*S116*V116/1000,"")</f>
        <v>132.77991999999998</v>
      </c>
      <c r="AH116" s="94">
        <f t="shared" si="59"/>
        <v>92.945943999999983</v>
      </c>
      <c r="AI116" s="94">
        <f t="shared" si="60"/>
        <v>172.61389599999995</v>
      </c>
      <c r="AJ116" s="90" t="b">
        <v>0</v>
      </c>
      <c r="AK116" s="6" t="b">
        <f t="array" ref="AK116">IF(AJ116,MAX(IF(Armor!$D$2:'Armor'!$D$7=D116,Armor!$E$2:$E$7),0))</f>
        <v>0</v>
      </c>
      <c r="AL116" s="6">
        <f t="shared" si="69"/>
        <v>0</v>
      </c>
      <c r="AM116" s="71">
        <f>(AL116+AK116)*INDEX(Armor!$B$2:$B$151,A116)+IF(AJ116,1,0)</f>
        <v>0</v>
      </c>
      <c r="AN116" s="71">
        <f>IF(C116="Caster",IF(ISERR(FIND("orb",LOWER(E116))),IF(ISERR(FIND("wand",LOWER(E116))),IF(NOT($D116="Polearm"),0,INDEX(Regeneration!$M$2:$M$151,A116+2)),INDEX(Regeneration!$L$2:$L$151,A116+2)),INDEX(Regeneration!$K$2:$K$151,A116+2)),0)</f>
        <v>0</v>
      </c>
      <c r="AO116" s="71" t="str">
        <f t="shared" si="74"/>
        <v/>
      </c>
      <c r="AP116" s="71" t="str">
        <f>IF(AND($N116,$C116="Caster"),IF(AND(NOT($D116="Polearm"),ISERR(FIND("wand",LOWER($E116)))),0,INDEX(Regeneration!F$2:F$151,A116)*0.06),"")</f>
        <v/>
      </c>
      <c r="AQ116" s="88">
        <f t="shared" si="61"/>
        <v>0.15</v>
      </c>
      <c r="AR116" s="88">
        <f t="shared" si="62"/>
        <v>0.15</v>
      </c>
      <c r="AS116" s="16" t="str">
        <f>IF(D116="Shield",INDEX(Regeneration!$C$2:$C$151,A116+3)*0.5*IF(ISERR(FIND("Rare",B116)),IF(ISERR(FIND("Uncommon",B116)),1,1.5),2.25),"")</f>
        <v/>
      </c>
      <c r="AT116" s="16" t="str">
        <f t="shared" si="75"/>
        <v/>
      </c>
      <c r="AU116" s="16" t="str">
        <f t="shared" si="76"/>
        <v/>
      </c>
      <c r="AV116" s="16" t="str">
        <f t="shared" si="77"/>
        <v/>
      </c>
      <c r="AW116" s="16" t="str">
        <f>IF(D116="Ring",INDEX(Regeneration!$B$6:$B$155,A116)*0.06,"")</f>
        <v/>
      </c>
      <c r="AZ116" s="16" t="str">
        <f t="shared" si="63"/>
        <v/>
      </c>
      <c r="BA116" s="6">
        <f t="shared" si="52"/>
        <v>0.15</v>
      </c>
      <c r="BB116" s="6">
        <f t="shared" si="65"/>
        <v>0.15</v>
      </c>
    </row>
    <row r="117" spans="1:54">
      <c r="A117" s="76">
        <v>30</v>
      </c>
      <c r="B117" s="30" t="s">
        <v>492</v>
      </c>
      <c r="C117" s="30" t="s">
        <v>496</v>
      </c>
      <c r="D117" s="30" t="s">
        <v>488</v>
      </c>
      <c r="E117" s="30" t="s">
        <v>617</v>
      </c>
      <c r="F117" s="30" t="s">
        <v>650</v>
      </c>
      <c r="G117" s="76">
        <f t="shared" si="68"/>
        <v>30</v>
      </c>
      <c r="H117" s="101">
        <v>150</v>
      </c>
      <c r="J117" s="76" t="str">
        <f t="shared" si="78"/>
        <v>gloves</v>
      </c>
      <c r="K117" s="76" t="str">
        <f t="array" ref="K117">"A"&amp;IF(IF(ISBLANK(I117),OR(LEFT(LOWER(F117),1)={"a","e","I","o","u"}),OR(LEFT(LOWER(I117),1)={"a","e","I","o","u"})),"n "," ")&amp;I117&amp;IF(ISBLANK(I117),""," ")&amp;LOWER(F117)&amp;IF(LEFT(J117,1)="-",""," ")&amp;J117</f>
        <v>A spectral gloves</v>
      </c>
      <c r="L117" s="76">
        <v>1</v>
      </c>
      <c r="M117" s="62">
        <v>39</v>
      </c>
      <c r="N117" s="62" t="s">
        <v>644</v>
      </c>
      <c r="O117" s="93" t="b">
        <f t="shared" si="53"/>
        <v>0</v>
      </c>
      <c r="P117" s="76" t="s">
        <v>490</v>
      </c>
      <c r="Q117" s="62" t="s">
        <v>490</v>
      </c>
      <c r="R117" s="100" t="str">
        <f t="shared" si="70"/>
        <v/>
      </c>
      <c r="S117" s="93" t="str">
        <f t="shared" si="54"/>
        <v/>
      </c>
      <c r="T117" s="98" t="str">
        <f t="shared" si="55"/>
        <v/>
      </c>
      <c r="U117" s="95" t="str">
        <f t="shared" si="56"/>
        <v/>
      </c>
      <c r="V117" s="98" t="str">
        <f t="shared" si="57"/>
        <v/>
      </c>
      <c r="W117" s="6" t="str">
        <f t="shared" si="58"/>
        <v/>
      </c>
      <c r="X117" s="6">
        <v>0</v>
      </c>
      <c r="Y117" s="76" t="b">
        <v>1</v>
      </c>
      <c r="Z117" s="76">
        <f t="shared" si="71"/>
        <v>30</v>
      </c>
      <c r="AA117" s="71" t="str">
        <f t="shared" si="45"/>
        <v/>
      </c>
      <c r="AD117" s="71" t="str">
        <f t="shared" si="72"/>
        <v/>
      </c>
      <c r="AE117" s="71" t="str">
        <f t="shared" si="73"/>
        <v/>
      </c>
      <c r="AG117" s="43" t="str">
        <f>IF(N117,INDEX(Damage!$F$2:$F$151,A117)*R117*S117*V117/1000,"")</f>
        <v/>
      </c>
      <c r="AH117" s="94" t="str">
        <f t="shared" si="59"/>
        <v/>
      </c>
      <c r="AI117" s="94" t="str">
        <f t="shared" si="60"/>
        <v/>
      </c>
      <c r="AJ117" s="79" t="s">
        <v>645</v>
      </c>
      <c r="AK117" s="6">
        <f t="array" ref="AK117">IF(AJ117,MAX(IF(Armor!$D$2:'Armor'!$D$7=D117,Armor!$E$2:$E$7),0))</f>
        <v>0.04</v>
      </c>
      <c r="AL117" s="6">
        <f t="shared" si="69"/>
        <v>0</v>
      </c>
      <c r="AM117" s="71">
        <f>(AL117+AK117)*INDEX(Armor!$B$2:$B$151,A117)+IF(AJ117,1,0)</f>
        <v>9.9600000000000009</v>
      </c>
      <c r="AN117" s="71">
        <f>IF(C117="Caster",IF(ISERR(FIND("orb",LOWER(E117))),IF(ISERR(FIND("wand",LOWER(E117))),IF(NOT($D117="Polearm"),0,INDEX(Regeneration!$M$2:$M$151,A117+2)),INDEX(Regeneration!$L$2:$L$151,A117+2)),INDEX(Regeneration!$K$2:$K$151,A117+2)),0)</f>
        <v>0</v>
      </c>
      <c r="AO117" s="71" t="str">
        <f t="shared" si="74"/>
        <v/>
      </c>
      <c r="AP117" s="71" t="str">
        <f>IF(AND($N117,$C117="Caster"),IF(AND(NOT($D117="Polearm"),ISERR(FIND("wand",LOWER($E117)))),0,INDEX(Regeneration!F$2:F$151,A117)*0.06),"")</f>
        <v/>
      </c>
      <c r="AQ117" s="88">
        <f t="shared" si="61"/>
        <v>0</v>
      </c>
      <c r="AR117" s="88">
        <f t="shared" si="62"/>
        <v>0</v>
      </c>
      <c r="AS117" s="16" t="str">
        <f>IF(D117="Shield",INDEX(Regeneration!$C$2:$C$151,A117+3)*0.5*IF(ISERR(FIND("Rare",B117)),IF(ISERR(FIND("Uncommon",B117)),1,1.5),2.25),"")</f>
        <v/>
      </c>
      <c r="AT117" s="16" t="str">
        <f t="shared" si="75"/>
        <v/>
      </c>
      <c r="AU117" s="16" t="str">
        <f t="shared" si="76"/>
        <v/>
      </c>
      <c r="AV117" s="16" t="str">
        <f t="shared" si="77"/>
        <v/>
      </c>
      <c r="AW117" s="16" t="str">
        <f>IF(D117="Ring",INDEX(Regeneration!$B$6:$B$155,A117)*0.06,"")</f>
        <v/>
      </c>
      <c r="AZ117" s="16">
        <f t="shared" si="63"/>
        <v>7.5</v>
      </c>
      <c r="BA117" s="6">
        <f t="shared" si="52"/>
        <v>0</v>
      </c>
      <c r="BB117" s="6">
        <f t="shared" si="65"/>
        <v>0</v>
      </c>
    </row>
    <row r="118" spans="1:54">
      <c r="A118" s="62">
        <v>30</v>
      </c>
      <c r="B118" s="30" t="s">
        <v>492</v>
      </c>
      <c r="C118" s="30" t="s">
        <v>496</v>
      </c>
      <c r="D118" s="30" t="s">
        <v>483</v>
      </c>
      <c r="E118" s="30" t="s">
        <v>608</v>
      </c>
      <c r="F118" s="30" t="s">
        <v>650</v>
      </c>
      <c r="G118" s="76">
        <f t="shared" ref="G118:G149" si="79">IF(ISERR(FIND("Rare",B118)),IF(ISERR(FIND("Uncommon",B118)),A118,A118+5),A118+10)</f>
        <v>30</v>
      </c>
      <c r="H118" s="101">
        <v>150</v>
      </c>
      <c r="J118" s="76" t="str">
        <f t="shared" si="78"/>
        <v>helmet</v>
      </c>
      <c r="K118" s="76" t="str">
        <f t="array" ref="K118">"A"&amp;IF(IF(ISBLANK(I118),OR(LEFT(LOWER(F118),1)={"a","e","I","o","u"}),OR(LEFT(LOWER(I118),1)={"a","e","I","o","u"})),"n "," ")&amp;I118&amp;IF(ISBLANK(I118),""," ")&amp;LOWER(F118)&amp;IF(LEFT(J118,1)="-",""," ")&amp;J118</f>
        <v>A spectral helmet</v>
      </c>
      <c r="L118" s="76">
        <v>1</v>
      </c>
      <c r="M118" s="62">
        <v>129</v>
      </c>
      <c r="N118" s="62" t="s">
        <v>644</v>
      </c>
      <c r="O118" s="93" t="b">
        <f t="shared" si="53"/>
        <v>0</v>
      </c>
      <c r="P118" s="76" t="s">
        <v>490</v>
      </c>
      <c r="Q118" s="76" t="s">
        <v>490</v>
      </c>
      <c r="R118" s="100" t="str">
        <f t="shared" si="70"/>
        <v/>
      </c>
      <c r="S118" s="93" t="str">
        <f t="shared" si="54"/>
        <v/>
      </c>
      <c r="T118" s="98" t="str">
        <f t="shared" si="55"/>
        <v/>
      </c>
      <c r="U118" s="95" t="str">
        <f t="shared" si="56"/>
        <v/>
      </c>
      <c r="V118" s="98" t="str">
        <f t="shared" si="57"/>
        <v/>
      </c>
      <c r="W118" s="6" t="str">
        <f t="shared" si="58"/>
        <v/>
      </c>
      <c r="X118" s="6">
        <v>0</v>
      </c>
      <c r="Y118" s="76" t="b">
        <v>1</v>
      </c>
      <c r="Z118" s="76">
        <f t="shared" si="71"/>
        <v>30</v>
      </c>
      <c r="AA118" s="71" t="str">
        <f t="shared" si="45"/>
        <v/>
      </c>
      <c r="AB118" s="76"/>
      <c r="AC118" s="76"/>
      <c r="AD118" s="71" t="str">
        <f t="shared" si="72"/>
        <v/>
      </c>
      <c r="AE118" s="71" t="str">
        <f t="shared" si="73"/>
        <v/>
      </c>
      <c r="AG118" s="43" t="str">
        <f>IF(N118,INDEX(Damage!$F$2:$F$151,A118)*R118*S118*V118/1000,"")</f>
        <v/>
      </c>
      <c r="AH118" s="94" t="str">
        <f t="shared" si="59"/>
        <v/>
      </c>
      <c r="AI118" s="94" t="str">
        <f t="shared" si="60"/>
        <v/>
      </c>
      <c r="AJ118" s="79" t="s">
        <v>645</v>
      </c>
      <c r="AK118" s="6">
        <f t="array" ref="AK118">IF(AJ118,MAX(IF(Armor!$D$2:'Armor'!$D$7=D118,Armor!$E$2:$E$7),0))</f>
        <v>0.1</v>
      </c>
      <c r="AL118" s="6">
        <f t="shared" si="69"/>
        <v>0</v>
      </c>
      <c r="AM118" s="71">
        <f>(AL118+AK118)*INDEX(Armor!$B$2:$B$151,A118)+IF(AJ118,1,0)</f>
        <v>23.400000000000002</v>
      </c>
      <c r="AN118" s="71">
        <f>IF(C118="Caster",IF(ISERR(FIND("orb",LOWER(E118))),IF(ISERR(FIND("wand",LOWER(E118))),IF(NOT($D118="Polearm"),0,INDEX(Regeneration!$M$2:$M$151,A118+2)),INDEX(Regeneration!$L$2:$L$151,A118+2)),INDEX(Regeneration!$K$2:$K$151,A118+2)),0)</f>
        <v>0</v>
      </c>
      <c r="AO118" s="71" t="str">
        <f t="shared" si="74"/>
        <v/>
      </c>
      <c r="AP118" s="71" t="str">
        <f>IF(AND($N118,$C118="Caster"),IF(AND(NOT($D118="Polearm"),ISERR(FIND("wand",LOWER($E118)))),0,INDEX(Regeneration!F$2:F$151,A118)*0.06),"")</f>
        <v/>
      </c>
      <c r="AQ118" s="88">
        <f t="shared" si="61"/>
        <v>0</v>
      </c>
      <c r="AR118" s="88">
        <f t="shared" si="62"/>
        <v>0</v>
      </c>
      <c r="AS118" s="16" t="str">
        <f>IF(D118="Shield",INDEX(Regeneration!$C$2:$C$151,A118+3)*0.5*IF(ISERR(FIND("Rare",B118)),IF(ISERR(FIND("Uncommon",B118)),1,1.5),2.25),"")</f>
        <v/>
      </c>
      <c r="AT118" s="16" t="str">
        <f t="shared" si="75"/>
        <v/>
      </c>
      <c r="AU118" s="16" t="str">
        <f t="shared" si="76"/>
        <v/>
      </c>
      <c r="AV118" s="16" t="str">
        <f t="shared" si="77"/>
        <v/>
      </c>
      <c r="AW118" s="16" t="str">
        <f>IF(D118="Ring",INDEX(Regeneration!$B$6:$B$155,A118)*0.06,"")</f>
        <v/>
      </c>
      <c r="AX118" s="76"/>
      <c r="AZ118" s="16" t="str">
        <f t="shared" si="63"/>
        <v/>
      </c>
      <c r="BA118" s="6">
        <f t="shared" si="52"/>
        <v>0</v>
      </c>
      <c r="BB118" s="6">
        <f t="shared" si="65"/>
        <v>0</v>
      </c>
    </row>
    <row r="119" spans="1:54">
      <c r="A119" s="62">
        <v>30</v>
      </c>
      <c r="B119" s="30" t="s">
        <v>493</v>
      </c>
      <c r="C119" s="30" t="s">
        <v>780</v>
      </c>
      <c r="D119" s="30" t="s">
        <v>473</v>
      </c>
      <c r="E119" s="30" t="s">
        <v>777</v>
      </c>
      <c r="F119" s="30" t="s">
        <v>650</v>
      </c>
      <c r="G119" s="76">
        <f t="shared" si="79"/>
        <v>35</v>
      </c>
      <c r="H119" s="101">
        <v>150</v>
      </c>
      <c r="I119" s="76" t="s">
        <v>662</v>
      </c>
      <c r="J119" s="89" t="str">
        <f t="shared" si="78"/>
        <v>mainhand</v>
      </c>
      <c r="K119" s="76" t="str">
        <f t="array" ref="K119">"A"&amp;IF(IF(ISBLANK(I119),OR(LEFT(LOWER(F119),1)={"a","e","I","o","u"}),OR(LEFT(LOWER(I119),1)={"a","e","I","o","u"})),"n "," ")&amp;I119&amp;IF(ISBLANK(I119),""," ")&amp;LOWER(F119)&amp;IF(LEFT(J119,1)="-",""," ")&amp;J119</f>
        <v>A magical spectral mainhand</v>
      </c>
      <c r="L119" s="76">
        <v>1</v>
      </c>
      <c r="M119" s="62">
        <v>640</v>
      </c>
      <c r="N119" s="62" t="b">
        <v>1</v>
      </c>
      <c r="O119" s="93" t="b">
        <f t="shared" si="53"/>
        <v>0</v>
      </c>
      <c r="P119" s="76" t="s">
        <v>5</v>
      </c>
      <c r="Q119" s="76" t="s">
        <v>506</v>
      </c>
      <c r="R119" s="100">
        <f t="shared" si="70"/>
        <v>0.9</v>
      </c>
      <c r="S119" s="93">
        <f t="shared" si="54"/>
        <v>0.4</v>
      </c>
      <c r="T119" s="98">
        <f t="shared" si="55"/>
        <v>0.7</v>
      </c>
      <c r="U119" s="95">
        <f t="shared" si="56"/>
        <v>1.5</v>
      </c>
      <c r="V119" s="98">
        <f t="shared" si="57"/>
        <v>454.99999999999994</v>
      </c>
      <c r="W119" s="6">
        <f t="shared" si="58"/>
        <v>7.0000000000000007E-2</v>
      </c>
      <c r="X119" s="6">
        <v>0</v>
      </c>
      <c r="Y119" s="76" t="b">
        <v>1</v>
      </c>
      <c r="Z119" s="76">
        <f t="shared" si="71"/>
        <v>30</v>
      </c>
      <c r="AA119" s="71" t="str">
        <f t="shared" si="45"/>
        <v/>
      </c>
      <c r="AB119" s="76"/>
      <c r="AC119" s="76"/>
      <c r="AD119" s="71" t="str">
        <f t="shared" si="72"/>
        <v/>
      </c>
      <c r="AE119" s="71">
        <f t="shared" si="73"/>
        <v>22</v>
      </c>
      <c r="AG119" s="43">
        <f>IF(N119,INDEX(Damage!$F$2:$F$151,A119)*R119*S119*V119/1000,"")</f>
        <v>24.868479999999998</v>
      </c>
      <c r="AH119" s="94">
        <f t="shared" si="59"/>
        <v>23.127686399999998</v>
      </c>
      <c r="AI119" s="94">
        <f t="shared" si="60"/>
        <v>26.609273599999998</v>
      </c>
      <c r="AJ119" s="90" t="b">
        <v>0</v>
      </c>
      <c r="AK119" s="6" t="b">
        <f t="array" ref="AK119">IF(AJ119,MAX(IF(Armor!$D$2:'Armor'!$D$7=D119,Armor!$E$2:$E$7),0))</f>
        <v>0</v>
      </c>
      <c r="AL119" s="6">
        <f t="shared" si="69"/>
        <v>0.05</v>
      </c>
      <c r="AM119" s="71">
        <f>(AL119+AK119)*INDEX(Armor!$B$2:$B$151,A119)+IF(AJ119,1,0)</f>
        <v>11.200000000000001</v>
      </c>
      <c r="AN119" s="71">
        <f>IF(C119="Caster",IF(ISERR(FIND("orb",LOWER(E119))),IF(ISERR(FIND("wand",LOWER(E119))),IF(NOT($D119="Polearm"),0,INDEX(Regeneration!$M$2:$M$151,A119+2)),INDEX(Regeneration!$L$2:$L$151,A119+2)),INDEX(Regeneration!$K$2:$K$151,A119+2)),0)</f>
        <v>102.07407407407408</v>
      </c>
      <c r="AO119" s="71">
        <f t="shared" si="74"/>
        <v>0</v>
      </c>
      <c r="AP119" s="71">
        <f>IF(AND($N119,$C119="Caster"),IF(AND(NOT($D119="Polearm"),ISERR(FIND("wand",LOWER($E119)))),0,INDEX(Regeneration!F$2:F$151,A119)*0.06),"")</f>
        <v>54.78</v>
      </c>
      <c r="AQ119" s="88">
        <f t="shared" si="61"/>
        <v>0</v>
      </c>
      <c r="AR119" s="88">
        <f t="shared" si="62"/>
        <v>0</v>
      </c>
      <c r="AS119" s="16" t="str">
        <f>IF(D119="Shield",INDEX(Regeneration!$C$2:$C$151,A119+3)*0.5*IF(ISERR(FIND("Rare",B119)),IF(ISERR(FIND("Uncommon",B119)),1,1.5),2.25),"")</f>
        <v/>
      </c>
      <c r="AT119" s="16">
        <f t="shared" si="75"/>
        <v>103.07407407407408</v>
      </c>
      <c r="AU119" s="16" t="str">
        <f t="shared" si="76"/>
        <v/>
      </c>
      <c r="AV119" s="16" t="str">
        <f t="shared" si="77"/>
        <v/>
      </c>
      <c r="AW119" s="16" t="str">
        <f>IF(D119="Ring",INDEX(Regeneration!$B$6:$B$155,A119)*0.06,"")</f>
        <v/>
      </c>
      <c r="AX119" s="76"/>
      <c r="AZ119" s="16" t="str">
        <f t="shared" si="63"/>
        <v/>
      </c>
      <c r="BA119" s="6">
        <f t="shared" si="52"/>
        <v>0</v>
      </c>
      <c r="BB119" s="6">
        <f t="shared" si="65"/>
        <v>0</v>
      </c>
    </row>
    <row r="120" spans="1:54">
      <c r="A120" s="62">
        <v>30</v>
      </c>
      <c r="B120" s="30" t="s">
        <v>492</v>
      </c>
      <c r="C120" s="30" t="s">
        <v>780</v>
      </c>
      <c r="D120" s="30" t="s">
        <v>474</v>
      </c>
      <c r="E120" s="30" t="s">
        <v>768</v>
      </c>
      <c r="F120" s="30" t="s">
        <v>650</v>
      </c>
      <c r="G120" s="76">
        <f t="shared" si="79"/>
        <v>30</v>
      </c>
      <c r="H120" s="101">
        <v>150</v>
      </c>
      <c r="I120" s="76" t="s">
        <v>662</v>
      </c>
      <c r="J120" s="89" t="str">
        <f t="shared" si="78"/>
        <v>offhand item</v>
      </c>
      <c r="K120" s="76" t="str">
        <f t="array" ref="K120">"A"&amp;IF(IF(ISBLANK(I120),OR(LEFT(LOWER(F120),1)={"a","e","I","o","u"}),OR(LEFT(LOWER(I120),1)={"a","e","I","o","u"})),"n "," ")&amp;I120&amp;IF(ISBLANK(I120),""," ")&amp;LOWER(F120)&amp;IF(LEFT(J120,1)="-",""," ")&amp;J120</f>
        <v>A magical spectral offhand item</v>
      </c>
      <c r="L120" s="76">
        <v>1</v>
      </c>
      <c r="M120" s="62">
        <v>320</v>
      </c>
      <c r="N120" s="62" t="b">
        <v>0</v>
      </c>
      <c r="O120" s="93" t="b">
        <f t="shared" si="53"/>
        <v>0</v>
      </c>
      <c r="P120" s="76"/>
      <c r="Q120" s="76"/>
      <c r="R120" s="100" t="str">
        <f t="shared" si="70"/>
        <v/>
      </c>
      <c r="S120" s="93" t="str">
        <f t="shared" si="54"/>
        <v/>
      </c>
      <c r="T120" s="98" t="str">
        <f t="shared" si="55"/>
        <v/>
      </c>
      <c r="U120" s="95" t="str">
        <f t="shared" si="56"/>
        <v/>
      </c>
      <c r="V120" s="98" t="str">
        <f t="shared" si="57"/>
        <v/>
      </c>
      <c r="W120" s="6" t="str">
        <f t="shared" si="58"/>
        <v/>
      </c>
      <c r="X120" s="6">
        <v>0</v>
      </c>
      <c r="Y120" s="76" t="b">
        <v>1</v>
      </c>
      <c r="Z120" s="76">
        <f t="shared" si="71"/>
        <v>30</v>
      </c>
      <c r="AA120" s="71" t="str">
        <f t="shared" si="45"/>
        <v/>
      </c>
      <c r="AB120" s="76"/>
      <c r="AC120" s="76"/>
      <c r="AD120" s="71" t="str">
        <f t="shared" si="72"/>
        <v/>
      </c>
      <c r="AE120" s="71">
        <f t="shared" si="73"/>
        <v>22</v>
      </c>
      <c r="AG120" s="43" t="str">
        <f>IF(N120,INDEX(Damage!$F$2:$F$151,A120)*R120*S120*V120/1000,"")</f>
        <v/>
      </c>
      <c r="AH120" s="94" t="str">
        <f t="shared" si="59"/>
        <v/>
      </c>
      <c r="AI120" s="94" t="str">
        <f t="shared" si="60"/>
        <v/>
      </c>
      <c r="AJ120" s="90" t="b">
        <v>0</v>
      </c>
      <c r="AK120" s="6" t="b">
        <f t="array" ref="AK120">IF(AJ120,MAX(IF(Armor!$D$2:'Armor'!$D$7=D120,Armor!$E$2:$E$7),0))</f>
        <v>0</v>
      </c>
      <c r="AL120" s="6">
        <f t="shared" si="69"/>
        <v>0</v>
      </c>
      <c r="AM120" s="71">
        <f>(AL120+AK120)*INDEX(Armor!$B$2:$B$151,A120)+IF(AJ120,1,0)</f>
        <v>0</v>
      </c>
      <c r="AN120" s="71">
        <f>IF(C120="Caster",IF(ISERR(FIND("orb",LOWER(E120))),IF(ISERR(FIND("wand",LOWER(E120))),IF(NOT($D120="Polearm"),0,INDEX(Regeneration!$M$2:$M$151,A120+2)),INDEX(Regeneration!$L$2:$L$151,A120+2)),INDEX(Regeneration!$K$2:$K$151,A120+2)),0)</f>
        <v>81.659259259259272</v>
      </c>
      <c r="AO120" s="71" t="str">
        <f t="shared" si="74"/>
        <v/>
      </c>
      <c r="AP120" s="71" t="str">
        <f>IF(AND($N120,$C120="Caster"),IF(AND(NOT($D120="Polearm"),ISERR(FIND("wand",LOWER($E120)))),0,INDEX(Regeneration!F$2:F$151,A120)*0.06),"")</f>
        <v/>
      </c>
      <c r="AQ120" s="88">
        <f t="shared" si="61"/>
        <v>0</v>
      </c>
      <c r="AR120" s="88">
        <f t="shared" si="62"/>
        <v>0</v>
      </c>
      <c r="AS120" s="16" t="str">
        <f>IF(D120="Shield",INDEX(Regeneration!$C$2:$C$151,A120+3)*0.5*IF(ISERR(FIND("Rare",B120)),IF(ISERR(FIND("Uncommon",B120)),1,1.5),2.25),"")</f>
        <v/>
      </c>
      <c r="AT120" s="16">
        <f t="shared" si="75"/>
        <v>82.659259259259272</v>
      </c>
      <c r="AU120" s="16" t="str">
        <f t="shared" si="76"/>
        <v/>
      </c>
      <c r="AV120" s="16" t="str">
        <f t="shared" si="77"/>
        <v/>
      </c>
      <c r="AW120" s="16" t="str">
        <f>IF(D120="Ring",INDEX(Regeneration!$B$6:$B$155,A120)*0.06,"")</f>
        <v/>
      </c>
      <c r="AX120" s="76"/>
      <c r="AZ120" s="16" t="str">
        <f t="shared" si="63"/>
        <v/>
      </c>
      <c r="BA120" s="6">
        <f t="shared" si="52"/>
        <v>0</v>
      </c>
      <c r="BB120" s="6">
        <f t="shared" si="65"/>
        <v>0</v>
      </c>
    </row>
    <row r="121" spans="1:54">
      <c r="A121" s="62">
        <v>30</v>
      </c>
      <c r="B121" s="30" t="s">
        <v>495</v>
      </c>
      <c r="C121" s="30" t="s">
        <v>780</v>
      </c>
      <c r="D121" s="30" t="s">
        <v>478</v>
      </c>
      <c r="E121" s="30" t="s">
        <v>442</v>
      </c>
      <c r="F121" s="30" t="s">
        <v>436</v>
      </c>
      <c r="G121" s="76">
        <f t="shared" si="79"/>
        <v>40</v>
      </c>
      <c r="H121" s="101">
        <v>150</v>
      </c>
      <c r="J121" s="76" t="str">
        <f t="shared" si="78"/>
        <v>polearm</v>
      </c>
      <c r="K121" s="76" t="str">
        <f t="array" ref="K121">"A"&amp;IF(IF(ISBLANK(I121),OR(LEFT(LOWER(F121),1)={"a","e","I","o","u"}),OR(LEFT(LOWER(I121),1)={"a","e","I","o","u"})),"n "," ")&amp;I121&amp;IF(ISBLANK(I121),""," ")&amp;LOWER(F121)&amp;IF(LEFT(J121,1)="-",""," ")&amp;J121</f>
        <v>A bone polearm</v>
      </c>
      <c r="L121" s="76">
        <v>1</v>
      </c>
      <c r="M121" s="62">
        <v>1579</v>
      </c>
      <c r="N121" s="62" t="s">
        <v>645</v>
      </c>
      <c r="O121" s="93" t="b">
        <f t="shared" si="53"/>
        <v>0</v>
      </c>
      <c r="P121" s="76" t="s">
        <v>7</v>
      </c>
      <c r="Q121" s="76" t="s">
        <v>505</v>
      </c>
      <c r="R121" s="100">
        <f t="shared" si="70"/>
        <v>1.1499999999999999</v>
      </c>
      <c r="S121" s="93">
        <f t="shared" si="54"/>
        <v>0.4</v>
      </c>
      <c r="T121" s="98">
        <f t="shared" si="55"/>
        <v>1.3</v>
      </c>
      <c r="U121" s="95">
        <f t="shared" si="56"/>
        <v>2.5</v>
      </c>
      <c r="V121" s="98">
        <f t="shared" si="57"/>
        <v>845</v>
      </c>
      <c r="W121" s="6">
        <f t="shared" si="58"/>
        <v>0.3</v>
      </c>
      <c r="X121" s="6">
        <v>0</v>
      </c>
      <c r="Y121" s="76" t="b">
        <v>1</v>
      </c>
      <c r="Z121" s="76">
        <f t="shared" si="71"/>
        <v>30</v>
      </c>
      <c r="AA121" s="71" t="str">
        <f t="shared" si="45"/>
        <v/>
      </c>
      <c r="AB121" s="76"/>
      <c r="AC121" s="76"/>
      <c r="AD121" s="71" t="str">
        <f t="shared" si="72"/>
        <v/>
      </c>
      <c r="AE121" s="71">
        <f t="shared" si="73"/>
        <v>22</v>
      </c>
      <c r="AG121" s="43">
        <f>IF(N121,INDEX(Damage!$F$2:$F$151,A121)*R121*S121*V121/1000,"")</f>
        <v>59.013297777777773</v>
      </c>
      <c r="AH121" s="94">
        <f t="shared" si="59"/>
        <v>41.30930844444444</v>
      </c>
      <c r="AI121" s="94">
        <f t="shared" si="60"/>
        <v>76.717287111111105</v>
      </c>
      <c r="AJ121" s="79" t="s">
        <v>644</v>
      </c>
      <c r="AK121" s="6" t="b">
        <f t="array" ref="AK121">IF(AJ121,MAX(IF(Armor!$D$2:'Armor'!$D$7=D121,Armor!$E$2:$E$7),0))</f>
        <v>0</v>
      </c>
      <c r="AL121" s="6">
        <f t="shared" si="69"/>
        <v>0.1</v>
      </c>
      <c r="AM121" s="71">
        <f>(AL121+AK121)*INDEX(Armor!$B$2:$B$151,A121)+IF(AJ121,1,0)</f>
        <v>22.400000000000002</v>
      </c>
      <c r="AN121" s="71">
        <f>IF(C121="Caster",IF(ISERR(FIND("orb",LOWER(E121))),IF(ISERR(FIND("wand",LOWER(E121))),IF(NOT($D121="Polearm"),0,INDEX(Regeneration!$M$2:$M$151,A121+2)),INDEX(Regeneration!$L$2:$L$151,A121+2)),INDEX(Regeneration!$K$2:$K$151,A121+2)),0)</f>
        <v>204.14814814814815</v>
      </c>
      <c r="AO121" s="71">
        <f t="shared" si="74"/>
        <v>5</v>
      </c>
      <c r="AP121" s="71">
        <f>IF(AND($N121,$C121="Caster"),IF(AND(NOT($D121="Polearm"),ISERR(FIND("wand",LOWER($E121)))),0,INDEX(Regeneration!F$2:F$151,A121)*0.06),"")</f>
        <v>54.78</v>
      </c>
      <c r="AQ121" s="88">
        <f t="shared" si="61"/>
        <v>0</v>
      </c>
      <c r="AR121" s="88">
        <f t="shared" si="62"/>
        <v>0</v>
      </c>
      <c r="AS121" s="16" t="str">
        <f>IF(D121="Shield",INDEX(Regeneration!$C$2:$C$151,A121+3)*0.5*IF(ISERR(FIND("Rare",B121)),IF(ISERR(FIND("Uncommon",B121)),1,1.5),2.25),"")</f>
        <v/>
      </c>
      <c r="AT121" s="16">
        <f t="shared" si="75"/>
        <v>205.14814814814815</v>
      </c>
      <c r="AU121" s="16">
        <f t="shared" si="76"/>
        <v>5</v>
      </c>
      <c r="AV121" s="16" t="str">
        <f t="shared" si="77"/>
        <v/>
      </c>
      <c r="AW121" s="16" t="str">
        <f>IF(D121="Ring",INDEX(Regeneration!$B$6:$B$155,A121)*0.06,"")</f>
        <v/>
      </c>
      <c r="AX121" s="76"/>
      <c r="AZ121" s="16">
        <f t="shared" si="63"/>
        <v>7.5</v>
      </c>
      <c r="BA121" s="6">
        <f t="shared" si="52"/>
        <v>0</v>
      </c>
      <c r="BB121" s="6">
        <f t="shared" si="65"/>
        <v>0</v>
      </c>
    </row>
    <row r="122" spans="1:54">
      <c r="A122" s="62">
        <v>30</v>
      </c>
      <c r="B122" s="30" t="s">
        <v>493</v>
      </c>
      <c r="C122" s="30" t="s">
        <v>496</v>
      </c>
      <c r="D122" s="30" t="s">
        <v>478</v>
      </c>
      <c r="E122" s="30" t="s">
        <v>612</v>
      </c>
      <c r="F122" s="30" t="s">
        <v>650</v>
      </c>
      <c r="G122" s="76">
        <f t="shared" si="79"/>
        <v>35</v>
      </c>
      <c r="H122" s="101">
        <v>150</v>
      </c>
      <c r="J122" s="89" t="str">
        <f t="shared" si="78"/>
        <v>polearm</v>
      </c>
      <c r="K122" s="76" t="str">
        <f t="array" ref="K122">"A"&amp;IF(IF(ISBLANK(I122),OR(LEFT(LOWER(F122),1)={"a","e","I","o","u"}),OR(LEFT(LOWER(I122),1)={"a","e","I","o","u"})),"n "," ")&amp;I122&amp;IF(ISBLANK(I122),""," ")&amp;LOWER(F122)&amp;IF(LEFT(J122,1)="-",""," ")&amp;J122</f>
        <v>A spectral polearm</v>
      </c>
      <c r="L122" s="76">
        <v>1</v>
      </c>
      <c r="M122" s="62">
        <v>279</v>
      </c>
      <c r="N122" s="62" t="s">
        <v>645</v>
      </c>
      <c r="O122" s="93" t="b">
        <f t="shared" si="53"/>
        <v>0</v>
      </c>
      <c r="P122" s="76" t="s">
        <v>7</v>
      </c>
      <c r="Q122" s="76" t="s">
        <v>505</v>
      </c>
      <c r="R122" s="100">
        <f t="shared" si="70"/>
        <v>1.1499999999999999</v>
      </c>
      <c r="S122" s="93">
        <f t="shared" si="54"/>
        <v>1</v>
      </c>
      <c r="T122" s="98">
        <f t="shared" si="55"/>
        <v>1.3</v>
      </c>
      <c r="U122" s="95">
        <f t="shared" si="56"/>
        <v>2.5</v>
      </c>
      <c r="V122" s="98">
        <f t="shared" si="57"/>
        <v>845</v>
      </c>
      <c r="W122" s="6">
        <f t="shared" si="58"/>
        <v>0.3</v>
      </c>
      <c r="X122" s="6">
        <v>0</v>
      </c>
      <c r="Y122" s="76" t="b">
        <v>1</v>
      </c>
      <c r="Z122" s="76">
        <f t="shared" si="71"/>
        <v>30</v>
      </c>
      <c r="AA122" s="71" t="str">
        <f t="shared" si="45"/>
        <v/>
      </c>
      <c r="AB122" s="76"/>
      <c r="AC122" s="76"/>
      <c r="AD122" s="71" t="str">
        <f t="shared" si="72"/>
        <v/>
      </c>
      <c r="AE122" s="71" t="str">
        <f t="shared" si="73"/>
        <v/>
      </c>
      <c r="AG122" s="43">
        <f>IF(N122,INDEX(Damage!$F$2:$F$151,A122)*R122*S122*V122/1000,"")</f>
        <v>147.53324444444442</v>
      </c>
      <c r="AH122" s="94">
        <f t="shared" si="59"/>
        <v>103.27327111111109</v>
      </c>
      <c r="AI122" s="94">
        <f t="shared" si="60"/>
        <v>191.79321777777776</v>
      </c>
      <c r="AJ122" s="79" t="s">
        <v>644</v>
      </c>
      <c r="AK122" s="6" t="b">
        <f t="array" ref="AK122">IF(AJ122,MAX(IF(Armor!$D$2:'Armor'!$D$7=D122,Armor!$E$2:$E$7),0))</f>
        <v>0</v>
      </c>
      <c r="AL122" s="6">
        <f t="shared" si="69"/>
        <v>0.05</v>
      </c>
      <c r="AM122" s="71">
        <f>(AL122+AK122)*INDEX(Armor!$B$2:$B$151,A122)+IF(AJ122,1,0)</f>
        <v>11.200000000000001</v>
      </c>
      <c r="AN122" s="71">
        <f>IF(C122="Caster",IF(ISERR(FIND("orb",LOWER(E122))),IF(ISERR(FIND("wand",LOWER(E122))),IF(NOT($D122="Polearm"),0,INDEX(Regeneration!$M$2:$M$151,A122+2)),INDEX(Regeneration!$L$2:$L$151,A122+2)),INDEX(Regeneration!$K$2:$K$151,A122+2)),0)</f>
        <v>0</v>
      </c>
      <c r="AO122" s="71" t="str">
        <f t="shared" si="74"/>
        <v/>
      </c>
      <c r="AP122" s="71" t="str">
        <f>IF(AND($N122,$C122="Caster"),IF(AND(NOT($D122="Polearm"),ISERR(FIND("wand",LOWER($E122)))),0,INDEX(Regeneration!F$2:F$151,A122)*0.06),"")</f>
        <v/>
      </c>
      <c r="AQ122" s="88">
        <f t="shared" si="61"/>
        <v>0.15</v>
      </c>
      <c r="AR122" s="88">
        <f t="shared" si="62"/>
        <v>0.15</v>
      </c>
      <c r="AS122" s="16" t="str">
        <f>IF(D122="Shield",INDEX(Regeneration!$C$2:$C$151,A122+3)*0.5*IF(ISERR(FIND("Rare",B122)),IF(ISERR(FIND("Uncommon",B122)),1,1.5),2.25),"")</f>
        <v/>
      </c>
      <c r="AT122" s="16" t="str">
        <f t="shared" si="75"/>
        <v/>
      </c>
      <c r="AU122" s="16" t="str">
        <f t="shared" si="76"/>
        <v/>
      </c>
      <c r="AV122" s="16" t="str">
        <f t="shared" si="77"/>
        <v/>
      </c>
      <c r="AW122" s="16" t="str">
        <f>IF(D122="Ring",INDEX(Regeneration!$B$6:$B$155,A122)*0.06,"")</f>
        <v/>
      </c>
      <c r="AX122" s="76"/>
      <c r="AZ122" s="16" t="str">
        <f t="shared" si="63"/>
        <v/>
      </c>
      <c r="BA122" s="6">
        <f t="shared" si="52"/>
        <v>0.22499999999999998</v>
      </c>
      <c r="BB122" s="6">
        <f t="shared" si="65"/>
        <v>0.22499999999999998</v>
      </c>
    </row>
    <row r="123" spans="1:54">
      <c r="A123" s="62">
        <v>30</v>
      </c>
      <c r="B123" s="30" t="s">
        <v>493</v>
      </c>
      <c r="C123" s="30" t="s">
        <v>496</v>
      </c>
      <c r="D123" s="30" t="s">
        <v>485</v>
      </c>
      <c r="E123" s="30" t="s">
        <v>615</v>
      </c>
      <c r="F123" s="30" t="s">
        <v>650</v>
      </c>
      <c r="G123" s="76">
        <f t="shared" si="79"/>
        <v>35</v>
      </c>
      <c r="H123" s="101">
        <v>150</v>
      </c>
      <c r="J123" s="76" t="str">
        <f t="shared" si="78"/>
        <v>ring</v>
      </c>
      <c r="K123" s="76" t="str">
        <f t="array" ref="K123">"A"&amp;IF(IF(ISBLANK(I123),OR(LEFT(LOWER(F123),1)={"a","e","I","o","u"}),OR(LEFT(LOWER(I123),1)={"a","e","I","o","u"})),"n "," ")&amp;I123&amp;IF(ISBLANK(I123),""," ")&amp;LOWER(F123)&amp;IF(LEFT(J123,1)="-",""," ")&amp;J123</f>
        <v>A spectral ring</v>
      </c>
      <c r="L123" s="76">
        <v>1</v>
      </c>
      <c r="M123" s="62">
        <v>759</v>
      </c>
      <c r="N123" s="62" t="s">
        <v>644</v>
      </c>
      <c r="O123" s="93" t="b">
        <f t="shared" si="53"/>
        <v>0</v>
      </c>
      <c r="P123" s="76" t="s">
        <v>490</v>
      </c>
      <c r="Q123" s="76" t="s">
        <v>490</v>
      </c>
      <c r="R123" s="100" t="str">
        <f t="shared" si="70"/>
        <v/>
      </c>
      <c r="S123" s="93" t="str">
        <f t="shared" si="54"/>
        <v/>
      </c>
      <c r="T123" s="98" t="str">
        <f t="shared" si="55"/>
        <v/>
      </c>
      <c r="U123" s="95" t="str">
        <f t="shared" si="56"/>
        <v/>
      </c>
      <c r="V123" s="98" t="str">
        <f t="shared" si="57"/>
        <v/>
      </c>
      <c r="W123" s="6" t="str">
        <f t="shared" si="58"/>
        <v/>
      </c>
      <c r="X123" s="6">
        <v>0</v>
      </c>
      <c r="Y123" s="76" t="b">
        <v>1</v>
      </c>
      <c r="Z123" s="76">
        <f t="shared" si="71"/>
        <v>30</v>
      </c>
      <c r="AA123" s="71" t="str">
        <f t="shared" si="45"/>
        <v/>
      </c>
      <c r="AB123" s="76"/>
      <c r="AC123" s="76"/>
      <c r="AD123" s="71" t="str">
        <f t="shared" si="72"/>
        <v/>
      </c>
      <c r="AE123" s="71" t="str">
        <f t="shared" si="73"/>
        <v/>
      </c>
      <c r="AG123" s="43" t="str">
        <f>IF(N123,INDEX(Damage!$F$2:$F$151,A123)*R123*S123*V123/1000,"")</f>
        <v/>
      </c>
      <c r="AH123" s="94" t="str">
        <f t="shared" si="59"/>
        <v/>
      </c>
      <c r="AI123" s="94" t="str">
        <f t="shared" si="60"/>
        <v/>
      </c>
      <c r="AJ123" s="79" t="s">
        <v>644</v>
      </c>
      <c r="AK123" s="6" t="b">
        <f t="array" ref="AK123">IF(AJ123,MAX(IF(Armor!$D$2:'Armor'!$D$7=D123,Armor!$E$2:$E$7),0))</f>
        <v>0</v>
      </c>
      <c r="AL123" s="6">
        <f t="shared" si="69"/>
        <v>0.05</v>
      </c>
      <c r="AM123" s="71">
        <f>(AL123+AK123)*INDEX(Armor!$B$2:$B$151,A123)+IF(AJ123,1,0)</f>
        <v>11.200000000000001</v>
      </c>
      <c r="AN123" s="71">
        <f>IF(C123="Caster",IF(ISERR(FIND("orb",LOWER(E123))),IF(ISERR(FIND("wand",LOWER(E123))),IF(NOT($D123="Polearm"),0,INDEX(Regeneration!$M$2:$M$151,A123+2)),INDEX(Regeneration!$L$2:$L$151,A123+2)),INDEX(Regeneration!$K$2:$K$151,A123+2)),0)</f>
        <v>0</v>
      </c>
      <c r="AO123" s="71" t="str">
        <f t="shared" si="74"/>
        <v/>
      </c>
      <c r="AP123" s="71" t="str">
        <f>IF(AND($N123,$C123="Caster"),IF(AND(NOT($D123="Polearm"),ISERR(FIND("wand",LOWER($E123)))),0,INDEX(Regeneration!F$2:F$151,A123)*0.06),"")</f>
        <v/>
      </c>
      <c r="AQ123" s="88">
        <f t="shared" si="61"/>
        <v>0</v>
      </c>
      <c r="AR123" s="88">
        <f t="shared" si="62"/>
        <v>0</v>
      </c>
      <c r="AS123" s="16" t="str">
        <f>IF(D123="Shield",INDEX(Regeneration!$C$2:$C$151,A123+3)*0.5*IF(ISERR(FIND("Rare",B123)),IF(ISERR(FIND("Uncommon",B123)),1,1.5),2.25),"")</f>
        <v/>
      </c>
      <c r="AT123" s="16" t="str">
        <f t="shared" si="75"/>
        <v/>
      </c>
      <c r="AU123" s="16" t="str">
        <f t="shared" si="76"/>
        <v/>
      </c>
      <c r="AV123" s="16">
        <f t="shared" si="77"/>
        <v>5</v>
      </c>
      <c r="AW123" s="16">
        <f>IF(D123="Ring",INDEX(Regeneration!$B$6:$B$155,A123)*0.06,"")</f>
        <v>66.166666666666671</v>
      </c>
      <c r="AX123" s="76"/>
      <c r="AZ123" s="16" t="str">
        <f t="shared" si="63"/>
        <v/>
      </c>
      <c r="BA123" s="6">
        <f t="shared" si="52"/>
        <v>0</v>
      </c>
      <c r="BB123" s="6">
        <f t="shared" si="65"/>
        <v>0</v>
      </c>
    </row>
    <row r="124" spans="1:54">
      <c r="A124" s="76">
        <v>30</v>
      </c>
      <c r="B124" s="30" t="s">
        <v>493</v>
      </c>
      <c r="C124" s="30" t="s">
        <v>496</v>
      </c>
      <c r="D124" s="30" t="s">
        <v>475</v>
      </c>
      <c r="E124" s="30" t="s">
        <v>447</v>
      </c>
      <c r="F124" s="30" t="s">
        <v>436</v>
      </c>
      <c r="G124" s="76">
        <f t="shared" si="79"/>
        <v>35</v>
      </c>
      <c r="H124" s="101">
        <v>150</v>
      </c>
      <c r="J124" s="76" t="str">
        <f t="shared" si="78"/>
        <v>shield</v>
      </c>
      <c r="K124" s="76" t="str">
        <f t="array" ref="K124">"A"&amp;IF(IF(ISBLANK(I124),OR(LEFT(LOWER(F124),1)={"a","e","I","o","u"}),OR(LEFT(LOWER(I124),1)={"a","e","I","o","u"})),"n "," ")&amp;I124&amp;IF(ISBLANK(I124),""," ")&amp;LOWER(F124)&amp;IF(LEFT(J124,1)="-",""," ")&amp;J124</f>
        <v>A bone shield</v>
      </c>
      <c r="L124" s="76">
        <v>1</v>
      </c>
      <c r="M124" s="62">
        <v>279</v>
      </c>
      <c r="N124" s="62" t="s">
        <v>644</v>
      </c>
      <c r="O124" s="93" t="b">
        <f t="shared" si="53"/>
        <v>0</v>
      </c>
      <c r="P124" s="76" t="s">
        <v>490</v>
      </c>
      <c r="Q124" s="76" t="s">
        <v>490</v>
      </c>
      <c r="R124" s="100" t="str">
        <f t="shared" si="70"/>
        <v/>
      </c>
      <c r="S124" s="93" t="str">
        <f t="shared" si="54"/>
        <v/>
      </c>
      <c r="T124" s="98" t="str">
        <f t="shared" si="55"/>
        <v/>
      </c>
      <c r="U124" s="95" t="str">
        <f t="shared" si="56"/>
        <v/>
      </c>
      <c r="V124" s="98" t="str">
        <f t="shared" si="57"/>
        <v/>
      </c>
      <c r="W124" s="6" t="str">
        <f t="shared" si="58"/>
        <v/>
      </c>
      <c r="X124" s="6">
        <v>0</v>
      </c>
      <c r="Y124" s="76" t="b">
        <v>1</v>
      </c>
      <c r="Z124" s="76">
        <f t="shared" si="71"/>
        <v>30</v>
      </c>
      <c r="AA124" s="71" t="str">
        <f t="shared" si="45"/>
        <v/>
      </c>
      <c r="AB124" s="76"/>
      <c r="AC124" s="76"/>
      <c r="AD124" s="71" t="str">
        <f t="shared" si="72"/>
        <v/>
      </c>
      <c r="AE124" s="71" t="str">
        <f t="shared" si="73"/>
        <v/>
      </c>
      <c r="AG124" s="43" t="str">
        <f>IF(N124,INDEX(Damage!$F$2:$F$151,A124)*R124*S124*V124/1000,"")</f>
        <v/>
      </c>
      <c r="AH124" s="94" t="str">
        <f t="shared" si="59"/>
        <v/>
      </c>
      <c r="AI124" s="94" t="str">
        <f t="shared" si="60"/>
        <v/>
      </c>
      <c r="AJ124" s="79" t="s">
        <v>645</v>
      </c>
      <c r="AK124" s="6">
        <f t="array" ref="AK124">IF(AJ124,MAX(IF(Armor!$D$2:'Armor'!$D$7=D124,Armor!$E$2:$E$7),0))</f>
        <v>0.25</v>
      </c>
      <c r="AL124" s="6">
        <f t="shared" si="69"/>
        <v>0.05</v>
      </c>
      <c r="AM124" s="71">
        <f>(AL124+AK124)*INDEX(Armor!$B$2:$B$151,A124)+IF(AJ124,1,0)</f>
        <v>68.2</v>
      </c>
      <c r="AN124" s="71">
        <f>IF(C124="Caster",IF(ISERR(FIND("orb",LOWER(E124))),IF(ISERR(FIND("wand",LOWER(E124))),IF(NOT($D124="Polearm"),0,INDEX(Regeneration!$M$2:$M$151,A124+2)),INDEX(Regeneration!$L$2:$L$151,A124+2)),INDEX(Regeneration!$K$2:$K$151,A124+2)),0)</f>
        <v>0</v>
      </c>
      <c r="AO124" s="71" t="str">
        <f t="shared" si="74"/>
        <v/>
      </c>
      <c r="AP124" s="71" t="str">
        <f>IF(AND($N124,$C124="Caster"),IF(AND(NOT($D124="Polearm"),ISERR(FIND("wand",LOWER($E124)))),0,INDEX(Regeneration!F$2:F$151,A124)*0.06),"")</f>
        <v/>
      </c>
      <c r="AQ124" s="88">
        <f t="shared" si="61"/>
        <v>0</v>
      </c>
      <c r="AR124" s="88">
        <f t="shared" si="62"/>
        <v>0</v>
      </c>
      <c r="AS124" s="16">
        <f>IF(D124="Shield",INDEX(Regeneration!$C$2:$C$151,A124+3)*0.5*IF(ISERR(FIND("Rare",B124)),IF(ISERR(FIND("Uncommon",B124)),1,1.5),2.25),"")</f>
        <v>171.69444444444443</v>
      </c>
      <c r="AT124" s="16" t="str">
        <f t="shared" si="75"/>
        <v/>
      </c>
      <c r="AU124" s="16" t="str">
        <f t="shared" si="76"/>
        <v/>
      </c>
      <c r="AV124" s="16" t="str">
        <f t="shared" si="77"/>
        <v/>
      </c>
      <c r="AW124" s="16" t="str">
        <f>IF(D124="Ring",INDEX(Regeneration!$B$6:$B$155,A124)*0.06,"")</f>
        <v/>
      </c>
      <c r="AX124" s="76"/>
      <c r="AZ124" s="16" t="str">
        <f t="shared" si="63"/>
        <v/>
      </c>
      <c r="BA124" s="6">
        <f t="shared" si="52"/>
        <v>0</v>
      </c>
      <c r="BB124" s="6">
        <f t="shared" si="65"/>
        <v>0</v>
      </c>
    </row>
    <row r="125" spans="1:54">
      <c r="A125" s="76">
        <v>30</v>
      </c>
      <c r="B125" s="30" t="s">
        <v>492</v>
      </c>
      <c r="C125" s="30" t="s">
        <v>496</v>
      </c>
      <c r="D125" s="30" t="s">
        <v>475</v>
      </c>
      <c r="E125" s="30" t="s">
        <v>609</v>
      </c>
      <c r="F125" s="30" t="s">
        <v>650</v>
      </c>
      <c r="G125" s="76">
        <f t="shared" si="79"/>
        <v>30</v>
      </c>
      <c r="H125" s="101">
        <v>150</v>
      </c>
      <c r="J125" s="76" t="str">
        <f t="shared" si="78"/>
        <v>shield</v>
      </c>
      <c r="K125" s="76" t="str">
        <f t="array" ref="K125">"A"&amp;IF(IF(ISBLANK(I125),OR(LEFT(LOWER(F125),1)={"a","e","I","o","u"}),OR(LEFT(LOWER(I125),1)={"a","e","I","o","u"})),"n "," ")&amp;I125&amp;IF(ISBLANK(I125),""," ")&amp;LOWER(F125)&amp;IF(LEFT(J125,1)="-",""," ")&amp;J125</f>
        <v>A spectral shield</v>
      </c>
      <c r="L125" s="76">
        <v>1</v>
      </c>
      <c r="M125" s="62">
        <v>279</v>
      </c>
      <c r="N125" s="62" t="s">
        <v>644</v>
      </c>
      <c r="O125" s="93" t="b">
        <f t="shared" si="53"/>
        <v>0</v>
      </c>
      <c r="P125" s="76" t="s">
        <v>490</v>
      </c>
      <c r="Q125" s="76" t="s">
        <v>490</v>
      </c>
      <c r="R125" s="100" t="str">
        <f t="shared" si="70"/>
        <v/>
      </c>
      <c r="S125" s="93" t="str">
        <f t="shared" si="54"/>
        <v/>
      </c>
      <c r="T125" s="98" t="str">
        <f t="shared" si="55"/>
        <v/>
      </c>
      <c r="U125" s="95" t="str">
        <f t="shared" si="56"/>
        <v/>
      </c>
      <c r="V125" s="98" t="str">
        <f t="shared" si="57"/>
        <v/>
      </c>
      <c r="W125" s="6" t="str">
        <f t="shared" si="58"/>
        <v/>
      </c>
      <c r="X125" s="6">
        <v>0</v>
      </c>
      <c r="Y125" s="76" t="b">
        <v>1</v>
      </c>
      <c r="Z125" s="76">
        <f t="shared" si="71"/>
        <v>30</v>
      </c>
      <c r="AA125" s="71" t="str">
        <f t="shared" si="45"/>
        <v/>
      </c>
      <c r="AB125" s="76"/>
      <c r="AC125" s="76"/>
      <c r="AD125" s="71" t="str">
        <f t="shared" si="72"/>
        <v/>
      </c>
      <c r="AE125" s="71" t="str">
        <f t="shared" si="73"/>
        <v/>
      </c>
      <c r="AG125" s="43" t="str">
        <f>IF(N125,INDEX(Damage!$F$2:$F$151,A125)*R125*S125*V125/1000,"")</f>
        <v/>
      </c>
      <c r="AH125" s="94" t="str">
        <f t="shared" si="59"/>
        <v/>
      </c>
      <c r="AI125" s="94" t="str">
        <f t="shared" si="60"/>
        <v/>
      </c>
      <c r="AJ125" s="79" t="s">
        <v>645</v>
      </c>
      <c r="AK125" s="6">
        <f t="array" ref="AK125">IF(AJ125,MAX(IF(Armor!$D$2:'Armor'!$D$7=D125,Armor!$E$2:$E$7),0))</f>
        <v>0.25</v>
      </c>
      <c r="AL125" s="6">
        <f t="shared" si="69"/>
        <v>0</v>
      </c>
      <c r="AM125" s="71">
        <f>(AL125+AK125)*INDEX(Armor!$B$2:$B$151,A125)+IF(AJ125,1,0)</f>
        <v>57</v>
      </c>
      <c r="AN125" s="71">
        <f>IF(C125="Caster",IF(ISERR(FIND("orb",LOWER(E125))),IF(ISERR(FIND("wand",LOWER(E125))),IF(NOT($D125="Polearm"),0,INDEX(Regeneration!$M$2:$M$151,A125+2)),INDEX(Regeneration!$L$2:$L$151,A125+2)),INDEX(Regeneration!$K$2:$K$151,A125+2)),0)</f>
        <v>0</v>
      </c>
      <c r="AO125" s="71" t="str">
        <f t="shared" si="74"/>
        <v/>
      </c>
      <c r="AP125" s="71" t="str">
        <f>IF(AND($N125,$C125="Caster"),IF(AND(NOT($D125="Polearm"),ISERR(FIND("wand",LOWER($E125)))),0,INDEX(Regeneration!F$2:F$151,A125)*0.06),"")</f>
        <v/>
      </c>
      <c r="AQ125" s="88">
        <f t="shared" si="61"/>
        <v>0</v>
      </c>
      <c r="AR125" s="88">
        <f t="shared" si="62"/>
        <v>0</v>
      </c>
      <c r="AS125" s="16">
        <f>IF(D125="Shield",INDEX(Regeneration!$C$2:$C$151,A125+3)*0.5*IF(ISERR(FIND("Rare",B125)),IF(ISERR(FIND("Uncommon",B125)),1,1.5),2.25),"")</f>
        <v>114.46296296296295</v>
      </c>
      <c r="AT125" s="16" t="str">
        <f t="shared" si="75"/>
        <v/>
      </c>
      <c r="AU125" s="16" t="str">
        <f t="shared" si="76"/>
        <v/>
      </c>
      <c r="AV125" s="16" t="str">
        <f t="shared" si="77"/>
        <v/>
      </c>
      <c r="AW125" s="16" t="str">
        <f>IF(D125="Ring",INDEX(Regeneration!$B$6:$B$155,A125)*0.06,"")</f>
        <v/>
      </c>
      <c r="AX125" s="76"/>
      <c r="AZ125" s="16" t="str">
        <f t="shared" si="63"/>
        <v/>
      </c>
      <c r="BA125" s="6">
        <f t="shared" si="52"/>
        <v>0</v>
      </c>
      <c r="BB125" s="6">
        <f t="shared" si="65"/>
        <v>0</v>
      </c>
    </row>
    <row r="126" spans="1:54">
      <c r="A126" s="76">
        <v>30</v>
      </c>
      <c r="B126" s="30" t="s">
        <v>492</v>
      </c>
      <c r="C126" s="30" t="s">
        <v>10</v>
      </c>
      <c r="D126" s="30" t="s">
        <v>476</v>
      </c>
      <c r="E126" s="30" t="s">
        <v>613</v>
      </c>
      <c r="F126" s="30" t="s">
        <v>650</v>
      </c>
      <c r="G126" s="76">
        <f t="shared" si="79"/>
        <v>30</v>
      </c>
      <c r="H126" s="101">
        <v>150</v>
      </c>
      <c r="J126" s="76" t="s">
        <v>668</v>
      </c>
      <c r="K126" s="76" t="str">
        <f t="array" ref="K126">"A"&amp;IF(IF(ISBLANK(I126),OR(LEFT(LOWER(F126),1)={"a","e","I","o","u"}),OR(LEFT(LOWER(I126),1)={"a","e","I","o","u"})),"n "," ")&amp;I126&amp;IF(ISBLANK(I126),""," ")&amp;LOWER(F126)&amp;IF(LEFT(J126,1)="-",""," ")&amp;J126</f>
        <v>A spectral throwing weapon</v>
      </c>
      <c r="L126" s="76">
        <v>1</v>
      </c>
      <c r="M126" s="62">
        <v>39</v>
      </c>
      <c r="N126" s="62" t="s">
        <v>645</v>
      </c>
      <c r="O126" s="93" t="b">
        <f t="shared" si="53"/>
        <v>1</v>
      </c>
      <c r="P126" s="76" t="s">
        <v>504</v>
      </c>
      <c r="Q126" s="76" t="s">
        <v>506</v>
      </c>
      <c r="R126" s="100">
        <f t="shared" si="70"/>
        <v>0.81</v>
      </c>
      <c r="S126" s="93">
        <f t="shared" si="54"/>
        <v>1</v>
      </c>
      <c r="T126" s="98">
        <f t="shared" si="55"/>
        <v>0.7</v>
      </c>
      <c r="U126" s="95">
        <f t="shared" si="56"/>
        <v>8</v>
      </c>
      <c r="V126" s="98">
        <f t="shared" si="57"/>
        <v>454.99999999999994</v>
      </c>
      <c r="W126" s="6">
        <f t="shared" si="58"/>
        <v>0.15</v>
      </c>
      <c r="X126" s="6">
        <v>0</v>
      </c>
      <c r="Y126" s="76" t="b">
        <v>1</v>
      </c>
      <c r="Z126" s="76">
        <f t="shared" si="71"/>
        <v>30</v>
      </c>
      <c r="AA126" s="71">
        <f t="shared" si="45"/>
        <v>22</v>
      </c>
      <c r="AB126" s="76"/>
      <c r="AC126" s="76"/>
      <c r="AD126" s="71" t="str">
        <f t="shared" si="72"/>
        <v/>
      </c>
      <c r="AE126" s="71" t="str">
        <f t="shared" si="73"/>
        <v/>
      </c>
      <c r="AG126" s="43">
        <f>IF(N126,INDEX(Damage!$F$2:$F$151,A126)*R126*S126*V126/1000,"")</f>
        <v>55.954080000000005</v>
      </c>
      <c r="AH126" s="94">
        <f t="shared" si="59"/>
        <v>47.560968000000003</v>
      </c>
      <c r="AI126" s="94">
        <f t="shared" si="60"/>
        <v>64.347192000000007</v>
      </c>
      <c r="AJ126" s="79" t="s">
        <v>644</v>
      </c>
      <c r="AK126" s="6" t="b">
        <f t="array" ref="AK126">IF(AJ126,MAX(IF(Armor!$D$2:'Armor'!$D$7=D126,Armor!$E$2:$E$7),0))</f>
        <v>0</v>
      </c>
      <c r="AL126" s="6">
        <f t="shared" si="69"/>
        <v>0</v>
      </c>
      <c r="AM126" s="71">
        <f>(AL126+AK126)*INDEX(Armor!$B$2:$B$151,A126)+IF(AJ126,1,0)</f>
        <v>0</v>
      </c>
      <c r="AN126" s="71">
        <f>IF(C126="Caster",IF(ISERR(FIND("orb",LOWER(E126))),IF(ISERR(FIND("wand",LOWER(E126))),IF(NOT($D126="Polearm"),0,INDEX(Regeneration!$M$2:$M$151,A126+2)),INDEX(Regeneration!$L$2:$L$151,A126+2)),INDEX(Regeneration!$K$2:$K$151,A126+2)),0)</f>
        <v>0</v>
      </c>
      <c r="AO126" s="71" t="str">
        <f t="shared" si="74"/>
        <v/>
      </c>
      <c r="AP126" s="71" t="str">
        <f>IF(AND($N126,$C126="Caster"),IF(AND(NOT($D126="Polearm"),ISERR(FIND("wand",LOWER($E126)))),0,INDEX(Regeneration!F$2:F$151,A126)*0.06),"")</f>
        <v/>
      </c>
      <c r="AQ126" s="88">
        <f t="shared" si="61"/>
        <v>0.05</v>
      </c>
      <c r="AR126" s="88">
        <f t="shared" si="62"/>
        <v>0.05</v>
      </c>
      <c r="AS126" s="16" t="str">
        <f>IF(D126="Shield",INDEX(Regeneration!$C$2:$C$151,A126+3)*0.5*IF(ISERR(FIND("Rare",B126)),IF(ISERR(FIND("Uncommon",B126)),1,1.5),2.25),"")</f>
        <v/>
      </c>
      <c r="AT126" s="16" t="str">
        <f t="shared" si="75"/>
        <v/>
      </c>
      <c r="AU126" s="16" t="str">
        <f t="shared" si="76"/>
        <v/>
      </c>
      <c r="AV126" s="16" t="str">
        <f t="shared" si="77"/>
        <v/>
      </c>
      <c r="AW126" s="16" t="str">
        <f>IF(D126="Ring",INDEX(Regeneration!$B$6:$B$155,A126)*0.06,"")</f>
        <v/>
      </c>
      <c r="AX126" s="76"/>
      <c r="AZ126" s="16" t="str">
        <f t="shared" si="63"/>
        <v/>
      </c>
      <c r="BA126" s="6">
        <f t="shared" si="52"/>
        <v>0.05</v>
      </c>
      <c r="BB126" s="6">
        <f t="shared" si="65"/>
        <v>0.05</v>
      </c>
    </row>
    <row r="127" spans="1:54">
      <c r="A127" s="76">
        <v>35</v>
      </c>
      <c r="B127" s="30" t="s">
        <v>492</v>
      </c>
      <c r="C127" s="30" t="s">
        <v>10</v>
      </c>
      <c r="D127" s="30" t="s">
        <v>472</v>
      </c>
      <c r="E127" s="30" t="s">
        <v>623</v>
      </c>
      <c r="F127" s="30" t="s">
        <v>651</v>
      </c>
      <c r="G127" s="76">
        <f t="shared" si="79"/>
        <v>35</v>
      </c>
      <c r="H127" s="101">
        <v>150</v>
      </c>
      <c r="J127" s="76" t="str">
        <f>LOWER(D127)</f>
        <v>1-handed weapon</v>
      </c>
      <c r="K127" s="76" t="str">
        <f t="array" ref="K127">"A"&amp;IF(IF(ISBLANK(I127),OR(LEFT(LOWER(F127),1)={"a","e","I","o","u"}),OR(LEFT(LOWER(I127),1)={"a","e","I","o","u"})),"n "," ")&amp;I127&amp;IF(ISBLANK(I127),""," ")&amp;LOWER(F127)&amp;IF(LEFT(J127,1)="-",""," ")&amp;J127</f>
        <v>An acid 1-handed weapon</v>
      </c>
      <c r="L127" s="76">
        <v>1</v>
      </c>
      <c r="M127" s="62">
        <v>44</v>
      </c>
      <c r="N127" s="62" t="s">
        <v>645</v>
      </c>
      <c r="O127" s="93" t="b">
        <f t="shared" si="53"/>
        <v>0</v>
      </c>
      <c r="P127" s="76" t="s">
        <v>504</v>
      </c>
      <c r="Q127" s="76" t="s">
        <v>506</v>
      </c>
      <c r="R127" s="100">
        <f t="shared" si="70"/>
        <v>0.9</v>
      </c>
      <c r="S127" s="93">
        <f t="shared" si="54"/>
        <v>1</v>
      </c>
      <c r="T127" s="98">
        <f t="shared" si="55"/>
        <v>0.7</v>
      </c>
      <c r="U127" s="95">
        <f t="shared" si="56"/>
        <v>2</v>
      </c>
      <c r="V127" s="98">
        <f t="shared" si="57"/>
        <v>454.99999999999994</v>
      </c>
      <c r="W127" s="6">
        <f t="shared" si="58"/>
        <v>0.15</v>
      </c>
      <c r="X127" s="6">
        <v>0</v>
      </c>
      <c r="Y127" s="76" t="b">
        <v>1</v>
      </c>
      <c r="Z127" s="76">
        <f t="shared" si="71"/>
        <v>35</v>
      </c>
      <c r="AA127" s="71">
        <f t="shared" si="45"/>
        <v>22</v>
      </c>
      <c r="AB127" s="76"/>
      <c r="AC127" s="76"/>
      <c r="AD127" s="71" t="str">
        <f t="shared" si="72"/>
        <v/>
      </c>
      <c r="AE127" s="71" t="str">
        <f t="shared" si="73"/>
        <v/>
      </c>
      <c r="AG127" s="43">
        <f>IF(N127,INDEX(Damage!$F$2:$F$151,A127)*R127*S127*V127/1000,"")</f>
        <v>72.992705882352922</v>
      </c>
      <c r="AH127" s="94">
        <f t="shared" si="59"/>
        <v>62.043799999999983</v>
      </c>
      <c r="AI127" s="94">
        <f t="shared" si="60"/>
        <v>83.941611764705854</v>
      </c>
      <c r="AJ127" s="79" t="b">
        <v>0</v>
      </c>
      <c r="AK127" s="6" t="b">
        <f t="array" ref="AK127">IF(AJ127,MAX(IF(Armor!$D$2:'Armor'!$D$7=D127,Armor!$E$2:$E$7),0))</f>
        <v>0</v>
      </c>
      <c r="AL127" s="6">
        <f t="shared" si="69"/>
        <v>0</v>
      </c>
      <c r="AM127" s="71">
        <f>(AL127+AK127)*INDEX(Armor!$B$2:$B$151,A127)+IF(AJ127,1,0)</f>
        <v>0</v>
      </c>
      <c r="AN127" s="71">
        <f>IF(C127="Caster",IF(ISERR(FIND("orb",LOWER(E127))),IF(ISERR(FIND("wand",LOWER(E127))),IF(NOT($D127="Polearm"),0,INDEX(Regeneration!$M$2:$M$151,A127+2)),INDEX(Regeneration!$L$2:$L$151,A127+2)),INDEX(Regeneration!$K$2:$K$151,A127+2)),0)</f>
        <v>0</v>
      </c>
      <c r="AO127" s="71" t="str">
        <f t="shared" si="74"/>
        <v/>
      </c>
      <c r="AP127" s="71" t="str">
        <f>IF(AND($N127,$C127="Caster"),IF(AND(NOT($D127="Polearm"),ISERR(FIND("wand",LOWER($E127)))),0,INDEX(Regeneration!F$2:F$151,A127)*0.06),"")</f>
        <v/>
      </c>
      <c r="AQ127" s="88">
        <f t="shared" si="61"/>
        <v>0.05</v>
      </c>
      <c r="AR127" s="88">
        <f t="shared" si="62"/>
        <v>0.05</v>
      </c>
      <c r="AS127" s="16" t="str">
        <f>IF(D127="Shield",INDEX(Regeneration!$C$2:$C$151,A127+3)*0.5*IF(ISERR(FIND("Rare",B127)),IF(ISERR(FIND("Uncommon",B127)),1,1.5),2.25),"")</f>
        <v/>
      </c>
      <c r="AT127" s="16" t="str">
        <f t="shared" si="75"/>
        <v/>
      </c>
      <c r="AU127" s="16" t="str">
        <f t="shared" si="76"/>
        <v/>
      </c>
      <c r="AV127" s="16" t="str">
        <f t="shared" si="77"/>
        <v/>
      </c>
      <c r="AW127" s="16" t="str">
        <f>IF(D127="Ring",INDEX(Regeneration!$B$6:$B$155,A127)*0.06,"")</f>
        <v/>
      </c>
      <c r="AX127" s="76"/>
      <c r="AZ127" s="16" t="str">
        <f t="shared" si="63"/>
        <v/>
      </c>
      <c r="BA127" s="6">
        <f t="shared" si="52"/>
        <v>0.05</v>
      </c>
      <c r="BB127" s="6">
        <f t="shared" si="65"/>
        <v>0.05</v>
      </c>
    </row>
    <row r="128" spans="1:54">
      <c r="A128" s="76">
        <v>35</v>
      </c>
      <c r="B128" s="30" t="s">
        <v>492</v>
      </c>
      <c r="C128" s="30" t="s">
        <v>10</v>
      </c>
      <c r="D128" s="30" t="s">
        <v>472</v>
      </c>
      <c r="E128" s="30" t="s">
        <v>624</v>
      </c>
      <c r="F128" s="30" t="s">
        <v>651</v>
      </c>
      <c r="G128" s="76">
        <f t="shared" si="79"/>
        <v>35</v>
      </c>
      <c r="H128" s="101">
        <v>150</v>
      </c>
      <c r="J128" s="76" t="str">
        <f>LOWER(D128)</f>
        <v>1-handed weapon</v>
      </c>
      <c r="K128" s="76" t="str">
        <f t="array" ref="K128">"A"&amp;IF(IF(ISBLANK(I128),OR(LEFT(LOWER(F128),1)={"a","e","I","o","u"}),OR(LEFT(LOWER(I128),1)={"a","e","I","o","u"})),"n "," ")&amp;I128&amp;IF(ISBLANK(I128),""," ")&amp;LOWER(F128)&amp;IF(LEFT(J128,1)="-",""," ")&amp;J128</f>
        <v>An acid 1-handed weapon</v>
      </c>
      <c r="L128" s="76">
        <v>1</v>
      </c>
      <c r="M128" s="62">
        <v>44</v>
      </c>
      <c r="N128" s="62" t="s">
        <v>645</v>
      </c>
      <c r="O128" s="93" t="b">
        <f t="shared" si="53"/>
        <v>0</v>
      </c>
      <c r="P128" s="76" t="s">
        <v>504</v>
      </c>
      <c r="Q128" s="76" t="s">
        <v>643</v>
      </c>
      <c r="R128" s="100">
        <f t="shared" si="70"/>
        <v>1</v>
      </c>
      <c r="S128" s="93">
        <f t="shared" si="54"/>
        <v>1</v>
      </c>
      <c r="T128" s="98">
        <f t="shared" si="55"/>
        <v>1</v>
      </c>
      <c r="U128" s="95">
        <f t="shared" si="56"/>
        <v>2</v>
      </c>
      <c r="V128" s="98">
        <f t="shared" si="57"/>
        <v>650</v>
      </c>
      <c r="W128" s="6">
        <f t="shared" si="58"/>
        <v>0.18</v>
      </c>
      <c r="X128" s="6">
        <v>0</v>
      </c>
      <c r="Y128" s="76" t="b">
        <v>1</v>
      </c>
      <c r="Z128" s="76">
        <f t="shared" si="71"/>
        <v>35</v>
      </c>
      <c r="AA128" s="71">
        <f t="shared" si="45"/>
        <v>22</v>
      </c>
      <c r="AB128" s="76"/>
      <c r="AC128" s="76"/>
      <c r="AD128" s="71" t="str">
        <f t="shared" si="72"/>
        <v/>
      </c>
      <c r="AE128" s="71" t="str">
        <f t="shared" si="73"/>
        <v/>
      </c>
      <c r="AG128" s="43">
        <f>IF(N128,INDEX(Damage!$F$2:$F$151,A128)*R128*S128*V128/1000,"")</f>
        <v>115.86143790849673</v>
      </c>
      <c r="AH128" s="94">
        <f t="shared" si="59"/>
        <v>95.006379084967307</v>
      </c>
      <c r="AI128" s="94">
        <f t="shared" si="60"/>
        <v>136.71649673202614</v>
      </c>
      <c r="AJ128" s="79" t="s">
        <v>644</v>
      </c>
      <c r="AK128" s="6" t="b">
        <f t="array" ref="AK128">IF(AJ128,MAX(IF(Armor!$D$2:'Armor'!$D$7=D128,Armor!$E$2:$E$7),0))</f>
        <v>0</v>
      </c>
      <c r="AL128" s="6">
        <f t="shared" si="69"/>
        <v>0</v>
      </c>
      <c r="AM128" s="71">
        <f>(AL128+AK128)*INDEX(Armor!$B$2:$B$151,A128)+IF(AJ128,1,0)</f>
        <v>0</v>
      </c>
      <c r="AN128" s="71">
        <f>IF(C128="Caster",IF(ISERR(FIND("orb",LOWER(E128))),IF(ISERR(FIND("wand",LOWER(E128))),IF(NOT($D128="Polearm"),0,INDEX(Regeneration!$M$2:$M$151,A128+2)),INDEX(Regeneration!$L$2:$L$151,A128+2)),INDEX(Regeneration!$K$2:$K$151,A128+2)),0)</f>
        <v>0</v>
      </c>
      <c r="AO128" s="71" t="str">
        <f t="shared" si="74"/>
        <v/>
      </c>
      <c r="AP128" s="71" t="str">
        <f>IF(AND($N128,$C128="Caster"),IF(AND(NOT($D128="Polearm"),ISERR(FIND("wand",LOWER($E128)))),0,INDEX(Regeneration!F$2:F$151,A128)*0.06),"")</f>
        <v/>
      </c>
      <c r="AQ128" s="88">
        <f t="shared" si="61"/>
        <v>0.05</v>
      </c>
      <c r="AR128" s="88">
        <f t="shared" si="62"/>
        <v>0.05</v>
      </c>
      <c r="AS128" s="16" t="str">
        <f>IF(D128="Shield",INDEX(Regeneration!$C$2:$C$151,A128+3)*0.5*IF(ISERR(FIND("Rare",B128)),IF(ISERR(FIND("Uncommon",B128)),1,1.5),2.25),"")</f>
        <v/>
      </c>
      <c r="AT128" s="16" t="str">
        <f t="shared" si="75"/>
        <v/>
      </c>
      <c r="AU128" s="16" t="str">
        <f t="shared" si="76"/>
        <v/>
      </c>
      <c r="AV128" s="16" t="str">
        <f t="shared" si="77"/>
        <v/>
      </c>
      <c r="AW128" s="16" t="str">
        <f>IF(D128="Ring",INDEX(Regeneration!$B$6:$B$155,A128)*0.06,"")</f>
        <v/>
      </c>
      <c r="AX128" s="76"/>
      <c r="AZ128" s="16" t="str">
        <f t="shared" si="63"/>
        <v/>
      </c>
      <c r="BA128" s="6">
        <f t="shared" si="52"/>
        <v>0.05</v>
      </c>
      <c r="BB128" s="6">
        <f t="shared" si="65"/>
        <v>0.05</v>
      </c>
    </row>
    <row r="129" spans="1:54">
      <c r="A129" s="62">
        <v>35</v>
      </c>
      <c r="B129" s="30" t="s">
        <v>492</v>
      </c>
      <c r="C129" s="30" t="s">
        <v>496</v>
      </c>
      <c r="D129" s="30" t="s">
        <v>401</v>
      </c>
      <c r="E129" s="30" t="s">
        <v>619</v>
      </c>
      <c r="F129" s="30" t="s">
        <v>651</v>
      </c>
      <c r="G129" s="62">
        <f t="shared" si="79"/>
        <v>35</v>
      </c>
      <c r="H129" s="101">
        <v>150</v>
      </c>
      <c r="J129" s="81" t="str">
        <f>LOWER(D129)</f>
        <v>armor</v>
      </c>
      <c r="K129" s="76" t="str">
        <f t="array" ref="K129">"A"&amp;IF(IF(ISBLANK(I129),OR(LEFT(LOWER(F129),1)={"a","e","I","o","u"}),OR(LEFT(LOWER(I129),1)={"a","e","I","o","u"})),"n "," ")&amp;I129&amp;IF(ISBLANK(I129),""," ")&amp;LOWER(F129)&amp;IF(LEFT(J129,1)="-",""," ")&amp;J129</f>
        <v>An acid armor</v>
      </c>
      <c r="L129" s="76">
        <v>1</v>
      </c>
      <c r="M129" s="62">
        <v>884</v>
      </c>
      <c r="N129" s="62" t="s">
        <v>644</v>
      </c>
      <c r="O129" s="93" t="b">
        <f t="shared" si="53"/>
        <v>0</v>
      </c>
      <c r="P129" s="62" t="s">
        <v>490</v>
      </c>
      <c r="Q129" s="62" t="s">
        <v>490</v>
      </c>
      <c r="R129" s="100" t="str">
        <f t="shared" si="70"/>
        <v/>
      </c>
      <c r="S129" s="93" t="str">
        <f t="shared" si="54"/>
        <v/>
      </c>
      <c r="T129" s="98" t="str">
        <f t="shared" si="55"/>
        <v/>
      </c>
      <c r="U129" s="95" t="str">
        <f t="shared" si="56"/>
        <v/>
      </c>
      <c r="V129" s="98" t="str">
        <f t="shared" si="57"/>
        <v/>
      </c>
      <c r="W129" s="6" t="str">
        <f t="shared" si="58"/>
        <v/>
      </c>
      <c r="X129" s="6">
        <v>0</v>
      </c>
      <c r="Y129" s="62" t="b">
        <v>1</v>
      </c>
      <c r="Z129" s="62">
        <f t="shared" si="71"/>
        <v>35</v>
      </c>
      <c r="AA129" s="71" t="str">
        <f t="shared" si="45"/>
        <v/>
      </c>
      <c r="AD129" s="71" t="str">
        <f t="shared" si="72"/>
        <v/>
      </c>
      <c r="AE129" s="71" t="str">
        <f t="shared" si="73"/>
        <v/>
      </c>
      <c r="AF129" s="89"/>
      <c r="AG129" s="43" t="str">
        <f>IF(N129,INDEX(Damage!$F$2:$F$151,A129)*R129*S129*V129/1000,"")</f>
        <v/>
      </c>
      <c r="AH129" s="94" t="str">
        <f t="shared" si="59"/>
        <v/>
      </c>
      <c r="AI129" s="94" t="str">
        <f t="shared" si="60"/>
        <v/>
      </c>
      <c r="AJ129" s="79" t="s">
        <v>645</v>
      </c>
      <c r="AK129" s="6">
        <f t="array" ref="AK129">IF(AJ129,MAX(IF(Armor!$D$2:'Armor'!$D$7=D129,Armor!$E$2:$E$7),0))</f>
        <v>0.45</v>
      </c>
      <c r="AL129" s="6">
        <f t="shared" si="69"/>
        <v>0</v>
      </c>
      <c r="AM129" s="71">
        <f>(AL129+AK129)*INDEX(Armor!$B$2:$B$151,A129)+IF(AJ129,1,0)</f>
        <v>115.3</v>
      </c>
      <c r="AN129" s="71">
        <f>IF(C129="Caster",IF(ISERR(FIND("orb",LOWER(E129))),IF(ISERR(FIND("wand",LOWER(E129))),IF(NOT($D129="Polearm"),0,INDEX(Regeneration!$M$2:$M$151,A129+2)),INDEX(Regeneration!$L$2:$L$151,A129+2)),INDEX(Regeneration!$K$2:$K$151,A129+2)),0)</f>
        <v>0</v>
      </c>
      <c r="AO129" s="71" t="str">
        <f t="shared" si="74"/>
        <v/>
      </c>
      <c r="AP129" s="71" t="str">
        <f>IF(AND($N129,$C129="Caster"),IF(AND(NOT($D129="Polearm"),ISERR(FIND("wand",LOWER($E129)))),0,INDEX(Regeneration!F$2:F$151,A129)*0.06),"")</f>
        <v/>
      </c>
      <c r="AQ129" s="88">
        <f t="shared" si="61"/>
        <v>0</v>
      </c>
      <c r="AR129" s="88">
        <f t="shared" si="62"/>
        <v>0</v>
      </c>
      <c r="AS129" s="16" t="str">
        <f>IF(D129="Shield",INDEX(Regeneration!$C$2:$C$151,A129+3)*0.5*IF(ISERR(FIND("Rare",B129)),IF(ISERR(FIND("Uncommon",B129)),1,1.5),2.25),"")</f>
        <v/>
      </c>
      <c r="AT129" s="16" t="str">
        <f t="shared" si="75"/>
        <v/>
      </c>
      <c r="AU129" s="16" t="str">
        <f t="shared" si="76"/>
        <v/>
      </c>
      <c r="AV129" s="16" t="str">
        <f t="shared" si="77"/>
        <v/>
      </c>
      <c r="AW129" s="16" t="str">
        <f>IF(D129="Ring",INDEX(Regeneration!$B$6:$B$155,A129)*0.06,"")</f>
        <v/>
      </c>
      <c r="AZ129" s="16" t="str">
        <f t="shared" si="63"/>
        <v/>
      </c>
      <c r="BA129" s="6">
        <f t="shared" si="52"/>
        <v>0</v>
      </c>
      <c r="BB129" s="6">
        <f t="shared" si="65"/>
        <v>0</v>
      </c>
    </row>
    <row r="130" spans="1:54">
      <c r="A130" s="62">
        <v>35</v>
      </c>
      <c r="B130" s="30" t="s">
        <v>492</v>
      </c>
      <c r="C130" s="30" t="s">
        <v>496</v>
      </c>
      <c r="D130" s="30" t="s">
        <v>484</v>
      </c>
      <c r="E130" s="30" t="s">
        <v>629</v>
      </c>
      <c r="F130" s="30" t="s">
        <v>651</v>
      </c>
      <c r="G130" s="76">
        <f t="shared" si="79"/>
        <v>35</v>
      </c>
      <c r="H130" s="101">
        <v>150</v>
      </c>
      <c r="I130" s="81"/>
      <c r="J130" s="81" t="str">
        <f>LOWER(D130)</f>
        <v>belt</v>
      </c>
      <c r="K130" s="81" t="str">
        <f t="array" ref="K130">"A"&amp;IF(IF(ISBLANK(I130),OR(LEFT(LOWER(F130),1)={"a","e","I","o","u"}),OR(LEFT(LOWER(I130),1)={"a","e","I","o","u"})),"n "," ")&amp;I130&amp;IF(ISBLANK(I130),""," ")&amp;LOWER(F130)&amp;IF(LEFT(J130,1)="-",""," ")&amp;J130</f>
        <v>An acid belt</v>
      </c>
      <c r="L130" s="76">
        <v>1</v>
      </c>
      <c r="M130" s="62">
        <v>44</v>
      </c>
      <c r="N130" s="76" t="s">
        <v>644</v>
      </c>
      <c r="O130" s="93" t="b">
        <f t="shared" si="53"/>
        <v>0</v>
      </c>
      <c r="P130" s="62" t="s">
        <v>490</v>
      </c>
      <c r="Q130" s="62" t="s">
        <v>490</v>
      </c>
      <c r="R130" s="100" t="str">
        <f t="shared" si="70"/>
        <v/>
      </c>
      <c r="S130" s="93" t="str">
        <f t="shared" si="54"/>
        <v/>
      </c>
      <c r="T130" s="98" t="str">
        <f t="shared" si="55"/>
        <v/>
      </c>
      <c r="U130" s="95" t="str">
        <f t="shared" si="56"/>
        <v/>
      </c>
      <c r="V130" s="98" t="str">
        <f t="shared" si="57"/>
        <v/>
      </c>
      <c r="W130" s="6" t="str">
        <f t="shared" si="58"/>
        <v/>
      </c>
      <c r="X130" s="6">
        <v>0</v>
      </c>
      <c r="Y130" s="62" t="b">
        <v>1</v>
      </c>
      <c r="Z130" s="76">
        <f t="shared" ref="Z130:Z157" si="80">IF(ISERR(FIND("Consumable",B130)),IF(A130&gt;1,A130,0),0)</f>
        <v>35</v>
      </c>
      <c r="AA130" s="71" t="str">
        <f t="shared" ref="AA130:AA157" si="81">IF(AND($A130&gt;7,C130="Warrior"),IF($A130&lt;10,16,IF($A130&lt;20,18,IF($A130&lt;40,22,28))),"")</f>
        <v/>
      </c>
      <c r="AD130" s="71" t="str">
        <f t="shared" ref="AD130:AD143" si="82">IF(AND($AN130&gt;0,MOD($A130/5,2)=1),IF($A130&lt;10,16,IF($A130&lt;20,18,IF($A130&lt;40,22,28))),"")</f>
        <v/>
      </c>
      <c r="AE130" s="71" t="str">
        <f t="shared" ref="AE130:AE143" si="83">IF(AND($AN130&gt;0,MOD($A130/5,2)=0),IF($A130&lt;10,16,IF($A130&lt;20,18,IF($A130&lt;40,22,28))),"")</f>
        <v/>
      </c>
      <c r="AF130" s="89"/>
      <c r="AG130" s="43" t="str">
        <f>IF(N130,INDEX(Damage!$F$2:$F$151,A130)*R130*S130*V130/1000,"")</f>
        <v/>
      </c>
      <c r="AH130" s="94" t="str">
        <f t="shared" si="59"/>
        <v/>
      </c>
      <c r="AI130" s="94" t="str">
        <f t="shared" si="60"/>
        <v/>
      </c>
      <c r="AJ130" s="79" t="s">
        <v>645</v>
      </c>
      <c r="AK130" s="6">
        <f t="array" ref="AK130">IF(AJ130,MAX(IF(Armor!$D$2:'Armor'!$D$7=D130,Armor!$E$2:$E$7),0))</f>
        <v>0.06</v>
      </c>
      <c r="AL130" s="6">
        <f t="shared" si="69"/>
        <v>0</v>
      </c>
      <c r="AM130" s="71">
        <f>(AL130+AK130)*INDEX(Armor!$B$2:$B$151,A130)+IF(AJ130,1,0)</f>
        <v>16.240000000000002</v>
      </c>
      <c r="AN130" s="71">
        <f>IF(C130="Caster",IF(ISERR(FIND("orb",LOWER(E130))),IF(ISERR(FIND("wand",LOWER(E130))),IF(NOT($D130="Polearm"),0,INDEX(Regeneration!$M$2:$M$151,A130+2)),INDEX(Regeneration!$L$2:$L$151,A130+2)),INDEX(Regeneration!$K$2:$K$151,A130+2)),0)</f>
        <v>0</v>
      </c>
      <c r="AO130" s="71" t="str">
        <f t="shared" ref="AO130:AO143" si="84">IF(AND($N130,$C130="Caster"),IF(AND(NOT($D130="Polearm"),ISERR(FIND("orb",LOWER($E130)))),0,5),"")</f>
        <v/>
      </c>
      <c r="AP130" s="71" t="str">
        <f>IF(AND($N130,$C130="Caster"),IF(AND(NOT($D130="Polearm"),ISERR(FIND("wand",LOWER($E130)))),0,INDEX(Regeneration!F$2:F$151,A130)*0.06),"")</f>
        <v/>
      </c>
      <c r="AQ130" s="88">
        <f t="shared" si="61"/>
        <v>0</v>
      </c>
      <c r="AR130" s="88">
        <f t="shared" si="62"/>
        <v>0</v>
      </c>
      <c r="AS130" s="16" t="str">
        <f>IF(D130="Shield",INDEX(Regeneration!$C$2:$C$151,A130+3)*0.5*IF(ISERR(FIND("Rare",B130)),IF(ISERR(FIND("Uncommon",B130)),1,1.5),2.25),"")</f>
        <v/>
      </c>
      <c r="AT130" s="16" t="str">
        <f t="shared" ref="AT130:AT157" si="85">IF(AN130&lt;&gt;0,AN130+1,"")</f>
        <v/>
      </c>
      <c r="AU130" s="16" t="str">
        <f t="shared" ref="AU130:AU157" si="86">IF(AO130&lt;&gt;0,AO130,"")</f>
        <v/>
      </c>
      <c r="AV130" s="16" t="str">
        <f t="shared" ref="AV130:AV157" si="87">IF(D130="Ring",5,"")</f>
        <v/>
      </c>
      <c r="AW130" s="16" t="str">
        <f>IF(D130="Ring",INDEX(Regeneration!$B$6:$B$155,A130)*0.06,"")</f>
        <v/>
      </c>
      <c r="AZ130" s="16" t="str">
        <f t="shared" si="63"/>
        <v/>
      </c>
      <c r="BA130" s="6">
        <f t="shared" ref="BA130:BA157" si="88">IF(AQ130&lt;&gt;"",AQ130*IF(ISERR(FIND("Rare",B130)),IF(ISERR(FIND("Uncommon",B130)),1,1.5),2.25),"")</f>
        <v>0</v>
      </c>
      <c r="BB130" s="6">
        <f t="shared" si="65"/>
        <v>0</v>
      </c>
    </row>
    <row r="131" spans="1:54">
      <c r="A131" s="62">
        <v>35</v>
      </c>
      <c r="B131" s="30" t="s">
        <v>492</v>
      </c>
      <c r="C131" s="30" t="s">
        <v>496</v>
      </c>
      <c r="D131" s="30" t="s">
        <v>487</v>
      </c>
      <c r="E131" s="30" t="s">
        <v>620</v>
      </c>
      <c r="F131" s="30" t="s">
        <v>651</v>
      </c>
      <c r="G131" s="76">
        <f t="shared" si="79"/>
        <v>35</v>
      </c>
      <c r="H131" s="101">
        <v>150</v>
      </c>
      <c r="I131" s="81"/>
      <c r="J131" s="81" t="str">
        <f>LOWER(D131)</f>
        <v>boots</v>
      </c>
      <c r="K131" s="81" t="str">
        <f t="array" ref="K131">"A"&amp;IF(IF(ISBLANK(I131),OR(LEFT(LOWER(F131),1)={"a","e","I","o","u"}),OR(LEFT(LOWER(I131),1)={"a","e","I","o","u"})),"n "," ")&amp;I131&amp;IF(ISBLANK(I131),""," ")&amp;LOWER(F131)&amp;IF(LEFT(J131,1)="-",""," ")&amp;J131</f>
        <v>An acid boots</v>
      </c>
      <c r="L131" s="76">
        <v>1</v>
      </c>
      <c r="M131" s="62">
        <v>149</v>
      </c>
      <c r="N131" s="76" t="s">
        <v>644</v>
      </c>
      <c r="O131" s="93" t="b">
        <f t="shared" ref="O131:O157" si="89">AND(N131,NOT(AND(ISERR(FIND("bow",LOWER(D131))),ISERR(FIND("thrown",LOWER(D131))))))</f>
        <v>0</v>
      </c>
      <c r="P131" s="62" t="s">
        <v>490</v>
      </c>
      <c r="Q131" s="62" t="s">
        <v>490</v>
      </c>
      <c r="R131" s="100" t="str">
        <f t="shared" si="70"/>
        <v/>
      </c>
      <c r="S131" s="93" t="str">
        <f t="shared" ref="S131:S157" si="90">IF(N131,IF(C131="Caster",0.4,1),"")</f>
        <v/>
      </c>
      <c r="T131" s="98" t="str">
        <f t="shared" ref="T131:T157" si="91">IF(Q131="slow",1.3,IF(Q131="average",1,IF(Q131="fast",0.7,"")))</f>
        <v/>
      </c>
      <c r="U131" s="95" t="str">
        <f t="shared" ref="U131:U157" si="92">IF(NOT(O131),IF(N131,IF(P131="large",2.5,IF(P131="normal",2,IF(P131="small",1.5))),""),8)</f>
        <v/>
      </c>
      <c r="V131" s="98" t="str">
        <f t="shared" ref="V131:V157" si="93">IF(N131,650*T131,"")</f>
        <v/>
      </c>
      <c r="W131" s="6" t="str">
        <f t="shared" ref="W131:W157" si="94">IF(N131,CHOOSE(1+3*IF(P131="large",0,IF(P131="normal",1,IF(P131="small",2)))+IF(Q131="slow",0,IF(Q131="average",1,IF(Q131="fast",2))),30%,25%,22%,20%,18%,15%,12%,10%,7%),"")</f>
        <v/>
      </c>
      <c r="X131" s="6">
        <v>0</v>
      </c>
      <c r="Y131" s="62" t="b">
        <v>1</v>
      </c>
      <c r="Z131" s="76">
        <f t="shared" si="80"/>
        <v>35</v>
      </c>
      <c r="AA131" s="71" t="str">
        <f t="shared" si="81"/>
        <v/>
      </c>
      <c r="AD131" s="71" t="str">
        <f t="shared" si="82"/>
        <v/>
      </c>
      <c r="AE131" s="71" t="str">
        <f t="shared" si="83"/>
        <v/>
      </c>
      <c r="AF131" s="89"/>
      <c r="AG131" s="43" t="str">
        <f>IF(N131,INDEX(Damage!$F$2:$F$151,A131)*R131*S131*V131/1000,"")</f>
        <v/>
      </c>
      <c r="AH131" s="94" t="str">
        <f t="shared" ref="AH131:AH157" si="95">IF(N131,MAX(1,MIN(AI131-1,(AG131-(AG131*W131))*(1+AF131))),"")</f>
        <v/>
      </c>
      <c r="AI131" s="94" t="str">
        <f t="shared" ref="AI131:AI157" si="96">IF(N131,(AG131+(AG131*W131))*(1+AF131),"")</f>
        <v/>
      </c>
      <c r="AJ131" s="79" t="s">
        <v>645</v>
      </c>
      <c r="AK131" s="6">
        <f t="array" ref="AK131">IF(AJ131,MAX(IF(Armor!$D$2:'Armor'!$D$7=D131,Armor!$E$2:$E$7),0))</f>
        <v>0.1</v>
      </c>
      <c r="AL131" s="6">
        <f t="shared" si="69"/>
        <v>0</v>
      </c>
      <c r="AM131" s="71">
        <f>(AL131+AK131)*INDEX(Armor!$B$2:$B$151,A131)+IF(AJ131,1,0)</f>
        <v>26.400000000000002</v>
      </c>
      <c r="AN131" s="71">
        <f>IF(C131="Caster",IF(ISERR(FIND("orb",LOWER(E131))),IF(ISERR(FIND("wand",LOWER(E131))),IF(NOT($D131="Polearm"),0,INDEX(Regeneration!$M$2:$M$151,A131+2)),INDEX(Regeneration!$L$2:$L$151,A131+2)),INDEX(Regeneration!$K$2:$K$151,A131+2)),0)</f>
        <v>0</v>
      </c>
      <c r="AO131" s="71" t="str">
        <f t="shared" si="84"/>
        <v/>
      </c>
      <c r="AP131" s="71" t="str">
        <f>IF(AND($N131,$C131="Caster"),IF(AND(NOT($D131="Polearm"),ISERR(FIND("wand",LOWER($E131)))),0,INDEX(Regeneration!F$2:F$151,A131)*0.06),"")</f>
        <v/>
      </c>
      <c r="AQ131" s="88">
        <f t="shared" ref="AQ131:AQ157" si="97">IF(OR(D131="2-Handed Weapon",D131="Bow",D131="Crossbow",D131="Spear",AND(D131="Polearm",NOT(C131="Caster"))),15%,IF(C131="Warrior",5%,0%))</f>
        <v>0</v>
      </c>
      <c r="AR131" s="88">
        <f t="shared" ref="AR131:AR157" si="98">IF(OR(D131="2-Handed Weapon",D131="Bow",D131="Crossbow",D131="Spear",AND(D131="Polearm",NOT(C131="Caster"))),15%,IF(C131="Warrior",5%,0%))</f>
        <v>0</v>
      </c>
      <c r="AS131" s="16" t="str">
        <f>IF(D131="Shield",INDEX(Regeneration!$C$2:$C$151,A131+3)*0.5*IF(ISERR(FIND("Rare",B131)),IF(ISERR(FIND("Uncommon",B131)),1,1.5),2.25),"")</f>
        <v/>
      </c>
      <c r="AT131" s="16" t="str">
        <f t="shared" si="85"/>
        <v/>
      </c>
      <c r="AU131" s="16" t="str">
        <f t="shared" si="86"/>
        <v/>
      </c>
      <c r="AV131" s="16" t="str">
        <f t="shared" si="87"/>
        <v/>
      </c>
      <c r="AW131" s="16" t="str">
        <f>IF(D131="Ring",INDEX(Regeneration!$B$6:$B$155,A131)*0.06,"")</f>
        <v/>
      </c>
      <c r="AZ131" s="16" t="str">
        <f t="shared" ref="AZ131:AZ157" si="99">IF(AND(NOT("Gloves"=$D131),ISERR(FIND("staff",LOWER(E131)))),"",15*(A131+10)/(A131+50))</f>
        <v/>
      </c>
      <c r="BA131" s="6">
        <f t="shared" si="88"/>
        <v>0</v>
      </c>
      <c r="BB131" s="6">
        <f t="shared" si="65"/>
        <v>0</v>
      </c>
    </row>
    <row r="132" spans="1:54">
      <c r="A132" s="62">
        <v>35</v>
      </c>
      <c r="B132" s="30" t="s">
        <v>492</v>
      </c>
      <c r="C132" s="30" t="s">
        <v>10</v>
      </c>
      <c r="D132" s="30" t="s">
        <v>479</v>
      </c>
      <c r="E132" s="30" t="s">
        <v>627</v>
      </c>
      <c r="F132" s="30" t="s">
        <v>651</v>
      </c>
      <c r="G132" s="62">
        <f t="shared" si="79"/>
        <v>35</v>
      </c>
      <c r="H132" s="101">
        <v>150</v>
      </c>
      <c r="I132" s="81"/>
      <c r="J132" s="80" t="s">
        <v>671</v>
      </c>
      <c r="K132" s="81" t="str">
        <f t="array" ref="K132">"A"&amp;IF(IF(ISBLANK(I132),OR(LEFT(LOWER(F132),1)={"a","e","I","o","u"}),OR(LEFT(LOWER(I132),1)={"a","e","I","o","u"})),"n "," ")&amp;I132&amp;IF(ISBLANK(I132),""," ")&amp;LOWER(F132)&amp;IF(LEFT(J132,1)="-",""," ")&amp;J132</f>
        <v>An acid-enchanted ranged weapon</v>
      </c>
      <c r="L132" s="81">
        <v>1</v>
      </c>
      <c r="M132" s="84">
        <v>44</v>
      </c>
      <c r="N132" s="62" t="s">
        <v>645</v>
      </c>
      <c r="O132" s="93" t="b">
        <f t="shared" si="89"/>
        <v>1</v>
      </c>
      <c r="P132" s="62" t="s">
        <v>504</v>
      </c>
      <c r="Q132" s="62" t="s">
        <v>643</v>
      </c>
      <c r="R132" s="100">
        <f t="shared" si="70"/>
        <v>0.9</v>
      </c>
      <c r="S132" s="93">
        <f t="shared" si="90"/>
        <v>1</v>
      </c>
      <c r="T132" s="98">
        <f t="shared" si="91"/>
        <v>1</v>
      </c>
      <c r="U132" s="95">
        <f t="shared" si="92"/>
        <v>8</v>
      </c>
      <c r="V132" s="98">
        <f t="shared" si="93"/>
        <v>650</v>
      </c>
      <c r="W132" s="6">
        <f t="shared" si="94"/>
        <v>0.18</v>
      </c>
      <c r="X132" s="6">
        <v>0</v>
      </c>
      <c r="Y132" s="81" t="b">
        <v>1</v>
      </c>
      <c r="Z132" s="62">
        <f t="shared" si="80"/>
        <v>35</v>
      </c>
      <c r="AA132" s="71">
        <f t="shared" si="81"/>
        <v>22</v>
      </c>
      <c r="AD132" s="71" t="str">
        <f t="shared" si="82"/>
        <v/>
      </c>
      <c r="AE132" s="71" t="str">
        <f t="shared" si="83"/>
        <v/>
      </c>
      <c r="AG132" s="43">
        <f>IF(N132,INDEX(Damage!$F$2:$F$151,A132)*R132*S132*V132/1000,"")</f>
        <v>104.27529411764705</v>
      </c>
      <c r="AH132" s="94">
        <f t="shared" si="95"/>
        <v>85.505741176470579</v>
      </c>
      <c r="AI132" s="94">
        <f t="shared" si="96"/>
        <v>123.04484705882352</v>
      </c>
      <c r="AJ132" s="79" t="s">
        <v>644</v>
      </c>
      <c r="AK132" s="6" t="b">
        <f t="array" ref="AK132">IF(AJ132,MAX(IF(Armor!$D$2:'Armor'!$D$7=D132,Armor!$E$2:$E$7),0))</f>
        <v>0</v>
      </c>
      <c r="AL132" s="6">
        <f t="shared" si="69"/>
        <v>0</v>
      </c>
      <c r="AM132" s="71">
        <f>(AL132+AK132)*INDEX(Armor!$B$2:$B$151,A132)+IF(AJ132,1,0)</f>
        <v>0</v>
      </c>
      <c r="AN132" s="71">
        <f>IF(C132="Caster",IF(ISERR(FIND("orb",LOWER(E132))),IF(ISERR(FIND("wand",LOWER(E132))),IF(NOT($D132="Polearm"),0,INDEX(Regeneration!$M$2:$M$151,A132+2)),INDEX(Regeneration!$L$2:$L$151,A132+2)),INDEX(Regeneration!$K$2:$K$151,A132+2)),0)</f>
        <v>0</v>
      </c>
      <c r="AO132" s="71" t="str">
        <f t="shared" si="84"/>
        <v/>
      </c>
      <c r="AP132" s="71" t="str">
        <f>IF(AND($N132,$C132="Caster"),IF(AND(NOT($D132="Polearm"),ISERR(FIND("wand",LOWER($E132)))),0,INDEX(Regeneration!F$2:F$151,A132)*0.06),"")</f>
        <v/>
      </c>
      <c r="AQ132" s="88">
        <f t="shared" si="97"/>
        <v>0.15</v>
      </c>
      <c r="AR132" s="88">
        <f t="shared" si="98"/>
        <v>0.15</v>
      </c>
      <c r="AS132" s="16" t="str">
        <f>IF(D132="Shield",INDEX(Regeneration!$C$2:$C$151,A132+3)*0.5*IF(ISERR(FIND("Rare",B132)),IF(ISERR(FIND("Uncommon",B132)),1,1.5),2.25),"")</f>
        <v/>
      </c>
      <c r="AT132" s="16" t="str">
        <f t="shared" si="85"/>
        <v/>
      </c>
      <c r="AU132" s="16" t="str">
        <f t="shared" si="86"/>
        <v/>
      </c>
      <c r="AV132" s="16" t="str">
        <f t="shared" si="87"/>
        <v/>
      </c>
      <c r="AW132" s="16" t="str">
        <f>IF(D132="Ring",INDEX(Regeneration!$B$6:$B$155,A132)*0.06,"")</f>
        <v/>
      </c>
      <c r="AZ132" s="16" t="str">
        <f t="shared" si="99"/>
        <v/>
      </c>
      <c r="BA132" s="6">
        <f t="shared" si="88"/>
        <v>0.15</v>
      </c>
      <c r="BB132" s="6">
        <f t="shared" si="65"/>
        <v>0.15</v>
      </c>
    </row>
    <row r="133" spans="1:54">
      <c r="A133" s="62">
        <v>35</v>
      </c>
      <c r="B133" s="30" t="s">
        <v>492</v>
      </c>
      <c r="C133" s="30" t="s">
        <v>10</v>
      </c>
      <c r="D133" s="30" t="s">
        <v>450</v>
      </c>
      <c r="E133" s="30" t="s">
        <v>788</v>
      </c>
      <c r="F133" s="30" t="s">
        <v>651</v>
      </c>
      <c r="G133" s="62">
        <f t="shared" si="79"/>
        <v>35</v>
      </c>
      <c r="H133" s="101">
        <v>150</v>
      </c>
      <c r="I133" s="81"/>
      <c r="J133" s="81" t="str">
        <f>LOWER(D133)</f>
        <v>crossbow</v>
      </c>
      <c r="K133" s="81" t="str">
        <f t="array" ref="K133">"A"&amp;IF(IF(ISBLANK(I133),OR(LEFT(LOWER(F133),1)={"a","e","I","o","u"}),OR(LEFT(LOWER(I133),1)={"a","e","I","o","u"})),"n "," ")&amp;I133&amp;IF(ISBLANK(I133),""," ")&amp;LOWER(F133)&amp;IF(LEFT(J133,1)="-",""," ")&amp;J133</f>
        <v>An acid crossbow</v>
      </c>
      <c r="L133" s="81">
        <v>1</v>
      </c>
      <c r="M133" s="84">
        <v>640</v>
      </c>
      <c r="N133" s="81" t="b">
        <v>1</v>
      </c>
      <c r="O133" s="93" t="b">
        <f t="shared" si="89"/>
        <v>1</v>
      </c>
      <c r="Q133" s="62" t="s">
        <v>505</v>
      </c>
      <c r="R133" s="100">
        <f t="shared" si="70"/>
        <v>1.0349999999999999</v>
      </c>
      <c r="S133" s="93">
        <f t="shared" si="90"/>
        <v>1</v>
      </c>
      <c r="T133" s="98">
        <f t="shared" si="91"/>
        <v>1.3</v>
      </c>
      <c r="U133" s="95">
        <f t="shared" si="92"/>
        <v>8</v>
      </c>
      <c r="V133" s="98">
        <f t="shared" si="93"/>
        <v>845</v>
      </c>
      <c r="W133" s="6">
        <f t="shared" si="94"/>
        <v>0.3</v>
      </c>
      <c r="X133" s="6">
        <v>0</v>
      </c>
      <c r="Y133" s="81" t="b">
        <v>1</v>
      </c>
      <c r="Z133" s="62">
        <f t="shared" si="80"/>
        <v>35</v>
      </c>
      <c r="AA133" s="71">
        <f t="shared" si="81"/>
        <v>22</v>
      </c>
      <c r="AD133" s="71" t="str">
        <f t="shared" si="82"/>
        <v/>
      </c>
      <c r="AE133" s="71" t="str">
        <f t="shared" si="83"/>
        <v/>
      </c>
      <c r="AG133" s="43">
        <f>IF(N133,INDEX(Damage!$F$2:$F$151,A133)*R133*S133*V133/1000,"")</f>
        <v>155.89156470588233</v>
      </c>
      <c r="AH133" s="94">
        <f t="shared" si="95"/>
        <v>109.12409529411764</v>
      </c>
      <c r="AI133" s="94">
        <f t="shared" si="96"/>
        <v>202.65903411764702</v>
      </c>
      <c r="AJ133" s="90" t="b">
        <v>0</v>
      </c>
      <c r="AK133" s="6" t="b">
        <f t="array" ref="AK133">IF(AJ133,MAX(IF(Armor!$D$2:'Armor'!$D$7=D133,Armor!$E$2:$E$7),0))</f>
        <v>0</v>
      </c>
      <c r="AL133" s="6">
        <f t="shared" si="69"/>
        <v>0</v>
      </c>
      <c r="AM133" s="71">
        <f>(AL133+AK133)*INDEX(Armor!$B$2:$B$151,A133)+IF(AJ133,1,0)</f>
        <v>0</v>
      </c>
      <c r="AN133" s="71">
        <f>IF(C133="Caster",IF(ISERR(FIND("orb",LOWER(E133))),IF(ISERR(FIND("wand",LOWER(E133))),IF(NOT($D133="Polearm"),0,INDEX(Regeneration!$M$2:$M$151,A133+2)),INDEX(Regeneration!$L$2:$L$151,A133+2)),INDEX(Regeneration!$K$2:$K$151,A133+2)),0)</f>
        <v>0</v>
      </c>
      <c r="AO133" s="71" t="str">
        <f t="shared" si="84"/>
        <v/>
      </c>
      <c r="AP133" s="71" t="str">
        <f>IF(AND($N133,$C133="Caster"),IF(AND(NOT($D133="Polearm"),ISERR(FIND("wand",LOWER($E133)))),0,INDEX(Regeneration!F$2:F$151,A133)*0.06),"")</f>
        <v/>
      </c>
      <c r="AQ133" s="88">
        <f t="shared" si="97"/>
        <v>0.15</v>
      </c>
      <c r="AR133" s="88">
        <f t="shared" si="98"/>
        <v>0.15</v>
      </c>
      <c r="AS133" s="16" t="str">
        <f>IF(D133="Shield",INDEX(Regeneration!$C$2:$C$151,A133+3)*0.5*IF(ISERR(FIND("Rare",B133)),IF(ISERR(FIND("Uncommon",B133)),1,1.5),2.25),"")</f>
        <v/>
      </c>
      <c r="AT133" s="16" t="str">
        <f t="shared" si="85"/>
        <v/>
      </c>
      <c r="AU133" s="16" t="str">
        <f t="shared" si="86"/>
        <v/>
      </c>
      <c r="AV133" s="16" t="str">
        <f t="shared" si="87"/>
        <v/>
      </c>
      <c r="AW133" s="16" t="str">
        <f>IF(D133="Ring",INDEX(Regeneration!$B$6:$B$155,A133)*0.06,"")</f>
        <v/>
      </c>
      <c r="AZ133" s="16" t="str">
        <f t="shared" si="99"/>
        <v/>
      </c>
      <c r="BA133" s="6">
        <f t="shared" si="88"/>
        <v>0.15</v>
      </c>
      <c r="BB133" s="6">
        <f t="shared" si="65"/>
        <v>0.15</v>
      </c>
    </row>
    <row r="134" spans="1:54">
      <c r="A134" s="62">
        <v>35</v>
      </c>
      <c r="B134" s="30" t="s">
        <v>492</v>
      </c>
      <c r="C134" s="30" t="s">
        <v>496</v>
      </c>
      <c r="D134" s="30" t="s">
        <v>488</v>
      </c>
      <c r="E134" s="30" t="s">
        <v>630</v>
      </c>
      <c r="F134" s="30" t="s">
        <v>651</v>
      </c>
      <c r="G134" s="62">
        <f t="shared" si="79"/>
        <v>35</v>
      </c>
      <c r="H134" s="101">
        <v>150</v>
      </c>
      <c r="I134" s="81"/>
      <c r="J134" s="80" t="s">
        <v>672</v>
      </c>
      <c r="K134" s="81" t="str">
        <f t="array" ref="K134">"A"&amp;IF(IF(ISBLANK(I134),OR(LEFT(LOWER(F134),1)={"a","e","I","o","u"}),OR(LEFT(LOWER(I134),1)={"a","e","I","o","u"})),"n "," ")&amp;I134&amp;IF(ISBLANK(I134),""," ")&amp;LOWER(F134)&amp;IF(LEFT(J134,1)="-",""," ")&amp;J134</f>
        <v>An acid-cured set of gauntlets</v>
      </c>
      <c r="L134" s="81">
        <v>1</v>
      </c>
      <c r="M134" s="84">
        <v>44</v>
      </c>
      <c r="N134" s="81" t="s">
        <v>644</v>
      </c>
      <c r="O134" s="93" t="b">
        <f t="shared" si="89"/>
        <v>0</v>
      </c>
      <c r="P134" s="62" t="s">
        <v>490</v>
      </c>
      <c r="Q134" s="62" t="s">
        <v>490</v>
      </c>
      <c r="R134" s="100" t="str">
        <f t="shared" si="70"/>
        <v/>
      </c>
      <c r="S134" s="93" t="str">
        <f t="shared" si="90"/>
        <v/>
      </c>
      <c r="T134" s="98" t="str">
        <f t="shared" si="91"/>
        <v/>
      </c>
      <c r="U134" s="95" t="str">
        <f t="shared" si="92"/>
        <v/>
      </c>
      <c r="V134" s="98" t="str">
        <f t="shared" si="93"/>
        <v/>
      </c>
      <c r="W134" s="6" t="str">
        <f t="shared" si="94"/>
        <v/>
      </c>
      <c r="X134" s="6">
        <v>0</v>
      </c>
      <c r="Y134" s="81" t="b">
        <v>1</v>
      </c>
      <c r="Z134" s="62">
        <f t="shared" si="80"/>
        <v>35</v>
      </c>
      <c r="AA134" s="71" t="str">
        <f t="shared" si="81"/>
        <v/>
      </c>
      <c r="AD134" s="71" t="str">
        <f t="shared" si="82"/>
        <v/>
      </c>
      <c r="AE134" s="71" t="str">
        <f t="shared" si="83"/>
        <v/>
      </c>
      <c r="AF134" s="89"/>
      <c r="AG134" s="43" t="str">
        <f>IF(N134,INDEX(Damage!$F$2:$F$151,A134)*R134*S134*V134/1000,"")</f>
        <v/>
      </c>
      <c r="AH134" s="94" t="str">
        <f t="shared" si="95"/>
        <v/>
      </c>
      <c r="AI134" s="94" t="str">
        <f t="shared" si="96"/>
        <v/>
      </c>
      <c r="AJ134" s="79" t="s">
        <v>645</v>
      </c>
      <c r="AK134" s="6">
        <f t="array" ref="AK134">IF(AJ134,MAX(IF(Armor!$D$2:'Armor'!$D$7=D134,Armor!$E$2:$E$7),0))</f>
        <v>0.04</v>
      </c>
      <c r="AL134" s="6">
        <f t="shared" si="69"/>
        <v>0</v>
      </c>
      <c r="AM134" s="71">
        <f>(AL134+AK134)*INDEX(Armor!$B$2:$B$151,A134)+IF(AJ134,1,0)</f>
        <v>11.16</v>
      </c>
      <c r="AN134" s="71">
        <f>IF(C134="Caster",IF(ISERR(FIND("orb",LOWER(E134))),IF(ISERR(FIND("wand",LOWER(E134))),IF(NOT($D134="Polearm"),0,INDEX(Regeneration!$M$2:$M$151,A134+2)),INDEX(Regeneration!$L$2:$L$151,A134+2)),INDEX(Regeneration!$K$2:$K$151,A134+2)),0)</f>
        <v>0</v>
      </c>
      <c r="AO134" s="71" t="str">
        <f t="shared" si="84"/>
        <v/>
      </c>
      <c r="AP134" s="71" t="str">
        <f>IF(AND($N134,$C134="Caster"),IF(AND(NOT($D134="Polearm"),ISERR(FIND("wand",LOWER($E134)))),0,INDEX(Regeneration!F$2:F$151,A134)*0.06),"")</f>
        <v/>
      </c>
      <c r="AQ134" s="88">
        <f t="shared" si="97"/>
        <v>0</v>
      </c>
      <c r="AR134" s="88">
        <f t="shared" si="98"/>
        <v>0</v>
      </c>
      <c r="AS134" s="16" t="str">
        <f>IF(D134="Shield",INDEX(Regeneration!$C$2:$C$151,A134+3)*0.5*IF(ISERR(FIND("Rare",B134)),IF(ISERR(FIND("Uncommon",B134)),1,1.5),2.25),"")</f>
        <v/>
      </c>
      <c r="AT134" s="16" t="str">
        <f t="shared" si="85"/>
        <v/>
      </c>
      <c r="AU134" s="16" t="str">
        <f t="shared" si="86"/>
        <v/>
      </c>
      <c r="AV134" s="16" t="str">
        <f t="shared" si="87"/>
        <v/>
      </c>
      <c r="AW134" s="16" t="str">
        <f>IF(D134="Ring",INDEX(Regeneration!$B$6:$B$155,A134)*0.06,"")</f>
        <v/>
      </c>
      <c r="AZ134" s="16">
        <f t="shared" si="99"/>
        <v>7.9411764705882355</v>
      </c>
      <c r="BA134" s="6">
        <f t="shared" si="88"/>
        <v>0</v>
      </c>
      <c r="BB134" s="6">
        <f t="shared" si="65"/>
        <v>0</v>
      </c>
    </row>
    <row r="135" spans="1:54">
      <c r="A135" s="62">
        <v>35</v>
      </c>
      <c r="B135" s="30" t="s">
        <v>492</v>
      </c>
      <c r="C135" s="30" t="s">
        <v>496</v>
      </c>
      <c r="D135" s="30" t="s">
        <v>483</v>
      </c>
      <c r="E135" s="30" t="s">
        <v>621</v>
      </c>
      <c r="F135" s="30" t="s">
        <v>651</v>
      </c>
      <c r="G135" s="62">
        <f t="shared" si="79"/>
        <v>35</v>
      </c>
      <c r="H135" s="101">
        <v>150</v>
      </c>
      <c r="I135" s="81"/>
      <c r="J135" s="81" t="str">
        <f t="shared" ref="J135:J140" si="100">LOWER(D135)</f>
        <v>helmet</v>
      </c>
      <c r="K135" s="81" t="str">
        <f t="array" ref="K135">"A"&amp;IF(IF(ISBLANK(I135),OR(LEFT(LOWER(F135),1)={"a","e","I","o","u"}),OR(LEFT(LOWER(I135),1)={"a","e","I","o","u"})),"n "," ")&amp;I135&amp;IF(ISBLANK(I135),""," ")&amp;LOWER(F135)&amp;IF(LEFT(J135,1)="-",""," ")&amp;J135</f>
        <v>An acid helmet</v>
      </c>
      <c r="L135" s="81">
        <v>1</v>
      </c>
      <c r="M135" s="84">
        <v>149</v>
      </c>
      <c r="N135" s="81" t="s">
        <v>644</v>
      </c>
      <c r="O135" s="93" t="b">
        <f t="shared" si="89"/>
        <v>0</v>
      </c>
      <c r="P135" s="62" t="s">
        <v>490</v>
      </c>
      <c r="Q135" s="62" t="s">
        <v>490</v>
      </c>
      <c r="R135" s="100" t="str">
        <f t="shared" si="70"/>
        <v/>
      </c>
      <c r="S135" s="93" t="str">
        <f t="shared" si="90"/>
        <v/>
      </c>
      <c r="T135" s="98" t="str">
        <f t="shared" si="91"/>
        <v/>
      </c>
      <c r="U135" s="95" t="str">
        <f t="shared" si="92"/>
        <v/>
      </c>
      <c r="V135" s="98" t="str">
        <f t="shared" si="93"/>
        <v/>
      </c>
      <c r="W135" s="6" t="str">
        <f t="shared" si="94"/>
        <v/>
      </c>
      <c r="X135" s="6">
        <v>0</v>
      </c>
      <c r="Y135" s="81" t="b">
        <v>1</v>
      </c>
      <c r="Z135" s="62">
        <f t="shared" si="80"/>
        <v>35</v>
      </c>
      <c r="AA135" s="71" t="str">
        <f t="shared" si="81"/>
        <v/>
      </c>
      <c r="AD135" s="71" t="str">
        <f t="shared" si="82"/>
        <v/>
      </c>
      <c r="AE135" s="71" t="str">
        <f t="shared" si="83"/>
        <v/>
      </c>
      <c r="AG135" s="43" t="str">
        <f>IF(N135,INDEX(Damage!$F$2:$F$151,A135)*R135*S135*V135/1000,"")</f>
        <v/>
      </c>
      <c r="AH135" s="94" t="str">
        <f t="shared" si="95"/>
        <v/>
      </c>
      <c r="AI135" s="94" t="str">
        <f t="shared" si="96"/>
        <v/>
      </c>
      <c r="AJ135" s="79" t="s">
        <v>645</v>
      </c>
      <c r="AK135" s="6">
        <f t="array" ref="AK135">IF(AJ135,MAX(IF(Armor!$D$2:'Armor'!$D$7=D135,Armor!$E$2:$E$7),0))</f>
        <v>0.1</v>
      </c>
      <c r="AL135" s="6">
        <f t="shared" si="69"/>
        <v>0</v>
      </c>
      <c r="AM135" s="71">
        <f>(AL135+AK135)*INDEX(Armor!$B$2:$B$151,A135)+IF(AJ135,1,0)</f>
        <v>26.400000000000002</v>
      </c>
      <c r="AN135" s="71">
        <f>IF(C135="Caster",IF(ISERR(FIND("orb",LOWER(E135))),IF(ISERR(FIND("wand",LOWER(E135))),IF(NOT($D135="Polearm"),0,INDEX(Regeneration!$M$2:$M$151,A135+2)),INDEX(Regeneration!$L$2:$L$151,A135+2)),INDEX(Regeneration!$K$2:$K$151,A135+2)),0)</f>
        <v>0</v>
      </c>
      <c r="AO135" s="71" t="str">
        <f t="shared" si="84"/>
        <v/>
      </c>
      <c r="AP135" s="71" t="str">
        <f>IF(AND($N135,$C135="Caster"),IF(AND(NOT($D135="Polearm"),ISERR(FIND("wand",LOWER($E135)))),0,INDEX(Regeneration!F$2:F$151,A135)*0.06),"")</f>
        <v/>
      </c>
      <c r="AQ135" s="88">
        <f t="shared" si="97"/>
        <v>0</v>
      </c>
      <c r="AR135" s="88">
        <f t="shared" si="98"/>
        <v>0</v>
      </c>
      <c r="AS135" s="16" t="str">
        <f>IF(D135="Shield",INDEX(Regeneration!$C$2:$C$151,A135+3)*0.5*IF(ISERR(FIND("Rare",B135)),IF(ISERR(FIND("Uncommon",B135)),1,1.5),2.25),"")</f>
        <v/>
      </c>
      <c r="AT135" s="16" t="str">
        <f t="shared" si="85"/>
        <v/>
      </c>
      <c r="AU135" s="16" t="str">
        <f t="shared" si="86"/>
        <v/>
      </c>
      <c r="AV135" s="16" t="str">
        <f t="shared" si="87"/>
        <v/>
      </c>
      <c r="AW135" s="16" t="str">
        <f>IF(D135="Ring",INDEX(Regeneration!$B$6:$B$155,A135)*0.06,"")</f>
        <v/>
      </c>
      <c r="AZ135" s="16" t="str">
        <f t="shared" si="99"/>
        <v/>
      </c>
      <c r="BA135" s="6">
        <f t="shared" si="88"/>
        <v>0</v>
      </c>
      <c r="BB135" s="6">
        <f t="shared" si="65"/>
        <v>0</v>
      </c>
    </row>
    <row r="136" spans="1:54">
      <c r="A136" s="62">
        <v>35</v>
      </c>
      <c r="B136" s="30" t="s">
        <v>493</v>
      </c>
      <c r="C136" s="30" t="s">
        <v>780</v>
      </c>
      <c r="D136" s="30" t="s">
        <v>473</v>
      </c>
      <c r="E136" s="30" t="s">
        <v>778</v>
      </c>
      <c r="F136" s="30" t="s">
        <v>651</v>
      </c>
      <c r="G136" s="62">
        <f t="shared" si="79"/>
        <v>40</v>
      </c>
      <c r="H136" s="101">
        <v>150</v>
      </c>
      <c r="I136" s="81" t="s">
        <v>662</v>
      </c>
      <c r="J136" s="81" t="str">
        <f t="shared" si="100"/>
        <v>mainhand</v>
      </c>
      <c r="K136" s="81" t="str">
        <f t="array" ref="K136">"A"&amp;IF(IF(ISBLANK(I136),OR(LEFT(LOWER(F136),1)={"a","e","I","o","u"}),OR(LEFT(LOWER(I136),1)={"a","e","I","o","u"})),"n "," ")&amp;I136&amp;IF(ISBLANK(I136),""," ")&amp;LOWER(F136)&amp;IF(LEFT(J136,1)="-",""," ")&amp;J136</f>
        <v>A magical acid mainhand</v>
      </c>
      <c r="L136" s="81">
        <v>1</v>
      </c>
      <c r="M136" s="84">
        <v>1280</v>
      </c>
      <c r="N136" s="81" t="b">
        <v>1</v>
      </c>
      <c r="O136" s="93" t="b">
        <f t="shared" si="89"/>
        <v>0</v>
      </c>
      <c r="P136" s="62" t="s">
        <v>5</v>
      </c>
      <c r="Q136" s="62" t="s">
        <v>506</v>
      </c>
      <c r="R136" s="100">
        <f t="shared" si="70"/>
        <v>0.9</v>
      </c>
      <c r="S136" s="93">
        <f t="shared" si="90"/>
        <v>0.4</v>
      </c>
      <c r="T136" s="98">
        <f t="shared" si="91"/>
        <v>0.7</v>
      </c>
      <c r="U136" s="95">
        <f t="shared" si="92"/>
        <v>1.5</v>
      </c>
      <c r="V136" s="98">
        <f t="shared" si="93"/>
        <v>454.99999999999994</v>
      </c>
      <c r="W136" s="6">
        <f t="shared" si="94"/>
        <v>7.0000000000000007E-2</v>
      </c>
      <c r="X136" s="6">
        <v>0</v>
      </c>
      <c r="Y136" s="81" t="b">
        <v>1</v>
      </c>
      <c r="Z136" s="62">
        <f t="shared" si="80"/>
        <v>35</v>
      </c>
      <c r="AA136" s="71" t="str">
        <f t="shared" si="81"/>
        <v/>
      </c>
      <c r="AD136" s="71">
        <f t="shared" si="82"/>
        <v>22</v>
      </c>
      <c r="AE136" s="71" t="str">
        <f t="shared" si="83"/>
        <v/>
      </c>
      <c r="AG136" s="43">
        <f>IF(N136,INDEX(Damage!$F$2:$F$151,A136)*R136*S136*V136/1000,"")</f>
        <v>29.197082352941177</v>
      </c>
      <c r="AH136" s="94">
        <f t="shared" si="95"/>
        <v>27.153286588235293</v>
      </c>
      <c r="AI136" s="94">
        <f t="shared" si="96"/>
        <v>31.24087811764706</v>
      </c>
      <c r="AJ136" s="90" t="b">
        <v>0</v>
      </c>
      <c r="AK136" s="6" t="b">
        <f t="array" ref="AK136">IF(AJ136,MAX(IF(Armor!$D$2:'Armor'!$D$7=D136,Armor!$E$2:$E$7),0))</f>
        <v>0</v>
      </c>
      <c r="AL136" s="6">
        <f t="shared" si="69"/>
        <v>0.05</v>
      </c>
      <c r="AM136" s="71">
        <f>(AL136+AK136)*INDEX(Armor!$B$2:$B$151,A136)+IF(AJ136,1,0)</f>
        <v>12.700000000000001</v>
      </c>
      <c r="AN136" s="71">
        <f>IF(C136="Caster",IF(ISERR(FIND("orb",LOWER(E136))),IF(ISERR(FIND("wand",LOWER(E136))),IF(NOT($D136="Polearm"),0,INDEX(Regeneration!$M$2:$M$151,A136+2)),INDEX(Regeneration!$L$2:$L$151,A136+2)),INDEX(Regeneration!$K$2:$K$151,A136+2)),0)</f>
        <v>119.03703703703702</v>
      </c>
      <c r="AO136" s="71">
        <f t="shared" si="84"/>
        <v>0</v>
      </c>
      <c r="AP136" s="71">
        <f>IF(AND($N136,$C136="Caster"),IF(AND(NOT($D136="Polearm"),ISERR(FIND("wand",LOWER($E136)))),0,INDEX(Regeneration!F$2:F$151,A136)*0.06),"")</f>
        <v>63.940000000000005</v>
      </c>
      <c r="AQ136" s="88">
        <f t="shared" si="97"/>
        <v>0</v>
      </c>
      <c r="AR136" s="88">
        <f t="shared" si="98"/>
        <v>0</v>
      </c>
      <c r="AS136" s="16" t="str">
        <f>IF(D136="Shield",INDEX(Regeneration!$C$2:$C$151,A136+3)*0.5*IF(ISERR(FIND("Rare",B136)),IF(ISERR(FIND("Uncommon",B136)),1,1.5),2.25),"")</f>
        <v/>
      </c>
      <c r="AT136" s="16">
        <f t="shared" si="85"/>
        <v>120.03703703703702</v>
      </c>
      <c r="AU136" s="16" t="str">
        <f t="shared" si="86"/>
        <v/>
      </c>
      <c r="AV136" s="16" t="str">
        <f t="shared" si="87"/>
        <v/>
      </c>
      <c r="AW136" s="16" t="str">
        <f>IF(D136="Ring",INDEX(Regeneration!$B$6:$B$155,A136)*0.06,"")</f>
        <v/>
      </c>
      <c r="AZ136" s="16" t="str">
        <f t="shared" si="99"/>
        <v/>
      </c>
      <c r="BA136" s="6">
        <f t="shared" si="88"/>
        <v>0</v>
      </c>
      <c r="BB136" s="6">
        <f t="shared" si="65"/>
        <v>0</v>
      </c>
    </row>
    <row r="137" spans="1:54">
      <c r="A137" s="62">
        <v>35</v>
      </c>
      <c r="B137" s="30" t="s">
        <v>492</v>
      </c>
      <c r="C137" s="30" t="s">
        <v>780</v>
      </c>
      <c r="D137" s="30" t="s">
        <v>474</v>
      </c>
      <c r="E137" s="30" t="s">
        <v>769</v>
      </c>
      <c r="F137" s="30" t="s">
        <v>651</v>
      </c>
      <c r="G137" s="62">
        <f t="shared" si="79"/>
        <v>35</v>
      </c>
      <c r="H137" s="101">
        <v>150</v>
      </c>
      <c r="I137" s="81" t="s">
        <v>662</v>
      </c>
      <c r="J137" s="81" t="str">
        <f t="shared" si="100"/>
        <v>offhand item</v>
      </c>
      <c r="K137" s="81" t="str">
        <f t="array" ref="K137">"A"&amp;IF(IF(ISBLANK(I137),OR(LEFT(LOWER(F137),1)={"a","e","I","o","u"}),OR(LEFT(LOWER(I137),1)={"a","e","I","o","u"})),"n "," ")&amp;I137&amp;IF(ISBLANK(I137),""," ")&amp;LOWER(F137)&amp;IF(LEFT(J137,1)="-",""," ")&amp;J137</f>
        <v>A magical acid offhand item</v>
      </c>
      <c r="L137" s="81">
        <v>1</v>
      </c>
      <c r="M137" s="84">
        <v>640</v>
      </c>
      <c r="N137" s="81" t="b">
        <v>0</v>
      </c>
      <c r="O137" s="93" t="b">
        <f t="shared" si="89"/>
        <v>0</v>
      </c>
      <c r="R137" s="100" t="str">
        <f t="shared" si="70"/>
        <v/>
      </c>
      <c r="S137" s="93" t="str">
        <f t="shared" si="90"/>
        <v/>
      </c>
      <c r="T137" s="98" t="str">
        <f t="shared" si="91"/>
        <v/>
      </c>
      <c r="U137" s="95" t="str">
        <f t="shared" si="92"/>
        <v/>
      </c>
      <c r="V137" s="98" t="str">
        <f t="shared" si="93"/>
        <v/>
      </c>
      <c r="W137" s="6" t="str">
        <f t="shared" si="94"/>
        <v/>
      </c>
      <c r="X137" s="6">
        <v>0</v>
      </c>
      <c r="Y137" s="81" t="b">
        <v>1</v>
      </c>
      <c r="Z137" s="62">
        <f t="shared" si="80"/>
        <v>35</v>
      </c>
      <c r="AA137" s="71" t="str">
        <f t="shared" si="81"/>
        <v/>
      </c>
      <c r="AD137" s="71">
        <f t="shared" si="82"/>
        <v>22</v>
      </c>
      <c r="AE137" s="71" t="str">
        <f t="shared" si="83"/>
        <v/>
      </c>
      <c r="AG137" s="43" t="str">
        <f>IF(N137,INDEX(Damage!$F$2:$F$151,A137)*R137*S137*V137/1000,"")</f>
        <v/>
      </c>
      <c r="AH137" s="94" t="str">
        <f t="shared" si="95"/>
        <v/>
      </c>
      <c r="AI137" s="94" t="str">
        <f t="shared" si="96"/>
        <v/>
      </c>
      <c r="AJ137" s="90" t="b">
        <v>0</v>
      </c>
      <c r="AK137" s="6" t="b">
        <f t="array" ref="AK137">IF(AJ137,MAX(IF(Armor!$D$2:'Armor'!$D$7=D137,Armor!$E$2:$E$7),0))</f>
        <v>0</v>
      </c>
      <c r="AL137" s="6">
        <f t="shared" si="69"/>
        <v>0</v>
      </c>
      <c r="AM137" s="71">
        <f>(AL137+AK137)*INDEX(Armor!$B$2:$B$151,A137)+IF(AJ137,1,0)</f>
        <v>0</v>
      </c>
      <c r="AN137" s="71">
        <f>IF(C137="Caster",IF(ISERR(FIND("orb",LOWER(E137))),IF(ISERR(FIND("wand",LOWER(E137))),IF(NOT($D137="Polearm"),0,INDEX(Regeneration!$M$2:$M$151,A137+2)),INDEX(Regeneration!$L$2:$L$151,A137+2)),INDEX(Regeneration!$K$2:$K$151,A137+2)),0)</f>
        <v>95.229629629629628</v>
      </c>
      <c r="AO137" s="71" t="str">
        <f t="shared" si="84"/>
        <v/>
      </c>
      <c r="AP137" s="71" t="str">
        <f>IF(AND($N137,$C137="Caster"),IF(AND(NOT($D137="Polearm"),ISERR(FIND("wand",LOWER($E137)))),0,INDEX(Regeneration!F$2:F$151,A137)*0.06),"")</f>
        <v/>
      </c>
      <c r="AQ137" s="88">
        <f t="shared" si="97"/>
        <v>0</v>
      </c>
      <c r="AR137" s="88">
        <f t="shared" si="98"/>
        <v>0</v>
      </c>
      <c r="AS137" s="16" t="str">
        <f>IF(D137="Shield",INDEX(Regeneration!$C$2:$C$151,A137+3)*0.5*IF(ISERR(FIND("Rare",B137)),IF(ISERR(FIND("Uncommon",B137)),1,1.5),2.25),"")</f>
        <v/>
      </c>
      <c r="AT137" s="16">
        <f t="shared" si="85"/>
        <v>96.229629629629628</v>
      </c>
      <c r="AU137" s="16" t="str">
        <f t="shared" si="86"/>
        <v/>
      </c>
      <c r="AV137" s="16" t="str">
        <f t="shared" si="87"/>
        <v/>
      </c>
      <c r="AW137" s="16" t="str">
        <f>IF(D137="Ring",INDEX(Regeneration!$B$6:$B$155,A137)*0.06,"")</f>
        <v/>
      </c>
      <c r="AZ137" s="16" t="str">
        <f t="shared" si="99"/>
        <v/>
      </c>
      <c r="BA137" s="6">
        <f t="shared" si="88"/>
        <v>0</v>
      </c>
      <c r="BB137" s="6">
        <f t="shared" ref="BB137:BB157" si="101">IF(AR137&lt;&gt;"",AR137*IF(ISERR(FIND("Rare",B137)),IF(ISERR(FIND("Uncommon",B137)),1,1.5),2.25),"")</f>
        <v>0</v>
      </c>
    </row>
    <row r="138" spans="1:54">
      <c r="A138" s="62">
        <v>35</v>
      </c>
      <c r="B138" s="30" t="s">
        <v>492</v>
      </c>
      <c r="C138" s="30" t="s">
        <v>496</v>
      </c>
      <c r="D138" s="30" t="s">
        <v>478</v>
      </c>
      <c r="E138" s="30" t="s">
        <v>625</v>
      </c>
      <c r="F138" s="30" t="s">
        <v>651</v>
      </c>
      <c r="G138" s="62">
        <f t="shared" si="79"/>
        <v>35</v>
      </c>
      <c r="H138" s="101">
        <v>150</v>
      </c>
      <c r="I138" s="81"/>
      <c r="J138" s="81" t="str">
        <f t="shared" si="100"/>
        <v>polearm</v>
      </c>
      <c r="K138" s="81" t="str">
        <f t="array" ref="K138">"A"&amp;IF(IF(ISBLANK(I138),OR(LEFT(LOWER(F138),1)={"a","e","I","o","u"}),OR(LEFT(LOWER(I138),1)={"a","e","I","o","u"})),"n "," ")&amp;I138&amp;IF(ISBLANK(I138),""," ")&amp;LOWER(F138)&amp;IF(LEFT(J138,1)="-",""," ")&amp;J138</f>
        <v>An acid polearm</v>
      </c>
      <c r="L138" s="81">
        <v>1</v>
      </c>
      <c r="M138" s="84">
        <v>324</v>
      </c>
      <c r="N138" s="81" t="s">
        <v>645</v>
      </c>
      <c r="O138" s="93" t="b">
        <f t="shared" si="89"/>
        <v>0</v>
      </c>
      <c r="P138" s="62" t="s">
        <v>7</v>
      </c>
      <c r="Q138" s="62" t="s">
        <v>505</v>
      </c>
      <c r="R138" s="100">
        <f t="shared" si="70"/>
        <v>1.1499999999999999</v>
      </c>
      <c r="S138" s="93">
        <f t="shared" si="90"/>
        <v>1</v>
      </c>
      <c r="T138" s="98">
        <f t="shared" si="91"/>
        <v>1.3</v>
      </c>
      <c r="U138" s="95">
        <f t="shared" si="92"/>
        <v>2.5</v>
      </c>
      <c r="V138" s="98">
        <f t="shared" si="93"/>
        <v>845</v>
      </c>
      <c r="W138" s="6">
        <f t="shared" si="94"/>
        <v>0.3</v>
      </c>
      <c r="X138" s="6">
        <v>0</v>
      </c>
      <c r="Y138" s="81" t="b">
        <v>1</v>
      </c>
      <c r="Z138" s="62">
        <f t="shared" si="80"/>
        <v>35</v>
      </c>
      <c r="AA138" s="71" t="str">
        <f t="shared" si="81"/>
        <v/>
      </c>
      <c r="AD138" s="71" t="str">
        <f t="shared" si="82"/>
        <v/>
      </c>
      <c r="AE138" s="71" t="str">
        <f t="shared" si="83"/>
        <v/>
      </c>
      <c r="AG138" s="43">
        <f>IF(N138,INDEX(Damage!$F$2:$F$151,A138)*R138*S138*V138/1000,"")</f>
        <v>173.21284967320258</v>
      </c>
      <c r="AH138" s="94">
        <f t="shared" si="95"/>
        <v>121.24899477124181</v>
      </c>
      <c r="AI138" s="94">
        <f t="shared" si="96"/>
        <v>225.17670457516334</v>
      </c>
      <c r="AJ138" s="79" t="s">
        <v>644</v>
      </c>
      <c r="AK138" s="6" t="b">
        <f t="array" ref="AK138">IF(AJ138,MAX(IF(Armor!$D$2:'Armor'!$D$7=D138,Armor!$E$2:$E$7),0))</f>
        <v>0</v>
      </c>
      <c r="AL138" s="6">
        <f t="shared" si="69"/>
        <v>0</v>
      </c>
      <c r="AM138" s="71">
        <f>(AL138+AK138)*INDEX(Armor!$B$2:$B$151,A138)+IF(AJ138,1,0)</f>
        <v>0</v>
      </c>
      <c r="AN138" s="71">
        <f>IF(C138="Caster",IF(ISERR(FIND("orb",LOWER(E138))),IF(ISERR(FIND("wand",LOWER(E138))),IF(NOT($D138="Polearm"),0,INDEX(Regeneration!$M$2:$M$151,A138+2)),INDEX(Regeneration!$L$2:$L$151,A138+2)),INDEX(Regeneration!$K$2:$K$151,A138+2)),0)</f>
        <v>0</v>
      </c>
      <c r="AO138" s="71" t="str">
        <f t="shared" si="84"/>
        <v/>
      </c>
      <c r="AP138" s="71" t="str">
        <f>IF(AND($N138,$C138="Caster"),IF(AND(NOT($D138="Polearm"),ISERR(FIND("wand",LOWER($E138)))),0,INDEX(Regeneration!F$2:F$151,A138)*0.06),"")</f>
        <v/>
      </c>
      <c r="AQ138" s="88">
        <f t="shared" si="97"/>
        <v>0.15</v>
      </c>
      <c r="AR138" s="88">
        <f t="shared" si="98"/>
        <v>0.15</v>
      </c>
      <c r="AS138" s="16" t="str">
        <f>IF(D138="Shield",INDEX(Regeneration!$C$2:$C$151,A138+3)*0.5*IF(ISERR(FIND("Rare",B138)),IF(ISERR(FIND("Uncommon",B138)),1,1.5),2.25),"")</f>
        <v/>
      </c>
      <c r="AT138" s="16" t="str">
        <f t="shared" si="85"/>
        <v/>
      </c>
      <c r="AU138" s="16" t="str">
        <f t="shared" si="86"/>
        <v/>
      </c>
      <c r="AV138" s="16" t="str">
        <f t="shared" si="87"/>
        <v/>
      </c>
      <c r="AW138" s="16" t="str">
        <f>IF(D138="Ring",INDEX(Regeneration!$B$6:$B$155,A138)*0.06,"")</f>
        <v/>
      </c>
      <c r="AZ138" s="16" t="str">
        <f t="shared" si="99"/>
        <v/>
      </c>
      <c r="BA138" s="6">
        <f t="shared" si="88"/>
        <v>0.15</v>
      </c>
      <c r="BB138" s="6">
        <f t="shared" si="101"/>
        <v>0.15</v>
      </c>
    </row>
    <row r="139" spans="1:54">
      <c r="A139" s="62">
        <v>35</v>
      </c>
      <c r="B139" s="30" t="s">
        <v>493</v>
      </c>
      <c r="C139" s="30" t="s">
        <v>496</v>
      </c>
      <c r="D139" s="30" t="s">
        <v>485</v>
      </c>
      <c r="E139" s="30" t="s">
        <v>628</v>
      </c>
      <c r="F139" s="30" t="s">
        <v>651</v>
      </c>
      <c r="G139" s="62">
        <f t="shared" si="79"/>
        <v>40</v>
      </c>
      <c r="H139" s="101">
        <v>150</v>
      </c>
      <c r="I139" s="81"/>
      <c r="J139" s="81" t="str">
        <f t="shared" si="100"/>
        <v>ring</v>
      </c>
      <c r="K139" s="81" t="str">
        <f t="array" ref="K139">"A"&amp;IF(IF(ISBLANK(I139),OR(LEFT(LOWER(F139),1)={"a","e","I","o","u"}),OR(LEFT(LOWER(I139),1)={"a","e","I","o","u"})),"n "," ")&amp;I139&amp;IF(ISBLANK(I139),""," ")&amp;LOWER(F139)&amp;IF(LEFT(J139,1)="-",""," ")&amp;J139</f>
        <v>An acid ring</v>
      </c>
      <c r="L139" s="81">
        <v>1</v>
      </c>
      <c r="M139" s="84">
        <v>884</v>
      </c>
      <c r="N139" s="81" t="s">
        <v>644</v>
      </c>
      <c r="O139" s="93" t="b">
        <f t="shared" si="89"/>
        <v>0</v>
      </c>
      <c r="P139" s="62" t="s">
        <v>490</v>
      </c>
      <c r="Q139" s="62" t="s">
        <v>490</v>
      </c>
      <c r="R139" s="100" t="str">
        <f t="shared" si="70"/>
        <v/>
      </c>
      <c r="S139" s="93" t="str">
        <f t="shared" si="90"/>
        <v/>
      </c>
      <c r="T139" s="98" t="str">
        <f t="shared" si="91"/>
        <v/>
      </c>
      <c r="U139" s="95" t="str">
        <f t="shared" si="92"/>
        <v/>
      </c>
      <c r="V139" s="98" t="str">
        <f t="shared" si="93"/>
        <v/>
      </c>
      <c r="W139" s="6" t="str">
        <f t="shared" si="94"/>
        <v/>
      </c>
      <c r="X139" s="6">
        <v>0</v>
      </c>
      <c r="Y139" s="81" t="b">
        <v>1</v>
      </c>
      <c r="Z139" s="62">
        <f t="shared" si="80"/>
        <v>35</v>
      </c>
      <c r="AA139" s="71" t="str">
        <f t="shared" si="81"/>
        <v/>
      </c>
      <c r="AD139" s="71" t="str">
        <f t="shared" si="82"/>
        <v/>
      </c>
      <c r="AE139" s="71" t="str">
        <f t="shared" si="83"/>
        <v/>
      </c>
      <c r="AG139" s="43" t="str">
        <f>IF(N139,INDEX(Damage!$F$2:$F$151,A139)*R139*S139*V139/1000,"")</f>
        <v/>
      </c>
      <c r="AH139" s="94" t="str">
        <f t="shared" si="95"/>
        <v/>
      </c>
      <c r="AI139" s="94" t="str">
        <f t="shared" si="96"/>
        <v/>
      </c>
      <c r="AJ139" s="79" t="s">
        <v>644</v>
      </c>
      <c r="AK139" s="6" t="b">
        <f t="array" ref="AK139">IF(AJ139,MAX(IF(Armor!$D$2:'Armor'!$D$7=D139,Armor!$E$2:$E$7),0))</f>
        <v>0</v>
      </c>
      <c r="AL139" s="6">
        <f t="shared" si="69"/>
        <v>0.05</v>
      </c>
      <c r="AM139" s="71">
        <f>(AL139+AK139)*INDEX(Armor!$B$2:$B$151,A139)+IF(AJ139,1,0)</f>
        <v>12.700000000000001</v>
      </c>
      <c r="AN139" s="71">
        <f>IF(C139="Caster",IF(ISERR(FIND("orb",LOWER(E139))),IF(ISERR(FIND("wand",LOWER(E139))),IF(NOT($D139="Polearm"),0,INDEX(Regeneration!$M$2:$M$151,A139+2)),INDEX(Regeneration!$L$2:$L$151,A139+2)),INDEX(Regeneration!$K$2:$K$151,A139+2)),0)</f>
        <v>0</v>
      </c>
      <c r="AO139" s="71" t="str">
        <f t="shared" si="84"/>
        <v/>
      </c>
      <c r="AP139" s="71" t="str">
        <f>IF(AND($N139,$C139="Caster"),IF(AND(NOT($D139="Polearm"),ISERR(FIND("wand",LOWER($E139)))),0,INDEX(Regeneration!F$2:F$151,A139)*0.06),"")</f>
        <v/>
      </c>
      <c r="AQ139" s="88">
        <f t="shared" si="97"/>
        <v>0</v>
      </c>
      <c r="AR139" s="88">
        <f t="shared" si="98"/>
        <v>0</v>
      </c>
      <c r="AS139" s="16" t="str">
        <f>IF(D139="Shield",INDEX(Regeneration!$C$2:$C$151,A139+3)*0.5*IF(ISERR(FIND("Rare",B139)),IF(ISERR(FIND("Uncommon",B139)),1,1.5),2.25),"")</f>
        <v/>
      </c>
      <c r="AT139" s="16" t="str">
        <f t="shared" si="85"/>
        <v/>
      </c>
      <c r="AU139" s="16" t="str">
        <f t="shared" si="86"/>
        <v/>
      </c>
      <c r="AV139" s="16">
        <f t="shared" si="87"/>
        <v>5</v>
      </c>
      <c r="AW139" s="16">
        <f>IF(D139="Ring",INDEX(Regeneration!$B$6:$B$155,A139)*0.06,"")</f>
        <v>76.010000000000005</v>
      </c>
      <c r="AZ139" s="16" t="str">
        <f t="shared" si="99"/>
        <v/>
      </c>
      <c r="BA139" s="6">
        <f t="shared" si="88"/>
        <v>0</v>
      </c>
      <c r="BB139" s="6">
        <f t="shared" si="101"/>
        <v>0</v>
      </c>
    </row>
    <row r="140" spans="1:54">
      <c r="A140" s="62">
        <v>35</v>
      </c>
      <c r="B140" s="30" t="s">
        <v>492</v>
      </c>
      <c r="C140" s="30" t="s">
        <v>496</v>
      </c>
      <c r="D140" s="30" t="s">
        <v>475</v>
      </c>
      <c r="E140" s="30" t="s">
        <v>622</v>
      </c>
      <c r="F140" s="30" t="s">
        <v>651</v>
      </c>
      <c r="G140" s="62">
        <f t="shared" si="79"/>
        <v>35</v>
      </c>
      <c r="H140" s="101">
        <v>150</v>
      </c>
      <c r="I140" s="81"/>
      <c r="J140" s="81" t="str">
        <f t="shared" si="100"/>
        <v>shield</v>
      </c>
      <c r="K140" s="81" t="str">
        <f t="array" ref="K140">"A"&amp;IF(IF(ISBLANK(I140),OR(LEFT(LOWER(F140),1)={"a","e","I","o","u"}),OR(LEFT(LOWER(I140),1)={"a","e","I","o","u"})),"n "," ")&amp;I140&amp;IF(ISBLANK(I140),""," ")&amp;LOWER(F140)&amp;IF(LEFT(J140,1)="-",""," ")&amp;J140</f>
        <v>An acid shield</v>
      </c>
      <c r="L140" s="81">
        <v>1</v>
      </c>
      <c r="M140" s="84">
        <v>324</v>
      </c>
      <c r="N140" s="81" t="s">
        <v>644</v>
      </c>
      <c r="O140" s="93" t="b">
        <f t="shared" si="89"/>
        <v>0</v>
      </c>
      <c r="P140" s="62" t="s">
        <v>490</v>
      </c>
      <c r="Q140" s="62" t="s">
        <v>490</v>
      </c>
      <c r="R140" s="100" t="str">
        <f t="shared" si="70"/>
        <v/>
      </c>
      <c r="S140" s="93" t="str">
        <f t="shared" si="90"/>
        <v/>
      </c>
      <c r="T140" s="98" t="str">
        <f t="shared" si="91"/>
        <v/>
      </c>
      <c r="U140" s="95" t="str">
        <f t="shared" si="92"/>
        <v/>
      </c>
      <c r="V140" s="98" t="str">
        <f t="shared" si="93"/>
        <v/>
      </c>
      <c r="W140" s="6" t="str">
        <f t="shared" si="94"/>
        <v/>
      </c>
      <c r="X140" s="6">
        <v>0</v>
      </c>
      <c r="Y140" s="81" t="b">
        <v>1</v>
      </c>
      <c r="Z140" s="62">
        <f t="shared" si="80"/>
        <v>35</v>
      </c>
      <c r="AA140" s="71" t="str">
        <f t="shared" si="81"/>
        <v/>
      </c>
      <c r="AD140" s="71" t="str">
        <f t="shared" si="82"/>
        <v/>
      </c>
      <c r="AE140" s="71" t="str">
        <f t="shared" si="83"/>
        <v/>
      </c>
      <c r="AG140" s="43" t="str">
        <f>IF(N140,INDEX(Damage!$F$2:$F$151,A140)*R140*S140*V140/1000,"")</f>
        <v/>
      </c>
      <c r="AH140" s="94" t="str">
        <f t="shared" si="95"/>
        <v/>
      </c>
      <c r="AI140" s="94" t="str">
        <f t="shared" si="96"/>
        <v/>
      </c>
      <c r="AJ140" s="79" t="s">
        <v>645</v>
      </c>
      <c r="AK140" s="6">
        <f t="array" ref="AK140">IF(AJ140,MAX(IF(Armor!$D$2:'Armor'!$D$7=D140,Armor!$E$2:$E$7),0))</f>
        <v>0.25</v>
      </c>
      <c r="AL140" s="6">
        <f t="shared" si="69"/>
        <v>0</v>
      </c>
      <c r="AM140" s="71">
        <f>(AL140+AK140)*INDEX(Armor!$B$2:$B$151,A140)+IF(AJ140,1,0)</f>
        <v>64.5</v>
      </c>
      <c r="AN140" s="71">
        <f>IF(C140="Caster",IF(ISERR(FIND("orb",LOWER(E140))),IF(ISERR(FIND("wand",LOWER(E140))),IF(NOT($D140="Polearm"),0,INDEX(Regeneration!$M$2:$M$151,A140+2)),INDEX(Regeneration!$L$2:$L$151,A140+2)),INDEX(Regeneration!$K$2:$K$151,A140+2)),0)</f>
        <v>0</v>
      </c>
      <c r="AO140" s="71" t="str">
        <f t="shared" si="84"/>
        <v/>
      </c>
      <c r="AP140" s="71" t="str">
        <f>IF(AND($N140,$C140="Caster"),IF(AND(NOT($D140="Polearm"),ISERR(FIND("wand",LOWER($E140)))),0,INDEX(Regeneration!F$2:F$151,A140)*0.06),"")</f>
        <v/>
      </c>
      <c r="AQ140" s="88">
        <f t="shared" si="97"/>
        <v>0</v>
      </c>
      <c r="AR140" s="88">
        <f t="shared" si="98"/>
        <v>0</v>
      </c>
      <c r="AS140" s="16">
        <f>IF(D140="Shield",INDEX(Regeneration!$C$2:$C$151,A140+3)*0.5*IF(ISERR(FIND("Rare",B140)),IF(ISERR(FIND("Uncommon",B140)),1,1.5),2.25),"")</f>
        <v>132.69135802469134</v>
      </c>
      <c r="AT140" s="16" t="str">
        <f t="shared" si="85"/>
        <v/>
      </c>
      <c r="AU140" s="16" t="str">
        <f t="shared" si="86"/>
        <v/>
      </c>
      <c r="AV140" s="16" t="str">
        <f t="shared" si="87"/>
        <v/>
      </c>
      <c r="AW140" s="16" t="str">
        <f>IF(D140="Ring",INDEX(Regeneration!$B$6:$B$155,A140)*0.06,"")</f>
        <v/>
      </c>
      <c r="AZ140" s="16" t="str">
        <f t="shared" si="99"/>
        <v/>
      </c>
      <c r="BA140" s="6">
        <f t="shared" si="88"/>
        <v>0</v>
      </c>
      <c r="BB140" s="6">
        <f t="shared" si="101"/>
        <v>0</v>
      </c>
    </row>
    <row r="141" spans="1:54">
      <c r="A141" s="62">
        <v>35</v>
      </c>
      <c r="B141" s="30" t="s">
        <v>492</v>
      </c>
      <c r="C141" s="30" t="s">
        <v>10</v>
      </c>
      <c r="D141" s="30" t="s">
        <v>476</v>
      </c>
      <c r="E141" s="30" t="s">
        <v>626</v>
      </c>
      <c r="F141" s="30" t="s">
        <v>651</v>
      </c>
      <c r="G141" s="62">
        <f t="shared" si="79"/>
        <v>35</v>
      </c>
      <c r="H141" s="101">
        <v>150</v>
      </c>
      <c r="I141" s="81"/>
      <c r="J141" s="81" t="s">
        <v>668</v>
      </c>
      <c r="K141" s="81" t="str">
        <f t="array" ref="K141">"A"&amp;IF(IF(ISBLANK(I141),OR(LEFT(LOWER(F141),1)={"a","e","I","o","u"}),OR(LEFT(LOWER(I141),1)={"a","e","I","o","u"})),"n "," ")&amp;I141&amp;IF(ISBLANK(I141),""," ")&amp;LOWER(F141)&amp;IF(LEFT(J141,1)="-",""," ")&amp;J141</f>
        <v>An acid throwing weapon</v>
      </c>
      <c r="L141" s="81">
        <v>1</v>
      </c>
      <c r="M141" s="84">
        <v>44</v>
      </c>
      <c r="N141" s="62" t="s">
        <v>645</v>
      </c>
      <c r="O141" s="93" t="b">
        <f t="shared" si="89"/>
        <v>1</v>
      </c>
      <c r="P141" s="62" t="s">
        <v>504</v>
      </c>
      <c r="Q141" s="81" t="s">
        <v>506</v>
      </c>
      <c r="R141" s="100">
        <f t="shared" si="70"/>
        <v>0.81</v>
      </c>
      <c r="S141" s="93">
        <f t="shared" si="90"/>
        <v>1</v>
      </c>
      <c r="T141" s="98">
        <f t="shared" si="91"/>
        <v>0.7</v>
      </c>
      <c r="U141" s="95">
        <f t="shared" si="92"/>
        <v>8</v>
      </c>
      <c r="V141" s="98">
        <f t="shared" si="93"/>
        <v>454.99999999999994</v>
      </c>
      <c r="W141" s="6">
        <f t="shared" si="94"/>
        <v>0.15</v>
      </c>
      <c r="X141" s="6">
        <v>0</v>
      </c>
      <c r="Y141" s="81" t="b">
        <v>1</v>
      </c>
      <c r="Z141" s="62">
        <f t="shared" si="80"/>
        <v>35</v>
      </c>
      <c r="AA141" s="71">
        <f t="shared" si="81"/>
        <v>22</v>
      </c>
      <c r="AD141" s="71" t="str">
        <f t="shared" si="82"/>
        <v/>
      </c>
      <c r="AE141" s="71" t="str">
        <f t="shared" si="83"/>
        <v/>
      </c>
      <c r="AG141" s="43">
        <f>IF(N141,INDEX(Damage!$F$2:$F$151,A141)*R141*S141*V141/1000,"")</f>
        <v>65.693435294117634</v>
      </c>
      <c r="AH141" s="94">
        <f t="shared" si="95"/>
        <v>55.83941999999999</v>
      </c>
      <c r="AI141" s="94">
        <f t="shared" si="96"/>
        <v>75.547450588235279</v>
      </c>
      <c r="AJ141" s="79" t="s">
        <v>644</v>
      </c>
      <c r="AK141" s="6" t="b">
        <f t="array" ref="AK141">IF(AJ141,MAX(IF(Armor!$D$2:'Armor'!$D$7=D141,Armor!$E$2:$E$7),0))</f>
        <v>0</v>
      </c>
      <c r="AL141" s="6">
        <f t="shared" si="69"/>
        <v>0</v>
      </c>
      <c r="AM141" s="71">
        <f>(AL141+AK141)*INDEX(Armor!$B$2:$B$151,A141)+IF(AJ141,1,0)</f>
        <v>0</v>
      </c>
      <c r="AN141" s="71">
        <f>IF(C141="Caster",IF(ISERR(FIND("orb",LOWER(E141))),IF(ISERR(FIND("wand",LOWER(E141))),IF(NOT($D141="Polearm"),0,INDEX(Regeneration!$M$2:$M$151,A141+2)),INDEX(Regeneration!$L$2:$L$151,A141+2)),INDEX(Regeneration!$K$2:$K$151,A141+2)),0)</f>
        <v>0</v>
      </c>
      <c r="AO141" s="71" t="str">
        <f t="shared" si="84"/>
        <v/>
      </c>
      <c r="AP141" s="71" t="str">
        <f>IF(AND($N141,$C141="Caster"),IF(AND(NOT($D141="Polearm"),ISERR(FIND("wand",LOWER($E141)))),0,INDEX(Regeneration!F$2:F$151,A141)*0.06),"")</f>
        <v/>
      </c>
      <c r="AQ141" s="88">
        <f t="shared" si="97"/>
        <v>0.05</v>
      </c>
      <c r="AR141" s="88">
        <f t="shared" si="98"/>
        <v>0.05</v>
      </c>
      <c r="AS141" s="16" t="str">
        <f>IF(D141="Shield",INDEX(Regeneration!$C$2:$C$151,A141+3)*0.5*IF(ISERR(FIND("Rare",B141)),IF(ISERR(FIND("Uncommon",B141)),1,1.5),2.25),"")</f>
        <v/>
      </c>
      <c r="AT141" s="16" t="str">
        <f t="shared" si="85"/>
        <v/>
      </c>
      <c r="AU141" s="16" t="str">
        <f t="shared" si="86"/>
        <v/>
      </c>
      <c r="AV141" s="16" t="str">
        <f t="shared" si="87"/>
        <v/>
      </c>
      <c r="AW141" s="16" t="str">
        <f>IF(D141="Ring",INDEX(Regeneration!$B$6:$B$155,A141)*0.06,"")</f>
        <v/>
      </c>
      <c r="AZ141" s="16" t="str">
        <f t="shared" si="99"/>
        <v/>
      </c>
      <c r="BA141" s="6">
        <f t="shared" si="88"/>
        <v>0.05</v>
      </c>
      <c r="BB141" s="6">
        <f t="shared" si="101"/>
        <v>0.05</v>
      </c>
    </row>
    <row r="142" spans="1:54">
      <c r="A142" s="62">
        <v>40</v>
      </c>
      <c r="B142" s="30" t="s">
        <v>492</v>
      </c>
      <c r="C142" s="30" t="s">
        <v>10</v>
      </c>
      <c r="D142" s="30" t="s">
        <v>472</v>
      </c>
      <c r="E142" s="30" t="s">
        <v>635</v>
      </c>
      <c r="F142" s="30" t="s">
        <v>652</v>
      </c>
      <c r="G142" s="62">
        <f t="shared" si="79"/>
        <v>40</v>
      </c>
      <c r="H142" s="101">
        <v>150</v>
      </c>
      <c r="I142" s="81"/>
      <c r="J142" s="81" t="s">
        <v>685</v>
      </c>
      <c r="K142" s="81" t="str">
        <f t="array" ref="K142">"A"&amp;IF(IF(ISBLANK(I142),OR(LEFT(LOWER(F142),1)={"a","e","I","o","u"}),OR(LEFT(LOWER(I142),1)={"a","e","I","o","u"})),"n "," ")&amp;I142&amp;IF(ISBLANK(I142),""," ")&amp;LOWER(F142)&amp;IF(LEFT(J142,1)="-",""," ")&amp;J142</f>
        <v>An ice weapon</v>
      </c>
      <c r="L142" s="81">
        <v>1</v>
      </c>
      <c r="M142" s="84">
        <v>49</v>
      </c>
      <c r="N142" s="81" t="s">
        <v>645</v>
      </c>
      <c r="O142" s="93" t="b">
        <f t="shared" si="89"/>
        <v>0</v>
      </c>
      <c r="P142" s="81" t="s">
        <v>504</v>
      </c>
      <c r="Q142" s="81" t="s">
        <v>506</v>
      </c>
      <c r="R142" s="100">
        <f t="shared" si="70"/>
        <v>0.9</v>
      </c>
      <c r="S142" s="93">
        <f t="shared" si="90"/>
        <v>1</v>
      </c>
      <c r="T142" s="98">
        <f t="shared" si="91"/>
        <v>0.7</v>
      </c>
      <c r="U142" s="95">
        <f t="shared" si="92"/>
        <v>2</v>
      </c>
      <c r="V142" s="98">
        <f t="shared" si="93"/>
        <v>454.99999999999994</v>
      </c>
      <c r="W142" s="6">
        <f t="shared" si="94"/>
        <v>0.15</v>
      </c>
      <c r="X142" s="6">
        <v>0</v>
      </c>
      <c r="Y142" s="81" t="b">
        <v>1</v>
      </c>
      <c r="Z142" s="62">
        <f t="shared" si="80"/>
        <v>40</v>
      </c>
      <c r="AA142" s="71">
        <f t="shared" si="81"/>
        <v>28</v>
      </c>
      <c r="AD142" s="71" t="str">
        <f t="shared" si="82"/>
        <v/>
      </c>
      <c r="AE142" s="71" t="str">
        <f t="shared" si="83"/>
        <v/>
      </c>
      <c r="AG142" s="43">
        <f>IF(N142,INDEX(Damage!$F$2:$F$151,A142)*R142*S142*V142/1000,"")</f>
        <v>83.839736842105253</v>
      </c>
      <c r="AH142" s="94">
        <f t="shared" si="95"/>
        <v>71.263776315789471</v>
      </c>
      <c r="AI142" s="94">
        <f t="shared" si="96"/>
        <v>96.415697368421036</v>
      </c>
      <c r="AJ142" s="79" t="s">
        <v>644</v>
      </c>
      <c r="AK142" s="6" t="b">
        <f t="array" ref="AK142">IF(AJ142,MAX(IF(Armor!$D$2:'Armor'!$D$7=D142,Armor!$E$2:$E$7),0))</f>
        <v>0</v>
      </c>
      <c r="AL142" s="6">
        <f t="shared" si="69"/>
        <v>0</v>
      </c>
      <c r="AM142" s="71">
        <f>(AL142+AK142)*INDEX(Armor!$B$2:$B$151,A142)+IF(AJ142,1,0)</f>
        <v>0</v>
      </c>
      <c r="AN142" s="71">
        <f>IF(C142="Caster",IF(ISERR(FIND("orb",LOWER(E142))),IF(ISERR(FIND("wand",LOWER(E142))),IF(NOT($D142="Polearm"),0,INDEX(Regeneration!$M$2:$M$151,A142+2)),INDEX(Regeneration!$L$2:$L$151,A142+2)),INDEX(Regeneration!$K$2:$K$151,A142+2)),0)</f>
        <v>0</v>
      </c>
      <c r="AO142" s="71" t="str">
        <f t="shared" si="84"/>
        <v/>
      </c>
      <c r="AP142" s="71" t="str">
        <f>IF(AND($N142,$C142="Caster"),IF(AND(NOT($D142="Polearm"),ISERR(FIND("wand",LOWER($E142)))),0,INDEX(Regeneration!F$2:F$151,A142)*0.06),"")</f>
        <v/>
      </c>
      <c r="AQ142" s="88">
        <f t="shared" si="97"/>
        <v>0.05</v>
      </c>
      <c r="AR142" s="88">
        <f t="shared" si="98"/>
        <v>0.05</v>
      </c>
      <c r="AS142" s="16" t="str">
        <f>IF(D142="Shield",INDEX(Regeneration!$C$2:$C$151,A142+3)*0.5*IF(ISERR(FIND("Rare",B142)),IF(ISERR(FIND("Uncommon",B142)),1,1.5),2.25),"")</f>
        <v/>
      </c>
      <c r="AT142" s="16" t="str">
        <f t="shared" si="85"/>
        <v/>
      </c>
      <c r="AU142" s="16" t="str">
        <f t="shared" si="86"/>
        <v/>
      </c>
      <c r="AV142" s="16" t="str">
        <f t="shared" si="87"/>
        <v/>
      </c>
      <c r="AW142" s="16" t="str">
        <f>IF(D142="Ring",INDEX(Regeneration!$B$6:$B$155,A142)*0.06,"")</f>
        <v/>
      </c>
      <c r="AZ142" s="16" t="str">
        <f t="shared" si="99"/>
        <v/>
      </c>
      <c r="BA142" s="6">
        <f t="shared" si="88"/>
        <v>0.05</v>
      </c>
      <c r="BB142" s="6">
        <f t="shared" si="101"/>
        <v>0.05</v>
      </c>
    </row>
    <row r="143" spans="1:54">
      <c r="A143" s="62">
        <v>40</v>
      </c>
      <c r="B143" s="30" t="s">
        <v>492</v>
      </c>
      <c r="C143" s="30" t="s">
        <v>10</v>
      </c>
      <c r="D143" s="30" t="s">
        <v>472</v>
      </c>
      <c r="E143" s="30" t="s">
        <v>636</v>
      </c>
      <c r="F143" s="30" t="s">
        <v>652</v>
      </c>
      <c r="G143" s="62">
        <f t="shared" si="79"/>
        <v>40</v>
      </c>
      <c r="H143" s="101">
        <v>150</v>
      </c>
      <c r="I143" s="81"/>
      <c r="J143" s="81" t="s">
        <v>685</v>
      </c>
      <c r="K143" s="81" t="str">
        <f t="array" ref="K143">"A"&amp;IF(IF(ISBLANK(I143),OR(LEFT(LOWER(F143),1)={"a","e","I","o","u"}),OR(LEFT(LOWER(I143),1)={"a","e","I","o","u"})),"n "," ")&amp;I143&amp;IF(ISBLANK(I143),""," ")&amp;LOWER(F143)&amp;IF(LEFT(J143,1)="-",""," ")&amp;J143</f>
        <v>An ice weapon</v>
      </c>
      <c r="L143" s="81">
        <v>1</v>
      </c>
      <c r="M143" s="84">
        <v>49</v>
      </c>
      <c r="N143" s="81" t="s">
        <v>645</v>
      </c>
      <c r="O143" s="93" t="b">
        <f t="shared" si="89"/>
        <v>0</v>
      </c>
      <c r="P143" s="81" t="s">
        <v>504</v>
      </c>
      <c r="Q143" s="81" t="s">
        <v>643</v>
      </c>
      <c r="R143" s="100">
        <f t="shared" si="70"/>
        <v>1</v>
      </c>
      <c r="S143" s="93">
        <f t="shared" si="90"/>
        <v>1</v>
      </c>
      <c r="T143" s="98">
        <f t="shared" si="91"/>
        <v>1</v>
      </c>
      <c r="U143" s="95">
        <f t="shared" si="92"/>
        <v>2</v>
      </c>
      <c r="V143" s="98">
        <f t="shared" si="93"/>
        <v>650</v>
      </c>
      <c r="W143" s="6">
        <f t="shared" si="94"/>
        <v>0.18</v>
      </c>
      <c r="X143" s="6">
        <v>0</v>
      </c>
      <c r="Y143" s="81" t="b">
        <v>1</v>
      </c>
      <c r="Z143" s="62">
        <f t="shared" si="80"/>
        <v>40</v>
      </c>
      <c r="AA143" s="71">
        <f t="shared" si="81"/>
        <v>28</v>
      </c>
      <c r="AD143" s="71" t="str">
        <f t="shared" si="82"/>
        <v/>
      </c>
      <c r="AE143" s="71" t="str">
        <f t="shared" si="83"/>
        <v/>
      </c>
      <c r="AG143" s="43">
        <f>IF(N143,INDEX(Damage!$F$2:$F$151,A143)*R143*S143*V143/1000,"")</f>
        <v>133.07894736842104</v>
      </c>
      <c r="AH143" s="94">
        <f t="shared" si="95"/>
        <v>109.12473684210525</v>
      </c>
      <c r="AI143" s="94">
        <f t="shared" si="96"/>
        <v>157.03315789473683</v>
      </c>
      <c r="AJ143" s="79" t="s">
        <v>644</v>
      </c>
      <c r="AK143" s="6" t="b">
        <f t="array" ref="AK143">IF(AJ143,MAX(IF(Armor!$D$2:'Armor'!$D$7=D143,Armor!$E$2:$E$7),0))</f>
        <v>0</v>
      </c>
      <c r="AL143" s="6">
        <f t="shared" si="69"/>
        <v>0</v>
      </c>
      <c r="AM143" s="71">
        <f>(AL143+AK143)*INDEX(Armor!$B$2:$B$151,A143)+IF(AJ143,1,0)</f>
        <v>0</v>
      </c>
      <c r="AN143" s="71">
        <f>IF(C143="Caster",IF(ISERR(FIND("orb",LOWER(E143))),IF(ISERR(FIND("wand",LOWER(E143))),IF(NOT($D143="Polearm"),0,INDEX(Regeneration!$M$2:$M$151,A143+2)),INDEX(Regeneration!$L$2:$L$151,A143+2)),INDEX(Regeneration!$K$2:$K$151,A143+2)),0)</f>
        <v>0</v>
      </c>
      <c r="AO143" s="71" t="str">
        <f t="shared" si="84"/>
        <v/>
      </c>
      <c r="AP143" s="71" t="str">
        <f>IF(AND($N143,$C143="Caster"),IF(AND(NOT($D143="Polearm"),ISERR(FIND("wand",LOWER($E143)))),0,INDEX(Regeneration!F$2:F$151,A143)*0.06),"")</f>
        <v/>
      </c>
      <c r="AQ143" s="88">
        <f t="shared" si="97"/>
        <v>0.05</v>
      </c>
      <c r="AR143" s="88">
        <f t="shared" si="98"/>
        <v>0.05</v>
      </c>
      <c r="AS143" s="16" t="str">
        <f>IF(D143="Shield",INDEX(Regeneration!$C$2:$C$151,A143+3)*0.5*IF(ISERR(FIND("Rare",B143)),IF(ISERR(FIND("Uncommon",B143)),1,1.5),2.25),"")</f>
        <v/>
      </c>
      <c r="AT143" s="16" t="str">
        <f t="shared" si="85"/>
        <v/>
      </c>
      <c r="AU143" s="16" t="str">
        <f t="shared" si="86"/>
        <v/>
      </c>
      <c r="AV143" s="16" t="str">
        <f t="shared" si="87"/>
        <v/>
      </c>
      <c r="AW143" s="16" t="str">
        <f>IF(D143="Ring",INDEX(Regeneration!$B$6:$B$155,A143)*0.06,"")</f>
        <v/>
      </c>
      <c r="AZ143" s="16" t="str">
        <f t="shared" si="99"/>
        <v/>
      </c>
      <c r="BA143" s="6">
        <f t="shared" si="88"/>
        <v>0.05</v>
      </c>
      <c r="BB143" s="6">
        <f t="shared" si="101"/>
        <v>0.05</v>
      </c>
    </row>
    <row r="144" spans="1:54">
      <c r="A144" s="62">
        <v>40</v>
      </c>
      <c r="B144" s="30" t="s">
        <v>495</v>
      </c>
      <c r="C144" s="30" t="s">
        <v>780</v>
      </c>
      <c r="D144" s="30" t="s">
        <v>472</v>
      </c>
      <c r="E144" s="30" t="s">
        <v>711</v>
      </c>
      <c r="G144" s="62">
        <f t="shared" si="79"/>
        <v>50</v>
      </c>
      <c r="H144" s="101">
        <v>150</v>
      </c>
      <c r="I144" s="81" t="s">
        <v>781</v>
      </c>
      <c r="J144" s="81" t="s">
        <v>811</v>
      </c>
      <c r="K144" s="81" t="str">
        <f t="array" ref="K144">"A"&amp;IF(IF(ISBLANK(I144),OR(LEFT(LOWER(F144),1)={"a","e","I","o","u"}),OR(LEFT(LOWER(I144),1)={"a","e","I","o","u"})),"n "," ")&amp;I144&amp;IF(ISBLANK(I144),""," ")&amp;LOWER(F144)&amp;IF(LEFT(J144,1)="-",""," ")&amp;J144</f>
        <v>A demonic  magical weapon</v>
      </c>
      <c r="L144" s="81">
        <v>1</v>
      </c>
      <c r="M144" s="84">
        <v>3000</v>
      </c>
      <c r="N144" s="81" t="b">
        <v>1</v>
      </c>
      <c r="O144" s="93" t="b">
        <f t="shared" si="89"/>
        <v>0</v>
      </c>
      <c r="P144" s="81" t="s">
        <v>7</v>
      </c>
      <c r="Q144" s="81" t="s">
        <v>506</v>
      </c>
      <c r="R144" s="100">
        <f t="shared" si="70"/>
        <v>0.9</v>
      </c>
      <c r="S144" s="93">
        <f t="shared" si="90"/>
        <v>0.4</v>
      </c>
      <c r="T144" s="98">
        <f t="shared" si="91"/>
        <v>0.7</v>
      </c>
      <c r="U144" s="95">
        <f t="shared" si="92"/>
        <v>2.5</v>
      </c>
      <c r="V144" s="98">
        <f t="shared" si="93"/>
        <v>454.99999999999994</v>
      </c>
      <c r="W144" s="6">
        <f t="shared" si="94"/>
        <v>0.22</v>
      </c>
      <c r="X144" s="6">
        <v>0</v>
      </c>
      <c r="Y144" s="81" t="b">
        <v>1</v>
      </c>
      <c r="Z144" s="62">
        <f t="shared" si="80"/>
        <v>40</v>
      </c>
      <c r="AA144" s="71" t="str">
        <f t="shared" si="81"/>
        <v/>
      </c>
      <c r="AD144" s="71">
        <v>28</v>
      </c>
      <c r="AE144" s="71">
        <v>24</v>
      </c>
      <c r="AF144" s="7">
        <v>0.2</v>
      </c>
      <c r="AG144" s="43">
        <f>IF(N144,INDEX(Damage!$F$2:$F$151,A144)*R144*S144*V144/1000,"")</f>
        <v>33.53589473684211</v>
      </c>
      <c r="AH144" s="94">
        <f t="shared" si="95"/>
        <v>31.389597473684212</v>
      </c>
      <c r="AI144" s="94">
        <f t="shared" si="96"/>
        <v>49.096549894736846</v>
      </c>
      <c r="AJ144" s="90" t="b">
        <v>0</v>
      </c>
      <c r="AK144" s="6" t="b">
        <f t="array" ref="AK144">IF(AJ144,MAX(IF(Armor!$D$2:'Armor'!$D$7=D144,Armor!$E$2:$E$7),0))</f>
        <v>0</v>
      </c>
      <c r="AL144" s="6">
        <f t="shared" si="69"/>
        <v>0.1</v>
      </c>
      <c r="AM144" s="71">
        <f>(AL144+AK144)*INDEX(Armor!$B$2:$B$151,A144)+IF(AJ144,1,0)</f>
        <v>28.400000000000002</v>
      </c>
      <c r="AN144" s="71">
        <f>IF(C144="Caster",IF(ISERR(FIND("orb",LOWER(E144))),IF(ISERR(FIND("wand",LOWER(E144))),IF(NOT($D144="Polearm"),0,INDEX(Regeneration!$M$2:$M$151,A144+2)),INDEX(Regeneration!$L$2:$L$151,A144+2)),INDEX(Regeneration!$K$2:$K$151,A144+2)),0)</f>
        <v>0</v>
      </c>
      <c r="AO144" s="71">
        <v>5</v>
      </c>
      <c r="AP144" s="71">
        <f>IF(AND($N144,$C144="Caster"),IF(AND(NOT($D144="Polearm"),ISERR(FIND("wand",LOWER($E144)))),0,INDEX(Regeneration!F$2:F$151,A144)*0.06),"")</f>
        <v>0</v>
      </c>
      <c r="AQ144" s="88">
        <f t="shared" si="97"/>
        <v>0</v>
      </c>
      <c r="AR144" s="88">
        <f t="shared" si="98"/>
        <v>0</v>
      </c>
      <c r="AS144" s="16" t="str">
        <f>IF(D144="Shield",INDEX(Regeneration!$C$2:$C$151,A144+3)*0.5*IF(ISERR(FIND("Rare",B144)),IF(ISERR(FIND("Uncommon",B144)),1,1.5),2.25),"")</f>
        <v/>
      </c>
      <c r="AT144" s="16" t="str">
        <f t="shared" si="85"/>
        <v/>
      </c>
      <c r="AU144" s="16">
        <f t="shared" si="86"/>
        <v>5</v>
      </c>
      <c r="AV144" s="16" t="str">
        <f t="shared" si="87"/>
        <v/>
      </c>
      <c r="AW144" s="16" t="str">
        <f>IF(D144="Ring",INDEX(Regeneration!$B$6:$B$155,A144)*0.06,"")</f>
        <v/>
      </c>
      <c r="AZ144" s="16" t="str">
        <f t="shared" si="99"/>
        <v/>
      </c>
      <c r="BA144" s="6">
        <f t="shared" si="88"/>
        <v>0</v>
      </c>
      <c r="BB144" s="6">
        <f t="shared" si="101"/>
        <v>0</v>
      </c>
    </row>
    <row r="145" spans="1:54">
      <c r="A145" s="62">
        <v>40</v>
      </c>
      <c r="B145" s="30" t="s">
        <v>492</v>
      </c>
      <c r="C145" s="30" t="s">
        <v>496</v>
      </c>
      <c r="D145" s="30" t="s">
        <v>401</v>
      </c>
      <c r="E145" s="30" t="s">
        <v>631</v>
      </c>
      <c r="F145" s="30" t="s">
        <v>652</v>
      </c>
      <c r="G145" s="62">
        <f t="shared" si="79"/>
        <v>40</v>
      </c>
      <c r="H145" s="101">
        <v>150</v>
      </c>
      <c r="I145" s="81" t="s">
        <v>653</v>
      </c>
      <c r="J145" s="81" t="str">
        <f>LOWER(D145)</f>
        <v>armor</v>
      </c>
      <c r="K145" s="81" t="str">
        <f t="array" ref="K145">"A"&amp;IF(IF(ISBLANK(I145),OR(LEFT(LOWER(F145),1)={"a","e","I","o","u"}),OR(LEFT(LOWER(I145),1)={"a","e","I","o","u"})),"n "," ")&amp;I145&amp;IF(ISBLANK(I145),""," ")&amp;LOWER(F145)&amp;IF(LEFT(J145,1)="-",""," ")&amp;J145</f>
        <v>A well-crafted ice armor</v>
      </c>
      <c r="L145" s="81">
        <v>1</v>
      </c>
      <c r="M145" s="84">
        <v>1009</v>
      </c>
      <c r="N145" s="81" t="s">
        <v>644</v>
      </c>
      <c r="O145" s="93" t="b">
        <f t="shared" si="89"/>
        <v>0</v>
      </c>
      <c r="P145" s="81" t="s">
        <v>490</v>
      </c>
      <c r="Q145" s="81" t="s">
        <v>490</v>
      </c>
      <c r="R145" s="100" t="str">
        <f t="shared" si="70"/>
        <v/>
      </c>
      <c r="S145" s="93" t="str">
        <f t="shared" si="90"/>
        <v/>
      </c>
      <c r="T145" s="98" t="str">
        <f t="shared" si="91"/>
        <v/>
      </c>
      <c r="U145" s="95" t="str">
        <f t="shared" si="92"/>
        <v/>
      </c>
      <c r="V145" s="98" t="str">
        <f t="shared" si="93"/>
        <v/>
      </c>
      <c r="W145" s="6" t="str">
        <f t="shared" si="94"/>
        <v/>
      </c>
      <c r="X145" s="6">
        <v>0</v>
      </c>
      <c r="Y145" s="81" t="b">
        <v>1</v>
      </c>
      <c r="Z145" s="62">
        <f t="shared" si="80"/>
        <v>40</v>
      </c>
      <c r="AA145" s="71" t="str">
        <f t="shared" si="81"/>
        <v/>
      </c>
      <c r="AD145" s="71" t="str">
        <f t="shared" ref="AD145:AD157" si="102">IF(AND($AN145&gt;0,MOD($A145/5,2)=1),IF($A145&lt;10,16,IF($A145&lt;20,18,IF($A145&lt;40,22,28))),"")</f>
        <v/>
      </c>
      <c r="AE145" s="71" t="str">
        <f t="shared" ref="AE145:AE157" si="103">IF(AND($AN145&gt;0,MOD($A145/5,2)=0),IF($A145&lt;10,16,IF($A145&lt;20,18,IF($A145&lt;40,22,28))),"")</f>
        <v/>
      </c>
      <c r="AG145" s="43" t="str">
        <f>IF(N145,INDEX(Damage!$F$2:$F$151,A145)*R145*S145*V145/1000,"")</f>
        <v/>
      </c>
      <c r="AH145" s="94" t="str">
        <f t="shared" si="95"/>
        <v/>
      </c>
      <c r="AI145" s="94" t="str">
        <f t="shared" si="96"/>
        <v/>
      </c>
      <c r="AJ145" s="79" t="s">
        <v>645</v>
      </c>
      <c r="AK145" s="6">
        <f t="array" ref="AK145">IF(AJ145,MAX(IF(Armor!$D$2:'Armor'!$D$7=D145,Armor!$E$2:$E$7),0))</f>
        <v>0.45</v>
      </c>
      <c r="AL145" s="6">
        <f t="shared" si="69"/>
        <v>0</v>
      </c>
      <c r="AM145" s="71">
        <f>(AL145+AK145)*INDEX(Armor!$B$2:$B$151,A145)+IF(AJ145,1,0)</f>
        <v>128.80000000000001</v>
      </c>
      <c r="AN145" s="71">
        <f>IF(C145="Caster",IF(ISERR(FIND("orb",LOWER(E145))),IF(ISERR(FIND("wand",LOWER(E145))),IF(NOT($D145="Polearm"),0,INDEX(Regeneration!$M$2:$M$151,A145+2)),INDEX(Regeneration!$L$2:$L$151,A145+2)),INDEX(Regeneration!$K$2:$K$151,A145+2)),0)</f>
        <v>0</v>
      </c>
      <c r="AO145" s="71" t="str">
        <f t="shared" ref="AO145:AO157" si="104">IF(AND($N145,$C145="Caster"),IF(AND(NOT($D145="Polearm"),ISERR(FIND("orb",LOWER($E145)))),0,5),"")</f>
        <v/>
      </c>
      <c r="AP145" s="71" t="str">
        <f>IF(AND($N145,$C145="Caster"),IF(AND(NOT($D145="Polearm"),ISERR(FIND("wand",LOWER($E145)))),0,INDEX(Regeneration!F$2:F$151,A145)*0.06),"")</f>
        <v/>
      </c>
      <c r="AQ145" s="88">
        <f t="shared" si="97"/>
        <v>0</v>
      </c>
      <c r="AR145" s="88">
        <f t="shared" si="98"/>
        <v>0</v>
      </c>
      <c r="AS145" s="16" t="str">
        <f>IF(D145="Shield",INDEX(Regeneration!$C$2:$C$151,A145+3)*0.5*IF(ISERR(FIND("Rare",B145)),IF(ISERR(FIND("Uncommon",B145)),1,1.5),2.25),"")</f>
        <v/>
      </c>
      <c r="AT145" s="16" t="str">
        <f t="shared" si="85"/>
        <v/>
      </c>
      <c r="AU145" s="16" t="str">
        <f t="shared" si="86"/>
        <v/>
      </c>
      <c r="AV145" s="16" t="str">
        <f t="shared" si="87"/>
        <v/>
      </c>
      <c r="AW145" s="16" t="str">
        <f>IF(D145="Ring",INDEX(Regeneration!$B$6:$B$155,A145)*0.06,"")</f>
        <v/>
      </c>
      <c r="AZ145" s="16" t="str">
        <f t="shared" si="99"/>
        <v/>
      </c>
      <c r="BA145" s="6">
        <f t="shared" si="88"/>
        <v>0</v>
      </c>
      <c r="BB145" s="6">
        <f t="shared" si="101"/>
        <v>0</v>
      </c>
    </row>
    <row r="146" spans="1:54">
      <c r="A146" s="62">
        <v>40</v>
      </c>
      <c r="B146" s="30" t="s">
        <v>492</v>
      </c>
      <c r="C146" s="30" t="s">
        <v>496</v>
      </c>
      <c r="D146" s="30" t="s">
        <v>484</v>
      </c>
      <c r="E146" s="30" t="s">
        <v>641</v>
      </c>
      <c r="F146" s="30" t="s">
        <v>652</v>
      </c>
      <c r="G146" s="62">
        <f t="shared" si="79"/>
        <v>40</v>
      </c>
      <c r="H146" s="101">
        <v>150</v>
      </c>
      <c r="I146" s="81"/>
      <c r="J146" s="80" t="s">
        <v>669</v>
      </c>
      <c r="K146" s="81" t="str">
        <f t="array" ref="K146">"A"&amp;IF(IF(ISBLANK(I146),OR(LEFT(LOWER(F146),1)={"a","e","I","o","u"}),OR(LEFT(LOWER(I146),1)={"a","e","I","o","u"})),"n "," ")&amp;I146&amp;IF(ISBLANK(I146),""," ")&amp;LOWER(F146)&amp;IF(LEFT(J146,1)="-",""," ")&amp;J146</f>
        <v>An ice-imbued belt</v>
      </c>
      <c r="L146" s="81">
        <v>1</v>
      </c>
      <c r="M146" s="84">
        <v>49</v>
      </c>
      <c r="N146" s="81" t="s">
        <v>644</v>
      </c>
      <c r="O146" s="93" t="b">
        <f t="shared" si="89"/>
        <v>0</v>
      </c>
      <c r="P146" s="81" t="s">
        <v>490</v>
      </c>
      <c r="Q146" s="81" t="s">
        <v>490</v>
      </c>
      <c r="R146" s="100" t="str">
        <f t="shared" si="70"/>
        <v/>
      </c>
      <c r="S146" s="93" t="str">
        <f t="shared" si="90"/>
        <v/>
      </c>
      <c r="T146" s="98" t="str">
        <f t="shared" si="91"/>
        <v/>
      </c>
      <c r="U146" s="95" t="str">
        <f t="shared" si="92"/>
        <v/>
      </c>
      <c r="V146" s="98" t="str">
        <f t="shared" si="93"/>
        <v/>
      </c>
      <c r="W146" s="6" t="str">
        <f t="shared" si="94"/>
        <v/>
      </c>
      <c r="X146" s="6">
        <v>0</v>
      </c>
      <c r="Y146" s="81" t="b">
        <v>1</v>
      </c>
      <c r="Z146" s="62">
        <f t="shared" si="80"/>
        <v>40</v>
      </c>
      <c r="AA146" s="71" t="str">
        <f t="shared" si="81"/>
        <v/>
      </c>
      <c r="AD146" s="71" t="str">
        <f t="shared" si="102"/>
        <v/>
      </c>
      <c r="AE146" s="71" t="str">
        <f t="shared" si="103"/>
        <v/>
      </c>
      <c r="AG146" s="43" t="str">
        <f>IF(N146,INDEX(Damage!$F$2:$F$151,A146)*R146*S146*V146/1000,"")</f>
        <v/>
      </c>
      <c r="AH146" s="94" t="str">
        <f t="shared" si="95"/>
        <v/>
      </c>
      <c r="AI146" s="94" t="str">
        <f t="shared" si="96"/>
        <v/>
      </c>
      <c r="AJ146" s="79" t="s">
        <v>644</v>
      </c>
      <c r="AK146" s="6" t="b">
        <f t="array" ref="AK146">IF(AJ146,MAX(IF(Armor!$D$2:'Armor'!$D$7=D146,Armor!$E$2:$E$7),0))</f>
        <v>0</v>
      </c>
      <c r="AL146" s="6">
        <f t="shared" si="69"/>
        <v>0</v>
      </c>
      <c r="AM146" s="71">
        <f>(AL146+AK146)*INDEX(Armor!$B$2:$B$151,A146)+IF(AJ146,1,0)</f>
        <v>0</v>
      </c>
      <c r="AN146" s="71">
        <f>IF(C146="Caster",IF(ISERR(FIND("orb",LOWER(E146))),IF(ISERR(FIND("wand",LOWER(E146))),IF(NOT($D146="Polearm"),0,INDEX(Regeneration!$M$2:$M$151,A146+2)),INDEX(Regeneration!$L$2:$L$151,A146+2)),INDEX(Regeneration!$K$2:$K$151,A146+2)),0)</f>
        <v>0</v>
      </c>
      <c r="AO146" s="71" t="str">
        <f t="shared" si="104"/>
        <v/>
      </c>
      <c r="AP146" s="71" t="str">
        <f>IF(AND($N146,$C146="Caster"),IF(AND(NOT($D146="Polearm"),ISERR(FIND("wand",LOWER($E146)))),0,INDEX(Regeneration!F$2:F$151,A146)*0.06),"")</f>
        <v/>
      </c>
      <c r="AQ146" s="88">
        <f t="shared" si="97"/>
        <v>0</v>
      </c>
      <c r="AR146" s="88">
        <f t="shared" si="98"/>
        <v>0</v>
      </c>
      <c r="AS146" s="16" t="str">
        <f>IF(D146="Shield",INDEX(Regeneration!$C$2:$C$151,A146+3)*0.5*IF(ISERR(FIND("Rare",B146)),IF(ISERR(FIND("Uncommon",B146)),1,1.5),2.25),"")</f>
        <v/>
      </c>
      <c r="AT146" s="16" t="str">
        <f t="shared" si="85"/>
        <v/>
      </c>
      <c r="AU146" s="16" t="str">
        <f t="shared" si="86"/>
        <v/>
      </c>
      <c r="AV146" s="16" t="str">
        <f t="shared" si="87"/>
        <v/>
      </c>
      <c r="AW146" s="16" t="str">
        <f>IF(D146="Ring",INDEX(Regeneration!$B$6:$B$155,A146)*0.06,"")</f>
        <v/>
      </c>
      <c r="AZ146" s="16" t="str">
        <f t="shared" si="99"/>
        <v/>
      </c>
      <c r="BA146" s="6">
        <f t="shared" si="88"/>
        <v>0</v>
      </c>
      <c r="BB146" s="6">
        <f t="shared" si="101"/>
        <v>0</v>
      </c>
    </row>
    <row r="147" spans="1:54">
      <c r="A147" s="62">
        <v>40</v>
      </c>
      <c r="B147" s="30" t="s">
        <v>492</v>
      </c>
      <c r="C147" s="30" t="s">
        <v>496</v>
      </c>
      <c r="D147" s="30" t="s">
        <v>487</v>
      </c>
      <c r="E147" s="30" t="s">
        <v>632</v>
      </c>
      <c r="F147" s="30" t="s">
        <v>652</v>
      </c>
      <c r="G147" s="62">
        <f t="shared" si="79"/>
        <v>40</v>
      </c>
      <c r="H147" s="101">
        <v>150</v>
      </c>
      <c r="I147" s="81"/>
      <c r="J147" s="81" t="str">
        <f>LOWER(D147)</f>
        <v>boots</v>
      </c>
      <c r="K147" s="81" t="str">
        <f t="array" ref="K147">"A"&amp;IF(IF(ISBLANK(I147),OR(LEFT(LOWER(F147),1)={"a","e","I","o","u"}),OR(LEFT(LOWER(I147),1)={"a","e","I","o","u"})),"n "," ")&amp;I147&amp;IF(ISBLANK(I147),""," ")&amp;LOWER(F147)&amp;IF(LEFT(J147,1)="-",""," ")&amp;J147</f>
        <v>An ice boots</v>
      </c>
      <c r="L147" s="81">
        <v>1</v>
      </c>
      <c r="M147" s="84">
        <v>169</v>
      </c>
      <c r="N147" s="81" t="s">
        <v>644</v>
      </c>
      <c r="O147" s="93" t="b">
        <f t="shared" si="89"/>
        <v>0</v>
      </c>
      <c r="P147" s="81" t="s">
        <v>490</v>
      </c>
      <c r="Q147" s="81" t="s">
        <v>490</v>
      </c>
      <c r="R147" s="100" t="str">
        <f t="shared" si="70"/>
        <v/>
      </c>
      <c r="S147" s="93" t="str">
        <f t="shared" si="90"/>
        <v/>
      </c>
      <c r="T147" s="98" t="str">
        <f t="shared" si="91"/>
        <v/>
      </c>
      <c r="U147" s="95" t="str">
        <f t="shared" si="92"/>
        <v/>
      </c>
      <c r="V147" s="98" t="str">
        <f t="shared" si="93"/>
        <v/>
      </c>
      <c r="W147" s="6" t="str">
        <f t="shared" si="94"/>
        <v/>
      </c>
      <c r="X147" s="6">
        <v>0</v>
      </c>
      <c r="Y147" s="81" t="b">
        <v>1</v>
      </c>
      <c r="Z147" s="62">
        <f t="shared" si="80"/>
        <v>40</v>
      </c>
      <c r="AA147" s="71" t="str">
        <f t="shared" si="81"/>
        <v/>
      </c>
      <c r="AD147" s="71" t="str">
        <f t="shared" si="102"/>
        <v/>
      </c>
      <c r="AE147" s="71" t="str">
        <f t="shared" si="103"/>
        <v/>
      </c>
      <c r="AG147" s="43" t="str">
        <f>IF(N147,INDEX(Damage!$F$2:$F$151,A147)*R147*S147*V147/1000,"")</f>
        <v/>
      </c>
      <c r="AH147" s="94" t="str">
        <f t="shared" si="95"/>
        <v/>
      </c>
      <c r="AI147" s="94" t="str">
        <f t="shared" si="96"/>
        <v/>
      </c>
      <c r="AJ147" s="79" t="s">
        <v>645</v>
      </c>
      <c r="AK147" s="6">
        <f t="array" ref="AK147">IF(AJ147,MAX(IF(Armor!$D$2:'Armor'!$D$7=D147,Armor!$E$2:$E$7),0))</f>
        <v>0.1</v>
      </c>
      <c r="AL147" s="6">
        <f t="shared" si="69"/>
        <v>0</v>
      </c>
      <c r="AM147" s="71">
        <f>(AL147+AK147)*INDEX(Armor!$B$2:$B$151,A147)+IF(AJ147,1,0)</f>
        <v>29.400000000000002</v>
      </c>
      <c r="AN147" s="71">
        <f>IF(C147="Caster",IF(ISERR(FIND("orb",LOWER(E147))),IF(ISERR(FIND("wand",LOWER(E147))),IF(NOT($D147="Polearm"),0,INDEX(Regeneration!$M$2:$M$151,A147+2)),INDEX(Regeneration!$L$2:$L$151,A147+2)),INDEX(Regeneration!$K$2:$K$151,A147+2)),0)</f>
        <v>0</v>
      </c>
      <c r="AO147" s="71" t="str">
        <f t="shared" si="104"/>
        <v/>
      </c>
      <c r="AP147" s="71" t="str">
        <f>IF(AND($N147,$C147="Caster"),IF(AND(NOT($D147="Polearm"),ISERR(FIND("wand",LOWER($E147)))),0,INDEX(Regeneration!F$2:F$151,A147)*0.06),"")</f>
        <v/>
      </c>
      <c r="AQ147" s="88">
        <f t="shared" si="97"/>
        <v>0</v>
      </c>
      <c r="AR147" s="88">
        <f t="shared" si="98"/>
        <v>0</v>
      </c>
      <c r="AS147" s="16" t="str">
        <f>IF(D147="Shield",INDEX(Regeneration!$C$2:$C$151,A147+3)*0.5*IF(ISERR(FIND("Rare",B147)),IF(ISERR(FIND("Uncommon",B147)),1,1.5),2.25),"")</f>
        <v/>
      </c>
      <c r="AT147" s="16" t="str">
        <f t="shared" si="85"/>
        <v/>
      </c>
      <c r="AU147" s="16" t="str">
        <f t="shared" si="86"/>
        <v/>
      </c>
      <c r="AV147" s="16" t="str">
        <f t="shared" si="87"/>
        <v/>
      </c>
      <c r="AW147" s="16" t="str">
        <f>IF(D147="Ring",INDEX(Regeneration!$B$6:$B$155,A147)*0.06,"")</f>
        <v/>
      </c>
      <c r="AZ147" s="16" t="str">
        <f t="shared" si="99"/>
        <v/>
      </c>
      <c r="BA147" s="6">
        <f t="shared" si="88"/>
        <v>0</v>
      </c>
      <c r="BB147" s="6">
        <f t="shared" si="101"/>
        <v>0</v>
      </c>
    </row>
    <row r="148" spans="1:54">
      <c r="A148" s="62">
        <v>40</v>
      </c>
      <c r="B148" s="30" t="s">
        <v>492</v>
      </c>
      <c r="C148" s="30" t="s">
        <v>496</v>
      </c>
      <c r="D148" s="30" t="s">
        <v>479</v>
      </c>
      <c r="E148" s="30" t="s">
        <v>639</v>
      </c>
      <c r="F148" s="30" t="s">
        <v>652</v>
      </c>
      <c r="G148" s="62">
        <f t="shared" si="79"/>
        <v>40</v>
      </c>
      <c r="H148" s="101">
        <v>150</v>
      </c>
      <c r="I148" s="81"/>
      <c r="J148" s="80" t="s">
        <v>670</v>
      </c>
      <c r="K148" s="81" t="str">
        <f t="array" ref="K148">"A"&amp;IF(IF(ISBLANK(I148),OR(LEFT(LOWER(F148),1)={"a","e","I","o","u"}),OR(LEFT(LOWER(I148),1)={"a","e","I","o","u"})),"n "," ")&amp;I148&amp;IF(ISBLANK(I148),""," ")&amp;LOWER(F148)&amp;IF(LEFT(J148,1)="-",""," ")&amp;J148</f>
        <v>An ice-touched ranged weapon</v>
      </c>
      <c r="L148" s="81">
        <v>1</v>
      </c>
      <c r="M148" s="84">
        <v>49</v>
      </c>
      <c r="N148" s="81" t="s">
        <v>645</v>
      </c>
      <c r="O148" s="93" t="b">
        <f t="shared" si="89"/>
        <v>1</v>
      </c>
      <c r="P148" s="81" t="s">
        <v>504</v>
      </c>
      <c r="Q148" s="81" t="s">
        <v>643</v>
      </c>
      <c r="R148" s="100">
        <f t="shared" si="70"/>
        <v>0.9</v>
      </c>
      <c r="S148" s="93">
        <f t="shared" si="90"/>
        <v>1</v>
      </c>
      <c r="T148" s="98">
        <f t="shared" si="91"/>
        <v>1</v>
      </c>
      <c r="U148" s="95">
        <f t="shared" si="92"/>
        <v>8</v>
      </c>
      <c r="V148" s="98">
        <f t="shared" si="93"/>
        <v>650</v>
      </c>
      <c r="W148" s="6">
        <f t="shared" si="94"/>
        <v>0.18</v>
      </c>
      <c r="X148" s="6">
        <v>0</v>
      </c>
      <c r="Y148" s="81" t="b">
        <v>1</v>
      </c>
      <c r="Z148" s="62">
        <f t="shared" si="80"/>
        <v>40</v>
      </c>
      <c r="AA148" s="71" t="str">
        <f t="shared" si="81"/>
        <v/>
      </c>
      <c r="AD148" s="71" t="str">
        <f t="shared" si="102"/>
        <v/>
      </c>
      <c r="AE148" s="71" t="str">
        <f t="shared" si="103"/>
        <v/>
      </c>
      <c r="AG148" s="43">
        <f>IF(N148,INDEX(Damage!$F$2:$F$151,A148)*R148*S148*V148/1000,"")</f>
        <v>119.77105263157895</v>
      </c>
      <c r="AH148" s="94">
        <f t="shared" si="95"/>
        <v>98.212263157894739</v>
      </c>
      <c r="AI148" s="94">
        <f t="shared" si="96"/>
        <v>141.32984210526317</v>
      </c>
      <c r="AJ148" s="79" t="s">
        <v>644</v>
      </c>
      <c r="AK148" s="6" t="b">
        <f t="array" ref="AK148">IF(AJ148,MAX(IF(Armor!$D$2:'Armor'!$D$7=D148,Armor!$E$2:$E$7),0))</f>
        <v>0</v>
      </c>
      <c r="AL148" s="6">
        <f t="shared" si="69"/>
        <v>0</v>
      </c>
      <c r="AM148" s="71">
        <f>(AL148+AK148)*INDEX(Armor!$B$2:$B$151,A148)+IF(AJ148,1,0)</f>
        <v>0</v>
      </c>
      <c r="AN148" s="71">
        <f>IF(C148="Caster",IF(ISERR(FIND("orb",LOWER(E148))),IF(ISERR(FIND("wand",LOWER(E148))),IF(NOT($D148="Polearm"),0,INDEX(Regeneration!$M$2:$M$151,A148+2)),INDEX(Regeneration!$L$2:$L$151,A148+2)),INDEX(Regeneration!$K$2:$K$151,A148+2)),0)</f>
        <v>0</v>
      </c>
      <c r="AO148" s="71" t="str">
        <f t="shared" si="104"/>
        <v/>
      </c>
      <c r="AP148" s="71" t="str">
        <f>IF(AND($N148,$C148="Caster"),IF(AND(NOT($D148="Polearm"),ISERR(FIND("wand",LOWER($E148)))),0,INDEX(Regeneration!F$2:F$151,A148)*0.06),"")</f>
        <v/>
      </c>
      <c r="AQ148" s="88">
        <f t="shared" si="97"/>
        <v>0.15</v>
      </c>
      <c r="AR148" s="88">
        <f t="shared" si="98"/>
        <v>0.15</v>
      </c>
      <c r="AS148" s="16" t="str">
        <f>IF(D148="Shield",INDEX(Regeneration!$C$2:$C$151,A148+3)*0.5*IF(ISERR(FIND("Rare",B148)),IF(ISERR(FIND("Uncommon",B148)),1,1.5),2.25),"")</f>
        <v/>
      </c>
      <c r="AT148" s="16" t="str">
        <f t="shared" si="85"/>
        <v/>
      </c>
      <c r="AU148" s="16" t="str">
        <f t="shared" si="86"/>
        <v/>
      </c>
      <c r="AV148" s="16" t="str">
        <f t="shared" si="87"/>
        <v/>
      </c>
      <c r="AW148" s="16" t="str">
        <f>IF(D148="Ring",INDEX(Regeneration!$B$6:$B$155,A148)*0.06,"")</f>
        <v/>
      </c>
      <c r="AZ148" s="16" t="str">
        <f t="shared" si="99"/>
        <v/>
      </c>
      <c r="BA148" s="6">
        <f t="shared" si="88"/>
        <v>0.15</v>
      </c>
      <c r="BB148" s="6">
        <f t="shared" si="101"/>
        <v>0.15</v>
      </c>
    </row>
    <row r="149" spans="1:54">
      <c r="A149" s="62">
        <v>40</v>
      </c>
      <c r="B149" s="30" t="s">
        <v>492</v>
      </c>
      <c r="C149" s="30" t="s">
        <v>10</v>
      </c>
      <c r="D149" s="30" t="s">
        <v>450</v>
      </c>
      <c r="E149" s="30" t="s">
        <v>789</v>
      </c>
      <c r="F149" s="30" t="s">
        <v>652</v>
      </c>
      <c r="G149" s="62">
        <f t="shared" si="79"/>
        <v>40</v>
      </c>
      <c r="H149" s="101">
        <v>150</v>
      </c>
      <c r="I149" s="81"/>
      <c r="J149" s="81" t="str">
        <f t="shared" ref="J149:J157" si="105">LOWER(D149)</f>
        <v>crossbow</v>
      </c>
      <c r="K149" s="81" t="str">
        <f t="array" ref="K149">"A"&amp;IF(IF(ISBLANK(I149),OR(LEFT(LOWER(F149),1)={"a","e","I","o","u"}),OR(LEFT(LOWER(I149),1)={"a","e","I","o","u"})),"n "," ")&amp;I149&amp;IF(ISBLANK(I149),""," ")&amp;LOWER(F149)&amp;IF(LEFT(J149,1)="-",""," ")&amp;J149</f>
        <v>An ice crossbow</v>
      </c>
      <c r="L149" s="81">
        <v>1</v>
      </c>
      <c r="M149" s="84">
        <v>1280</v>
      </c>
      <c r="N149" s="81" t="b">
        <v>1</v>
      </c>
      <c r="O149" s="93" t="b">
        <f t="shared" si="89"/>
        <v>1</v>
      </c>
      <c r="P149" s="81"/>
      <c r="Q149" s="81" t="s">
        <v>505</v>
      </c>
      <c r="R149" s="100">
        <f t="shared" si="70"/>
        <v>1.0349999999999999</v>
      </c>
      <c r="S149" s="93">
        <f t="shared" si="90"/>
        <v>1</v>
      </c>
      <c r="T149" s="98">
        <f t="shared" si="91"/>
        <v>1.3</v>
      </c>
      <c r="U149" s="95">
        <f t="shared" si="92"/>
        <v>8</v>
      </c>
      <c r="V149" s="98">
        <f t="shared" si="93"/>
        <v>845</v>
      </c>
      <c r="W149" s="6">
        <f t="shared" si="94"/>
        <v>0.3</v>
      </c>
      <c r="X149" s="6">
        <v>0</v>
      </c>
      <c r="Y149" s="81" t="b">
        <v>1</v>
      </c>
      <c r="Z149" s="62">
        <f t="shared" si="80"/>
        <v>40</v>
      </c>
      <c r="AA149" s="71">
        <f t="shared" si="81"/>
        <v>28</v>
      </c>
      <c r="AD149" s="71" t="str">
        <f t="shared" si="102"/>
        <v/>
      </c>
      <c r="AE149" s="71" t="str">
        <f t="shared" si="103"/>
        <v/>
      </c>
      <c r="AG149" s="43">
        <f>IF(N149,INDEX(Damage!$F$2:$F$151,A149)*R149*S149*V149/1000,"")</f>
        <v>179.05772368421052</v>
      </c>
      <c r="AH149" s="94">
        <f t="shared" si="95"/>
        <v>125.34040657894735</v>
      </c>
      <c r="AI149" s="94">
        <f t="shared" si="96"/>
        <v>232.77504078947368</v>
      </c>
      <c r="AJ149" s="90" t="b">
        <v>0</v>
      </c>
      <c r="AK149" s="6" t="b">
        <f t="array" ref="AK149">IF(AJ149,MAX(IF(Armor!$D$2:'Armor'!$D$7=D149,Armor!$E$2:$E$7),0))</f>
        <v>0</v>
      </c>
      <c r="AL149" s="6">
        <f t="shared" si="69"/>
        <v>0</v>
      </c>
      <c r="AM149" s="71">
        <f>(AL149+AK149)*INDEX(Armor!$B$2:$B$151,A149)+IF(AJ149,1,0)</f>
        <v>0</v>
      </c>
      <c r="AN149" s="71">
        <f>IF(C149="Caster",IF(ISERR(FIND("orb",LOWER(E149))),IF(ISERR(FIND("wand",LOWER(E149))),IF(NOT($D149="Polearm"),0,INDEX(Regeneration!$M$2:$M$151,A149+2)),INDEX(Regeneration!$L$2:$L$151,A149+2)),INDEX(Regeneration!$K$2:$K$151,A149+2)),0)</f>
        <v>0</v>
      </c>
      <c r="AO149" s="71" t="str">
        <f t="shared" si="104"/>
        <v/>
      </c>
      <c r="AP149" s="71" t="str">
        <f>IF(AND($N149,$C149="Caster"),IF(AND(NOT($D149="Polearm"),ISERR(FIND("wand",LOWER($E149)))),0,INDEX(Regeneration!F$2:F$151,A149)*0.06),"")</f>
        <v/>
      </c>
      <c r="AQ149" s="88">
        <f t="shared" si="97"/>
        <v>0.15</v>
      </c>
      <c r="AR149" s="88">
        <f t="shared" si="98"/>
        <v>0.15</v>
      </c>
      <c r="AS149" s="16" t="str">
        <f>IF(D149="Shield",INDEX(Regeneration!$C$2:$C$151,A149+3)*0.5*IF(ISERR(FIND("Rare",B149)),IF(ISERR(FIND("Uncommon",B149)),1,1.5),2.25),"")</f>
        <v/>
      </c>
      <c r="AT149" s="16" t="str">
        <f t="shared" si="85"/>
        <v/>
      </c>
      <c r="AU149" s="16" t="str">
        <f t="shared" si="86"/>
        <v/>
      </c>
      <c r="AV149" s="16" t="str">
        <f t="shared" si="87"/>
        <v/>
      </c>
      <c r="AW149" s="16" t="str">
        <f>IF(D149="Ring",INDEX(Regeneration!$B$6:$B$155,A149)*0.06,"")</f>
        <v/>
      </c>
      <c r="AZ149" s="16" t="str">
        <f t="shared" si="99"/>
        <v/>
      </c>
      <c r="BA149" s="6">
        <f t="shared" si="88"/>
        <v>0.15</v>
      </c>
      <c r="BB149" s="6">
        <f t="shared" si="101"/>
        <v>0.15</v>
      </c>
    </row>
    <row r="150" spans="1:54">
      <c r="A150" s="62">
        <v>40</v>
      </c>
      <c r="B150" s="30" t="s">
        <v>492</v>
      </c>
      <c r="C150" s="30" t="s">
        <v>496</v>
      </c>
      <c r="D150" s="30" t="s">
        <v>488</v>
      </c>
      <c r="E150" s="30" t="s">
        <v>642</v>
      </c>
      <c r="F150" s="30" t="s">
        <v>652</v>
      </c>
      <c r="G150" s="62">
        <f t="shared" ref="G150:G157" si="106">IF(ISERR(FIND("Rare",B150)),IF(ISERR(FIND("Uncommon",B150)),A150,A150+5),A150+10)</f>
        <v>40</v>
      </c>
      <c r="H150" s="101">
        <v>150</v>
      </c>
      <c r="J150" s="81" t="str">
        <f t="shared" si="105"/>
        <v>gloves</v>
      </c>
      <c r="K150" s="81" t="str">
        <f t="array" ref="K150">"A"&amp;IF(IF(ISBLANK(I150),OR(LEFT(LOWER(F150),1)={"a","e","I","o","u"}),OR(LEFT(LOWER(I150),1)={"a","e","I","o","u"})),"n "," ")&amp;I150&amp;IF(ISBLANK(I150),""," ")&amp;LOWER(F150)&amp;IF(LEFT(J150,1)="-",""," ")&amp;J150</f>
        <v>An ice gloves</v>
      </c>
      <c r="L150" s="81">
        <v>1</v>
      </c>
      <c r="M150" s="84">
        <v>49</v>
      </c>
      <c r="N150" s="81" t="s">
        <v>644</v>
      </c>
      <c r="O150" s="93" t="b">
        <f t="shared" si="89"/>
        <v>0</v>
      </c>
      <c r="P150" s="62" t="s">
        <v>490</v>
      </c>
      <c r="Q150" s="81" t="s">
        <v>490</v>
      </c>
      <c r="R150" s="100" t="str">
        <f t="shared" si="70"/>
        <v/>
      </c>
      <c r="S150" s="93" t="str">
        <f t="shared" si="90"/>
        <v/>
      </c>
      <c r="T150" s="98" t="str">
        <f t="shared" si="91"/>
        <v/>
      </c>
      <c r="U150" s="95" t="str">
        <f t="shared" si="92"/>
        <v/>
      </c>
      <c r="V150" s="98" t="str">
        <f t="shared" si="93"/>
        <v/>
      </c>
      <c r="W150" s="6" t="str">
        <f t="shared" si="94"/>
        <v/>
      </c>
      <c r="X150" s="6">
        <v>0</v>
      </c>
      <c r="Y150" s="81" t="b">
        <v>1</v>
      </c>
      <c r="Z150" s="62">
        <f t="shared" si="80"/>
        <v>40</v>
      </c>
      <c r="AA150" s="71" t="str">
        <f t="shared" si="81"/>
        <v/>
      </c>
      <c r="AD150" s="71" t="str">
        <f t="shared" si="102"/>
        <v/>
      </c>
      <c r="AE150" s="71" t="str">
        <f t="shared" si="103"/>
        <v/>
      </c>
      <c r="AG150" s="43" t="str">
        <f>IF(N150,INDEX(Damage!$F$2:$F$151,A150)*R150*S150*V150/1000,"")</f>
        <v/>
      </c>
      <c r="AH150" s="94" t="str">
        <f t="shared" si="95"/>
        <v/>
      </c>
      <c r="AI150" s="94" t="str">
        <f t="shared" si="96"/>
        <v/>
      </c>
      <c r="AJ150" s="79" t="s">
        <v>644</v>
      </c>
      <c r="AK150" s="6" t="b">
        <f t="array" ref="AK150">IF(AJ150,MAX(IF(Armor!$D$2:'Armor'!$D$7=D150,Armor!$E$2:$E$7),0))</f>
        <v>0</v>
      </c>
      <c r="AL150" s="6">
        <f t="shared" si="69"/>
        <v>0</v>
      </c>
      <c r="AM150" s="71">
        <f>(AL150+AK150)*INDEX(Armor!$B$2:$B$151,A150)+IF(AJ150,1,0)</f>
        <v>0</v>
      </c>
      <c r="AN150" s="71">
        <f>IF(C150="Caster",IF(ISERR(FIND("orb",LOWER(E150))),IF(ISERR(FIND("wand",LOWER(E150))),IF(NOT($D150="Polearm"),0,INDEX(Regeneration!$M$2:$M$151,A150+2)),INDEX(Regeneration!$L$2:$L$151,A150+2)),INDEX(Regeneration!$K$2:$K$151,A150+2)),0)</f>
        <v>0</v>
      </c>
      <c r="AO150" s="71" t="str">
        <f t="shared" si="104"/>
        <v/>
      </c>
      <c r="AP150" s="71" t="str">
        <f>IF(AND($N150,$C150="Caster"),IF(AND(NOT($D150="Polearm"),ISERR(FIND("wand",LOWER($E150)))),0,INDEX(Regeneration!F$2:F$151,A150)*0.06),"")</f>
        <v/>
      </c>
      <c r="AQ150" s="88">
        <f t="shared" si="97"/>
        <v>0</v>
      </c>
      <c r="AR150" s="88">
        <f t="shared" si="98"/>
        <v>0</v>
      </c>
      <c r="AS150" s="16" t="str">
        <f>IF(D150="Shield",INDEX(Regeneration!$C$2:$C$151,A150+3)*0.5*IF(ISERR(FIND("Rare",B150)),IF(ISERR(FIND("Uncommon",B150)),1,1.5),2.25),"")</f>
        <v/>
      </c>
      <c r="AT150" s="16" t="str">
        <f t="shared" si="85"/>
        <v/>
      </c>
      <c r="AU150" s="16" t="str">
        <f t="shared" si="86"/>
        <v/>
      </c>
      <c r="AV150" s="16" t="str">
        <f t="shared" si="87"/>
        <v/>
      </c>
      <c r="AW150" s="16" t="str">
        <f>IF(D150="Ring",INDEX(Regeneration!$B$6:$B$155,A150)*0.06,"")</f>
        <v/>
      </c>
      <c r="AZ150" s="16">
        <f t="shared" si="99"/>
        <v>8.3333333333333339</v>
      </c>
      <c r="BA150" s="6">
        <f t="shared" si="88"/>
        <v>0</v>
      </c>
      <c r="BB150" s="6">
        <f t="shared" si="101"/>
        <v>0</v>
      </c>
    </row>
    <row r="151" spans="1:54">
      <c r="A151" s="62">
        <v>40</v>
      </c>
      <c r="B151" s="30" t="s">
        <v>492</v>
      </c>
      <c r="C151" s="30" t="s">
        <v>496</v>
      </c>
      <c r="D151" s="30" t="s">
        <v>483</v>
      </c>
      <c r="E151" s="30" t="s">
        <v>633</v>
      </c>
      <c r="F151" s="30" t="s">
        <v>652</v>
      </c>
      <c r="G151" s="62">
        <f t="shared" si="106"/>
        <v>40</v>
      </c>
      <c r="H151" s="101">
        <v>150</v>
      </c>
      <c r="J151" s="81" t="str">
        <f t="shared" si="105"/>
        <v>helmet</v>
      </c>
      <c r="K151" s="81" t="str">
        <f t="array" ref="K151">"A"&amp;IF(IF(ISBLANK(I151),OR(LEFT(LOWER(F151),1)={"a","e","I","o","u"}),OR(LEFT(LOWER(I151),1)={"a","e","I","o","u"})),"n "," ")&amp;I151&amp;IF(ISBLANK(I151),""," ")&amp;LOWER(F151)&amp;IF(LEFT(J151,1)="-",""," ")&amp;J151</f>
        <v>An ice helmet</v>
      </c>
      <c r="L151" s="81">
        <v>1</v>
      </c>
      <c r="M151" s="84">
        <v>169</v>
      </c>
      <c r="N151" s="81" t="s">
        <v>644</v>
      </c>
      <c r="O151" s="93" t="b">
        <f t="shared" si="89"/>
        <v>0</v>
      </c>
      <c r="P151" s="62" t="s">
        <v>490</v>
      </c>
      <c r="Q151" s="81" t="s">
        <v>490</v>
      </c>
      <c r="R151" s="100" t="str">
        <f t="shared" si="70"/>
        <v/>
      </c>
      <c r="S151" s="93" t="str">
        <f t="shared" si="90"/>
        <v/>
      </c>
      <c r="T151" s="98" t="str">
        <f t="shared" si="91"/>
        <v/>
      </c>
      <c r="U151" s="95" t="str">
        <f t="shared" si="92"/>
        <v/>
      </c>
      <c r="V151" s="98" t="str">
        <f t="shared" si="93"/>
        <v/>
      </c>
      <c r="W151" s="6" t="str">
        <f t="shared" si="94"/>
        <v/>
      </c>
      <c r="X151" s="6">
        <v>0</v>
      </c>
      <c r="Y151" s="81" t="b">
        <v>1</v>
      </c>
      <c r="Z151" s="62">
        <f t="shared" si="80"/>
        <v>40</v>
      </c>
      <c r="AA151" s="71" t="str">
        <f t="shared" si="81"/>
        <v/>
      </c>
      <c r="AD151" s="71" t="str">
        <f t="shared" si="102"/>
        <v/>
      </c>
      <c r="AE151" s="71" t="str">
        <f t="shared" si="103"/>
        <v/>
      </c>
      <c r="AG151" s="43" t="str">
        <f>IF(N151,INDEX(Damage!$F$2:$F$151,A151)*R151*S151*V151/1000,"")</f>
        <v/>
      </c>
      <c r="AH151" s="94" t="str">
        <f t="shared" si="95"/>
        <v/>
      </c>
      <c r="AI151" s="94" t="str">
        <f t="shared" si="96"/>
        <v/>
      </c>
      <c r="AJ151" s="79" t="s">
        <v>645</v>
      </c>
      <c r="AK151" s="6">
        <f t="array" ref="AK151">IF(AJ151,MAX(IF(Armor!$D$2:'Armor'!$D$7=D151,Armor!$E$2:$E$7),0))</f>
        <v>0.1</v>
      </c>
      <c r="AL151" s="6">
        <f t="shared" si="69"/>
        <v>0</v>
      </c>
      <c r="AM151" s="71">
        <f>(AL151+AK151)*INDEX(Armor!$B$2:$B$151,A151)+IF(AJ151,1,0)</f>
        <v>29.400000000000002</v>
      </c>
      <c r="AN151" s="71">
        <f>IF(C151="Caster",IF(ISERR(FIND("orb",LOWER(E151))),IF(ISERR(FIND("wand",LOWER(E151))),IF(NOT($D151="Polearm"),0,INDEX(Regeneration!$M$2:$M$151,A151+2)),INDEX(Regeneration!$L$2:$L$151,A151+2)),INDEX(Regeneration!$K$2:$K$151,A151+2)),0)</f>
        <v>0</v>
      </c>
      <c r="AO151" s="71" t="str">
        <f t="shared" si="104"/>
        <v/>
      </c>
      <c r="AP151" s="71" t="str">
        <f>IF(AND($N151,$C151="Caster"),IF(AND(NOT($D151="Polearm"),ISERR(FIND("wand",LOWER($E151)))),0,INDEX(Regeneration!F$2:F$151,A151)*0.06),"")</f>
        <v/>
      </c>
      <c r="AQ151" s="88">
        <f t="shared" si="97"/>
        <v>0</v>
      </c>
      <c r="AR151" s="88">
        <f t="shared" si="98"/>
        <v>0</v>
      </c>
      <c r="AS151" s="16" t="str">
        <f>IF(D151="Shield",INDEX(Regeneration!$C$2:$C$151,A151+3)*0.5*IF(ISERR(FIND("Rare",B151)),IF(ISERR(FIND("Uncommon",B151)),1,1.5),2.25),"")</f>
        <v/>
      </c>
      <c r="AT151" s="16" t="str">
        <f t="shared" si="85"/>
        <v/>
      </c>
      <c r="AU151" s="16" t="str">
        <f t="shared" si="86"/>
        <v/>
      </c>
      <c r="AV151" s="16" t="str">
        <f t="shared" si="87"/>
        <v/>
      </c>
      <c r="AW151" s="16" t="str">
        <f>IF(D151="Ring",INDEX(Regeneration!$B$6:$B$155,A151)*0.06,"")</f>
        <v/>
      </c>
      <c r="AZ151" s="16" t="str">
        <f t="shared" si="99"/>
        <v/>
      </c>
      <c r="BA151" s="6">
        <f t="shared" si="88"/>
        <v>0</v>
      </c>
      <c r="BB151" s="6">
        <f t="shared" si="101"/>
        <v>0</v>
      </c>
    </row>
    <row r="152" spans="1:54">
      <c r="A152" s="62">
        <v>40</v>
      </c>
      <c r="B152" s="30" t="s">
        <v>492</v>
      </c>
      <c r="C152" s="30" t="s">
        <v>10</v>
      </c>
      <c r="D152" s="30" t="s">
        <v>449</v>
      </c>
      <c r="E152" s="30" t="s">
        <v>638</v>
      </c>
      <c r="F152" s="30" t="s">
        <v>652</v>
      </c>
      <c r="G152" s="62">
        <f t="shared" si="106"/>
        <v>40</v>
      </c>
      <c r="H152" s="101">
        <v>150</v>
      </c>
      <c r="J152" s="81" t="str">
        <f t="shared" si="105"/>
        <v>javelin</v>
      </c>
      <c r="K152" s="81" t="str">
        <f t="array" ref="K152">"A"&amp;IF(IF(ISBLANK(I152),OR(LEFT(LOWER(F152),1)={"a","e","I","o","u"}),OR(LEFT(LOWER(I152),1)={"a","e","I","o","u"})),"n "," ")&amp;I152&amp;IF(ISBLANK(I152),""," ")&amp;LOWER(F152)&amp;IF(LEFT(J152,1)="-",""," ")&amp;J152</f>
        <v>An ice javelin</v>
      </c>
      <c r="L152" s="81">
        <v>1</v>
      </c>
      <c r="M152" s="84">
        <v>49</v>
      </c>
      <c r="N152" s="81" t="s">
        <v>645</v>
      </c>
      <c r="O152" s="93" t="b">
        <f t="shared" si="89"/>
        <v>0</v>
      </c>
      <c r="P152" s="62" t="s">
        <v>504</v>
      </c>
      <c r="Q152" s="81" t="s">
        <v>506</v>
      </c>
      <c r="R152" s="100">
        <f t="shared" si="70"/>
        <v>0.9</v>
      </c>
      <c r="S152" s="93">
        <f t="shared" si="90"/>
        <v>1</v>
      </c>
      <c r="T152" s="98">
        <f t="shared" si="91"/>
        <v>0.7</v>
      </c>
      <c r="U152" s="95">
        <f t="shared" si="92"/>
        <v>2</v>
      </c>
      <c r="V152" s="98">
        <f t="shared" si="93"/>
        <v>454.99999999999994</v>
      </c>
      <c r="W152" s="6">
        <f t="shared" si="94"/>
        <v>0.15</v>
      </c>
      <c r="X152" s="6">
        <v>0</v>
      </c>
      <c r="Y152" s="81" t="b">
        <v>1</v>
      </c>
      <c r="Z152" s="62">
        <f t="shared" si="80"/>
        <v>40</v>
      </c>
      <c r="AA152" s="71">
        <f t="shared" si="81"/>
        <v>28</v>
      </c>
      <c r="AD152" s="71" t="str">
        <f t="shared" si="102"/>
        <v/>
      </c>
      <c r="AE152" s="71" t="str">
        <f t="shared" si="103"/>
        <v/>
      </c>
      <c r="AG152" s="43">
        <f>IF(N152,INDEX(Damage!$F$2:$F$151,A152)*R152*S152*V152/1000,"")</f>
        <v>83.839736842105253</v>
      </c>
      <c r="AH152" s="94">
        <f t="shared" si="95"/>
        <v>71.263776315789471</v>
      </c>
      <c r="AI152" s="94">
        <f t="shared" si="96"/>
        <v>96.415697368421036</v>
      </c>
      <c r="AJ152" s="79" t="s">
        <v>644</v>
      </c>
      <c r="AK152" s="6" t="b">
        <f t="array" ref="AK152">IF(AJ152,MAX(IF(Armor!$D$2:'Armor'!$D$7=D152,Armor!$E$2:$E$7),0))</f>
        <v>0</v>
      </c>
      <c r="AL152" s="6">
        <f t="shared" ref="AL152:AL157" si="107">IF(ISERR(FIND("Rare",B152)),IF(ISERR(FIND("Uncommon",B152)),0,5%),10%)</f>
        <v>0</v>
      </c>
      <c r="AM152" s="71">
        <f>(AL152+AK152)*INDEX(Armor!$B$2:$B$151,A152)+IF(AJ152,1,0)</f>
        <v>0</v>
      </c>
      <c r="AN152" s="71">
        <f>IF(C152="Caster",IF(ISERR(FIND("orb",LOWER(E152))),IF(ISERR(FIND("wand",LOWER(E152))),IF(NOT($D152="Polearm"),0,INDEX(Regeneration!$M$2:$M$151,A152+2)),INDEX(Regeneration!$L$2:$L$151,A152+2)),INDEX(Regeneration!$K$2:$K$151,A152+2)),0)</f>
        <v>0</v>
      </c>
      <c r="AO152" s="71" t="str">
        <f t="shared" si="104"/>
        <v/>
      </c>
      <c r="AP152" s="71" t="str">
        <f>IF(AND($N152,$C152="Caster"),IF(AND(NOT($D152="Polearm"),ISERR(FIND("wand",LOWER($E152)))),0,INDEX(Regeneration!F$2:F$151,A152)*0.06),"")</f>
        <v/>
      </c>
      <c r="AQ152" s="88">
        <f t="shared" si="97"/>
        <v>0.05</v>
      </c>
      <c r="AR152" s="88">
        <f t="shared" si="98"/>
        <v>0.05</v>
      </c>
      <c r="AS152" s="16" t="str">
        <f>IF(D152="Shield",INDEX(Regeneration!$C$2:$C$151,A152+3)*0.5*IF(ISERR(FIND("Rare",B152)),IF(ISERR(FIND("Uncommon",B152)),1,1.5),2.25),"")</f>
        <v/>
      </c>
      <c r="AT152" s="16" t="str">
        <f t="shared" si="85"/>
        <v/>
      </c>
      <c r="AU152" s="16" t="str">
        <f t="shared" si="86"/>
        <v/>
      </c>
      <c r="AV152" s="16" t="str">
        <f t="shared" si="87"/>
        <v/>
      </c>
      <c r="AW152" s="16" t="str">
        <f>IF(D152="Ring",INDEX(Regeneration!$B$6:$B$155,A152)*0.06,"")</f>
        <v/>
      </c>
      <c r="AZ152" s="16" t="str">
        <f t="shared" si="99"/>
        <v/>
      </c>
      <c r="BA152" s="6">
        <f t="shared" si="88"/>
        <v>0.05</v>
      </c>
      <c r="BB152" s="6">
        <f t="shared" si="101"/>
        <v>0.05</v>
      </c>
    </row>
    <row r="153" spans="1:54">
      <c r="A153" s="62">
        <v>40</v>
      </c>
      <c r="B153" s="30" t="s">
        <v>493</v>
      </c>
      <c r="C153" s="30" t="s">
        <v>780</v>
      </c>
      <c r="D153" s="30" t="s">
        <v>473</v>
      </c>
      <c r="E153" s="30" t="s">
        <v>779</v>
      </c>
      <c r="F153" s="30" t="s">
        <v>652</v>
      </c>
      <c r="G153" s="62">
        <f t="shared" si="106"/>
        <v>45</v>
      </c>
      <c r="H153" s="101">
        <v>150</v>
      </c>
      <c r="I153" s="76" t="s">
        <v>662</v>
      </c>
      <c r="J153" s="81" t="str">
        <f t="shared" si="105"/>
        <v>mainhand</v>
      </c>
      <c r="K153" s="81" t="str">
        <f t="array" ref="K153">"A"&amp;IF(IF(ISBLANK(I153),OR(LEFT(LOWER(F153),1)={"a","e","I","o","u"}),OR(LEFT(LOWER(I153),1)={"a","e","I","o","u"})),"n "," ")&amp;I153&amp;IF(ISBLANK(I153),""," ")&amp;LOWER(F153)&amp;IF(LEFT(J153,1)="-",""," ")&amp;J153</f>
        <v>A magical ice mainhand</v>
      </c>
      <c r="L153" s="81">
        <v>1</v>
      </c>
      <c r="M153" s="84">
        <f>M152*2</f>
        <v>98</v>
      </c>
      <c r="N153" s="81" t="b">
        <v>1</v>
      </c>
      <c r="O153" s="93" t="b">
        <f t="shared" si="89"/>
        <v>0</v>
      </c>
      <c r="P153" s="62" t="s">
        <v>5</v>
      </c>
      <c r="Q153" s="81" t="s">
        <v>506</v>
      </c>
      <c r="R153" s="100">
        <f t="shared" si="70"/>
        <v>0.9</v>
      </c>
      <c r="S153" s="93">
        <f t="shared" si="90"/>
        <v>0.4</v>
      </c>
      <c r="T153" s="98">
        <f t="shared" si="91"/>
        <v>0.7</v>
      </c>
      <c r="U153" s="95">
        <f t="shared" si="92"/>
        <v>1.5</v>
      </c>
      <c r="V153" s="98">
        <f t="shared" si="93"/>
        <v>454.99999999999994</v>
      </c>
      <c r="W153" s="6">
        <f t="shared" si="94"/>
        <v>7.0000000000000007E-2</v>
      </c>
      <c r="X153" s="6">
        <v>0</v>
      </c>
      <c r="Y153" s="81" t="b">
        <v>1</v>
      </c>
      <c r="Z153" s="62">
        <f t="shared" si="80"/>
        <v>40</v>
      </c>
      <c r="AA153" s="71" t="str">
        <f t="shared" si="81"/>
        <v/>
      </c>
      <c r="AD153" s="71" t="str">
        <f t="shared" si="102"/>
        <v/>
      </c>
      <c r="AE153" s="71">
        <f t="shared" si="103"/>
        <v>28</v>
      </c>
      <c r="AG153" s="43">
        <f>IF(N153,INDEX(Damage!$F$2:$F$151,A153)*R153*S153*V153/1000,"")</f>
        <v>33.53589473684211</v>
      </c>
      <c r="AH153" s="94">
        <f t="shared" si="95"/>
        <v>31.188382105263162</v>
      </c>
      <c r="AI153" s="94">
        <f t="shared" si="96"/>
        <v>35.883407368421061</v>
      </c>
      <c r="AJ153" s="90" t="b">
        <v>0</v>
      </c>
      <c r="AK153" s="6" t="b">
        <f t="array" ref="AK153">IF(AJ153,MAX(IF(Armor!$D$2:'Armor'!$D$7=D153,Armor!$E$2:$E$7),0))</f>
        <v>0</v>
      </c>
      <c r="AL153" s="6">
        <f t="shared" si="107"/>
        <v>0.05</v>
      </c>
      <c r="AM153" s="71">
        <f>(AL153+AK153)*INDEX(Armor!$B$2:$B$151,A153)+IF(AJ153,1,0)</f>
        <v>14.200000000000001</v>
      </c>
      <c r="AN153" s="71">
        <f>IF(C153="Caster",IF(ISERR(FIND("orb",LOWER(E153))),IF(ISERR(FIND("wand",LOWER(E153))),IF(NOT($D153="Polearm"),0,INDEX(Regeneration!$M$2:$M$151,A153+2)),INDEX(Regeneration!$L$2:$L$151,A153+2)),INDEX(Regeneration!$K$2:$K$151,A153+2)),0)</f>
        <v>136</v>
      </c>
      <c r="AO153" s="71">
        <f t="shared" si="104"/>
        <v>0</v>
      </c>
      <c r="AP153" s="71">
        <f>IF(AND($N153,$C153="Caster"),IF(AND(NOT($D153="Polearm"),ISERR(FIND("wand",LOWER($E153)))),0,INDEX(Regeneration!F$2:F$151,A153)*0.06),"")</f>
        <v>71.539999999999992</v>
      </c>
      <c r="AQ153" s="88">
        <f t="shared" si="97"/>
        <v>0</v>
      </c>
      <c r="AR153" s="88">
        <f t="shared" si="98"/>
        <v>0</v>
      </c>
      <c r="AS153" s="16" t="str">
        <f>IF(D153="Shield",INDEX(Regeneration!$C$2:$C$151,A153+3)*0.5*IF(ISERR(FIND("Rare",B153)),IF(ISERR(FIND("Uncommon",B153)),1,1.5),2.25),"")</f>
        <v/>
      </c>
      <c r="AT153" s="16">
        <f t="shared" si="85"/>
        <v>137</v>
      </c>
      <c r="AU153" s="16" t="str">
        <f t="shared" si="86"/>
        <v/>
      </c>
      <c r="AV153" s="16" t="str">
        <f t="shared" si="87"/>
        <v/>
      </c>
      <c r="AW153" s="16" t="str">
        <f>IF(D153="Ring",INDEX(Regeneration!$B$6:$B$155,A153)*0.06,"")</f>
        <v/>
      </c>
      <c r="AZ153" s="16" t="str">
        <f t="shared" si="99"/>
        <v/>
      </c>
      <c r="BA153" s="6">
        <f t="shared" si="88"/>
        <v>0</v>
      </c>
      <c r="BB153" s="6">
        <f t="shared" si="101"/>
        <v>0</v>
      </c>
    </row>
    <row r="154" spans="1:54">
      <c r="A154" s="62">
        <v>40</v>
      </c>
      <c r="B154" s="30" t="s">
        <v>492</v>
      </c>
      <c r="C154" s="30" t="s">
        <v>780</v>
      </c>
      <c r="D154" s="30" t="s">
        <v>474</v>
      </c>
      <c r="E154" s="30" t="s">
        <v>770</v>
      </c>
      <c r="F154" s="30" t="s">
        <v>652</v>
      </c>
      <c r="G154" s="62">
        <f t="shared" si="106"/>
        <v>40</v>
      </c>
      <c r="H154" s="101">
        <v>150</v>
      </c>
      <c r="I154" s="76" t="s">
        <v>662</v>
      </c>
      <c r="J154" s="81" t="str">
        <f t="shared" si="105"/>
        <v>offhand item</v>
      </c>
      <c r="K154" s="81" t="str">
        <f t="array" ref="K154">"A"&amp;IF(IF(ISBLANK(I154),OR(LEFT(LOWER(F154),1)={"a","e","I","o","u"}),OR(LEFT(LOWER(I154),1)={"a","e","I","o","u"})),"n "," ")&amp;I154&amp;IF(ISBLANK(I154),""," ")&amp;LOWER(F154)&amp;IF(LEFT(J154,1)="-",""," ")&amp;J154</f>
        <v>A magical ice offhand item</v>
      </c>
      <c r="L154" s="81">
        <v>1</v>
      </c>
      <c r="M154" s="84">
        <v>1280</v>
      </c>
      <c r="N154" s="81" t="b">
        <v>0</v>
      </c>
      <c r="O154" s="93" t="b">
        <f t="shared" si="89"/>
        <v>0</v>
      </c>
      <c r="Q154" s="81"/>
      <c r="R154" s="100" t="str">
        <f t="shared" si="70"/>
        <v/>
      </c>
      <c r="S154" s="93" t="str">
        <f t="shared" si="90"/>
        <v/>
      </c>
      <c r="T154" s="98" t="str">
        <f t="shared" si="91"/>
        <v/>
      </c>
      <c r="U154" s="95" t="str">
        <f t="shared" si="92"/>
        <v/>
      </c>
      <c r="V154" s="98" t="str">
        <f t="shared" si="93"/>
        <v/>
      </c>
      <c r="W154" s="6" t="str">
        <f t="shared" si="94"/>
        <v/>
      </c>
      <c r="X154" s="6">
        <v>0</v>
      </c>
      <c r="Y154" s="81" t="b">
        <v>1</v>
      </c>
      <c r="Z154" s="62">
        <f t="shared" si="80"/>
        <v>40</v>
      </c>
      <c r="AA154" s="71" t="str">
        <f t="shared" si="81"/>
        <v/>
      </c>
      <c r="AD154" s="71" t="str">
        <f t="shared" si="102"/>
        <v/>
      </c>
      <c r="AE154" s="71">
        <f t="shared" si="103"/>
        <v>28</v>
      </c>
      <c r="AG154" s="43" t="str">
        <f>IF(N154,INDEX(Damage!$F$2:$F$151,A154)*R154*S154*V154/1000,"")</f>
        <v/>
      </c>
      <c r="AH154" s="94" t="str">
        <f t="shared" si="95"/>
        <v/>
      </c>
      <c r="AI154" s="94" t="str">
        <f t="shared" si="96"/>
        <v/>
      </c>
      <c r="AJ154" s="90" t="b">
        <v>0</v>
      </c>
      <c r="AK154" s="6" t="b">
        <f t="array" ref="AK154">IF(AJ154,MAX(IF(Armor!$D$2:'Armor'!$D$7=D154,Armor!$E$2:$E$7),0))</f>
        <v>0</v>
      </c>
      <c r="AL154" s="6">
        <f t="shared" si="107"/>
        <v>0</v>
      </c>
      <c r="AM154" s="71">
        <f>(AL154+AK154)*INDEX(Armor!$B$2:$B$151,A154)+IF(AJ154,1,0)</f>
        <v>0</v>
      </c>
      <c r="AN154" s="71">
        <f>IF(C154="Caster",IF(ISERR(FIND("orb",LOWER(E154))),IF(ISERR(FIND("wand",LOWER(E154))),IF(NOT($D154="Polearm"),0,INDEX(Regeneration!$M$2:$M$151,A154+2)),INDEX(Regeneration!$L$2:$L$151,A154+2)),INDEX(Regeneration!$K$2:$K$151,A154+2)),0)</f>
        <v>108.80000000000001</v>
      </c>
      <c r="AO154" s="71" t="str">
        <f t="shared" si="104"/>
        <v/>
      </c>
      <c r="AP154" s="71" t="str">
        <f>IF(AND($N154,$C154="Caster"),IF(AND(NOT($D154="Polearm"),ISERR(FIND("wand",LOWER($E154)))),0,INDEX(Regeneration!F$2:F$151,A154)*0.06),"")</f>
        <v/>
      </c>
      <c r="AQ154" s="88">
        <f t="shared" si="97"/>
        <v>0</v>
      </c>
      <c r="AR154" s="88">
        <f t="shared" si="98"/>
        <v>0</v>
      </c>
      <c r="AS154" s="16" t="str">
        <f>IF(D154="Shield",INDEX(Regeneration!$C$2:$C$151,A154+3)*0.5*IF(ISERR(FIND("Rare",B154)),IF(ISERR(FIND("Uncommon",B154)),1,1.5),2.25),"")</f>
        <v/>
      </c>
      <c r="AT154" s="16">
        <f t="shared" si="85"/>
        <v>109.80000000000001</v>
      </c>
      <c r="AU154" s="16" t="str">
        <f t="shared" si="86"/>
        <v/>
      </c>
      <c r="AV154" s="16" t="str">
        <f t="shared" si="87"/>
        <v/>
      </c>
      <c r="AW154" s="16" t="str">
        <f>IF(D154="Ring",INDEX(Regeneration!$B$6:$B$155,A154)*0.06,"")</f>
        <v/>
      </c>
      <c r="AZ154" s="16" t="str">
        <f t="shared" si="99"/>
        <v/>
      </c>
      <c r="BA154" s="6">
        <f t="shared" si="88"/>
        <v>0</v>
      </c>
      <c r="BB154" s="6">
        <f t="shared" si="101"/>
        <v>0</v>
      </c>
    </row>
    <row r="155" spans="1:54">
      <c r="A155" s="62">
        <v>40</v>
      </c>
      <c r="B155" s="30" t="s">
        <v>493</v>
      </c>
      <c r="C155" s="30" t="s">
        <v>780</v>
      </c>
      <c r="D155" s="30" t="s">
        <v>478</v>
      </c>
      <c r="E155" s="30" t="s">
        <v>637</v>
      </c>
      <c r="F155" s="30" t="s">
        <v>652</v>
      </c>
      <c r="G155" s="62">
        <f t="shared" si="106"/>
        <v>45</v>
      </c>
      <c r="H155" s="101">
        <v>150</v>
      </c>
      <c r="I155" s="76" t="s">
        <v>654</v>
      </c>
      <c r="J155" s="81" t="str">
        <f t="shared" si="105"/>
        <v>polearm</v>
      </c>
      <c r="K155" s="81" t="str">
        <f t="array" ref="K155">"A"&amp;IF(IF(ISBLANK(I155),OR(LEFT(LOWER(F155),1)={"a","e","I","o","u"}),OR(LEFT(LOWER(I155),1)={"a","e","I","o","u"})),"n "," ")&amp;I155&amp;IF(ISBLANK(I155),""," ")&amp;LOWER(F155)&amp;IF(LEFT(J155,1)="-",""," ")&amp;J155</f>
        <v>A powerful ice polearm</v>
      </c>
      <c r="L155" s="81">
        <v>1</v>
      </c>
      <c r="M155" s="84">
        <v>1369</v>
      </c>
      <c r="N155" s="81" t="s">
        <v>645</v>
      </c>
      <c r="O155" s="93" t="b">
        <f t="shared" si="89"/>
        <v>0</v>
      </c>
      <c r="P155" s="62" t="s">
        <v>7</v>
      </c>
      <c r="Q155" s="81" t="s">
        <v>505</v>
      </c>
      <c r="R155" s="100">
        <f t="shared" ref="R155:R157" si="108">IF(N155,IF(O155,0.9,1)*IF(Q155="slow",1.15,IF(Q155="fast",0.9,1)),"")</f>
        <v>1.1499999999999999</v>
      </c>
      <c r="S155" s="93">
        <f t="shared" si="90"/>
        <v>0.4</v>
      </c>
      <c r="T155" s="98">
        <f t="shared" si="91"/>
        <v>1.3</v>
      </c>
      <c r="U155" s="95">
        <f t="shared" si="92"/>
        <v>2.5</v>
      </c>
      <c r="V155" s="98">
        <f t="shared" si="93"/>
        <v>845</v>
      </c>
      <c r="W155" s="6">
        <f t="shared" si="94"/>
        <v>0.3</v>
      </c>
      <c r="X155" s="6">
        <v>0</v>
      </c>
      <c r="Y155" s="81" t="b">
        <v>1</v>
      </c>
      <c r="Z155" s="62">
        <f t="shared" si="80"/>
        <v>40</v>
      </c>
      <c r="AA155" s="71" t="str">
        <f t="shared" si="81"/>
        <v/>
      </c>
      <c r="AD155" s="71" t="str">
        <f t="shared" si="102"/>
        <v/>
      </c>
      <c r="AE155" s="71">
        <f t="shared" si="103"/>
        <v>28</v>
      </c>
      <c r="AG155" s="43">
        <f>IF(N155,INDEX(Damage!$F$2:$F$151,A155)*R155*S155*V155/1000,"")</f>
        <v>79.581210526315786</v>
      </c>
      <c r="AH155" s="94">
        <f t="shared" si="95"/>
        <v>55.706847368421052</v>
      </c>
      <c r="AI155" s="94">
        <f t="shared" si="96"/>
        <v>103.45557368421052</v>
      </c>
      <c r="AJ155" s="79" t="s">
        <v>644</v>
      </c>
      <c r="AK155" s="6" t="b">
        <f t="array" ref="AK155">IF(AJ155,MAX(IF(Armor!$D$2:'Armor'!$D$7=D155,Armor!$E$2:$E$7),0))</f>
        <v>0</v>
      </c>
      <c r="AL155" s="6">
        <f t="shared" si="107"/>
        <v>0.05</v>
      </c>
      <c r="AM155" s="71">
        <f>(AL155+AK155)*INDEX(Armor!$B$2:$B$151,A155)+IF(AJ155,1,0)</f>
        <v>14.200000000000001</v>
      </c>
      <c r="AN155" s="71">
        <f>IF(C155="Caster",IF(ISERR(FIND("orb",LOWER(E155))),IF(ISERR(FIND("wand",LOWER(E155))),IF(NOT($D155="Polearm"),0,INDEX(Regeneration!$M$2:$M$151,A155+2)),INDEX(Regeneration!$L$2:$L$151,A155+2)),INDEX(Regeneration!$K$2:$K$151,A155+2)),0)</f>
        <v>272</v>
      </c>
      <c r="AO155" s="71">
        <f t="shared" si="104"/>
        <v>5</v>
      </c>
      <c r="AP155" s="71">
        <f>IF(AND($N155,$C155="Caster"),IF(AND(NOT($D155="Polearm"),ISERR(FIND("wand",LOWER($E155)))),0,INDEX(Regeneration!F$2:F$151,A155)*0.06),"")</f>
        <v>71.539999999999992</v>
      </c>
      <c r="AQ155" s="88">
        <f t="shared" si="97"/>
        <v>0</v>
      </c>
      <c r="AR155" s="88">
        <f t="shared" si="98"/>
        <v>0</v>
      </c>
      <c r="AS155" s="16" t="str">
        <f>IF(D155="Shield",INDEX(Regeneration!$C$2:$C$151,A155+3)*0.5*IF(ISERR(FIND("Rare",B155)),IF(ISERR(FIND("Uncommon",B155)),1,1.5),2.25),"")</f>
        <v/>
      </c>
      <c r="AT155" s="16">
        <f t="shared" si="85"/>
        <v>273</v>
      </c>
      <c r="AU155" s="16">
        <f t="shared" si="86"/>
        <v>5</v>
      </c>
      <c r="AV155" s="16" t="str">
        <f t="shared" si="87"/>
        <v/>
      </c>
      <c r="AW155" s="16" t="str">
        <f>IF(D155="Ring",INDEX(Regeneration!$B$6:$B$155,A155)*0.06,"")</f>
        <v/>
      </c>
      <c r="AZ155" s="16">
        <f t="shared" si="99"/>
        <v>8.3333333333333339</v>
      </c>
      <c r="BA155" s="6">
        <f t="shared" si="88"/>
        <v>0</v>
      </c>
      <c r="BB155" s="6">
        <f t="shared" si="101"/>
        <v>0</v>
      </c>
    </row>
    <row r="156" spans="1:54">
      <c r="A156" s="62">
        <v>40</v>
      </c>
      <c r="B156" s="30" t="s">
        <v>493</v>
      </c>
      <c r="C156" s="30" t="s">
        <v>496</v>
      </c>
      <c r="D156" s="30" t="s">
        <v>485</v>
      </c>
      <c r="E156" s="30" t="s">
        <v>640</v>
      </c>
      <c r="F156" s="30" t="s">
        <v>652</v>
      </c>
      <c r="G156" s="62">
        <f t="shared" si="106"/>
        <v>45</v>
      </c>
      <c r="H156" s="101">
        <v>150</v>
      </c>
      <c r="J156" s="81" t="str">
        <f t="shared" si="105"/>
        <v>ring</v>
      </c>
      <c r="K156" s="81" t="str">
        <f t="array" ref="K156">"A"&amp;IF(IF(ISBLANK(I156),OR(LEFT(LOWER(F156),1)={"a","e","I","o","u"}),OR(LEFT(LOWER(I156),1)={"a","e","I","o","u"})),"n "," ")&amp;I156&amp;IF(ISBLANK(I156),""," ")&amp;LOWER(F156)&amp;IF(LEFT(J156,1)="-",""," ")&amp;J156</f>
        <v>An ice ring</v>
      </c>
      <c r="L156" s="81">
        <v>1</v>
      </c>
      <c r="M156" s="84">
        <v>1009</v>
      </c>
      <c r="N156" s="81" t="s">
        <v>644</v>
      </c>
      <c r="O156" s="93" t="b">
        <f t="shared" si="89"/>
        <v>0</v>
      </c>
      <c r="P156" s="62" t="s">
        <v>490</v>
      </c>
      <c r="Q156" s="81" t="s">
        <v>490</v>
      </c>
      <c r="R156" s="100" t="str">
        <f t="shared" si="108"/>
        <v/>
      </c>
      <c r="S156" s="93" t="str">
        <f t="shared" si="90"/>
        <v/>
      </c>
      <c r="T156" s="98" t="str">
        <f t="shared" si="91"/>
        <v/>
      </c>
      <c r="U156" s="95" t="str">
        <f t="shared" si="92"/>
        <v/>
      </c>
      <c r="V156" s="98" t="str">
        <f t="shared" si="93"/>
        <v/>
      </c>
      <c r="W156" s="6" t="str">
        <f t="shared" si="94"/>
        <v/>
      </c>
      <c r="X156" s="6">
        <v>0</v>
      </c>
      <c r="Y156" s="81" t="b">
        <v>1</v>
      </c>
      <c r="Z156" s="62">
        <f t="shared" si="80"/>
        <v>40</v>
      </c>
      <c r="AA156" s="71" t="str">
        <f t="shared" si="81"/>
        <v/>
      </c>
      <c r="AD156" s="71" t="str">
        <f t="shared" si="102"/>
        <v/>
      </c>
      <c r="AE156" s="71" t="str">
        <f t="shared" si="103"/>
        <v/>
      </c>
      <c r="AG156" s="43" t="str">
        <f>IF(N156,INDEX(Damage!$F$2:$F$151,A156)*R156*S156*V156/1000,"")</f>
        <v/>
      </c>
      <c r="AH156" s="94" t="str">
        <f t="shared" si="95"/>
        <v/>
      </c>
      <c r="AI156" s="94" t="str">
        <f t="shared" si="96"/>
        <v/>
      </c>
      <c r="AJ156" s="79" t="s">
        <v>644</v>
      </c>
      <c r="AK156" s="6" t="b">
        <f t="array" ref="AK156">IF(AJ156,MAX(IF(Armor!$D$2:'Armor'!$D$7=D156,Armor!$E$2:$E$7),0))</f>
        <v>0</v>
      </c>
      <c r="AL156" s="6">
        <f t="shared" si="107"/>
        <v>0.05</v>
      </c>
      <c r="AM156" s="71">
        <f>(AL156+AK156)*INDEX(Armor!$B$2:$B$151,A156)+IF(AJ156,1,0)</f>
        <v>14.200000000000001</v>
      </c>
      <c r="AN156" s="71">
        <f>IF(C156="Caster",IF(ISERR(FIND("orb",LOWER(E156))),IF(ISERR(FIND("wand",LOWER(E156))),IF(NOT($D156="Polearm"),0,INDEX(Regeneration!$M$2:$M$151,A156+2)),INDEX(Regeneration!$L$2:$L$151,A156+2)),INDEX(Regeneration!$K$2:$K$151,A156+2)),0)</f>
        <v>0</v>
      </c>
      <c r="AO156" s="71" t="str">
        <f t="shared" si="104"/>
        <v/>
      </c>
      <c r="AP156" s="71" t="str">
        <f>IF(AND($N156,$C156="Caster"),IF(AND(NOT($D156="Polearm"),ISERR(FIND("wand",LOWER($E156)))),0,INDEX(Regeneration!F$2:F$151,A156)*0.06),"")</f>
        <v/>
      </c>
      <c r="AQ156" s="88">
        <f t="shared" si="97"/>
        <v>0</v>
      </c>
      <c r="AR156" s="88">
        <f t="shared" si="98"/>
        <v>0</v>
      </c>
      <c r="AS156" s="16" t="str">
        <f>IF(D156="Shield",INDEX(Regeneration!$C$2:$C$151,A156+3)*0.5*IF(ISERR(FIND("Rare",B156)),IF(ISERR(FIND("Uncommon",B156)),1,1.5),2.25),"")</f>
        <v/>
      </c>
      <c r="AT156" s="16" t="str">
        <f t="shared" si="85"/>
        <v/>
      </c>
      <c r="AU156" s="16" t="str">
        <f t="shared" si="86"/>
        <v/>
      </c>
      <c r="AV156" s="16">
        <f t="shared" si="87"/>
        <v>5</v>
      </c>
      <c r="AW156" s="16">
        <f>IF(D156="Ring",INDEX(Regeneration!$B$6:$B$155,A156)*0.06,"")</f>
        <v>85.853333333333325</v>
      </c>
      <c r="AZ156" s="16" t="str">
        <f t="shared" si="99"/>
        <v/>
      </c>
      <c r="BA156" s="6">
        <f t="shared" si="88"/>
        <v>0</v>
      </c>
      <c r="BB156" s="6">
        <f t="shared" si="101"/>
        <v>0</v>
      </c>
    </row>
    <row r="157" spans="1:54">
      <c r="A157" s="62">
        <v>40</v>
      </c>
      <c r="B157" s="30" t="s">
        <v>492</v>
      </c>
      <c r="C157" s="30" t="s">
        <v>496</v>
      </c>
      <c r="D157" s="30" t="s">
        <v>475</v>
      </c>
      <c r="E157" s="30" t="s">
        <v>634</v>
      </c>
      <c r="F157" s="30" t="s">
        <v>652</v>
      </c>
      <c r="G157" s="62">
        <f t="shared" si="106"/>
        <v>40</v>
      </c>
      <c r="H157" s="101">
        <v>150</v>
      </c>
      <c r="J157" s="81" t="str">
        <f t="shared" si="105"/>
        <v>shield</v>
      </c>
      <c r="K157" s="81" t="str">
        <f t="array" ref="K157">"A"&amp;IF(IF(ISBLANK(I157),OR(LEFT(LOWER(F157),1)={"a","e","I","o","u"}),OR(LEFT(LOWER(I157),1)={"a","e","I","o","u"})),"n "," ")&amp;I157&amp;IF(ISBLANK(I157),""," ")&amp;LOWER(F157)&amp;IF(LEFT(J157,1)="-",""," ")&amp;J157</f>
        <v>An ice shield</v>
      </c>
      <c r="L157" s="81">
        <v>1</v>
      </c>
      <c r="M157" s="84">
        <v>369</v>
      </c>
      <c r="N157" s="81" t="s">
        <v>644</v>
      </c>
      <c r="O157" s="93" t="b">
        <f t="shared" si="89"/>
        <v>0</v>
      </c>
      <c r="P157" s="62" t="s">
        <v>490</v>
      </c>
      <c r="Q157" s="81" t="s">
        <v>490</v>
      </c>
      <c r="R157" s="100" t="str">
        <f t="shared" si="108"/>
        <v/>
      </c>
      <c r="S157" s="93" t="str">
        <f t="shared" si="90"/>
        <v/>
      </c>
      <c r="T157" s="98" t="str">
        <f t="shared" si="91"/>
        <v/>
      </c>
      <c r="U157" s="95" t="str">
        <f t="shared" si="92"/>
        <v/>
      </c>
      <c r="V157" s="98" t="str">
        <f t="shared" si="93"/>
        <v/>
      </c>
      <c r="W157" s="6" t="str">
        <f t="shared" si="94"/>
        <v/>
      </c>
      <c r="X157" s="6">
        <v>0</v>
      </c>
      <c r="Y157" s="81" t="b">
        <v>1</v>
      </c>
      <c r="Z157" s="62">
        <f t="shared" si="80"/>
        <v>40</v>
      </c>
      <c r="AA157" s="71" t="str">
        <f t="shared" si="81"/>
        <v/>
      </c>
      <c r="AD157" s="71" t="str">
        <f t="shared" si="102"/>
        <v/>
      </c>
      <c r="AE157" s="71" t="str">
        <f t="shared" si="103"/>
        <v/>
      </c>
      <c r="AG157" s="43" t="str">
        <f>IF(N157,INDEX(Damage!$F$2:$F$151,A157)*R157*S157*V157/1000,"")</f>
        <v/>
      </c>
      <c r="AH157" s="94" t="str">
        <f t="shared" si="95"/>
        <v/>
      </c>
      <c r="AI157" s="94" t="str">
        <f t="shared" si="96"/>
        <v/>
      </c>
      <c r="AJ157" s="79" t="s">
        <v>645</v>
      </c>
      <c r="AK157" s="6">
        <f t="array" ref="AK157">IF(AJ157,MAX(IF(Armor!$D$2:'Armor'!$D$7=D157,Armor!$E$2:$E$7),0))</f>
        <v>0.25</v>
      </c>
      <c r="AL157" s="6">
        <f t="shared" si="107"/>
        <v>0</v>
      </c>
      <c r="AM157" s="71">
        <f>(AL157+AK157)*INDEX(Armor!$B$2:$B$151,A157)+IF(AJ157,1,0)</f>
        <v>72</v>
      </c>
      <c r="AN157" s="71">
        <f>IF(C157="Caster",IF(ISERR(FIND("orb",LOWER(E157))),IF(ISERR(FIND("wand",LOWER(E157))),IF(NOT($D157="Polearm"),0,INDEX(Regeneration!$M$2:$M$151,A157+2)),INDEX(Regeneration!$L$2:$L$151,A157+2)),INDEX(Regeneration!$K$2:$K$151,A157+2)),0)</f>
        <v>0</v>
      </c>
      <c r="AO157" s="71" t="str">
        <f t="shared" si="104"/>
        <v/>
      </c>
      <c r="AP157" s="71" t="str">
        <f>IF(AND($N157,$C157="Caster"),IF(AND(NOT($D157="Polearm"),ISERR(FIND("wand",LOWER($E157)))),0,INDEX(Regeneration!F$2:F$151,A157)*0.06),"")</f>
        <v/>
      </c>
      <c r="AQ157" s="88">
        <f t="shared" si="97"/>
        <v>0</v>
      </c>
      <c r="AR157" s="88">
        <f t="shared" si="98"/>
        <v>0</v>
      </c>
      <c r="AS157" s="16">
        <f>IF(D157="Shield",INDEX(Regeneration!$C$2:$C$151,A157+3)*0.5*IF(ISERR(FIND("Rare",B157)),IF(ISERR(FIND("Uncommon",B157)),1,1.5),2.25),"")</f>
        <v>150.91975308641975</v>
      </c>
      <c r="AT157" s="16" t="str">
        <f t="shared" si="85"/>
        <v/>
      </c>
      <c r="AU157" s="16" t="str">
        <f t="shared" si="86"/>
        <v/>
      </c>
      <c r="AV157" s="16" t="str">
        <f t="shared" si="87"/>
        <v/>
      </c>
      <c r="AW157" s="16" t="str">
        <f>IF(D157="Ring",INDEX(Regeneration!$B$6:$B$155,A157)*0.06,"")</f>
        <v/>
      </c>
      <c r="AZ157" s="16" t="str">
        <f t="shared" si="99"/>
        <v/>
      </c>
      <c r="BA157" s="6">
        <f t="shared" si="88"/>
        <v>0</v>
      </c>
      <c r="BB157" s="6">
        <f t="shared" si="101"/>
        <v>0</v>
      </c>
    </row>
    <row r="158" spans="1:54">
      <c r="AI158" s="82"/>
    </row>
    <row r="161" spans="35:35">
      <c r="AI161" s="97" t="s">
        <v>823</v>
      </c>
    </row>
  </sheetData>
  <sortState ref="A2:AX158">
    <sortCondition ref="A1"/>
  </sortState>
  <dataValidations count="4">
    <dataValidation type="list" allowBlank="1" showInputMessage="1" showErrorMessage="1" sqref="D2:D1048576">
      <formula1>ItemEquipmentType</formula1>
    </dataValidation>
    <dataValidation type="list" allowBlank="1" showInputMessage="1" showErrorMessage="1" sqref="B2:B1048576">
      <formula1>ItemIntendedUse</formula1>
    </dataValidation>
    <dataValidation type="list" allowBlank="1" showInputMessage="1" showErrorMessage="1" sqref="P1:P1048576">
      <formula1>WeaponSize</formula1>
    </dataValidation>
    <dataValidation type="list" allowBlank="1" showInputMessage="1" showErrorMessage="1" sqref="Q1:Q1048576">
      <formula1>WeaponSpeed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dimension ref="A1:D21"/>
  <sheetViews>
    <sheetView workbookViewId="0">
      <selection activeCell="D3" sqref="D3"/>
    </sheetView>
  </sheetViews>
  <sheetFormatPr defaultRowHeight="15"/>
  <sheetData>
    <row r="1" spans="1:4">
      <c r="A1" t="s">
        <v>472</v>
      </c>
      <c r="B1" t="s">
        <v>492</v>
      </c>
      <c r="C1" t="s">
        <v>7</v>
      </c>
      <c r="D1" t="s">
        <v>505</v>
      </c>
    </row>
    <row r="2" spans="1:4">
      <c r="A2" t="s">
        <v>473</v>
      </c>
      <c r="B2" t="s">
        <v>493</v>
      </c>
      <c r="C2" t="s">
        <v>504</v>
      </c>
      <c r="D2" t="s">
        <v>643</v>
      </c>
    </row>
    <row r="3" spans="1:4">
      <c r="A3" t="s">
        <v>474</v>
      </c>
      <c r="B3" t="s">
        <v>495</v>
      </c>
      <c r="C3" t="s">
        <v>5</v>
      </c>
      <c r="D3" t="s">
        <v>506</v>
      </c>
    </row>
    <row r="4" spans="1:4">
      <c r="A4" t="s">
        <v>475</v>
      </c>
      <c r="B4" t="s">
        <v>494</v>
      </c>
    </row>
    <row r="5" spans="1:4">
      <c r="A5" t="s">
        <v>449</v>
      </c>
      <c r="B5" t="s">
        <v>497</v>
      </c>
    </row>
    <row r="6" spans="1:4">
      <c r="A6" t="s">
        <v>476</v>
      </c>
      <c r="B6" t="s">
        <v>498</v>
      </c>
    </row>
    <row r="7" spans="1:4">
      <c r="A7" t="s">
        <v>477</v>
      </c>
      <c r="B7" t="s">
        <v>499</v>
      </c>
    </row>
    <row r="8" spans="1:4">
      <c r="A8" t="s">
        <v>478</v>
      </c>
      <c r="B8" t="s">
        <v>500</v>
      </c>
    </row>
    <row r="9" spans="1:4">
      <c r="A9" t="s">
        <v>479</v>
      </c>
      <c r="B9" t="s">
        <v>501</v>
      </c>
    </row>
    <row r="10" spans="1:4">
      <c r="A10" t="s">
        <v>450</v>
      </c>
      <c r="B10" t="s">
        <v>502</v>
      </c>
    </row>
    <row r="11" spans="1:4">
      <c r="A11" t="s">
        <v>480</v>
      </c>
      <c r="B11" t="s">
        <v>503</v>
      </c>
    </row>
    <row r="12" spans="1:4">
      <c r="A12" t="s">
        <v>481</v>
      </c>
    </row>
    <row r="13" spans="1:4">
      <c r="A13" t="s">
        <v>482</v>
      </c>
    </row>
    <row r="14" spans="1:4">
      <c r="A14" t="s">
        <v>401</v>
      </c>
    </row>
    <row r="15" spans="1:4">
      <c r="A15" t="s">
        <v>483</v>
      </c>
    </row>
    <row r="16" spans="1:4">
      <c r="A16" t="s">
        <v>484</v>
      </c>
    </row>
    <row r="17" spans="1:1">
      <c r="A17" t="s">
        <v>485</v>
      </c>
    </row>
    <row r="18" spans="1:1">
      <c r="A18" t="s">
        <v>486</v>
      </c>
    </row>
    <row r="19" spans="1:1">
      <c r="A19" t="s">
        <v>487</v>
      </c>
    </row>
    <row r="20" spans="1:1">
      <c r="A20" t="s">
        <v>488</v>
      </c>
    </row>
    <row r="21" spans="1:1">
      <c r="A21" t="s">
        <v>489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tatBoosts"/>
  <dimension ref="A1:D192"/>
  <sheetViews>
    <sheetView workbookViewId="0">
      <selection activeCell="F1" sqref="F1"/>
    </sheetView>
  </sheetViews>
  <sheetFormatPr defaultRowHeight="15"/>
  <cols>
    <col min="1" max="1" width="14.5703125" bestFit="1" customWidth="1"/>
    <col min="2" max="2" width="13.7109375" bestFit="1" customWidth="1"/>
    <col min="4" max="4" width="12.140625" bestFit="1" customWidth="1"/>
  </cols>
  <sheetData>
    <row r="1" spans="1:4">
      <c r="A1" t="s">
        <v>13</v>
      </c>
      <c r="B1" t="s">
        <v>14</v>
      </c>
      <c r="C1" s="2" t="s">
        <v>15</v>
      </c>
      <c r="D1" s="2" t="s">
        <v>16</v>
      </c>
    </row>
    <row r="2" spans="1:4">
      <c r="A2" s="2">
        <v>13</v>
      </c>
      <c r="B2" s="3">
        <v>1</v>
      </c>
      <c r="C2" s="2">
        <v>10</v>
      </c>
      <c r="D2" s="2">
        <f>boostedstat(C2)</f>
        <v>10</v>
      </c>
    </row>
    <row r="3" spans="1:4">
      <c r="A3" s="2">
        <v>15</v>
      </c>
      <c r="B3" s="3">
        <v>1</v>
      </c>
      <c r="C3" s="2">
        <v>11</v>
      </c>
      <c r="D3" s="2">
        <f>boostedstat(C3)</f>
        <v>11</v>
      </c>
    </row>
    <row r="4" spans="1:4">
      <c r="A4" s="2">
        <v>17</v>
      </c>
      <c r="B4" s="3">
        <v>1</v>
      </c>
      <c r="C4" s="2">
        <v>12</v>
      </c>
      <c r="D4" s="2">
        <f t="shared" ref="D4:D67" si="0">boostedstat(C4)</f>
        <v>12</v>
      </c>
    </row>
    <row r="5" spans="1:4">
      <c r="A5" s="2">
        <v>19</v>
      </c>
      <c r="B5" s="3">
        <v>1</v>
      </c>
      <c r="C5" s="2">
        <v>13</v>
      </c>
      <c r="D5" s="2">
        <f t="shared" si="0"/>
        <v>14</v>
      </c>
    </row>
    <row r="6" spans="1:4">
      <c r="A6" s="2">
        <v>21</v>
      </c>
      <c r="B6" s="3">
        <v>1</v>
      </c>
      <c r="C6" s="2">
        <v>14</v>
      </c>
      <c r="D6" s="2">
        <f t="shared" si="0"/>
        <v>15</v>
      </c>
    </row>
    <row r="7" spans="1:4">
      <c r="A7" s="2">
        <v>25</v>
      </c>
      <c r="B7" s="3">
        <v>1</v>
      </c>
      <c r="C7" s="2">
        <v>15</v>
      </c>
      <c r="D7" s="2">
        <f t="shared" si="0"/>
        <v>17</v>
      </c>
    </row>
    <row r="8" spans="1:4">
      <c r="A8" s="2">
        <v>29</v>
      </c>
      <c r="B8" s="3">
        <v>1</v>
      </c>
      <c r="C8" s="2">
        <v>16</v>
      </c>
      <c r="D8" s="2">
        <f t="shared" si="0"/>
        <v>18</v>
      </c>
    </row>
    <row r="9" spans="1:4">
      <c r="A9" s="2">
        <v>34</v>
      </c>
      <c r="B9" s="3">
        <v>1</v>
      </c>
      <c r="C9" s="2">
        <v>17</v>
      </c>
      <c r="D9" s="2">
        <f t="shared" si="0"/>
        <v>20</v>
      </c>
    </row>
    <row r="10" spans="1:4">
      <c r="A10" s="2">
        <v>39</v>
      </c>
      <c r="B10" s="3">
        <v>1</v>
      </c>
      <c r="C10" s="2">
        <v>18</v>
      </c>
      <c r="D10" s="2">
        <f t="shared" si="0"/>
        <v>21</v>
      </c>
    </row>
    <row r="11" spans="1:4">
      <c r="A11" s="2">
        <v>45</v>
      </c>
      <c r="B11" s="3">
        <v>2</v>
      </c>
      <c r="C11" s="2">
        <v>19</v>
      </c>
      <c r="D11" s="2">
        <f t="shared" si="0"/>
        <v>23</v>
      </c>
    </row>
    <row r="12" spans="1:4">
      <c r="A12" s="2">
        <v>51</v>
      </c>
      <c r="B12" s="3">
        <v>2</v>
      </c>
      <c r="C12" s="2">
        <v>20</v>
      </c>
      <c r="D12" s="2">
        <f t="shared" si="0"/>
        <v>24</v>
      </c>
    </row>
    <row r="13" spans="1:4">
      <c r="A13" s="2">
        <v>57</v>
      </c>
      <c r="B13" s="3">
        <v>2</v>
      </c>
      <c r="C13" s="2">
        <v>21</v>
      </c>
      <c r="D13" s="2">
        <f t="shared" si="0"/>
        <v>26</v>
      </c>
    </row>
    <row r="14" spans="1:4">
      <c r="A14" s="2">
        <v>60</v>
      </c>
      <c r="B14" s="3">
        <v>2</v>
      </c>
      <c r="C14" s="2">
        <v>22</v>
      </c>
      <c r="D14" s="2">
        <f t="shared" si="0"/>
        <v>27</v>
      </c>
    </row>
    <row r="15" spans="1:4">
      <c r="A15" s="2">
        <v>66</v>
      </c>
      <c r="B15" s="3">
        <v>2</v>
      </c>
      <c r="C15" s="2">
        <v>23</v>
      </c>
      <c r="D15" s="2">
        <f t="shared" si="0"/>
        <v>28</v>
      </c>
    </row>
    <row r="16" spans="1:4">
      <c r="A16" s="2">
        <v>72</v>
      </c>
      <c r="B16" s="3">
        <v>3</v>
      </c>
      <c r="C16" s="2">
        <v>24</v>
      </c>
      <c r="D16" s="2">
        <f t="shared" si="0"/>
        <v>29</v>
      </c>
    </row>
    <row r="17" spans="1:4">
      <c r="A17" s="2">
        <v>78</v>
      </c>
      <c r="B17" s="3">
        <v>3</v>
      </c>
      <c r="C17" s="2">
        <v>25</v>
      </c>
      <c r="D17" s="2">
        <f t="shared" si="0"/>
        <v>31</v>
      </c>
    </row>
    <row r="18" spans="1:4">
      <c r="A18" s="2">
        <v>84</v>
      </c>
      <c r="B18" s="3">
        <v>3</v>
      </c>
      <c r="C18" s="2">
        <v>26</v>
      </c>
      <c r="D18" s="2">
        <f t="shared" si="0"/>
        <v>32</v>
      </c>
    </row>
    <row r="19" spans="1:4">
      <c r="A19" s="2">
        <v>90</v>
      </c>
      <c r="B19" s="3">
        <v>4</v>
      </c>
      <c r="C19" s="2">
        <v>27</v>
      </c>
      <c r="D19" s="2">
        <f t="shared" si="0"/>
        <v>33</v>
      </c>
    </row>
    <row r="20" spans="1:4">
      <c r="A20" s="2">
        <v>96</v>
      </c>
      <c r="B20" s="3">
        <v>4</v>
      </c>
      <c r="C20" s="2">
        <v>28</v>
      </c>
      <c r="D20" s="2">
        <f t="shared" si="0"/>
        <v>34</v>
      </c>
    </row>
    <row r="21" spans="1:4">
      <c r="A21" s="2">
        <v>103</v>
      </c>
      <c r="B21" s="3">
        <v>5</v>
      </c>
      <c r="C21" s="2">
        <v>29</v>
      </c>
      <c r="D21" s="2">
        <f t="shared" si="0"/>
        <v>36</v>
      </c>
    </row>
    <row r="22" spans="1:4">
      <c r="C22" s="2">
        <v>30</v>
      </c>
      <c r="D22" s="2">
        <f t="shared" si="0"/>
        <v>37</v>
      </c>
    </row>
    <row r="23" spans="1:4">
      <c r="C23" s="2">
        <v>31</v>
      </c>
      <c r="D23" s="2">
        <f t="shared" si="0"/>
        <v>38</v>
      </c>
    </row>
    <row r="24" spans="1:4">
      <c r="C24" s="2">
        <v>32</v>
      </c>
      <c r="D24" s="2">
        <f t="shared" si="0"/>
        <v>39</v>
      </c>
    </row>
    <row r="25" spans="1:4">
      <c r="C25" s="2">
        <v>33</v>
      </c>
      <c r="D25" s="2">
        <f t="shared" si="0"/>
        <v>40</v>
      </c>
    </row>
    <row r="26" spans="1:4">
      <c r="C26" s="2">
        <v>34</v>
      </c>
      <c r="D26" s="2">
        <f t="shared" si="0"/>
        <v>42</v>
      </c>
    </row>
    <row r="27" spans="1:4">
      <c r="C27" s="2">
        <v>35</v>
      </c>
      <c r="D27" s="2">
        <f t="shared" si="0"/>
        <v>43</v>
      </c>
    </row>
    <row r="28" spans="1:4">
      <c r="C28" s="2">
        <v>36</v>
      </c>
      <c r="D28" s="2">
        <f t="shared" si="0"/>
        <v>44</v>
      </c>
    </row>
    <row r="29" spans="1:4">
      <c r="C29" s="2">
        <v>37</v>
      </c>
      <c r="D29" s="2">
        <f t="shared" si="0"/>
        <v>45</v>
      </c>
    </row>
    <row r="30" spans="1:4">
      <c r="C30" s="2">
        <v>38</v>
      </c>
      <c r="D30" s="2">
        <f t="shared" si="0"/>
        <v>46</v>
      </c>
    </row>
    <row r="31" spans="1:4">
      <c r="C31" s="2">
        <v>39</v>
      </c>
      <c r="D31" s="2">
        <f t="shared" si="0"/>
        <v>49</v>
      </c>
    </row>
    <row r="32" spans="1:4">
      <c r="C32" s="2">
        <v>40</v>
      </c>
      <c r="D32" s="2">
        <f t="shared" si="0"/>
        <v>50</v>
      </c>
    </row>
    <row r="33" spans="3:4">
      <c r="C33" s="2">
        <v>41</v>
      </c>
      <c r="D33" s="2">
        <f t="shared" si="0"/>
        <v>51</v>
      </c>
    </row>
    <row r="34" spans="3:4">
      <c r="C34" s="2">
        <v>42</v>
      </c>
      <c r="D34" s="2">
        <f t="shared" si="0"/>
        <v>52</v>
      </c>
    </row>
    <row r="35" spans="3:4">
      <c r="C35" s="2">
        <v>43</v>
      </c>
      <c r="D35" s="2">
        <f t="shared" si="0"/>
        <v>53</v>
      </c>
    </row>
    <row r="36" spans="3:4">
      <c r="C36" s="2">
        <v>44</v>
      </c>
      <c r="D36" s="2">
        <f t="shared" si="0"/>
        <v>54</v>
      </c>
    </row>
    <row r="37" spans="3:4">
      <c r="C37" s="2">
        <v>45</v>
      </c>
      <c r="D37" s="2">
        <f t="shared" si="0"/>
        <v>57</v>
      </c>
    </row>
    <row r="38" spans="3:4">
      <c r="C38" s="2">
        <v>46</v>
      </c>
      <c r="D38" s="2">
        <f t="shared" si="0"/>
        <v>58</v>
      </c>
    </row>
    <row r="39" spans="3:4">
      <c r="C39" s="2">
        <v>47</v>
      </c>
      <c r="D39" s="2">
        <f t="shared" si="0"/>
        <v>59</v>
      </c>
    </row>
    <row r="40" spans="3:4">
      <c r="C40" s="2">
        <v>48</v>
      </c>
      <c r="D40" s="2">
        <f t="shared" si="0"/>
        <v>60</v>
      </c>
    </row>
    <row r="41" spans="3:4">
      <c r="C41" s="2">
        <v>49</v>
      </c>
      <c r="D41" s="2">
        <f t="shared" si="0"/>
        <v>61</v>
      </c>
    </row>
    <row r="42" spans="3:4">
      <c r="C42" s="2">
        <v>50</v>
      </c>
      <c r="D42" s="2">
        <f t="shared" si="0"/>
        <v>62</v>
      </c>
    </row>
    <row r="43" spans="3:4">
      <c r="C43" s="2">
        <v>51</v>
      </c>
      <c r="D43" s="2">
        <f t="shared" si="0"/>
        <v>65</v>
      </c>
    </row>
    <row r="44" spans="3:4">
      <c r="C44" s="2">
        <v>52</v>
      </c>
      <c r="D44" s="2">
        <f t="shared" si="0"/>
        <v>66</v>
      </c>
    </row>
    <row r="45" spans="3:4">
      <c r="C45" s="2">
        <v>53</v>
      </c>
      <c r="D45" s="2">
        <f t="shared" si="0"/>
        <v>67</v>
      </c>
    </row>
    <row r="46" spans="3:4">
      <c r="C46" s="2">
        <v>54</v>
      </c>
      <c r="D46" s="2">
        <f t="shared" si="0"/>
        <v>68</v>
      </c>
    </row>
    <row r="47" spans="3:4">
      <c r="C47" s="2">
        <v>55</v>
      </c>
      <c r="D47" s="2">
        <f t="shared" si="0"/>
        <v>69</v>
      </c>
    </row>
    <row r="48" spans="3:4">
      <c r="C48" s="2">
        <v>56</v>
      </c>
      <c r="D48" s="2">
        <f t="shared" si="0"/>
        <v>70</v>
      </c>
    </row>
    <row r="49" spans="3:4">
      <c r="C49" s="2">
        <v>57</v>
      </c>
      <c r="D49" s="2">
        <f t="shared" si="0"/>
        <v>73</v>
      </c>
    </row>
    <row r="50" spans="3:4">
      <c r="C50" s="2">
        <v>58</v>
      </c>
      <c r="D50" s="2">
        <f t="shared" si="0"/>
        <v>74</v>
      </c>
    </row>
    <row r="51" spans="3:4">
      <c r="C51" s="2">
        <v>59</v>
      </c>
      <c r="D51" s="2">
        <f t="shared" si="0"/>
        <v>75</v>
      </c>
    </row>
    <row r="52" spans="3:4">
      <c r="C52" s="2">
        <v>60</v>
      </c>
      <c r="D52" s="2">
        <f t="shared" si="0"/>
        <v>78</v>
      </c>
    </row>
    <row r="53" spans="3:4">
      <c r="C53" s="2">
        <v>61</v>
      </c>
      <c r="D53" s="2">
        <f t="shared" si="0"/>
        <v>79</v>
      </c>
    </row>
    <row r="54" spans="3:4">
      <c r="C54" s="2">
        <v>62</v>
      </c>
      <c r="D54" s="2">
        <f t="shared" si="0"/>
        <v>80</v>
      </c>
    </row>
    <row r="55" spans="3:4">
      <c r="C55" s="2">
        <v>63</v>
      </c>
      <c r="D55" s="2">
        <f t="shared" si="0"/>
        <v>81</v>
      </c>
    </row>
    <row r="56" spans="3:4">
      <c r="C56" s="2">
        <v>64</v>
      </c>
      <c r="D56" s="2">
        <f t="shared" si="0"/>
        <v>82</v>
      </c>
    </row>
    <row r="57" spans="3:4">
      <c r="C57" s="2">
        <v>65</v>
      </c>
      <c r="D57" s="2">
        <f t="shared" si="0"/>
        <v>83</v>
      </c>
    </row>
    <row r="58" spans="3:4">
      <c r="C58" s="2">
        <v>66</v>
      </c>
      <c r="D58" s="2">
        <f t="shared" si="0"/>
        <v>87</v>
      </c>
    </row>
    <row r="59" spans="3:4">
      <c r="C59" s="2">
        <v>67</v>
      </c>
      <c r="D59" s="2">
        <f t="shared" si="0"/>
        <v>88</v>
      </c>
    </row>
    <row r="60" spans="3:4">
      <c r="C60" s="2">
        <v>68</v>
      </c>
      <c r="D60" s="2">
        <f t="shared" si="0"/>
        <v>89</v>
      </c>
    </row>
    <row r="61" spans="3:4">
      <c r="C61" s="2">
        <v>69</v>
      </c>
      <c r="D61" s="2">
        <f t="shared" si="0"/>
        <v>90</v>
      </c>
    </row>
    <row r="62" spans="3:4">
      <c r="C62" s="2">
        <v>70</v>
      </c>
      <c r="D62" s="2">
        <f t="shared" si="0"/>
        <v>91</v>
      </c>
    </row>
    <row r="63" spans="3:4">
      <c r="C63" s="2">
        <v>71</v>
      </c>
      <c r="D63" s="2">
        <f t="shared" si="0"/>
        <v>92</v>
      </c>
    </row>
    <row r="64" spans="3:4">
      <c r="C64" s="2">
        <v>72</v>
      </c>
      <c r="D64" s="2">
        <f t="shared" si="0"/>
        <v>96</v>
      </c>
    </row>
    <row r="65" spans="3:4">
      <c r="C65" s="2">
        <v>73</v>
      </c>
      <c r="D65" s="2">
        <f t="shared" si="0"/>
        <v>97</v>
      </c>
    </row>
    <row r="66" spans="3:4">
      <c r="C66" s="2">
        <v>74</v>
      </c>
      <c r="D66" s="2">
        <f t="shared" si="0"/>
        <v>98</v>
      </c>
    </row>
    <row r="67" spans="3:4">
      <c r="C67" s="2">
        <v>75</v>
      </c>
      <c r="D67" s="2">
        <f t="shared" si="0"/>
        <v>99</v>
      </c>
    </row>
    <row r="68" spans="3:4">
      <c r="C68" s="2">
        <v>76</v>
      </c>
      <c r="D68" s="2">
        <f t="shared" ref="D68:D131" si="1">boostedstat(C68)</f>
        <v>100</v>
      </c>
    </row>
    <row r="69" spans="3:4">
      <c r="C69" s="2">
        <v>77</v>
      </c>
      <c r="D69" s="2">
        <f t="shared" si="1"/>
        <v>101</v>
      </c>
    </row>
    <row r="70" spans="3:4">
      <c r="C70" s="2">
        <v>78</v>
      </c>
      <c r="D70" s="2">
        <f t="shared" si="1"/>
        <v>105</v>
      </c>
    </row>
    <row r="71" spans="3:4">
      <c r="C71" s="2">
        <v>79</v>
      </c>
      <c r="D71" s="2">
        <f t="shared" si="1"/>
        <v>106</v>
      </c>
    </row>
    <row r="72" spans="3:4">
      <c r="C72" s="2">
        <v>80</v>
      </c>
      <c r="D72" s="2">
        <f t="shared" si="1"/>
        <v>107</v>
      </c>
    </row>
    <row r="73" spans="3:4">
      <c r="C73" s="2">
        <v>81</v>
      </c>
      <c r="D73" s="2">
        <f t="shared" si="1"/>
        <v>108</v>
      </c>
    </row>
    <row r="74" spans="3:4">
      <c r="C74" s="2">
        <v>82</v>
      </c>
      <c r="D74" s="2">
        <f t="shared" si="1"/>
        <v>109</v>
      </c>
    </row>
    <row r="75" spans="3:4">
      <c r="C75" s="2">
        <v>83</v>
      </c>
      <c r="D75" s="2">
        <f t="shared" si="1"/>
        <v>110</v>
      </c>
    </row>
    <row r="76" spans="3:4">
      <c r="C76" s="2">
        <v>84</v>
      </c>
      <c r="D76" s="2">
        <f t="shared" si="1"/>
        <v>115</v>
      </c>
    </row>
    <row r="77" spans="3:4">
      <c r="C77" s="2">
        <v>85</v>
      </c>
      <c r="D77" s="2">
        <f t="shared" si="1"/>
        <v>116</v>
      </c>
    </row>
    <row r="78" spans="3:4">
      <c r="C78" s="2">
        <v>86</v>
      </c>
      <c r="D78" s="2">
        <f t="shared" si="1"/>
        <v>117</v>
      </c>
    </row>
    <row r="79" spans="3:4">
      <c r="C79" s="2">
        <v>87</v>
      </c>
      <c r="D79" s="2">
        <f t="shared" si="1"/>
        <v>118</v>
      </c>
    </row>
    <row r="80" spans="3:4">
      <c r="C80" s="2">
        <v>88</v>
      </c>
      <c r="D80" s="2">
        <f t="shared" si="1"/>
        <v>119</v>
      </c>
    </row>
    <row r="81" spans="3:4">
      <c r="C81" s="2">
        <v>89</v>
      </c>
      <c r="D81" s="2">
        <f t="shared" si="1"/>
        <v>120</v>
      </c>
    </row>
    <row r="82" spans="3:4">
      <c r="C82" s="2">
        <v>90</v>
      </c>
      <c r="D82" s="2">
        <f t="shared" si="1"/>
        <v>125</v>
      </c>
    </row>
    <row r="83" spans="3:4">
      <c r="C83" s="2">
        <v>91</v>
      </c>
      <c r="D83" s="2">
        <f t="shared" si="1"/>
        <v>126</v>
      </c>
    </row>
    <row r="84" spans="3:4">
      <c r="C84" s="2">
        <v>92</v>
      </c>
      <c r="D84" s="2">
        <f t="shared" si="1"/>
        <v>127</v>
      </c>
    </row>
    <row r="85" spans="3:4">
      <c r="C85" s="2">
        <v>93</v>
      </c>
      <c r="D85" s="2">
        <f t="shared" si="1"/>
        <v>128</v>
      </c>
    </row>
    <row r="86" spans="3:4">
      <c r="C86" s="2">
        <v>94</v>
      </c>
      <c r="D86" s="2">
        <f t="shared" si="1"/>
        <v>129</v>
      </c>
    </row>
    <row r="87" spans="3:4">
      <c r="C87" s="2">
        <v>95</v>
      </c>
      <c r="D87" s="2">
        <f t="shared" si="1"/>
        <v>130</v>
      </c>
    </row>
    <row r="88" spans="3:4">
      <c r="C88" s="2">
        <v>96</v>
      </c>
      <c r="D88" s="2">
        <f t="shared" si="1"/>
        <v>136</v>
      </c>
    </row>
    <row r="89" spans="3:4">
      <c r="C89" s="2">
        <v>97</v>
      </c>
      <c r="D89" s="2">
        <f t="shared" si="1"/>
        <v>137</v>
      </c>
    </row>
    <row r="90" spans="3:4">
      <c r="C90" s="2">
        <v>98</v>
      </c>
      <c r="D90" s="2">
        <f t="shared" si="1"/>
        <v>138</v>
      </c>
    </row>
    <row r="91" spans="3:4">
      <c r="C91" s="2">
        <v>99</v>
      </c>
      <c r="D91" s="2">
        <f t="shared" si="1"/>
        <v>139</v>
      </c>
    </row>
    <row r="92" spans="3:4">
      <c r="C92" s="2">
        <v>100</v>
      </c>
      <c r="D92" s="2">
        <f t="shared" si="1"/>
        <v>140</v>
      </c>
    </row>
    <row r="93" spans="3:4">
      <c r="C93" s="2">
        <v>101</v>
      </c>
      <c r="D93" s="2">
        <f t="shared" si="1"/>
        <v>141</v>
      </c>
    </row>
    <row r="94" spans="3:4">
      <c r="C94" s="2">
        <v>102</v>
      </c>
      <c r="D94" s="2">
        <f t="shared" si="1"/>
        <v>142</v>
      </c>
    </row>
    <row r="95" spans="3:4">
      <c r="C95" s="2">
        <v>103</v>
      </c>
      <c r="D95" s="2">
        <f t="shared" si="1"/>
        <v>143</v>
      </c>
    </row>
    <row r="96" spans="3:4">
      <c r="C96" s="2">
        <v>104</v>
      </c>
      <c r="D96" s="2">
        <f t="shared" si="1"/>
        <v>144</v>
      </c>
    </row>
    <row r="97" spans="3:4">
      <c r="C97" s="2">
        <v>105</v>
      </c>
      <c r="D97" s="2">
        <f t="shared" si="1"/>
        <v>145</v>
      </c>
    </row>
    <row r="98" spans="3:4">
      <c r="C98" s="2">
        <v>106</v>
      </c>
      <c r="D98" s="2">
        <f t="shared" si="1"/>
        <v>146</v>
      </c>
    </row>
    <row r="99" spans="3:4">
      <c r="C99" s="2">
        <v>107</v>
      </c>
      <c r="D99" s="2">
        <f t="shared" si="1"/>
        <v>147</v>
      </c>
    </row>
    <row r="100" spans="3:4">
      <c r="C100" s="2">
        <v>108</v>
      </c>
      <c r="D100" s="2">
        <f t="shared" si="1"/>
        <v>148</v>
      </c>
    </row>
    <row r="101" spans="3:4">
      <c r="C101" s="2">
        <v>109</v>
      </c>
      <c r="D101" s="2">
        <f t="shared" si="1"/>
        <v>149</v>
      </c>
    </row>
    <row r="102" spans="3:4">
      <c r="C102" s="2">
        <v>110</v>
      </c>
      <c r="D102" s="2">
        <f t="shared" si="1"/>
        <v>150</v>
      </c>
    </row>
    <row r="103" spans="3:4">
      <c r="C103" s="2">
        <v>111</v>
      </c>
      <c r="D103" s="2">
        <f t="shared" si="1"/>
        <v>151</v>
      </c>
    </row>
    <row r="104" spans="3:4">
      <c r="C104" s="2">
        <v>112</v>
      </c>
      <c r="D104" s="2">
        <f t="shared" si="1"/>
        <v>152</v>
      </c>
    </row>
    <row r="105" spans="3:4">
      <c r="C105" s="2">
        <v>113</v>
      </c>
      <c r="D105" s="2">
        <f t="shared" si="1"/>
        <v>153</v>
      </c>
    </row>
    <row r="106" spans="3:4">
      <c r="C106" s="2">
        <v>114</v>
      </c>
      <c r="D106" s="2">
        <f t="shared" si="1"/>
        <v>154</v>
      </c>
    </row>
    <row r="107" spans="3:4">
      <c r="C107" s="2">
        <v>115</v>
      </c>
      <c r="D107" s="2">
        <f t="shared" si="1"/>
        <v>155</v>
      </c>
    </row>
    <row r="108" spans="3:4">
      <c r="C108" s="2">
        <v>116</v>
      </c>
      <c r="D108" s="2">
        <f t="shared" si="1"/>
        <v>156</v>
      </c>
    </row>
    <row r="109" spans="3:4">
      <c r="C109" s="2">
        <v>117</v>
      </c>
      <c r="D109" s="2">
        <f t="shared" si="1"/>
        <v>157</v>
      </c>
    </row>
    <row r="110" spans="3:4">
      <c r="C110" s="2">
        <v>118</v>
      </c>
      <c r="D110" s="2">
        <f t="shared" si="1"/>
        <v>158</v>
      </c>
    </row>
    <row r="111" spans="3:4">
      <c r="C111" s="2">
        <v>119</v>
      </c>
      <c r="D111" s="2">
        <f t="shared" si="1"/>
        <v>159</v>
      </c>
    </row>
    <row r="112" spans="3:4">
      <c r="C112" s="2">
        <v>120</v>
      </c>
      <c r="D112" s="2">
        <f t="shared" si="1"/>
        <v>160</v>
      </c>
    </row>
    <row r="113" spans="3:4">
      <c r="C113" s="2">
        <v>121</v>
      </c>
      <c r="D113" s="2">
        <f t="shared" si="1"/>
        <v>161</v>
      </c>
    </row>
    <row r="114" spans="3:4">
      <c r="C114" s="2">
        <v>122</v>
      </c>
      <c r="D114" s="2">
        <f t="shared" si="1"/>
        <v>162</v>
      </c>
    </row>
    <row r="115" spans="3:4">
      <c r="C115" s="2">
        <v>123</v>
      </c>
      <c r="D115" s="2">
        <f t="shared" si="1"/>
        <v>163</v>
      </c>
    </row>
    <row r="116" spans="3:4">
      <c r="C116" s="2">
        <v>124</v>
      </c>
      <c r="D116" s="2">
        <f t="shared" si="1"/>
        <v>164</v>
      </c>
    </row>
    <row r="117" spans="3:4">
      <c r="C117" s="2">
        <v>125</v>
      </c>
      <c r="D117" s="2">
        <f t="shared" si="1"/>
        <v>165</v>
      </c>
    </row>
    <row r="118" spans="3:4">
      <c r="C118" s="2">
        <v>126</v>
      </c>
      <c r="D118" s="2">
        <f t="shared" si="1"/>
        <v>166</v>
      </c>
    </row>
    <row r="119" spans="3:4">
      <c r="C119" s="2">
        <v>127</v>
      </c>
      <c r="D119" s="2">
        <f t="shared" si="1"/>
        <v>167</v>
      </c>
    </row>
    <row r="120" spans="3:4">
      <c r="C120" s="2">
        <v>128</v>
      </c>
      <c r="D120" s="2">
        <f t="shared" si="1"/>
        <v>168</v>
      </c>
    </row>
    <row r="121" spans="3:4">
      <c r="C121" s="2">
        <v>129</v>
      </c>
      <c r="D121" s="2">
        <f t="shared" si="1"/>
        <v>169</v>
      </c>
    </row>
    <row r="122" spans="3:4">
      <c r="C122" s="2">
        <v>130</v>
      </c>
      <c r="D122" s="2">
        <f t="shared" si="1"/>
        <v>170</v>
      </c>
    </row>
    <row r="123" spans="3:4">
      <c r="C123" s="2">
        <v>131</v>
      </c>
      <c r="D123" s="2">
        <f t="shared" si="1"/>
        <v>171</v>
      </c>
    </row>
    <row r="124" spans="3:4">
      <c r="C124" s="2">
        <v>132</v>
      </c>
      <c r="D124" s="2">
        <f t="shared" si="1"/>
        <v>172</v>
      </c>
    </row>
    <row r="125" spans="3:4">
      <c r="C125" s="2">
        <v>133</v>
      </c>
      <c r="D125" s="2">
        <f t="shared" si="1"/>
        <v>173</v>
      </c>
    </row>
    <row r="126" spans="3:4">
      <c r="C126" s="2">
        <v>134</v>
      </c>
      <c r="D126" s="2">
        <f t="shared" si="1"/>
        <v>174</v>
      </c>
    </row>
    <row r="127" spans="3:4">
      <c r="C127" s="2">
        <v>135</v>
      </c>
      <c r="D127" s="2">
        <f t="shared" si="1"/>
        <v>175</v>
      </c>
    </row>
    <row r="128" spans="3:4">
      <c r="C128" s="2">
        <v>136</v>
      </c>
      <c r="D128" s="2">
        <f t="shared" si="1"/>
        <v>176</v>
      </c>
    </row>
    <row r="129" spans="3:4">
      <c r="C129" s="2">
        <v>137</v>
      </c>
      <c r="D129" s="2">
        <f t="shared" si="1"/>
        <v>177</v>
      </c>
    </row>
    <row r="130" spans="3:4">
      <c r="C130" s="2">
        <v>138</v>
      </c>
      <c r="D130" s="2">
        <f t="shared" si="1"/>
        <v>178</v>
      </c>
    </row>
    <row r="131" spans="3:4">
      <c r="C131" s="2">
        <v>139</v>
      </c>
      <c r="D131" s="2">
        <f t="shared" si="1"/>
        <v>179</v>
      </c>
    </row>
    <row r="132" spans="3:4">
      <c r="C132" s="2">
        <v>140</v>
      </c>
      <c r="D132" s="2">
        <f t="shared" ref="D132:D192" si="2">boostedstat(C132)</f>
        <v>180</v>
      </c>
    </row>
    <row r="133" spans="3:4">
      <c r="C133" s="2">
        <v>141</v>
      </c>
      <c r="D133" s="2">
        <f t="shared" si="2"/>
        <v>181</v>
      </c>
    </row>
    <row r="134" spans="3:4">
      <c r="C134" s="2">
        <v>142</v>
      </c>
      <c r="D134" s="2">
        <f t="shared" si="2"/>
        <v>182</v>
      </c>
    </row>
    <row r="135" spans="3:4">
      <c r="C135" s="2">
        <v>143</v>
      </c>
      <c r="D135" s="2">
        <f t="shared" si="2"/>
        <v>183</v>
      </c>
    </row>
    <row r="136" spans="3:4">
      <c r="C136" s="2">
        <v>144</v>
      </c>
      <c r="D136" s="2">
        <f t="shared" si="2"/>
        <v>184</v>
      </c>
    </row>
    <row r="137" spans="3:4">
      <c r="C137" s="2">
        <v>145</v>
      </c>
      <c r="D137" s="2">
        <f t="shared" si="2"/>
        <v>185</v>
      </c>
    </row>
    <row r="138" spans="3:4">
      <c r="C138" s="2">
        <v>146</v>
      </c>
      <c r="D138" s="2">
        <f t="shared" si="2"/>
        <v>186</v>
      </c>
    </row>
    <row r="139" spans="3:4">
      <c r="C139" s="2">
        <v>147</v>
      </c>
      <c r="D139" s="2">
        <f t="shared" si="2"/>
        <v>187</v>
      </c>
    </row>
    <row r="140" spans="3:4">
      <c r="C140" s="2">
        <v>148</v>
      </c>
      <c r="D140" s="2">
        <f t="shared" si="2"/>
        <v>188</v>
      </c>
    </row>
    <row r="141" spans="3:4">
      <c r="C141" s="2">
        <v>149</v>
      </c>
      <c r="D141" s="2">
        <f t="shared" si="2"/>
        <v>189</v>
      </c>
    </row>
    <row r="142" spans="3:4">
      <c r="C142" s="2">
        <v>150</v>
      </c>
      <c r="D142" s="2">
        <f t="shared" si="2"/>
        <v>190</v>
      </c>
    </row>
    <row r="143" spans="3:4">
      <c r="C143" s="2">
        <v>151</v>
      </c>
      <c r="D143" s="2">
        <f t="shared" si="2"/>
        <v>191</v>
      </c>
    </row>
    <row r="144" spans="3:4">
      <c r="C144" s="2">
        <v>152</v>
      </c>
      <c r="D144" s="2">
        <f t="shared" si="2"/>
        <v>192</v>
      </c>
    </row>
    <row r="145" spans="3:4">
      <c r="C145" s="2">
        <v>153</v>
      </c>
      <c r="D145" s="2">
        <f t="shared" si="2"/>
        <v>193</v>
      </c>
    </row>
    <row r="146" spans="3:4">
      <c r="C146" s="2">
        <v>154</v>
      </c>
      <c r="D146" s="2">
        <f t="shared" si="2"/>
        <v>194</v>
      </c>
    </row>
    <row r="147" spans="3:4">
      <c r="C147" s="2">
        <v>155</v>
      </c>
      <c r="D147" s="2">
        <f t="shared" si="2"/>
        <v>195</v>
      </c>
    </row>
    <row r="148" spans="3:4">
      <c r="C148" s="2">
        <v>156</v>
      </c>
      <c r="D148" s="2">
        <f t="shared" si="2"/>
        <v>196</v>
      </c>
    </row>
    <row r="149" spans="3:4">
      <c r="C149" s="2">
        <v>157</v>
      </c>
      <c r="D149" s="2">
        <f t="shared" si="2"/>
        <v>197</v>
      </c>
    </row>
    <row r="150" spans="3:4">
      <c r="C150" s="2">
        <v>158</v>
      </c>
      <c r="D150" s="2">
        <f t="shared" si="2"/>
        <v>198</v>
      </c>
    </row>
    <row r="151" spans="3:4">
      <c r="C151" s="2">
        <v>159</v>
      </c>
      <c r="D151" s="2">
        <f t="shared" si="2"/>
        <v>199</v>
      </c>
    </row>
    <row r="152" spans="3:4">
      <c r="C152" s="2">
        <v>160</v>
      </c>
      <c r="D152" s="2">
        <f t="shared" si="2"/>
        <v>200</v>
      </c>
    </row>
    <row r="153" spans="3:4">
      <c r="C153" s="2">
        <v>161</v>
      </c>
      <c r="D153" s="2">
        <f t="shared" si="2"/>
        <v>201</v>
      </c>
    </row>
    <row r="154" spans="3:4">
      <c r="C154" s="2">
        <v>162</v>
      </c>
      <c r="D154" s="2">
        <f t="shared" si="2"/>
        <v>202</v>
      </c>
    </row>
    <row r="155" spans="3:4">
      <c r="C155" s="2">
        <v>163</v>
      </c>
      <c r="D155" s="2">
        <f t="shared" si="2"/>
        <v>203</v>
      </c>
    </row>
    <row r="156" spans="3:4">
      <c r="C156" s="2">
        <v>164</v>
      </c>
      <c r="D156" s="2">
        <f t="shared" si="2"/>
        <v>204</v>
      </c>
    </row>
    <row r="157" spans="3:4">
      <c r="C157" s="2">
        <v>165</v>
      </c>
      <c r="D157" s="2">
        <f t="shared" si="2"/>
        <v>205</v>
      </c>
    </row>
    <row r="158" spans="3:4">
      <c r="C158" s="2">
        <v>166</v>
      </c>
      <c r="D158" s="2">
        <f t="shared" si="2"/>
        <v>206</v>
      </c>
    </row>
    <row r="159" spans="3:4">
      <c r="C159" s="2">
        <v>167</v>
      </c>
      <c r="D159" s="2">
        <f t="shared" si="2"/>
        <v>207</v>
      </c>
    </row>
    <row r="160" spans="3:4">
      <c r="C160" s="2">
        <v>168</v>
      </c>
      <c r="D160" s="2">
        <f t="shared" si="2"/>
        <v>208</v>
      </c>
    </row>
    <row r="161" spans="3:4">
      <c r="C161" s="2">
        <v>169</v>
      </c>
      <c r="D161" s="2">
        <f t="shared" si="2"/>
        <v>209</v>
      </c>
    </row>
    <row r="162" spans="3:4">
      <c r="C162" s="2">
        <v>170</v>
      </c>
      <c r="D162" s="2">
        <f t="shared" si="2"/>
        <v>210</v>
      </c>
    </row>
    <row r="163" spans="3:4">
      <c r="C163" s="2">
        <v>171</v>
      </c>
      <c r="D163" s="2">
        <f t="shared" si="2"/>
        <v>211</v>
      </c>
    </row>
    <row r="164" spans="3:4">
      <c r="C164" s="2">
        <v>172</v>
      </c>
      <c r="D164" s="2">
        <f t="shared" si="2"/>
        <v>212</v>
      </c>
    </row>
    <row r="165" spans="3:4">
      <c r="C165" s="2">
        <v>173</v>
      </c>
      <c r="D165" s="2">
        <f t="shared" si="2"/>
        <v>213</v>
      </c>
    </row>
    <row r="166" spans="3:4">
      <c r="C166" s="2">
        <v>174</v>
      </c>
      <c r="D166" s="2">
        <f t="shared" si="2"/>
        <v>214</v>
      </c>
    </row>
    <row r="167" spans="3:4">
      <c r="C167" s="2">
        <v>175</v>
      </c>
      <c r="D167" s="2">
        <f t="shared" si="2"/>
        <v>215</v>
      </c>
    </row>
    <row r="168" spans="3:4">
      <c r="C168" s="2">
        <v>176</v>
      </c>
      <c r="D168" s="2">
        <f t="shared" si="2"/>
        <v>216</v>
      </c>
    </row>
    <row r="169" spans="3:4">
      <c r="C169" s="2">
        <v>177</v>
      </c>
      <c r="D169" s="2">
        <f t="shared" si="2"/>
        <v>217</v>
      </c>
    </row>
    <row r="170" spans="3:4">
      <c r="C170" s="2">
        <v>178</v>
      </c>
      <c r="D170" s="2">
        <f t="shared" si="2"/>
        <v>218</v>
      </c>
    </row>
    <row r="171" spans="3:4">
      <c r="C171" s="2">
        <v>179</v>
      </c>
      <c r="D171" s="2">
        <f t="shared" si="2"/>
        <v>219</v>
      </c>
    </row>
    <row r="172" spans="3:4">
      <c r="C172" s="2">
        <v>180</v>
      </c>
      <c r="D172" s="2">
        <f t="shared" si="2"/>
        <v>220</v>
      </c>
    </row>
    <row r="173" spans="3:4">
      <c r="C173" s="2">
        <v>181</v>
      </c>
      <c r="D173" s="2">
        <f t="shared" si="2"/>
        <v>221</v>
      </c>
    </row>
    <row r="174" spans="3:4">
      <c r="C174" s="2">
        <v>182</v>
      </c>
      <c r="D174" s="2">
        <f t="shared" si="2"/>
        <v>222</v>
      </c>
    </row>
    <row r="175" spans="3:4">
      <c r="C175" s="2">
        <v>183</v>
      </c>
      <c r="D175" s="2">
        <f t="shared" si="2"/>
        <v>223</v>
      </c>
    </row>
    <row r="176" spans="3:4">
      <c r="C176" s="2">
        <v>184</v>
      </c>
      <c r="D176" s="2">
        <f t="shared" si="2"/>
        <v>224</v>
      </c>
    </row>
    <row r="177" spans="3:4">
      <c r="C177" s="2">
        <v>185</v>
      </c>
      <c r="D177" s="2">
        <f t="shared" si="2"/>
        <v>225</v>
      </c>
    </row>
    <row r="178" spans="3:4">
      <c r="C178" s="2">
        <v>186</v>
      </c>
      <c r="D178" s="2">
        <f t="shared" si="2"/>
        <v>226</v>
      </c>
    </row>
    <row r="179" spans="3:4">
      <c r="C179" s="2">
        <v>187</v>
      </c>
      <c r="D179" s="2">
        <f t="shared" si="2"/>
        <v>227</v>
      </c>
    </row>
    <row r="180" spans="3:4">
      <c r="C180" s="2">
        <v>188</v>
      </c>
      <c r="D180" s="2">
        <f t="shared" si="2"/>
        <v>228</v>
      </c>
    </row>
    <row r="181" spans="3:4">
      <c r="C181" s="2">
        <v>189</v>
      </c>
      <c r="D181" s="2">
        <f t="shared" si="2"/>
        <v>229</v>
      </c>
    </row>
    <row r="182" spans="3:4">
      <c r="C182" s="2">
        <v>190</v>
      </c>
      <c r="D182" s="2">
        <f t="shared" si="2"/>
        <v>230</v>
      </c>
    </row>
    <row r="183" spans="3:4">
      <c r="C183" s="2">
        <v>191</v>
      </c>
      <c r="D183" s="2">
        <f t="shared" si="2"/>
        <v>231</v>
      </c>
    </row>
    <row r="184" spans="3:4">
      <c r="C184" s="2">
        <v>192</v>
      </c>
      <c r="D184" s="2">
        <f t="shared" si="2"/>
        <v>232</v>
      </c>
    </row>
    <row r="185" spans="3:4">
      <c r="C185" s="2">
        <v>193</v>
      </c>
      <c r="D185" s="2">
        <f t="shared" si="2"/>
        <v>233</v>
      </c>
    </row>
    <row r="186" spans="3:4">
      <c r="C186" s="2">
        <v>194</v>
      </c>
      <c r="D186" s="2">
        <f t="shared" si="2"/>
        <v>234</v>
      </c>
    </row>
    <row r="187" spans="3:4">
      <c r="C187" s="2">
        <v>195</v>
      </c>
      <c r="D187" s="2">
        <f t="shared" si="2"/>
        <v>235</v>
      </c>
    </row>
    <row r="188" spans="3:4">
      <c r="C188" s="2">
        <v>196</v>
      </c>
      <c r="D188" s="2">
        <f t="shared" si="2"/>
        <v>236</v>
      </c>
    </row>
    <row r="189" spans="3:4">
      <c r="C189" s="2">
        <v>197</v>
      </c>
      <c r="D189" s="2">
        <f t="shared" si="2"/>
        <v>237</v>
      </c>
    </row>
    <row r="190" spans="3:4">
      <c r="C190" s="2">
        <v>198</v>
      </c>
      <c r="D190" s="2">
        <f t="shared" si="2"/>
        <v>238</v>
      </c>
    </row>
    <row r="191" spans="3:4">
      <c r="C191" s="2">
        <v>199</v>
      </c>
      <c r="D191" s="2">
        <f t="shared" si="2"/>
        <v>239</v>
      </c>
    </row>
    <row r="192" spans="3:4">
      <c r="C192" s="2">
        <v>200</v>
      </c>
      <c r="D192" s="2">
        <f t="shared" si="2"/>
        <v>240</v>
      </c>
    </row>
  </sheetData>
  <pageMargins left="0.7" right="0.7" top="0.75" bottom="0.75" header="0.3" footer="0.3"/>
  <pageSetup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refs"/>
  <dimension ref="A1:C4"/>
  <sheetViews>
    <sheetView workbookViewId="0"/>
  </sheetViews>
  <sheetFormatPr defaultRowHeight="15"/>
  <sheetData>
    <row r="1" spans="1:3">
      <c r="A1">
        <f>ROW(Avatars!$G$2)</f>
        <v>2</v>
      </c>
      <c r="B1">
        <f>COLUMN(Avatars!$G$2)</f>
        <v>7</v>
      </c>
      <c r="C1" t="s">
        <v>33</v>
      </c>
    </row>
    <row r="2" spans="1:3">
      <c r="A2">
        <f>ROW(Avatars!$H$2)</f>
        <v>2</v>
      </c>
      <c r="B2">
        <f>COLUMN(Avatars!$H$2)</f>
        <v>8</v>
      </c>
      <c r="C2" t="s">
        <v>34</v>
      </c>
    </row>
    <row r="3" spans="1:3">
      <c r="A3">
        <f>ROW(Avatars!$G$13)</f>
        <v>13</v>
      </c>
      <c r="B3">
        <f>COLUMN(Avatars!$G$13)</f>
        <v>7</v>
      </c>
      <c r="C3" t="s">
        <v>35</v>
      </c>
    </row>
    <row r="4" spans="1:3">
      <c r="A4">
        <f>ROW(Avatars!$H$13)</f>
        <v>13</v>
      </c>
      <c r="B4">
        <f>COLUMN(Avatars!$H$13)</f>
        <v>8</v>
      </c>
      <c r="C4" t="s">
        <v>36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8"/>
  <dimension ref="A1:T151"/>
  <sheetViews>
    <sheetView workbookViewId="0">
      <selection activeCell="E2" sqref="E2"/>
    </sheetView>
  </sheetViews>
  <sheetFormatPr defaultRowHeight="15"/>
  <cols>
    <col min="1" max="1" width="11.85546875" style="9" bestFit="1" customWidth="1"/>
    <col min="2" max="2" width="17.5703125" style="16" bestFit="1" customWidth="1"/>
    <col min="3" max="3" width="14.7109375" style="16" bestFit="1" customWidth="1"/>
    <col min="4" max="18" width="9.140625" style="16"/>
  </cols>
  <sheetData>
    <row r="1" spans="1:20" s="54" customFormat="1">
      <c r="A1" s="31" t="s">
        <v>311</v>
      </c>
      <c r="B1" s="31" t="s">
        <v>312</v>
      </c>
      <c r="C1" s="31" t="s">
        <v>315</v>
      </c>
      <c r="D1" s="55" t="s">
        <v>316</v>
      </c>
      <c r="E1" s="31">
        <v>10</v>
      </c>
      <c r="F1" s="31">
        <v>15</v>
      </c>
      <c r="G1" s="31">
        <v>20</v>
      </c>
      <c r="H1" s="31">
        <v>25</v>
      </c>
      <c r="I1" s="31">
        <v>30</v>
      </c>
      <c r="J1" s="31">
        <v>35</v>
      </c>
      <c r="K1" s="31">
        <v>45</v>
      </c>
      <c r="L1" s="31">
        <v>50</v>
      </c>
      <c r="M1" s="31">
        <v>55</v>
      </c>
      <c r="N1" s="31">
        <v>60</v>
      </c>
      <c r="O1" s="31">
        <v>65</v>
      </c>
      <c r="P1" s="31">
        <v>70</v>
      </c>
      <c r="Q1" s="31">
        <v>75</v>
      </c>
      <c r="R1" s="31">
        <v>80</v>
      </c>
    </row>
    <row r="2" spans="1:20">
      <c r="A2" s="9">
        <v>1</v>
      </c>
      <c r="B2" s="16">
        <f>22+A2/2.5</f>
        <v>22.4</v>
      </c>
      <c r="C2" s="16">
        <f>0.4/(B2-10)</f>
        <v>3.2258064516129038E-2</v>
      </c>
      <c r="E2" s="16">
        <f>IF((1.75-(($A2+5)/($A2+10))*(INDEX('Stat Boosts'!$D$2:$D$192,E$1-9)-10)/((INDEX('Stat Boosts'!$D$2:$D$192,(A2/2+22)-9)-10)))&lt;0.5,POWER(1.1,1.75-(($A2+5)/($A2+10))*(INDEX('Stat Boosts'!$D$2:$D$192,E$1-9)-10)/((INDEX('Stat Boosts'!$D$2:$D$192,(A2/2+22)-9)-10))-0.5)*0.5,(1.75-(($A2+5)/($A2+10))*(INDEX('Stat Boosts'!$D$2:$D$192,E$1-9)-10)/((INDEX('Stat Boosts'!$D$2:$D$192,(A2/2+22)-9)-10))))</f>
        <v>1.75</v>
      </c>
      <c r="F2" s="16">
        <f>IF((1.75-(($A2+5)/($A2+10))*(INDEX('Stat Boosts'!$D$2:$D$192,F$1-9)-10)/((INDEX('Stat Boosts'!$D$2:$D$192,(B2/2+22)-9)-10)))&lt;0.5,POWER(1.1,1.75-(($A2+5)/($A2+10))*(INDEX('Stat Boosts'!$D$2:$D$192,F$1-9)-10)/((INDEX('Stat Boosts'!$D$2:$D$192,(B2/2+22)-9)-10))-0.5)*0.5,(1.75-(($A2+5)/($A2+10))*(INDEX('Stat Boosts'!$D$2:$D$192,F$1-9)-10)/((INDEX('Stat Boosts'!$D$2:$D$192,(B2/2+22)-9)-10))))</f>
        <v>1.6227272727272728</v>
      </c>
      <c r="G2" s="16">
        <f>IF((1.75-(($A2+5)/($A2+10))*(INDEX('Stat Boosts'!$D$2:$D$192,G$1-9)-10)/((INDEX('Stat Boosts'!$D$2:$D$192,(C2/2+22)-9)-10)))&lt;0.5,POWER(1.1,1.75-(($A2+5)/($A2+10))*(INDEX('Stat Boosts'!$D$2:$D$192,G$1-9)-10)/((INDEX('Stat Boosts'!$D$2:$D$192,(C2/2+22)-9)-10))-0.5)*0.5,(1.75-(($A2+5)/($A2+10))*(INDEX('Stat Boosts'!$D$2:$D$192,G$1-9)-10)/((INDEX('Stat Boosts'!$D$2:$D$192,(C2/2+22)-9)-10))))</f>
        <v>1.3008021390374331</v>
      </c>
      <c r="H2" s="16">
        <f>IF((1.75-(($A2+5)/($A2+10))*(INDEX('Stat Boosts'!$D$2:$D$192,H$1-9)-10)/((INDEX('Stat Boosts'!$D$2:$D$192,(D2/2+22)-9)-10)))&lt;0.5,POWER(1.1,1.75-(($A2+5)/($A2+10))*(INDEX('Stat Boosts'!$D$2:$D$192,H$1-9)-10)/((INDEX('Stat Boosts'!$D$2:$D$192,(D2/2+22)-9)-10))-0.5)*0.5,(1.75-(($A2+5)/($A2+10))*(INDEX('Stat Boosts'!$D$2:$D$192,H$1-9)-10)/((INDEX('Stat Boosts'!$D$2:$D$192,(D2/2+22)-9)-10))))</f>
        <v>1.0762032085561497</v>
      </c>
      <c r="I2" s="16">
        <f>IF((1.75-(($A2+5)/($A2+10))*(INDEX('Stat Boosts'!$D$2:$D$192,I$1-9)-10)/((INDEX('Stat Boosts'!$D$2:$D$192,(E2/2+22)-9)-10)))&lt;0.5,POWER(1.1,1.75-(($A2+5)/($A2+10))*(INDEX('Stat Boosts'!$D$2:$D$192,I$1-9)-10)/((INDEX('Stat Boosts'!$D$2:$D$192,(E2/2+22)-9)-10))-0.5)*0.5,(1.75-(($A2+5)/($A2+10))*(INDEX('Stat Boosts'!$D$2:$D$192,I$1-9)-10)/((INDEX('Stat Boosts'!$D$2:$D$192,(E2/2+22)-9)-10))))</f>
        <v>0.8836898395721926</v>
      </c>
      <c r="J2" s="16">
        <f>IF((1.75-(($A2+5)/($A2+10))*(INDEX('Stat Boosts'!$D$2:$D$192,J$1-9)-10)/((INDEX('Stat Boosts'!$D$2:$D$192,(F2/2+22)-9)-10)))&lt;0.5,POWER(1.1,1.75-(($A2+5)/($A2+10))*(INDEX('Stat Boosts'!$D$2:$D$192,J$1-9)-10)/((INDEX('Stat Boosts'!$D$2:$D$192,(F2/2+22)-9)-10))-0.5)*0.5,(1.75-(($A2+5)/($A2+10))*(INDEX('Stat Boosts'!$D$2:$D$192,J$1-9)-10)/((INDEX('Stat Boosts'!$D$2:$D$192,(F2/2+22)-9)-10))))</f>
        <v>0.69117647058823528</v>
      </c>
      <c r="K2" s="16">
        <f>IF((1.75-(($A2+5)/($A2+10))*(INDEX('Stat Boosts'!$D$2:$D$192,K$1-9)-10)/((INDEX('Stat Boosts'!$D$2:$D$192,(G2/2+22)-9)-10)))&lt;0.5,POWER(1.1,1.75-(($A2+5)/($A2+10))*(INDEX('Stat Boosts'!$D$2:$D$192,K$1-9)-10)/((INDEX('Stat Boosts'!$D$2:$D$192,(G2/2+22)-9)-10))-0.5)*0.5,(1.75-(($A2+5)/($A2+10))*(INDEX('Stat Boosts'!$D$2:$D$192,K$1-9)-10)/((INDEX('Stat Boosts'!$D$2:$D$192,(G2/2+22)-9)-10))))</f>
        <v>0.48785392806609723</v>
      </c>
      <c r="L2" s="16">
        <f>IF((1.75-(($A2+5)/($A2+10))*(INDEX('Stat Boosts'!$D$2:$D$192,L$1-9)-10)/((INDEX('Stat Boosts'!$D$2:$D$192,(H2/2+22)-9)-10)))&lt;0.5,POWER(1.1,1.75-(($A2+5)/($A2+10))*(INDEX('Stat Boosts'!$D$2:$D$192,L$1-9)-10)/((INDEX('Stat Boosts'!$D$2:$D$192,(H2/2+22)-9)-10))-0.5)*0.5,(1.75-(($A2+5)/($A2+10))*(INDEX('Stat Boosts'!$D$2:$D$192,L$1-9)-10)/((INDEX('Stat Boosts'!$D$2:$D$192,(H2/2+22)-9)-10))))</f>
        <v>0.48045118450856478</v>
      </c>
      <c r="M2" s="16">
        <f>IF((1.75-(($A2+5)/($A2+10))*(INDEX('Stat Boosts'!$D$2:$D$192,M$1-9)-10)/((INDEX('Stat Boosts'!$D$2:$D$192,(I2/2+22)-9)-10)))&lt;0.5,POWER(1.1,1.75-(($A2+5)/($A2+10))*(INDEX('Stat Boosts'!$D$2:$D$192,M$1-9)-10)/((INDEX('Stat Boosts'!$D$2:$D$192,(I2/2+22)-9)-10))-0.5)*0.5,(1.75-(($A2+5)/($A2+10))*(INDEX('Stat Boosts'!$D$2:$D$192,M$1-9)-10)/((INDEX('Stat Boosts'!$D$2:$D$192,(I2/2+22)-9)-10))))</f>
        <v>0.47027567517805186</v>
      </c>
      <c r="N2" s="16">
        <f>IF((1.75-(($A2+5)/($A2+10))*(INDEX('Stat Boosts'!$D$2:$D$192,N$1-9)-10)/((INDEX('Stat Boosts'!$D$2:$D$192,(J2/2+22)-9)-10)))&lt;0.5,POWER(1.1,1.75-(($A2+5)/($A2+10))*(INDEX('Stat Boosts'!$D$2:$D$192,N$1-9)-10)/((INDEX('Stat Boosts'!$D$2:$D$192,(J2/2+22)-9)-10))-0.5)*0.5,(1.75-(($A2+5)/($A2+10))*(INDEX('Stat Boosts'!$D$2:$D$192,N$1-9)-10)/((INDEX('Stat Boosts'!$D$2:$D$192,(J2/2+22)-9)-10))))</f>
        <v>0.45750890086464197</v>
      </c>
      <c r="O2" s="16">
        <f>IF((1.75-(($A2+5)/($A2+10))*(INDEX('Stat Boosts'!$D$2:$D$192,O$1-9)-10)/((INDEX('Stat Boosts'!$D$2:$D$192,(K2/2+22)-9)-10)))&lt;0.5,POWER(1.1,1.75-(($A2+5)/($A2+10))*(INDEX('Stat Boosts'!$D$2:$D$192,O$1-9)-10)/((INDEX('Stat Boosts'!$D$2:$D$192,(K2/2+22)-9)-10))-0.5)*0.5,(1.75-(($A2+5)/($A2+10))*(INDEX('Stat Boosts'!$D$2:$D$192,O$1-9)-10)/((INDEX('Stat Boosts'!$D$2:$D$192,(K2/2+22)-9)-10))))</f>
        <v>0.45056661573881507</v>
      </c>
      <c r="P2" s="16">
        <f>IF((1.75-(($A2+5)/($A2+10))*(INDEX('Stat Boosts'!$D$2:$D$192,P$1-9)-10)/((INDEX('Stat Boosts'!$D$2:$D$192,(L2/2+22)-9)-10)))&lt;0.5,POWER(1.1,1.75-(($A2+5)/($A2+10))*(INDEX('Stat Boosts'!$D$2:$D$192,P$1-9)-10)/((INDEX('Stat Boosts'!$D$2:$D$192,(L2/2+22)-9)-10))-0.5)*0.5,(1.75-(($A2+5)/($A2+10))*(INDEX('Stat Boosts'!$D$2:$D$192,P$1-9)-10)/((INDEX('Stat Boosts'!$D$2:$D$192,(L2/2+22)-9)-10))))</f>
        <v>0.43967740682495671</v>
      </c>
      <c r="Q2" s="16">
        <f>IF((1.75-(($A2+5)/($A2+10))*(INDEX('Stat Boosts'!$D$2:$D$192,Q$1-9)-10)/((INDEX('Stat Boosts'!$D$2:$D$192,(M2/2+22)-9)-10)))&lt;0.5,POWER(1.1,1.75-(($A2+5)/($A2+10))*(INDEX('Stat Boosts'!$D$2:$D$192,Q$1-9)-10)/((INDEX('Stat Boosts'!$D$2:$D$192,(M2/2+22)-9)-10))-0.5)*0.5,(1.75-(($A2+5)/($A2+10))*(INDEX('Stat Boosts'!$D$2:$D$192,Q$1-9)-10)/((INDEX('Stat Boosts'!$D$2:$D$192,(M2/2+22)-9)-10))))</f>
        <v>0.42905136625652762</v>
      </c>
      <c r="R2" s="16">
        <f>IF((1.75-(($A2+5)/($A2+10))*1.25*(INDEX('Stat Boosts'!$D$2:$D$192,R$1-9)-10)/((INDEX('Stat Boosts'!$D$2:$D$192,(N2/2+22)-9)-10)))&lt;0.5,POWER(1.1,1.75-(($A2+5)/($A2+10))*1.25*(INDEX('Stat Boosts'!$D$2:$D$192,R$1-9)-10)/((INDEX('Stat Boosts'!$D$2:$D$192,(N2/2+22)-9)-10))-0.5)*0.5,(1.75-(($A2+5)/($A2+10))*1.25*(INDEX('Stat Boosts'!$D$2:$D$192,R$1-9)-10)/((INDEX('Stat Boosts'!$D$2:$D$192,(N2/2+22)-9)-10))))</f>
        <v>0.38875664093221229</v>
      </c>
      <c r="T2" s="56" t="s">
        <v>321</v>
      </c>
    </row>
    <row r="3" spans="1:20">
      <c r="A3" s="9">
        <v>2</v>
      </c>
      <c r="B3" s="16">
        <f t="shared" ref="B3:B66" si="0">22+A3/2.5</f>
        <v>22.8</v>
      </c>
      <c r="C3" s="16">
        <f t="shared" ref="C3:C66" si="1">0.4/(B3-10)</f>
        <v>3.125E-2</v>
      </c>
      <c r="E3" s="16">
        <f>IF((1.75-(($A3+5)/($A3+10))*(INDEX('Stat Boosts'!$D$2:$D$192,E$1-9)-10)/((INDEX('Stat Boosts'!$D$2:$D$192,(A3/2+22)-9)-10)))&lt;0.5,POWER(1.1,1.75-(($A3+5)/($A3+10))*(INDEX('Stat Boosts'!$D$2:$D$192,E$1-9)-10)/((INDEX('Stat Boosts'!$D$2:$D$192,(A3/2+22)-9)-10))-0.5)*0.5,(1.75-(($A3+5)/($A3+10))*(INDEX('Stat Boosts'!$D$2:$D$192,E$1-9)-10)/((INDEX('Stat Boosts'!$D$2:$D$192,(A3/2+22)-9)-10))))</f>
        <v>1.75</v>
      </c>
      <c r="F3" s="16">
        <f>IF((1.75-(($A3+5)/($A3+10))*(INDEX('Stat Boosts'!$D$2:$D$192,F$1-9)-10)/((INDEX('Stat Boosts'!$D$2:$D$192,(B3/2+22)-9)-10)))&lt;0.5,POWER(1.1,1.75-(($A3+5)/($A3+10))*(INDEX('Stat Boosts'!$D$2:$D$192,F$1-9)-10)/((INDEX('Stat Boosts'!$D$2:$D$192,(B3/2+22)-9)-10))-0.5)*0.5,(1.75-(($A3+5)/($A3+10))*(INDEX('Stat Boosts'!$D$2:$D$192,F$1-9)-10)/((INDEX('Stat Boosts'!$D$2:$D$192,(B3/2+22)-9)-10))))</f>
        <v>1.6138888888888889</v>
      </c>
      <c r="G3" s="16">
        <f>IF((1.75-(($A3+5)/($A3+10))*(INDEX('Stat Boosts'!$D$2:$D$192,G$1-9)-10)/((INDEX('Stat Boosts'!$D$2:$D$192,(C3/2+22)-9)-10)))&lt;0.5,POWER(1.1,1.75-(($A3+5)/($A3+10))*(INDEX('Stat Boosts'!$D$2:$D$192,G$1-9)-10)/((INDEX('Stat Boosts'!$D$2:$D$192,(C3/2+22)-9)-10))-0.5)*0.5,(1.75-(($A3+5)/($A3+10))*(INDEX('Stat Boosts'!$D$2:$D$192,G$1-9)-10)/((INDEX('Stat Boosts'!$D$2:$D$192,(C3/2+22)-9)-10))))</f>
        <v>1.2696078431372548</v>
      </c>
      <c r="H3" s="16">
        <f>IF((1.75-(($A3+5)/($A3+10))*(INDEX('Stat Boosts'!$D$2:$D$192,H$1-9)-10)/((INDEX('Stat Boosts'!$D$2:$D$192,(D3/2+22)-9)-10)))&lt;0.5,POWER(1.1,1.75-(($A3+5)/($A3+10))*(INDEX('Stat Boosts'!$D$2:$D$192,H$1-9)-10)/((INDEX('Stat Boosts'!$D$2:$D$192,(D3/2+22)-9)-10))-0.5)*0.5,(1.75-(($A3+5)/($A3+10))*(INDEX('Stat Boosts'!$D$2:$D$192,H$1-9)-10)/((INDEX('Stat Boosts'!$D$2:$D$192,(D3/2+22)-9)-10))))</f>
        <v>1.0294117647058822</v>
      </c>
      <c r="I3" s="16">
        <f>IF((1.75-(($A3+5)/($A3+10))*(INDEX('Stat Boosts'!$D$2:$D$192,I$1-9)-10)/((INDEX('Stat Boosts'!$D$2:$D$192,(E3/2+22)-9)-10)))&lt;0.5,POWER(1.1,1.75-(($A3+5)/($A3+10))*(INDEX('Stat Boosts'!$D$2:$D$192,I$1-9)-10)/((INDEX('Stat Boosts'!$D$2:$D$192,(E3/2+22)-9)-10))-0.5)*0.5,(1.75-(($A3+5)/($A3+10))*(INDEX('Stat Boosts'!$D$2:$D$192,I$1-9)-10)/((INDEX('Stat Boosts'!$D$2:$D$192,(E3/2+22)-9)-10))))</f>
        <v>0.82352941176470573</v>
      </c>
      <c r="J3" s="16">
        <f>IF((1.75-(($A3+5)/($A3+10))*(INDEX('Stat Boosts'!$D$2:$D$192,J$1-9)-10)/((INDEX('Stat Boosts'!$D$2:$D$192,(F3/2+22)-9)-10)))&lt;0.5,POWER(1.1,1.75-(($A3+5)/($A3+10))*(INDEX('Stat Boosts'!$D$2:$D$192,J$1-9)-10)/((INDEX('Stat Boosts'!$D$2:$D$192,(F3/2+22)-9)-10))-0.5)*0.5,(1.75-(($A3+5)/($A3+10))*(INDEX('Stat Boosts'!$D$2:$D$192,J$1-9)-10)/((INDEX('Stat Boosts'!$D$2:$D$192,(F3/2+22)-9)-10))))</f>
        <v>0.61764705882352944</v>
      </c>
      <c r="K3" s="16">
        <f>IF((1.75-(($A3+5)/($A3+10))*(INDEX('Stat Boosts'!$D$2:$D$192,K$1-9)-10)/((INDEX('Stat Boosts'!$D$2:$D$192,(G3/2+22)-9)-10)))&lt;0.5,POWER(1.1,1.75-(($A3+5)/($A3+10))*(INDEX('Stat Boosts'!$D$2:$D$192,K$1-9)-10)/((INDEX('Stat Boosts'!$D$2:$D$192,(G3/2+22)-9)-10))-0.5)*0.5,(1.75-(($A3+5)/($A3+10))*(INDEX('Stat Boosts'!$D$2:$D$192,K$1-9)-10)/((INDEX('Stat Boosts'!$D$2:$D$192,(G3/2+22)-9)-10))))</f>
        <v>0.48300876375339735</v>
      </c>
      <c r="L3" s="16">
        <f>IF((1.75-(($A3+5)/($A3+10))*(INDEX('Stat Boosts'!$D$2:$D$192,L$1-9)-10)/((INDEX('Stat Boosts'!$D$2:$D$192,(H3/2+22)-9)-10)))&lt;0.5,POWER(1.1,1.75-(($A3+5)/($A3+10))*(INDEX('Stat Boosts'!$D$2:$D$192,L$1-9)-10)/((INDEX('Stat Boosts'!$D$2:$D$192,(H3/2+22)-9)-10))-0.5)*0.5,(1.75-(($A3+5)/($A3+10))*(INDEX('Stat Boosts'!$D$2:$D$192,L$1-9)-10)/((INDEX('Stat Boosts'!$D$2:$D$192,(H3/2+22)-9)-10))))</f>
        <v>0.47517471676580142</v>
      </c>
      <c r="M3" s="16">
        <f>IF((1.75-(($A3+5)/($A3+10))*(INDEX('Stat Boosts'!$D$2:$D$192,M$1-9)-10)/((INDEX('Stat Boosts'!$D$2:$D$192,(I3/2+22)-9)-10)))&lt;0.5,POWER(1.1,1.75-(($A3+5)/($A3+10))*(INDEX('Stat Boosts'!$D$2:$D$192,M$1-9)-10)/((INDEX('Stat Boosts'!$D$2:$D$192,(I3/2+22)-9)-10))-0.5)*0.5,(1.75-(($A3+5)/($A3+10))*(INDEX('Stat Boosts'!$D$2:$D$192,M$1-9)-10)/((INDEX('Stat Boosts'!$D$2:$D$192,(I3/2+22)-9)-10))))</f>
        <v>0.46442005319080099</v>
      </c>
      <c r="N3" s="16">
        <f>IF((1.75-(($A3+5)/($A3+10))*(INDEX('Stat Boosts'!$D$2:$D$192,N$1-9)-10)/((INDEX('Stat Boosts'!$D$2:$D$192,(J3/2+22)-9)-10)))&lt;0.5,POWER(1.1,1.75-(($A3+5)/($A3+10))*(INDEX('Stat Boosts'!$D$2:$D$192,N$1-9)-10)/((INDEX('Stat Boosts'!$D$2:$D$192,(J3/2+22)-9)-10))-0.5)*0.5,(1.75-(($A3+5)/($A3+10))*(INDEX('Stat Boosts'!$D$2:$D$192,N$1-9)-10)/((INDEX('Stat Boosts'!$D$2:$D$192,(J3/2+22)-9)-10))))</f>
        <v>0.45094951974863223</v>
      </c>
      <c r="O3" s="16">
        <f>IF((1.75-(($A3+5)/($A3+10))*(INDEX('Stat Boosts'!$D$2:$D$192,O$1-9)-10)/((INDEX('Stat Boosts'!$D$2:$D$192,(K3/2+22)-9)-10)))&lt;0.5,POWER(1.1,1.75-(($A3+5)/($A3+10))*(INDEX('Stat Boosts'!$D$2:$D$192,O$1-9)-10)/((INDEX('Stat Boosts'!$D$2:$D$192,(K3/2+22)-9)-10))-0.5)*0.5,(1.75-(($A3+5)/($A3+10))*(INDEX('Stat Boosts'!$D$2:$D$192,O$1-9)-10)/((INDEX('Stat Boosts'!$D$2:$D$192,(K3/2+22)-9)-10))))</f>
        <v>0.44363545012535666</v>
      </c>
      <c r="P3" s="16">
        <f>IF((1.75-(($A3+5)/($A3+10))*(INDEX('Stat Boosts'!$D$2:$D$192,P$1-9)-10)/((INDEX('Stat Boosts'!$D$2:$D$192,(L3/2+22)-9)-10)))&lt;0.5,POWER(1.1,1.75-(($A3+5)/($A3+10))*(INDEX('Stat Boosts'!$D$2:$D$192,P$1-9)-10)/((INDEX('Stat Boosts'!$D$2:$D$192,(L3/2+22)-9)-10))-0.5)*0.5,(1.75-(($A3+5)/($A3+10))*(INDEX('Stat Boosts'!$D$2:$D$192,P$1-9)-10)/((INDEX('Stat Boosts'!$D$2:$D$192,(L3/2+22)-9)-10))))</f>
        <v>0.43217888497872287</v>
      </c>
      <c r="Q3" s="16">
        <f>IF((1.75-(($A3+5)/($A3+10))*(INDEX('Stat Boosts'!$D$2:$D$192,Q$1-9)-10)/((INDEX('Stat Boosts'!$D$2:$D$192,(M3/2+22)-9)-10)))&lt;0.5,POWER(1.1,1.75-(($A3+5)/($A3+10))*(INDEX('Stat Boosts'!$D$2:$D$192,Q$1-9)-10)/((INDEX('Stat Boosts'!$D$2:$D$192,(M3/2+22)-9)-10))-0.5)*0.5,(1.75-(($A3+5)/($A3+10))*(INDEX('Stat Boosts'!$D$2:$D$192,Q$1-9)-10)/((INDEX('Stat Boosts'!$D$2:$D$192,(M3/2+22)-9)-10))))</f>
        <v>0.42101817735411978</v>
      </c>
      <c r="R3" s="16">
        <f>IF((1.75-(($A3+5)/($A3+10))*1.25*(INDEX('Stat Boosts'!$D$2:$D$192,R$1-9)-10)/((INDEX('Stat Boosts'!$D$2:$D$192,(N3/2+22)-9)-10)))&lt;0.5,POWER(1.1,1.75-(($A3+5)/($A3+10))*1.25*(INDEX('Stat Boosts'!$D$2:$D$192,R$1-9)-10)/((INDEX('Stat Boosts'!$D$2:$D$192,(N3/2+22)-9)-10))-0.5)*0.5,(1.75-(($A3+5)/($A3+10))*1.25*(INDEX('Stat Boosts'!$D$2:$D$192,R$1-9)-10)/((INDEX('Stat Boosts'!$D$2:$D$192,(N3/2+22)-9)-10))))</f>
        <v>0.37887414642196637</v>
      </c>
      <c r="T3" t="s">
        <v>322</v>
      </c>
    </row>
    <row r="4" spans="1:20">
      <c r="A4" s="9">
        <v>3</v>
      </c>
      <c r="B4" s="16">
        <f t="shared" si="0"/>
        <v>23.2</v>
      </c>
      <c r="C4" s="16">
        <f t="shared" si="1"/>
        <v>3.0303030303030307E-2</v>
      </c>
      <c r="E4" s="16">
        <f>IF((1.75-(($A4+5)/($A4+10))*(INDEX('Stat Boosts'!$D$2:$D$192,E$1-9)-10)/((INDEX('Stat Boosts'!$D$2:$D$192,(A4/2+22)-9)-10)))&lt;0.5,POWER(1.1,1.75-(($A4+5)/($A4+10))*(INDEX('Stat Boosts'!$D$2:$D$192,E$1-9)-10)/((INDEX('Stat Boosts'!$D$2:$D$192,(A4/2+22)-9)-10))-0.5)*0.5,(1.75-(($A4+5)/($A4+10))*(INDEX('Stat Boosts'!$D$2:$D$192,E$1-9)-10)/((INDEX('Stat Boosts'!$D$2:$D$192,(A4/2+22)-9)-10))))</f>
        <v>1.75</v>
      </c>
      <c r="F4" s="16">
        <f>IF((1.75-(($A4+5)/($A4+10))*(INDEX('Stat Boosts'!$D$2:$D$192,F$1-9)-10)/((INDEX('Stat Boosts'!$D$2:$D$192,(B4/2+22)-9)-10)))&lt;0.5,POWER(1.1,1.75-(($A4+5)/($A4+10))*(INDEX('Stat Boosts'!$D$2:$D$192,F$1-9)-10)/((INDEX('Stat Boosts'!$D$2:$D$192,(B4/2+22)-9)-10))-0.5)*0.5,(1.75-(($A4+5)/($A4+10))*(INDEX('Stat Boosts'!$D$2:$D$192,F$1-9)-10)/((INDEX('Stat Boosts'!$D$2:$D$192,(B4/2+22)-9)-10))))</f>
        <v>1.6064102564102565</v>
      </c>
      <c r="G4" s="16">
        <f>IF((1.75-(($A4+5)/($A4+10))*(INDEX('Stat Boosts'!$D$2:$D$192,G$1-9)-10)/((INDEX('Stat Boosts'!$D$2:$D$192,(C4/2+22)-9)-10)))&lt;0.5,POWER(1.1,1.75-(($A4+5)/($A4+10))*(INDEX('Stat Boosts'!$D$2:$D$192,G$1-9)-10)/((INDEX('Stat Boosts'!$D$2:$D$192,(C4/2+22)-9)-10))-0.5)*0.5,(1.75-(($A4+5)/($A4+10))*(INDEX('Stat Boosts'!$D$2:$D$192,G$1-9)-10)/((INDEX('Stat Boosts'!$D$2:$D$192,(C4/2+22)-9)-10))))</f>
        <v>1.2432126696832579</v>
      </c>
      <c r="H4" s="16">
        <f>IF((1.75-(($A4+5)/($A4+10))*(INDEX('Stat Boosts'!$D$2:$D$192,H$1-9)-10)/((INDEX('Stat Boosts'!$D$2:$D$192,(D4/2+22)-9)-10)))&lt;0.5,POWER(1.1,1.75-(($A4+5)/($A4+10))*(INDEX('Stat Boosts'!$D$2:$D$192,H$1-9)-10)/((INDEX('Stat Boosts'!$D$2:$D$192,(D4/2+22)-9)-10))-0.5)*0.5,(1.75-(($A4+5)/($A4+10))*(INDEX('Stat Boosts'!$D$2:$D$192,H$1-9)-10)/((INDEX('Stat Boosts'!$D$2:$D$192,(D4/2+22)-9)-10))))</f>
        <v>0.98981900452488691</v>
      </c>
      <c r="I4" s="16">
        <f>IF((1.75-(($A4+5)/($A4+10))*(INDEX('Stat Boosts'!$D$2:$D$192,I$1-9)-10)/((INDEX('Stat Boosts'!$D$2:$D$192,(E4/2+22)-9)-10)))&lt;0.5,POWER(1.1,1.75-(($A4+5)/($A4+10))*(INDEX('Stat Boosts'!$D$2:$D$192,I$1-9)-10)/((INDEX('Stat Boosts'!$D$2:$D$192,(E4/2+22)-9)-10))-0.5)*0.5,(1.75-(($A4+5)/($A4+10))*(INDEX('Stat Boosts'!$D$2:$D$192,I$1-9)-10)/((INDEX('Stat Boosts'!$D$2:$D$192,(E4/2+22)-9)-10))))</f>
        <v>0.77262443438914019</v>
      </c>
      <c r="J4" s="16">
        <f>IF((1.75-(($A4+5)/($A4+10))*(INDEX('Stat Boosts'!$D$2:$D$192,J$1-9)-10)/((INDEX('Stat Boosts'!$D$2:$D$192,(F4/2+22)-9)-10)))&lt;0.5,POWER(1.1,1.75-(($A4+5)/($A4+10))*(INDEX('Stat Boosts'!$D$2:$D$192,J$1-9)-10)/((INDEX('Stat Boosts'!$D$2:$D$192,(F4/2+22)-9)-10))-0.5)*0.5,(1.75-(($A4+5)/($A4+10))*(INDEX('Stat Boosts'!$D$2:$D$192,J$1-9)-10)/((INDEX('Stat Boosts'!$D$2:$D$192,(F4/2+22)-9)-10))))</f>
        <v>0.55542986425339347</v>
      </c>
      <c r="K4" s="16">
        <f>IF((1.75-(($A4+5)/($A4+10))*(INDEX('Stat Boosts'!$D$2:$D$192,K$1-9)-10)/((INDEX('Stat Boosts'!$D$2:$D$192,(G4/2+22)-9)-10)))&lt;0.5,POWER(1.1,1.75-(($A4+5)/($A4+10))*(INDEX('Stat Boosts'!$D$2:$D$192,K$1-9)-10)/((INDEX('Stat Boosts'!$D$2:$D$192,(G4/2+22)-9)-10))-0.5)*0.5,(1.75-(($A4+5)/($A4+10))*(INDEX('Stat Boosts'!$D$2:$D$192,K$1-9)-10)/((INDEX('Stat Boosts'!$D$2:$D$192,(G4/2+22)-9)-10))))</f>
        <v>0.47894661352260726</v>
      </c>
      <c r="L4" s="16">
        <f>IF((1.75-(($A4+5)/($A4+10))*(INDEX('Stat Boosts'!$D$2:$D$192,L$1-9)-10)/((INDEX('Stat Boosts'!$D$2:$D$192,(H4/2+22)-9)-10)))&lt;0.5,POWER(1.1,1.75-(($A4+5)/($A4+10))*(INDEX('Stat Boosts'!$D$2:$D$192,L$1-9)-10)/((INDEX('Stat Boosts'!$D$2:$D$192,(H4/2+22)-9)-10))-0.5)*0.5,(1.75-(($A4+5)/($A4+10))*(INDEX('Stat Boosts'!$D$2:$D$192,L$1-9)-10)/((INDEX('Stat Boosts'!$D$2:$D$192,(H4/2+22)-9)-10))))</f>
        <v>0.47075529990356046</v>
      </c>
      <c r="M4" s="16">
        <f>IF((1.75-(($A4+5)/($A4+10))*(INDEX('Stat Boosts'!$D$2:$D$192,M$1-9)-10)/((INDEX('Stat Boosts'!$D$2:$D$192,(I4/2+22)-9)-10)))&lt;0.5,POWER(1.1,1.75-(($A4+5)/($A4+10))*(INDEX('Stat Boosts'!$D$2:$D$192,M$1-9)-10)/((INDEX('Stat Boosts'!$D$2:$D$192,(I4/2+22)-9)-10))-0.5)*0.5,(1.75-(($A4+5)/($A4+10))*(INDEX('Stat Boosts'!$D$2:$D$192,M$1-9)-10)/((INDEX('Stat Boosts'!$D$2:$D$192,(I4/2+22)-9)-10))))</f>
        <v>0.45952228092119857</v>
      </c>
      <c r="N4" s="16">
        <f>IF((1.75-(($A4+5)/($A4+10))*(INDEX('Stat Boosts'!$D$2:$D$192,N$1-9)-10)/((INDEX('Stat Boosts'!$D$2:$D$192,(J4/2+22)-9)-10)))&lt;0.5,POWER(1.1,1.75-(($A4+5)/($A4+10))*(INDEX('Stat Boosts'!$D$2:$D$192,N$1-9)-10)/((INDEX('Stat Boosts'!$D$2:$D$192,(J4/2+22)-9)-10))-0.5)*0.5,(1.75-(($A4+5)/($A4+10))*(INDEX('Stat Boosts'!$D$2:$D$192,N$1-9)-10)/((INDEX('Stat Boosts'!$D$2:$D$192,(J4/2+22)-9)-10))))</f>
        <v>0.44547278207442531</v>
      </c>
      <c r="O4" s="16">
        <f>IF((1.75-(($A4+5)/($A4+10))*(INDEX('Stat Boosts'!$D$2:$D$192,O$1-9)-10)/((INDEX('Stat Boosts'!$D$2:$D$192,(K4/2+22)-9)-10)))&lt;0.5,POWER(1.1,1.75-(($A4+5)/($A4+10))*(INDEX('Stat Boosts'!$D$2:$D$192,O$1-9)-10)/((INDEX('Stat Boosts'!$D$2:$D$192,(K4/2+22)-9)-10))-0.5)*0.5,(1.75-(($A4+5)/($A4+10))*(INDEX('Stat Boosts'!$D$2:$D$192,O$1-9)-10)/((INDEX('Stat Boosts'!$D$2:$D$192,(K4/2+22)-9)-10))))</f>
        <v>0.43785396368487084</v>
      </c>
      <c r="P4" s="16">
        <f>IF((1.75-(($A4+5)/($A4+10))*(INDEX('Stat Boosts'!$D$2:$D$192,P$1-9)-10)/((INDEX('Stat Boosts'!$D$2:$D$192,(L4/2+22)-9)-10)))&lt;0.5,POWER(1.1,1.75-(($A4+5)/($A4+10))*(INDEX('Stat Boosts'!$D$2:$D$192,P$1-9)-10)/((INDEX('Stat Boosts'!$D$2:$D$192,(L4/2+22)-9)-10))-0.5)*0.5,(1.75-(($A4+5)/($A4+10))*(INDEX('Stat Boosts'!$D$2:$D$192,P$1-9)-10)/((INDEX('Stat Boosts'!$D$2:$D$192,(L4/2+22)-9)-10))))</f>
        <v>0.42593395561952996</v>
      </c>
      <c r="Q4" s="16">
        <f>IF((1.75-(($A4+5)/($A4+10))*(INDEX('Stat Boosts'!$D$2:$D$192,Q$1-9)-10)/((INDEX('Stat Boosts'!$D$2:$D$192,(M4/2+22)-9)-10)))&lt;0.5,POWER(1.1,1.75-(($A4+5)/($A4+10))*(INDEX('Stat Boosts'!$D$2:$D$192,Q$1-9)-10)/((INDEX('Stat Boosts'!$D$2:$D$192,(M4/2+22)-9)-10))-0.5)*0.5,(1.75-(($A4+5)/($A4+10))*(INDEX('Stat Boosts'!$D$2:$D$192,Q$1-9)-10)/((INDEX('Stat Boosts'!$D$2:$D$192,(M4/2+22)-9)-10))))</f>
        <v>0.41433845436253691</v>
      </c>
      <c r="R4" s="16">
        <f>IF((1.75-(($A4+5)/($A4+10))*1.25*(INDEX('Stat Boosts'!$D$2:$D$192,R$1-9)-10)/((INDEX('Stat Boosts'!$D$2:$D$192,(N4/2+22)-9)-10)))&lt;0.5,POWER(1.1,1.75-(($A4+5)/($A4+10))*1.25*(INDEX('Stat Boosts'!$D$2:$D$192,R$1-9)-10)/((INDEX('Stat Boosts'!$D$2:$D$192,(N4/2+22)-9)-10))-0.5)*0.5,(1.75-(($A4+5)/($A4+10))*1.25*(INDEX('Stat Boosts'!$D$2:$D$192,R$1-9)-10)/((INDEX('Stat Boosts'!$D$2:$D$192,(N4/2+22)-9)-10))))</f>
        <v>0.37070851305958108</v>
      </c>
      <c r="T4" t="s">
        <v>323</v>
      </c>
    </row>
    <row r="5" spans="1:20">
      <c r="A5" s="9">
        <v>4</v>
      </c>
      <c r="B5" s="16">
        <f t="shared" si="0"/>
        <v>23.6</v>
      </c>
      <c r="C5" s="16">
        <f t="shared" si="1"/>
        <v>2.9411764705882353E-2</v>
      </c>
      <c r="E5" s="16">
        <f>IF((1.75-(($A5+5)/($A5+10))*(INDEX('Stat Boosts'!$D$2:$D$192,E$1-9)-10)/((INDEX('Stat Boosts'!$D$2:$D$192,(A5/2+22)-9)-10)))&lt;0.5,POWER(1.1,1.75-(($A5+5)/($A5+10))*(INDEX('Stat Boosts'!$D$2:$D$192,E$1-9)-10)/((INDEX('Stat Boosts'!$D$2:$D$192,(A5/2+22)-9)-10))-0.5)*0.5,(1.75-(($A5+5)/($A5+10))*(INDEX('Stat Boosts'!$D$2:$D$192,E$1-9)-10)/((INDEX('Stat Boosts'!$D$2:$D$192,(A5/2+22)-9)-10))))</f>
        <v>1.75</v>
      </c>
      <c r="F5" s="16">
        <f>IF((1.75-(($A5+5)/($A5+10))*(INDEX('Stat Boosts'!$D$2:$D$192,F$1-9)-10)/((INDEX('Stat Boosts'!$D$2:$D$192,(B5/2+22)-9)-10)))&lt;0.5,POWER(1.1,1.75-(($A5+5)/($A5+10))*(INDEX('Stat Boosts'!$D$2:$D$192,F$1-9)-10)/((INDEX('Stat Boosts'!$D$2:$D$192,(B5/2+22)-9)-10))-0.5)*0.5,(1.75-(($A5+5)/($A5+10))*(INDEX('Stat Boosts'!$D$2:$D$192,F$1-9)-10)/((INDEX('Stat Boosts'!$D$2:$D$192,(B5/2+22)-9)-10))))</f>
        <v>1.6</v>
      </c>
      <c r="G5" s="16">
        <f>IF((1.75-(($A5+5)/($A5+10))*(INDEX('Stat Boosts'!$D$2:$D$192,G$1-9)-10)/((INDEX('Stat Boosts'!$D$2:$D$192,(C5/2+22)-9)-10)))&lt;0.5,POWER(1.1,1.75-(($A5+5)/($A5+10))*(INDEX('Stat Boosts'!$D$2:$D$192,G$1-9)-10)/((INDEX('Stat Boosts'!$D$2:$D$192,(C5/2+22)-9)-10))-0.5)*0.5,(1.75-(($A5+5)/($A5+10))*(INDEX('Stat Boosts'!$D$2:$D$192,G$1-9)-10)/((INDEX('Stat Boosts'!$D$2:$D$192,(C5/2+22)-9)-10))))</f>
        <v>1.2205882352941178</v>
      </c>
      <c r="H5" s="16">
        <f>IF((1.75-(($A5+5)/($A5+10))*(INDEX('Stat Boosts'!$D$2:$D$192,H$1-9)-10)/((INDEX('Stat Boosts'!$D$2:$D$192,(D5/2+22)-9)-10)))&lt;0.5,POWER(1.1,1.75-(($A5+5)/($A5+10))*(INDEX('Stat Boosts'!$D$2:$D$192,H$1-9)-10)/((INDEX('Stat Boosts'!$D$2:$D$192,(D5/2+22)-9)-10))-0.5)*0.5,(1.75-(($A5+5)/($A5+10))*(INDEX('Stat Boosts'!$D$2:$D$192,H$1-9)-10)/((INDEX('Stat Boosts'!$D$2:$D$192,(D5/2+22)-9)-10))))</f>
        <v>0.95588235294117641</v>
      </c>
      <c r="I5" s="16">
        <f>IF((1.75-(($A5+5)/($A5+10))*(INDEX('Stat Boosts'!$D$2:$D$192,I$1-9)-10)/((INDEX('Stat Boosts'!$D$2:$D$192,(E5/2+22)-9)-10)))&lt;0.5,POWER(1.1,1.75-(($A5+5)/($A5+10))*(INDEX('Stat Boosts'!$D$2:$D$192,I$1-9)-10)/((INDEX('Stat Boosts'!$D$2:$D$192,(E5/2+22)-9)-10))-0.5)*0.5,(1.75-(($A5+5)/($A5+10))*(INDEX('Stat Boosts'!$D$2:$D$192,I$1-9)-10)/((INDEX('Stat Boosts'!$D$2:$D$192,(E5/2+22)-9)-10))))</f>
        <v>0.72899159663865554</v>
      </c>
      <c r="J5" s="16">
        <f>IF((1.75-(($A5+5)/($A5+10))*(INDEX('Stat Boosts'!$D$2:$D$192,J$1-9)-10)/((INDEX('Stat Boosts'!$D$2:$D$192,(F5/2+22)-9)-10)))&lt;0.5,POWER(1.1,1.75-(($A5+5)/($A5+10))*(INDEX('Stat Boosts'!$D$2:$D$192,J$1-9)-10)/((INDEX('Stat Boosts'!$D$2:$D$192,(F5/2+22)-9)-10))-0.5)*0.5,(1.75-(($A5+5)/($A5+10))*(INDEX('Stat Boosts'!$D$2:$D$192,J$1-9)-10)/((INDEX('Stat Boosts'!$D$2:$D$192,(F5/2+22)-9)-10))))</f>
        <v>0.50210084033613445</v>
      </c>
      <c r="K5" s="16">
        <f>IF((1.75-(($A5+5)/($A5+10))*(INDEX('Stat Boosts'!$D$2:$D$192,K$1-9)-10)/((INDEX('Stat Boosts'!$D$2:$D$192,(G5/2+22)-9)-10)))&lt;0.5,POWER(1.1,1.75-(($A5+5)/($A5+10))*(INDEX('Stat Boosts'!$D$2:$D$192,K$1-9)-10)/((INDEX('Stat Boosts'!$D$2:$D$192,(G5/2+22)-9)-10))-0.5)*0.5,(1.75-(($A5+5)/($A5+10))*(INDEX('Stat Boosts'!$D$2:$D$192,K$1-9)-10)/((INDEX('Stat Boosts'!$D$2:$D$192,(G5/2+22)-9)-10))))</f>
        <v>0.47549197240205821</v>
      </c>
      <c r="L5" s="16">
        <f>IF((1.75-(($A5+5)/($A5+10))*(INDEX('Stat Boosts'!$D$2:$D$192,L$1-9)-10)/((INDEX('Stat Boosts'!$D$2:$D$192,(H5/2+22)-9)-10)))&lt;0.5,POWER(1.1,1.75-(($A5+5)/($A5+10))*(INDEX('Stat Boosts'!$D$2:$D$192,L$1-9)-10)/((INDEX('Stat Boosts'!$D$2:$D$192,(H5/2+22)-9)-10))-0.5)*0.5,(1.75-(($A5+5)/($A5+10))*(INDEX('Stat Boosts'!$D$2:$D$192,L$1-9)-10)/((INDEX('Stat Boosts'!$D$2:$D$192,(H5/2+22)-9)-10))))</f>
        <v>0.4669999577004893</v>
      </c>
      <c r="M5" s="16">
        <f>IF((1.75-(($A5+5)/($A5+10))*(INDEX('Stat Boosts'!$D$2:$D$192,M$1-9)-10)/((INDEX('Stat Boosts'!$D$2:$D$192,(I5/2+22)-9)-10)))&lt;0.5,POWER(1.1,1.75-(($A5+5)/($A5+10))*(INDEX('Stat Boosts'!$D$2:$D$192,M$1-9)-10)/((INDEX('Stat Boosts'!$D$2:$D$192,(I5/2+22)-9)-10))-0.5)*0.5,(1.75-(($A5+5)/($A5+10))*(INDEX('Stat Boosts'!$D$2:$D$192,M$1-9)-10)/((INDEX('Stat Boosts'!$D$2:$D$192,(I5/2+22)-9)-10))))</f>
        <v>0.45536532179972705</v>
      </c>
      <c r="N5" s="16">
        <f>IF((1.75-(($A5+5)/($A5+10))*(INDEX('Stat Boosts'!$D$2:$D$192,N$1-9)-10)/((INDEX('Stat Boosts'!$D$2:$D$192,(J5/2+22)-9)-10)))&lt;0.5,POWER(1.1,1.75-(($A5+5)/($A5+10))*(INDEX('Stat Boosts'!$D$2:$D$192,N$1-9)-10)/((INDEX('Stat Boosts'!$D$2:$D$192,(J5/2+22)-9)-10))-0.5)*0.5,(1.75-(($A5+5)/($A5+10))*(INDEX('Stat Boosts'!$D$2:$D$192,N$1-9)-10)/((INDEX('Stat Boosts'!$D$2:$D$192,(J5/2+22)-9)-10))))</f>
        <v>0.44083140628594936</v>
      </c>
      <c r="O5" s="16">
        <f>IF((1.75-(($A5+5)/($A5+10))*(INDEX('Stat Boosts'!$D$2:$D$192,O$1-9)-10)/((INDEX('Stat Boosts'!$D$2:$D$192,(K5/2+22)-9)-10)))&lt;0.5,POWER(1.1,1.75-(($A5+5)/($A5+10))*(INDEX('Stat Boosts'!$D$2:$D$192,O$1-9)-10)/((INDEX('Stat Boosts'!$D$2:$D$192,(K5/2+22)-9)-10))-0.5)*0.5,(1.75-(($A5+5)/($A5+10))*(INDEX('Stat Boosts'!$D$2:$D$192,O$1-9)-10)/((INDEX('Stat Boosts'!$D$2:$D$192,(K5/2+22)-9)-10))))</f>
        <v>0.43295840947344338</v>
      </c>
      <c r="P5" s="16">
        <f>IF((1.75-(($A5+5)/($A5+10))*(INDEX('Stat Boosts'!$D$2:$D$192,P$1-9)-10)/((INDEX('Stat Boosts'!$D$2:$D$192,(L5/2+22)-9)-10)))&lt;0.5,POWER(1.1,1.75-(($A5+5)/($A5+10))*(INDEX('Stat Boosts'!$D$2:$D$192,P$1-9)-10)/((INDEX('Stat Boosts'!$D$2:$D$192,(L5/2+22)-9)-10))-0.5)*0.5,(1.75-(($A5+5)/($A5+10))*(INDEX('Stat Boosts'!$D$2:$D$192,P$1-9)-10)/((INDEX('Stat Boosts'!$D$2:$D$192,(L5/2+22)-9)-10))))</f>
        <v>0.42065303107284518</v>
      </c>
      <c r="Q5" s="16">
        <f>IF((1.75-(($A5+5)/($A5+10))*(INDEX('Stat Boosts'!$D$2:$D$192,Q$1-9)-10)/((INDEX('Stat Boosts'!$D$2:$D$192,(M5/2+22)-9)-10)))&lt;0.5,POWER(1.1,1.75-(($A5+5)/($A5+10))*(INDEX('Stat Boosts'!$D$2:$D$192,Q$1-9)-10)/((INDEX('Stat Boosts'!$D$2:$D$192,(M5/2+22)-9)-10))-0.5)*0.5,(1.75-(($A5+5)/($A5+10))*(INDEX('Stat Boosts'!$D$2:$D$192,Q$1-9)-10)/((INDEX('Stat Boosts'!$D$2:$D$192,(M5/2+22)-9)-10))))</f>
        <v>0.4086973914329885</v>
      </c>
      <c r="R5" s="16">
        <f>IF((1.75-(($A5+5)/($A5+10))*1.25*(INDEX('Stat Boosts'!$D$2:$D$192,R$1-9)-10)/((INDEX('Stat Boosts'!$D$2:$D$192,(N5/2+22)-9)-10)))&lt;0.5,POWER(1.1,1.75-(($A5+5)/($A5+10))*1.25*(INDEX('Stat Boosts'!$D$2:$D$192,R$1-9)-10)/((INDEX('Stat Boosts'!$D$2:$D$192,(N5/2+22)-9)-10))-0.5)*0.5,(1.75-(($A5+5)/($A5+10))*1.25*(INDEX('Stat Boosts'!$D$2:$D$192,R$1-9)-10)/((INDEX('Stat Boosts'!$D$2:$D$192,(N5/2+22)-9)-10))))</f>
        <v>0.36384961603761723</v>
      </c>
      <c r="T5" t="s">
        <v>324</v>
      </c>
    </row>
    <row r="6" spans="1:20">
      <c r="A6" s="9">
        <v>5</v>
      </c>
      <c r="B6" s="16">
        <f t="shared" si="0"/>
        <v>24</v>
      </c>
      <c r="C6" s="16">
        <f t="shared" si="1"/>
        <v>2.8571428571428574E-2</v>
      </c>
      <c r="E6" s="16">
        <f>IF((1.75-(($A6+5)/($A6+10))*(INDEX('Stat Boosts'!$D$2:$D$192,E$1-9)-10)/((INDEX('Stat Boosts'!$D$2:$D$192,(A6/2+22)-9)-10)))&lt;0.5,POWER(1.1,1.75-(($A6+5)/($A6+10))*(INDEX('Stat Boosts'!$D$2:$D$192,E$1-9)-10)/((INDEX('Stat Boosts'!$D$2:$D$192,(A6/2+22)-9)-10))-0.5)*0.5,(1.75-(($A6+5)/($A6+10))*(INDEX('Stat Boosts'!$D$2:$D$192,E$1-9)-10)/((INDEX('Stat Boosts'!$D$2:$D$192,(A6/2+22)-9)-10))))</f>
        <v>1.75</v>
      </c>
      <c r="F6" s="16">
        <f>IF((1.75-(($A6+5)/($A6+10))*(INDEX('Stat Boosts'!$D$2:$D$192,F$1-9)-10)/((INDEX('Stat Boosts'!$D$2:$D$192,(B6/2+22)-9)-10)))&lt;0.5,POWER(1.1,1.75-(($A6+5)/($A6+10))*(INDEX('Stat Boosts'!$D$2:$D$192,F$1-9)-10)/((INDEX('Stat Boosts'!$D$2:$D$192,(B6/2+22)-9)-10))-0.5)*0.5,(1.75-(($A6+5)/($A6+10))*(INDEX('Stat Boosts'!$D$2:$D$192,F$1-9)-10)/((INDEX('Stat Boosts'!$D$2:$D$192,(B6/2+22)-9)-10))))</f>
        <v>1.6041666666666667</v>
      </c>
      <c r="G6" s="16">
        <f>IF((1.75-(($A6+5)/($A6+10))*(INDEX('Stat Boosts'!$D$2:$D$192,G$1-9)-10)/((INDEX('Stat Boosts'!$D$2:$D$192,(C6/2+22)-9)-10)))&lt;0.5,POWER(1.1,1.75-(($A6+5)/($A6+10))*(INDEX('Stat Boosts'!$D$2:$D$192,G$1-9)-10)/((INDEX('Stat Boosts'!$D$2:$D$192,(C6/2+22)-9)-10))-0.5)*0.5,(1.75-(($A6+5)/($A6+10))*(INDEX('Stat Boosts'!$D$2:$D$192,G$1-9)-10)/((INDEX('Stat Boosts'!$D$2:$D$192,(C6/2+22)-9)-10))))</f>
        <v>1.2009803921568629</v>
      </c>
      <c r="H6" s="16">
        <f>IF((1.75-(($A6+5)/($A6+10))*(INDEX('Stat Boosts'!$D$2:$D$192,H$1-9)-10)/((INDEX('Stat Boosts'!$D$2:$D$192,(D6/2+22)-9)-10)))&lt;0.5,POWER(1.1,1.75-(($A6+5)/($A6+10))*(INDEX('Stat Boosts'!$D$2:$D$192,H$1-9)-10)/((INDEX('Stat Boosts'!$D$2:$D$192,(D6/2+22)-9)-10))-0.5)*0.5,(1.75-(($A6+5)/($A6+10))*(INDEX('Stat Boosts'!$D$2:$D$192,H$1-9)-10)/((INDEX('Stat Boosts'!$D$2:$D$192,(D6/2+22)-9)-10))))</f>
        <v>0.92647058823529416</v>
      </c>
      <c r="I6" s="16">
        <f>IF((1.75-(($A6+5)/($A6+10))*(INDEX('Stat Boosts'!$D$2:$D$192,I$1-9)-10)/((INDEX('Stat Boosts'!$D$2:$D$192,(E6/2+22)-9)-10)))&lt;0.5,POWER(1.1,1.75-(($A6+5)/($A6+10))*(INDEX('Stat Boosts'!$D$2:$D$192,I$1-9)-10)/((INDEX('Stat Boosts'!$D$2:$D$192,(E6/2+22)-9)-10))-0.5)*0.5,(1.75-(($A6+5)/($A6+10))*(INDEX('Stat Boosts'!$D$2:$D$192,I$1-9)-10)/((INDEX('Stat Boosts'!$D$2:$D$192,(E6/2+22)-9)-10))))</f>
        <v>0.69117647058823528</v>
      </c>
      <c r="J6" s="16">
        <f>IF((1.75-(($A6+5)/($A6+10))*(INDEX('Stat Boosts'!$D$2:$D$192,J$1-9)-10)/((INDEX('Stat Boosts'!$D$2:$D$192,(F6/2+22)-9)-10)))&lt;0.5,POWER(1.1,1.75-(($A6+5)/($A6+10))*(INDEX('Stat Boosts'!$D$2:$D$192,J$1-9)-10)/((INDEX('Stat Boosts'!$D$2:$D$192,(F6/2+22)-9)-10))-0.5)*0.5,(1.75-(($A6+5)/($A6+10))*(INDEX('Stat Boosts'!$D$2:$D$192,J$1-9)-10)/((INDEX('Stat Boosts'!$D$2:$D$192,(F6/2+22)-9)-10))))</f>
        <v>0.4979019835879277</v>
      </c>
      <c r="K6" s="16">
        <f>IF((1.75-(($A6+5)/($A6+10))*(INDEX('Stat Boosts'!$D$2:$D$192,K$1-9)-10)/((INDEX('Stat Boosts'!$D$2:$D$192,(G6/2+22)-9)-10)))&lt;0.5,POWER(1.1,1.75-(($A6+5)/($A6+10))*(INDEX('Stat Boosts'!$D$2:$D$192,K$1-9)-10)/((INDEX('Stat Boosts'!$D$2:$D$192,(G6/2+22)-9)-10))-0.5)*0.5,(1.75-(($A6+5)/($A6+10))*(INDEX('Stat Boosts'!$D$2:$D$192,K$1-9)-10)/((INDEX('Stat Boosts'!$D$2:$D$192,(G6/2+22)-9)-10))))</f>
        <v>0.47251811272511463</v>
      </c>
      <c r="L6" s="16">
        <f>IF((1.75-(($A6+5)/($A6+10))*(INDEX('Stat Boosts'!$D$2:$D$192,L$1-9)-10)/((INDEX('Stat Boosts'!$D$2:$D$192,(H6/2+22)-9)-10)))&lt;0.5,POWER(1.1,1.75-(($A6+5)/($A6+10))*(INDEX('Stat Boosts'!$D$2:$D$192,L$1-9)-10)/((INDEX('Stat Boosts'!$D$2:$D$192,(H6/2+22)-9)-10))-0.5)*0.5,(1.75-(($A6+5)/($A6+10))*(INDEX('Stat Boosts'!$D$2:$D$192,L$1-9)-10)/((INDEX('Stat Boosts'!$D$2:$D$192,(H6/2+22)-9)-10))))</f>
        <v>0.46376956859328738</v>
      </c>
      <c r="M6" s="16">
        <f>IF((1.75-(($A6+5)/($A6+10))*(INDEX('Stat Boosts'!$D$2:$D$192,M$1-9)-10)/((INDEX('Stat Boosts'!$D$2:$D$192,(I6/2+22)-9)-10)))&lt;0.5,POWER(1.1,1.75-(($A6+5)/($A6+10))*(INDEX('Stat Boosts'!$D$2:$D$192,M$1-9)-10)/((INDEX('Stat Boosts'!$D$2:$D$192,(I6/2+22)-9)-10))-0.5)*0.5,(1.75-(($A6+5)/($A6+10))*(INDEX('Stat Boosts'!$D$2:$D$192,M$1-9)-10)/((INDEX('Stat Boosts'!$D$2:$D$192,(I6/2+22)-9)-10))))</f>
        <v>0.45179305437623396</v>
      </c>
      <c r="N6" s="16">
        <f>IF((1.75-(($A6+5)/($A6+10))*(INDEX('Stat Boosts'!$D$2:$D$192,N$1-9)-10)/((INDEX('Stat Boosts'!$D$2:$D$192,(J6/2+22)-9)-10)))&lt;0.5,POWER(1.1,1.75-(($A6+5)/($A6+10))*(INDEX('Stat Boosts'!$D$2:$D$192,N$1-9)-10)/((INDEX('Stat Boosts'!$D$2:$D$192,(J6/2+22)-9)-10))-0.5)*0.5,(1.75-(($A6+5)/($A6+10))*(INDEX('Stat Boosts'!$D$2:$D$192,N$1-9)-10)/((INDEX('Stat Boosts'!$D$2:$D$192,(J6/2+22)-9)-10))))</f>
        <v>0.4368480153754285</v>
      </c>
      <c r="O6" s="16">
        <f>IF((1.75-(($A6+5)/($A6+10))*(INDEX('Stat Boosts'!$D$2:$D$192,O$1-9)-10)/((INDEX('Stat Boosts'!$D$2:$D$192,(K6/2+22)-9)-10)))&lt;0.5,POWER(1.1,1.75-(($A6+5)/($A6+10))*(INDEX('Stat Boosts'!$D$2:$D$192,O$1-9)-10)/((INDEX('Stat Boosts'!$D$2:$D$192,(K6/2+22)-9)-10))-0.5)*0.5,(1.75-(($A6+5)/($A6+10))*(INDEX('Stat Boosts'!$D$2:$D$192,O$1-9)-10)/((INDEX('Stat Boosts'!$D$2:$D$192,(K6/2+22)-9)-10))))</f>
        <v>0.42875989337863984</v>
      </c>
      <c r="P6" s="16">
        <f>IF((1.75-(($A6+5)/($A6+10))*(INDEX('Stat Boosts'!$D$2:$D$192,P$1-9)-10)/((INDEX('Stat Boosts'!$D$2:$D$192,(L6/2+22)-9)-10)))&lt;0.5,POWER(1.1,1.75-(($A6+5)/($A6+10))*(INDEX('Stat Boosts'!$D$2:$D$192,P$1-9)-10)/((INDEX('Stat Boosts'!$D$2:$D$192,(L6/2+22)-9)-10))-0.5)*0.5,(1.75-(($A6+5)/($A6+10))*(INDEX('Stat Boosts'!$D$2:$D$192,P$1-9)-10)/((INDEX('Stat Boosts'!$D$2:$D$192,(L6/2+22)-9)-10))))</f>
        <v>0.41612922134927238</v>
      </c>
      <c r="Q6" s="16">
        <f>IF((1.75-(($A6+5)/($A6+10))*(INDEX('Stat Boosts'!$D$2:$D$192,Q$1-9)-10)/((INDEX('Stat Boosts'!$D$2:$D$192,(M6/2+22)-9)-10)))&lt;0.5,POWER(1.1,1.75-(($A6+5)/($A6+10))*(INDEX('Stat Boosts'!$D$2:$D$192,Q$1-9)-10)/((INDEX('Stat Boosts'!$D$2:$D$192,(M6/2+22)-9)-10))-0.5)*0.5,(1.75-(($A6+5)/($A6+10))*(INDEX('Stat Boosts'!$D$2:$D$192,Q$1-9)-10)/((INDEX('Stat Boosts'!$D$2:$D$192,(M6/2+22)-9)-10))))</f>
        <v>0.40387063140681928</v>
      </c>
      <c r="R6" s="16">
        <f>IF((1.75-(($A6+5)/($A6+10))*1.25*(INDEX('Stat Boosts'!$D$2:$D$192,R$1-9)-10)/((INDEX('Stat Boosts'!$D$2:$D$192,(N6/2+22)-9)-10)))&lt;0.5,POWER(1.1,1.75-(($A6+5)/($A6+10))*1.25*(INDEX('Stat Boosts'!$D$2:$D$192,R$1-9)-10)/((INDEX('Stat Boosts'!$D$2:$D$192,(N6/2+22)-9)-10))-0.5)*0.5,(1.75-(($A6+5)/($A6+10))*1.25*(INDEX('Stat Boosts'!$D$2:$D$192,R$1-9)-10)/((INDEX('Stat Boosts'!$D$2:$D$192,(N6/2+22)-9)-10))))</f>
        <v>0.35800797487627711</v>
      </c>
      <c r="T6" t="s">
        <v>325</v>
      </c>
    </row>
    <row r="7" spans="1:20">
      <c r="A7" s="9">
        <v>6</v>
      </c>
      <c r="B7" s="16">
        <f t="shared" si="0"/>
        <v>24.4</v>
      </c>
      <c r="C7" s="16">
        <f t="shared" si="1"/>
        <v>2.7777777777777783E-2</v>
      </c>
      <c r="E7" s="16">
        <f>IF((1.75-(($A7+5)/($A7+10))*(INDEX('Stat Boosts'!$D$2:$D$192,E$1-9)-10)/((INDEX('Stat Boosts'!$D$2:$D$192,(A7/2+22)-9)-10)))&lt;0.5,POWER(1.1,1.75-(($A7+5)/($A7+10))*(INDEX('Stat Boosts'!$D$2:$D$192,E$1-9)-10)/((INDEX('Stat Boosts'!$D$2:$D$192,(A7/2+22)-9)-10))-0.5)*0.5,(1.75-(($A7+5)/($A7+10))*(INDEX('Stat Boosts'!$D$2:$D$192,E$1-9)-10)/((INDEX('Stat Boosts'!$D$2:$D$192,(A7/2+22)-9)-10))))</f>
        <v>1.75</v>
      </c>
      <c r="F7" s="16">
        <f>IF((1.75-(($A7+5)/($A7+10))*(INDEX('Stat Boosts'!$D$2:$D$192,F$1-9)-10)/((INDEX('Stat Boosts'!$D$2:$D$192,(B7/2+22)-9)-10)))&lt;0.5,POWER(1.1,1.75-(($A7+5)/($A7+10))*(INDEX('Stat Boosts'!$D$2:$D$192,F$1-9)-10)/((INDEX('Stat Boosts'!$D$2:$D$192,(B7/2+22)-9)-10))-0.5)*0.5,(1.75-(($A7+5)/($A7+10))*(INDEX('Stat Boosts'!$D$2:$D$192,F$1-9)-10)/((INDEX('Stat Boosts'!$D$2:$D$192,(B7/2+22)-9)-10))))</f>
        <v>1.599609375</v>
      </c>
      <c r="G7" s="16">
        <f>IF((1.75-(($A7+5)/($A7+10))*(INDEX('Stat Boosts'!$D$2:$D$192,G$1-9)-10)/((INDEX('Stat Boosts'!$D$2:$D$192,(C7/2+22)-9)-10)))&lt;0.5,POWER(1.1,1.75-(($A7+5)/($A7+10))*(INDEX('Stat Boosts'!$D$2:$D$192,G$1-9)-10)/((INDEX('Stat Boosts'!$D$2:$D$192,(C7/2+22)-9)-10))-0.5)*0.5,(1.75-(($A7+5)/($A7+10))*(INDEX('Stat Boosts'!$D$2:$D$192,G$1-9)-10)/((INDEX('Stat Boosts'!$D$2:$D$192,(C7/2+22)-9)-10))))</f>
        <v>1.1838235294117647</v>
      </c>
      <c r="H7" s="16">
        <f>IF((1.75-(($A7+5)/($A7+10))*(INDEX('Stat Boosts'!$D$2:$D$192,H$1-9)-10)/((INDEX('Stat Boosts'!$D$2:$D$192,(D7/2+22)-9)-10)))&lt;0.5,POWER(1.1,1.75-(($A7+5)/($A7+10))*(INDEX('Stat Boosts'!$D$2:$D$192,H$1-9)-10)/((INDEX('Stat Boosts'!$D$2:$D$192,(D7/2+22)-9)-10))-0.5)*0.5,(1.75-(($A7+5)/($A7+10))*(INDEX('Stat Boosts'!$D$2:$D$192,H$1-9)-10)/((INDEX('Stat Boosts'!$D$2:$D$192,(D7/2+22)-9)-10))))</f>
        <v>0.90073529411764708</v>
      </c>
      <c r="I7" s="16">
        <f>IF((1.75-(($A7+5)/($A7+10))*(INDEX('Stat Boosts'!$D$2:$D$192,I$1-9)-10)/((INDEX('Stat Boosts'!$D$2:$D$192,(E7/2+22)-9)-10)))&lt;0.5,POWER(1.1,1.75-(($A7+5)/($A7+10))*(INDEX('Stat Boosts'!$D$2:$D$192,I$1-9)-10)/((INDEX('Stat Boosts'!$D$2:$D$192,(E7/2+22)-9)-10))-0.5)*0.5,(1.75-(($A7+5)/($A7+10))*(INDEX('Stat Boosts'!$D$2:$D$192,I$1-9)-10)/((INDEX('Stat Boosts'!$D$2:$D$192,(E7/2+22)-9)-10))))</f>
        <v>0.65808823529411775</v>
      </c>
      <c r="J7" s="16">
        <f>IF((1.75-(($A7+5)/($A7+10))*(INDEX('Stat Boosts'!$D$2:$D$192,J$1-9)-10)/((INDEX('Stat Boosts'!$D$2:$D$192,(F7/2+22)-9)-10)))&lt;0.5,POWER(1.1,1.75-(($A7+5)/($A7+10))*(INDEX('Stat Boosts'!$D$2:$D$192,J$1-9)-10)/((INDEX('Stat Boosts'!$D$2:$D$192,(F7/2+22)-9)-10))-0.5)*0.5,(1.75-(($A7+5)/($A7+10))*(INDEX('Stat Boosts'!$D$2:$D$192,J$1-9)-10)/((INDEX('Stat Boosts'!$D$2:$D$192,(F7/2+22)-9)-10))))</f>
        <v>0.4959865362739635</v>
      </c>
      <c r="K7" s="16">
        <f>IF((1.75-(($A7+5)/($A7+10))*(INDEX('Stat Boosts'!$D$2:$D$192,K$1-9)-10)/((INDEX('Stat Boosts'!$D$2:$D$192,(G7/2+22)-9)-10)))&lt;0.5,POWER(1.1,1.75-(($A7+5)/($A7+10))*(INDEX('Stat Boosts'!$D$2:$D$192,K$1-9)-10)/((INDEX('Stat Boosts'!$D$2:$D$192,(G7/2+22)-9)-10))-0.5)*0.5,(1.75-(($A7+5)/($A7+10))*(INDEX('Stat Boosts'!$D$2:$D$192,K$1-9)-10)/((INDEX('Stat Boosts'!$D$2:$D$192,(G7/2+22)-9)-10))))</f>
        <v>0.4699312467696567</v>
      </c>
      <c r="L7" s="16">
        <f>IF((1.75-(($A7+5)/($A7+10))*(INDEX('Stat Boosts'!$D$2:$D$192,L$1-9)-10)/((INDEX('Stat Boosts'!$D$2:$D$192,(H7/2+22)-9)-10)))&lt;0.5,POWER(1.1,1.75-(($A7+5)/($A7+10))*(INDEX('Stat Boosts'!$D$2:$D$192,L$1-9)-10)/((INDEX('Stat Boosts'!$D$2:$D$192,(H7/2+22)-9)-10))-0.5)*0.5,(1.75-(($A7+5)/($A7+10))*(INDEX('Stat Boosts'!$D$2:$D$192,L$1-9)-10)/((INDEX('Stat Boosts'!$D$2:$D$192,(H7/2+22)-9)-10))))</f>
        <v>0.46096131382732125</v>
      </c>
      <c r="M7" s="16">
        <f>IF((1.75-(($A7+5)/($A7+10))*(INDEX('Stat Boosts'!$D$2:$D$192,M$1-9)-10)/((INDEX('Stat Boosts'!$D$2:$D$192,(I7/2+22)-9)-10)))&lt;0.5,POWER(1.1,1.75-(($A7+5)/($A7+10))*(INDEX('Stat Boosts'!$D$2:$D$192,M$1-9)-10)/((INDEX('Stat Boosts'!$D$2:$D$192,(I7/2+22)-9)-10))-0.5)*0.5,(1.75-(($A7+5)/($A7+10))*(INDEX('Stat Boosts'!$D$2:$D$192,M$1-9)-10)/((INDEX('Stat Boosts'!$D$2:$D$192,(I7/2+22)-9)-10))))</f>
        <v>0.4486903162350549</v>
      </c>
      <c r="N7" s="16">
        <f>IF((1.75-(($A7+5)/($A7+10))*(INDEX('Stat Boosts'!$D$2:$D$192,N$1-9)-10)/((INDEX('Stat Boosts'!$D$2:$D$192,(J7/2+22)-9)-10)))&lt;0.5,POWER(1.1,1.75-(($A7+5)/($A7+10))*(INDEX('Stat Boosts'!$D$2:$D$192,N$1-9)-10)/((INDEX('Stat Boosts'!$D$2:$D$192,(J7/2+22)-9)-10))-0.5)*0.5,(1.75-(($A7+5)/($A7+10))*(INDEX('Stat Boosts'!$D$2:$D$192,N$1-9)-10)/((INDEX('Stat Boosts'!$D$2:$D$192,(J7/2+22)-9)-10))))</f>
        <v>0.43339208602072371</v>
      </c>
      <c r="O7" s="16">
        <f>IF((1.75-(($A7+5)/($A7+10))*(INDEX('Stat Boosts'!$D$2:$D$192,O$1-9)-10)/((INDEX('Stat Boosts'!$D$2:$D$192,(K7/2+22)-9)-10)))&lt;0.5,POWER(1.1,1.75-(($A7+5)/($A7+10))*(INDEX('Stat Boosts'!$D$2:$D$192,O$1-9)-10)/((INDEX('Stat Boosts'!$D$2:$D$192,(K7/2+22)-9)-10))-0.5)*0.5,(1.75-(($A7+5)/($A7+10))*(INDEX('Stat Boosts'!$D$2:$D$192,O$1-9)-10)/((INDEX('Stat Boosts'!$D$2:$D$192,(K7/2+22)-9)-10))))</f>
        <v>0.42511960366065993</v>
      </c>
      <c r="P7" s="16">
        <f>IF((1.75-(($A7+5)/($A7+10))*(INDEX('Stat Boosts'!$D$2:$D$192,P$1-9)-10)/((INDEX('Stat Boosts'!$D$2:$D$192,(L7/2+22)-9)-10)))&lt;0.5,POWER(1.1,1.75-(($A7+5)/($A7+10))*(INDEX('Stat Boosts'!$D$2:$D$192,P$1-9)-10)/((INDEX('Stat Boosts'!$D$2:$D$192,(L7/2+22)-9)-10))-0.5)*0.5,(1.75-(($A7+5)/($A7+10))*(INDEX('Stat Boosts'!$D$2:$D$192,P$1-9)-10)/((INDEX('Stat Boosts'!$D$2:$D$192,(L7/2+22)-9)-10))))</f>
        <v>0.41221081414599797</v>
      </c>
      <c r="Q7" s="16">
        <f>IF((1.75-(($A7+5)/($A7+10))*(INDEX('Stat Boosts'!$D$2:$D$192,Q$1-9)-10)/((INDEX('Stat Boosts'!$D$2:$D$192,(M7/2+22)-9)-10)))&lt;0.5,POWER(1.1,1.75-(($A7+5)/($A7+10))*(INDEX('Stat Boosts'!$D$2:$D$192,Q$1-9)-10)/((INDEX('Stat Boosts'!$D$2:$D$192,(M7/2+22)-9)-10))-0.5)*0.5,(1.75-(($A7+5)/($A7+10))*(INDEX('Stat Boosts'!$D$2:$D$192,Q$1-9)-10)/((INDEX('Stat Boosts'!$D$2:$D$192,(M7/2+22)-9)-10))))</f>
        <v>0.39969400101939007</v>
      </c>
      <c r="R7" s="16">
        <f>IF((1.75-(($A7+5)/($A7+10))*1.25*(INDEX('Stat Boosts'!$D$2:$D$192,R$1-9)-10)/((INDEX('Stat Boosts'!$D$2:$D$192,(N7/2+22)-9)-10)))&lt;0.5,POWER(1.1,1.75-(($A7+5)/($A7+10))*1.25*(INDEX('Stat Boosts'!$D$2:$D$192,R$1-9)-10)/((INDEX('Stat Boosts'!$D$2:$D$192,(N7/2+22)-9)-10))-0.5)*0.5,(1.75-(($A7+5)/($A7+10))*1.25*(INDEX('Stat Boosts'!$D$2:$D$192,R$1-9)-10)/((INDEX('Stat Boosts'!$D$2:$D$192,(N7/2+22)-9)-10))))</f>
        <v>0.35297352612830818</v>
      </c>
      <c r="T7" t="s">
        <v>326</v>
      </c>
    </row>
    <row r="8" spans="1:20">
      <c r="A8" s="9">
        <v>7</v>
      </c>
      <c r="B8" s="16">
        <f t="shared" si="0"/>
        <v>24.8</v>
      </c>
      <c r="C8" s="16">
        <f t="shared" si="1"/>
        <v>2.7027027027027029E-2</v>
      </c>
      <c r="E8" s="16">
        <f>IF((1.75-(($A8+5)/($A8+10))*(INDEX('Stat Boosts'!$D$2:$D$192,E$1-9)-10)/((INDEX('Stat Boosts'!$D$2:$D$192,(A8/2+22)-9)-10)))&lt;0.5,POWER(1.1,1.75-(($A8+5)/($A8+10))*(INDEX('Stat Boosts'!$D$2:$D$192,E$1-9)-10)/((INDEX('Stat Boosts'!$D$2:$D$192,(A8/2+22)-9)-10))-0.5)*0.5,(1.75-(($A8+5)/($A8+10))*(INDEX('Stat Boosts'!$D$2:$D$192,E$1-9)-10)/((INDEX('Stat Boosts'!$D$2:$D$192,(A8/2+22)-9)-10))))</f>
        <v>1.75</v>
      </c>
      <c r="F8" s="16">
        <f>IF((1.75-(($A8+5)/($A8+10))*(INDEX('Stat Boosts'!$D$2:$D$192,F$1-9)-10)/((INDEX('Stat Boosts'!$D$2:$D$192,(B8/2+22)-9)-10)))&lt;0.5,POWER(1.1,1.75-(($A8+5)/($A8+10))*(INDEX('Stat Boosts'!$D$2:$D$192,F$1-9)-10)/((INDEX('Stat Boosts'!$D$2:$D$192,(B8/2+22)-9)-10))-0.5)*0.5,(1.75-(($A8+5)/($A8+10))*(INDEX('Stat Boosts'!$D$2:$D$192,F$1-9)-10)/((INDEX('Stat Boosts'!$D$2:$D$192,(B8/2+22)-9)-10))))</f>
        <v>1.5955882352941178</v>
      </c>
      <c r="G8" s="16">
        <f>IF((1.75-(($A8+5)/($A8+10))*(INDEX('Stat Boosts'!$D$2:$D$192,G$1-9)-10)/((INDEX('Stat Boosts'!$D$2:$D$192,(C8/2+22)-9)-10)))&lt;0.5,POWER(1.1,1.75-(($A8+5)/($A8+10))*(INDEX('Stat Boosts'!$D$2:$D$192,G$1-9)-10)/((INDEX('Stat Boosts'!$D$2:$D$192,(C8/2+22)-9)-10))-0.5)*0.5,(1.75-(($A8+5)/($A8+10))*(INDEX('Stat Boosts'!$D$2:$D$192,G$1-9)-10)/((INDEX('Stat Boosts'!$D$2:$D$192,(C8/2+22)-9)-10))))</f>
        <v>1.1686851211072664</v>
      </c>
      <c r="H8" s="16">
        <f>IF((1.75-(($A8+5)/($A8+10))*(INDEX('Stat Boosts'!$D$2:$D$192,H$1-9)-10)/((INDEX('Stat Boosts'!$D$2:$D$192,(D8/2+22)-9)-10)))&lt;0.5,POWER(1.1,1.75-(($A8+5)/($A8+10))*(INDEX('Stat Boosts'!$D$2:$D$192,H$1-9)-10)/((INDEX('Stat Boosts'!$D$2:$D$192,(D8/2+22)-9)-10))-0.5)*0.5,(1.75-(($A8+5)/($A8+10))*(INDEX('Stat Boosts'!$D$2:$D$192,H$1-9)-10)/((INDEX('Stat Boosts'!$D$2:$D$192,(D8/2+22)-9)-10))))</f>
        <v>0.87802768166089962</v>
      </c>
      <c r="I8" s="16">
        <f>IF((1.75-(($A8+5)/($A8+10))*(INDEX('Stat Boosts'!$D$2:$D$192,I$1-9)-10)/((INDEX('Stat Boosts'!$D$2:$D$192,(E8/2+22)-9)-10)))&lt;0.5,POWER(1.1,1.75-(($A8+5)/($A8+10))*(INDEX('Stat Boosts'!$D$2:$D$192,I$1-9)-10)/((INDEX('Stat Boosts'!$D$2:$D$192,(E8/2+22)-9)-10))-0.5)*0.5,(1.75-(($A8+5)/($A8+10))*(INDEX('Stat Boosts'!$D$2:$D$192,I$1-9)-10)/((INDEX('Stat Boosts'!$D$2:$D$192,(E8/2+22)-9)-10))))</f>
        <v>0.62889273356401376</v>
      </c>
      <c r="J8" s="16">
        <f>IF((1.75-(($A8+5)/($A8+10))*(INDEX('Stat Boosts'!$D$2:$D$192,J$1-9)-10)/((INDEX('Stat Boosts'!$D$2:$D$192,(F8/2+22)-9)-10)))&lt;0.5,POWER(1.1,1.75-(($A8+5)/($A8+10))*(INDEX('Stat Boosts'!$D$2:$D$192,J$1-9)-10)/((INDEX('Stat Boosts'!$D$2:$D$192,(F8/2+22)-9)-10))-0.5)*0.5,(1.75-(($A8+5)/($A8+10))*(INDEX('Stat Boosts'!$D$2:$D$192,J$1-9)-10)/((INDEX('Stat Boosts'!$D$2:$D$192,(F8/2+22)-9)-10))))</f>
        <v>0.4943025560428228</v>
      </c>
      <c r="K8" s="16">
        <f>IF((1.75-(($A8+5)/($A8+10))*(INDEX('Stat Boosts'!$D$2:$D$192,K$1-9)-10)/((INDEX('Stat Boosts'!$D$2:$D$192,(G8/2+22)-9)-10)))&lt;0.5,POWER(1.1,1.75-(($A8+5)/($A8+10))*(INDEX('Stat Boosts'!$D$2:$D$192,K$1-9)-10)/((INDEX('Stat Boosts'!$D$2:$D$192,(G8/2+22)-9)-10))-0.5)*0.5,(1.75-(($A8+5)/($A8+10))*(INDEX('Stat Boosts'!$D$2:$D$192,K$1-9)-10)/((INDEX('Stat Boosts'!$D$2:$D$192,(G8/2+22)-9)-10))))</f>
        <v>0.46766048147471401</v>
      </c>
      <c r="L8" s="16">
        <f>IF((1.75-(($A8+5)/($A8+10))*(INDEX('Stat Boosts'!$D$2:$D$192,L$1-9)-10)/((INDEX('Stat Boosts'!$D$2:$D$192,(H8/2+22)-9)-10)))&lt;0.5,POWER(1.1,1.75-(($A8+5)/($A8+10))*(INDEX('Stat Boosts'!$D$2:$D$192,L$1-9)-10)/((INDEX('Stat Boosts'!$D$2:$D$192,(H8/2+22)-9)-10))-0.5)*0.5,(1.75-(($A8+5)/($A8+10))*(INDEX('Stat Boosts'!$D$2:$D$192,L$1-9)-10)/((INDEX('Stat Boosts'!$D$2:$D$192,(H8/2+22)-9)-10))))</f>
        <v>0.45849756694230659</v>
      </c>
      <c r="M8" s="16">
        <f>IF((1.75-(($A8+5)/($A8+10))*(INDEX('Stat Boosts'!$D$2:$D$192,M$1-9)-10)/((INDEX('Stat Boosts'!$D$2:$D$192,(I8/2+22)-9)-10)))&lt;0.5,POWER(1.1,1.75-(($A8+5)/($A8+10))*(INDEX('Stat Boosts'!$D$2:$D$192,M$1-9)-10)/((INDEX('Stat Boosts'!$D$2:$D$192,(I8/2+22)-9)-10))-0.5)*0.5,(1.75-(($A8+5)/($A8+10))*(INDEX('Stat Boosts'!$D$2:$D$192,M$1-9)-10)/((INDEX('Stat Boosts'!$D$2:$D$192,(I8/2+22)-9)-10))))</f>
        <v>0.44597030643669605</v>
      </c>
      <c r="N8" s="16">
        <f>IF((1.75-(($A8+5)/($A8+10))*(INDEX('Stat Boosts'!$D$2:$D$192,N$1-9)-10)/((INDEX('Stat Boosts'!$D$2:$D$192,(J8/2+22)-9)-10)))&lt;0.5,POWER(1.1,1.75-(($A8+5)/($A8+10))*(INDEX('Stat Boosts'!$D$2:$D$192,N$1-9)-10)/((INDEX('Stat Boosts'!$D$2:$D$192,(J8/2+22)-9)-10))-0.5)*0.5,(1.75-(($A8+5)/($A8+10))*(INDEX('Stat Boosts'!$D$2:$D$192,N$1-9)-10)/((INDEX('Stat Boosts'!$D$2:$D$192,(J8/2+22)-9)-10))))</f>
        <v>0.43036544819144995</v>
      </c>
      <c r="O8" s="16">
        <f>IF((1.75-(($A8+5)/($A8+10))*(INDEX('Stat Boosts'!$D$2:$D$192,O$1-9)-10)/((INDEX('Stat Boosts'!$D$2:$D$192,(K8/2+22)-9)-10)))&lt;0.5,POWER(1.1,1.75-(($A8+5)/($A8+10))*(INDEX('Stat Boosts'!$D$2:$D$192,O$1-9)-10)/((INDEX('Stat Boosts'!$D$2:$D$192,(K8/2+22)-9)-10))-0.5)*0.5,(1.75-(($A8+5)/($A8+10))*(INDEX('Stat Boosts'!$D$2:$D$192,O$1-9)-10)/((INDEX('Stat Boosts'!$D$2:$D$192,(K8/2+22)-9)-10))))</f>
        <v>0.42193325865291031</v>
      </c>
      <c r="P8" s="16">
        <f>IF((1.75-(($A8+5)/($A8+10))*(INDEX('Stat Boosts'!$D$2:$D$192,P$1-9)-10)/((INDEX('Stat Boosts'!$D$2:$D$192,(L8/2+22)-9)-10)))&lt;0.5,POWER(1.1,1.75-(($A8+5)/($A8+10))*(INDEX('Stat Boosts'!$D$2:$D$192,P$1-9)-10)/((INDEX('Stat Boosts'!$D$2:$D$192,(L8/2+22)-9)-10))-0.5)*0.5,(1.75-(($A8+5)/($A8+10))*(INDEX('Stat Boosts'!$D$2:$D$192,P$1-9)-10)/((INDEX('Stat Boosts'!$D$2:$D$192,(L8/2+22)-9)-10))))</f>
        <v>0.40878404846766303</v>
      </c>
      <c r="Q8" s="16">
        <f>IF((1.75-(($A8+5)/($A8+10))*(INDEX('Stat Boosts'!$D$2:$D$192,Q$1-9)-10)/((INDEX('Stat Boosts'!$D$2:$D$192,(M8/2+22)-9)-10)))&lt;0.5,POWER(1.1,1.75-(($A8+5)/($A8+10))*(INDEX('Stat Boosts'!$D$2:$D$192,Q$1-9)-10)/((INDEX('Stat Boosts'!$D$2:$D$192,(M8/2+22)-9)-10))-0.5)*0.5,(1.75-(($A8+5)/($A8+10))*(INDEX('Stat Boosts'!$D$2:$D$192,Q$1-9)-10)/((INDEX('Stat Boosts'!$D$2:$D$192,(M8/2+22)-9)-10))))</f>
        <v>0.39604462282760139</v>
      </c>
      <c r="R8" s="16">
        <f>IF((1.75-(($A8+5)/($A8+10))*1.25*(INDEX('Stat Boosts'!$D$2:$D$192,R$1-9)-10)/((INDEX('Stat Boosts'!$D$2:$D$192,(N8/2+22)-9)-10)))&lt;0.5,POWER(1.1,1.75-(($A8+5)/($A8+10))*1.25*(INDEX('Stat Boosts'!$D$2:$D$192,R$1-9)-10)/((INDEX('Stat Boosts'!$D$2:$D$192,(N8/2+22)-9)-10))-0.5)*0.5,(1.75-(($A8+5)/($A8+10))*1.25*(INDEX('Stat Boosts'!$D$2:$D$192,R$1-9)-10)/((INDEX('Stat Boosts'!$D$2:$D$192,(N8/2+22)-9)-10))))</f>
        <v>0.34859019087320409</v>
      </c>
    </row>
    <row r="9" spans="1:20">
      <c r="A9" s="9">
        <v>8</v>
      </c>
      <c r="B9" s="16">
        <f t="shared" si="0"/>
        <v>25.2</v>
      </c>
      <c r="C9" s="16">
        <f t="shared" si="1"/>
        <v>2.6315789473684213E-2</v>
      </c>
      <c r="E9" s="16">
        <f>IF((1.75-(($A9+5)/($A9+10))*(INDEX('Stat Boosts'!$D$2:$D$192,E$1-9)-10)/((INDEX('Stat Boosts'!$D$2:$D$192,(A9/2+22)-9)-10)))&lt;0.5,POWER(1.1,1.75-(($A9+5)/($A9+10))*(INDEX('Stat Boosts'!$D$2:$D$192,E$1-9)-10)/((INDEX('Stat Boosts'!$D$2:$D$192,(A9/2+22)-9)-10))-0.5)*0.5,(1.75-(($A9+5)/($A9+10))*(INDEX('Stat Boosts'!$D$2:$D$192,E$1-9)-10)/((INDEX('Stat Boosts'!$D$2:$D$192,(A9/2+22)-9)-10))))</f>
        <v>1.75</v>
      </c>
      <c r="F9" s="16">
        <f>IF((1.75-(($A9+5)/($A9+10))*(INDEX('Stat Boosts'!$D$2:$D$192,F$1-9)-10)/((INDEX('Stat Boosts'!$D$2:$D$192,(B9/2+22)-9)-10)))&lt;0.5,POWER(1.1,1.75-(($A9+5)/($A9+10))*(INDEX('Stat Boosts'!$D$2:$D$192,F$1-9)-10)/((INDEX('Stat Boosts'!$D$2:$D$192,(B9/2+22)-9)-10))-0.5)*0.5,(1.75-(($A9+5)/($A9+10))*(INDEX('Stat Boosts'!$D$2:$D$192,F$1-9)-10)/((INDEX('Stat Boosts'!$D$2:$D$192,(B9/2+22)-9)-10))))</f>
        <v>1.5920138888888888</v>
      </c>
      <c r="G9" s="16">
        <f>IF((1.75-(($A9+5)/($A9+10))*(INDEX('Stat Boosts'!$D$2:$D$192,G$1-9)-10)/((INDEX('Stat Boosts'!$D$2:$D$192,(C9/2+22)-9)-10)))&lt;0.5,POWER(1.1,1.75-(($A9+5)/($A9+10))*(INDEX('Stat Boosts'!$D$2:$D$192,G$1-9)-10)/((INDEX('Stat Boosts'!$D$2:$D$192,(C9/2+22)-9)-10))-0.5)*0.5,(1.75-(($A9+5)/($A9+10))*(INDEX('Stat Boosts'!$D$2:$D$192,G$1-9)-10)/((INDEX('Stat Boosts'!$D$2:$D$192,(C9/2+22)-9)-10))))</f>
        <v>1.1552287581699345</v>
      </c>
      <c r="H9" s="16">
        <f>IF((1.75-(($A9+5)/($A9+10))*(INDEX('Stat Boosts'!$D$2:$D$192,H$1-9)-10)/((INDEX('Stat Boosts'!$D$2:$D$192,(D9/2+22)-9)-10)))&lt;0.5,POWER(1.1,1.75-(($A9+5)/($A9+10))*(INDEX('Stat Boosts'!$D$2:$D$192,H$1-9)-10)/((INDEX('Stat Boosts'!$D$2:$D$192,(D9/2+22)-9)-10))-0.5)*0.5,(1.75-(($A9+5)/($A9+10))*(INDEX('Stat Boosts'!$D$2:$D$192,H$1-9)-10)/((INDEX('Stat Boosts'!$D$2:$D$192,(D9/2+22)-9)-10))))</f>
        <v>0.85784313725490202</v>
      </c>
      <c r="I9" s="16">
        <f>IF((1.75-(($A9+5)/($A9+10))*(INDEX('Stat Boosts'!$D$2:$D$192,I$1-9)-10)/((INDEX('Stat Boosts'!$D$2:$D$192,(E9/2+22)-9)-10)))&lt;0.5,POWER(1.1,1.75-(($A9+5)/($A9+10))*(INDEX('Stat Boosts'!$D$2:$D$192,I$1-9)-10)/((INDEX('Stat Boosts'!$D$2:$D$192,(E9/2+22)-9)-10))-0.5)*0.5,(1.75-(($A9+5)/($A9+10))*(INDEX('Stat Boosts'!$D$2:$D$192,I$1-9)-10)/((INDEX('Stat Boosts'!$D$2:$D$192,(E9/2+22)-9)-10))))</f>
        <v>0.60294117647058831</v>
      </c>
      <c r="J9" s="16">
        <f>IF((1.75-(($A9+5)/($A9+10))*(INDEX('Stat Boosts'!$D$2:$D$192,J$1-9)-10)/((INDEX('Stat Boosts'!$D$2:$D$192,(F9/2+22)-9)-10)))&lt;0.5,POWER(1.1,1.75-(($A9+5)/($A9+10))*(INDEX('Stat Boosts'!$D$2:$D$192,J$1-9)-10)/((INDEX('Stat Boosts'!$D$2:$D$192,(F9/2+22)-9)-10))-0.5)*0.5,(1.75-(($A9+5)/($A9+10))*(INDEX('Stat Boosts'!$D$2:$D$192,J$1-9)-10)/((INDEX('Stat Boosts'!$D$2:$D$192,(F9/2+22)-9)-10))))</f>
        <v>0.49281048518391846</v>
      </c>
      <c r="K9" s="16">
        <f>IF((1.75-(($A9+5)/($A9+10))*(INDEX('Stat Boosts'!$D$2:$D$192,K$1-9)-10)/((INDEX('Stat Boosts'!$D$2:$D$192,(G9/2+22)-9)-10)))&lt;0.5,POWER(1.1,1.75-(($A9+5)/($A9+10))*(INDEX('Stat Boosts'!$D$2:$D$192,K$1-9)-10)/((INDEX('Stat Boosts'!$D$2:$D$192,(G9/2+22)-9)-10))-0.5)*0.5,(1.75-(($A9+5)/($A9+10))*(INDEX('Stat Boosts'!$D$2:$D$192,K$1-9)-10)/((INDEX('Stat Boosts'!$D$2:$D$192,(G9/2+22)-9)-10))))</f>
        <v>0.46565123666425451</v>
      </c>
      <c r="L9" s="16">
        <f>IF((1.75-(($A9+5)/($A9+10))*(INDEX('Stat Boosts'!$D$2:$D$192,L$1-9)-10)/((INDEX('Stat Boosts'!$D$2:$D$192,(H9/2+22)-9)-10)))&lt;0.5,POWER(1.1,1.75-(($A9+5)/($A9+10))*(INDEX('Stat Boosts'!$D$2:$D$192,L$1-9)-10)/((INDEX('Stat Boosts'!$D$2:$D$192,(H9/2+22)-9)-10))-0.5)*0.5,(1.75-(($A9+5)/($A9+10))*(INDEX('Stat Boosts'!$D$2:$D$192,L$1-9)-10)/((INDEX('Stat Boosts'!$D$2:$D$192,(H9/2+22)-9)-10))))</f>
        <v>0.45631862672066104</v>
      </c>
      <c r="M9" s="16">
        <f>IF((1.75-(($A9+5)/($A9+10))*(INDEX('Stat Boosts'!$D$2:$D$192,M$1-9)-10)/((INDEX('Stat Boosts'!$D$2:$D$192,(I9/2+22)-9)-10)))&lt;0.5,POWER(1.1,1.75-(($A9+5)/($A9+10))*(INDEX('Stat Boosts'!$D$2:$D$192,M$1-9)-10)/((INDEX('Stat Boosts'!$D$2:$D$192,(I9/2+22)-9)-10))-0.5)*0.5,(1.75-(($A9+5)/($A9+10))*(INDEX('Stat Boosts'!$D$2:$D$192,M$1-9)-10)/((INDEX('Stat Boosts'!$D$2:$D$192,(I9/2+22)-9)-10))))</f>
        <v>0.44356636567730434</v>
      </c>
      <c r="N9" s="16">
        <f>IF((1.75-(($A9+5)/($A9+10))*(INDEX('Stat Boosts'!$D$2:$D$192,N$1-9)-10)/((INDEX('Stat Boosts'!$D$2:$D$192,(J9/2+22)-9)-10)))&lt;0.5,POWER(1.1,1.75-(($A9+5)/($A9+10))*(INDEX('Stat Boosts'!$D$2:$D$192,N$1-9)-10)/((INDEX('Stat Boosts'!$D$2:$D$192,(J9/2+22)-9)-10))-0.5)*0.5,(1.75-(($A9+5)/($A9+10))*(INDEX('Stat Boosts'!$D$2:$D$192,N$1-9)-10)/((INDEX('Stat Boosts'!$D$2:$D$192,(J9/2+22)-9)-10))))</f>
        <v>0.4276928525554573</v>
      </c>
      <c r="O9" s="16">
        <f>IF((1.75-(($A9+5)/($A9+10))*(INDEX('Stat Boosts'!$D$2:$D$192,O$1-9)-10)/((INDEX('Stat Boosts'!$D$2:$D$192,(K9/2+22)-9)-10)))&lt;0.5,POWER(1.1,1.75-(($A9+5)/($A9+10))*(INDEX('Stat Boosts'!$D$2:$D$192,O$1-9)-10)/((INDEX('Stat Boosts'!$D$2:$D$192,(K9/2+22)-9)-10))-0.5)*0.5,(1.75-(($A9+5)/($A9+10))*(INDEX('Stat Boosts'!$D$2:$D$192,O$1-9)-10)/((INDEX('Stat Boosts'!$D$2:$D$192,(K9/2+22)-9)-10))))</f>
        <v>0.41912100681709646</v>
      </c>
      <c r="P9" s="16">
        <f>IF((1.75-(($A9+5)/($A9+10))*(INDEX('Stat Boosts'!$D$2:$D$192,P$1-9)-10)/((INDEX('Stat Boosts'!$D$2:$D$192,(L9/2+22)-9)-10)))&lt;0.5,POWER(1.1,1.75-(($A9+5)/($A9+10))*(INDEX('Stat Boosts'!$D$2:$D$192,P$1-9)-10)/((INDEX('Stat Boosts'!$D$2:$D$192,(L9/2+22)-9)-10))-0.5)*0.5,(1.75-(($A9+5)/($A9+10))*(INDEX('Stat Boosts'!$D$2:$D$192,P$1-9)-10)/((INDEX('Stat Boosts'!$D$2:$D$192,(L9/2+22)-9)-10))))</f>
        <v>0.40576195707390472</v>
      </c>
      <c r="Q9" s="16">
        <f>IF((1.75-(($A9+5)/($A9+10))*(INDEX('Stat Boosts'!$D$2:$D$192,Q$1-9)-10)/((INDEX('Stat Boosts'!$D$2:$D$192,(M9/2+22)-9)-10)))&lt;0.5,POWER(1.1,1.75-(($A9+5)/($A9+10))*(INDEX('Stat Boosts'!$D$2:$D$192,Q$1-9)-10)/((INDEX('Stat Boosts'!$D$2:$D$192,(M9/2+22)-9)-10))-0.5)*0.5,(1.75-(($A9+5)/($A9+10))*(INDEX('Stat Boosts'!$D$2:$D$192,Q$1-9)-10)/((INDEX('Stat Boosts'!$D$2:$D$192,(M9/2+22)-9)-10))))</f>
        <v>0.39282871326059554</v>
      </c>
      <c r="R9" s="16">
        <f>IF((1.75-(($A9+5)/($A9+10))*1.25*(INDEX('Stat Boosts'!$D$2:$D$192,R$1-9)-10)/((INDEX('Stat Boosts'!$D$2:$D$192,(N9/2+22)-9)-10)))&lt;0.5,POWER(1.1,1.75-(($A9+5)/($A9+10))*1.25*(INDEX('Stat Boosts'!$D$2:$D$192,R$1-9)-10)/((INDEX('Stat Boosts'!$D$2:$D$192,(N9/2+22)-9)-10))-0.5)*0.5,(1.75-(($A9+5)/($A9+10))*1.25*(INDEX('Stat Boosts'!$D$2:$D$192,R$1-9)-10)/((INDEX('Stat Boosts'!$D$2:$D$192,(N9/2+22)-9)-10))))</f>
        <v>0.34473961132225744</v>
      </c>
      <c r="T9" t="s">
        <v>327</v>
      </c>
    </row>
    <row r="10" spans="1:20">
      <c r="A10" s="9">
        <v>9</v>
      </c>
      <c r="B10" s="16">
        <f t="shared" si="0"/>
        <v>25.6</v>
      </c>
      <c r="C10" s="16">
        <f t="shared" si="1"/>
        <v>2.564102564102564E-2</v>
      </c>
      <c r="E10" s="16">
        <f>IF((1.75-(($A10+5)/($A10+10))*(INDEX('Stat Boosts'!$D$2:$D$192,E$1-9)-10)/((INDEX('Stat Boosts'!$D$2:$D$192,(A10/2+22)-9)-10)))&lt;0.5,POWER(1.1,1.75-(($A10+5)/($A10+10))*(INDEX('Stat Boosts'!$D$2:$D$192,E$1-9)-10)/((INDEX('Stat Boosts'!$D$2:$D$192,(A10/2+22)-9)-10))-0.5)*0.5,(1.75-(($A10+5)/($A10+10))*(INDEX('Stat Boosts'!$D$2:$D$192,E$1-9)-10)/((INDEX('Stat Boosts'!$D$2:$D$192,(A10/2+22)-9)-10))))</f>
        <v>1.75</v>
      </c>
      <c r="F10" s="16">
        <f>IF((1.75-(($A10+5)/($A10+10))*(INDEX('Stat Boosts'!$D$2:$D$192,F$1-9)-10)/((INDEX('Stat Boosts'!$D$2:$D$192,(B10/2+22)-9)-10)))&lt;0.5,POWER(1.1,1.75-(($A10+5)/($A10+10))*(INDEX('Stat Boosts'!$D$2:$D$192,F$1-9)-10)/((INDEX('Stat Boosts'!$D$2:$D$192,(B10/2+22)-9)-10))-0.5)*0.5,(1.75-(($A10+5)/($A10+10))*(INDEX('Stat Boosts'!$D$2:$D$192,F$1-9)-10)/((INDEX('Stat Boosts'!$D$2:$D$192,(B10/2+22)-9)-10))))</f>
        <v>1.5888157894736843</v>
      </c>
      <c r="G10" s="16">
        <f>IF((1.75-(($A10+5)/($A10+10))*(INDEX('Stat Boosts'!$D$2:$D$192,G$1-9)-10)/((INDEX('Stat Boosts'!$D$2:$D$192,(C10/2+22)-9)-10)))&lt;0.5,POWER(1.1,1.75-(($A10+5)/($A10+10))*(INDEX('Stat Boosts'!$D$2:$D$192,G$1-9)-10)/((INDEX('Stat Boosts'!$D$2:$D$192,(C10/2+22)-9)-10))-0.5)*0.5,(1.75-(($A10+5)/($A10+10))*(INDEX('Stat Boosts'!$D$2:$D$192,G$1-9)-10)/((INDEX('Stat Boosts'!$D$2:$D$192,(C10/2+22)-9)-10))))</f>
        <v>1.1431888544891642</v>
      </c>
      <c r="H10" s="16">
        <f>IF((1.75-(($A10+5)/($A10+10))*(INDEX('Stat Boosts'!$D$2:$D$192,H$1-9)-10)/((INDEX('Stat Boosts'!$D$2:$D$192,(D10/2+22)-9)-10)))&lt;0.5,POWER(1.1,1.75-(($A10+5)/($A10+10))*(INDEX('Stat Boosts'!$D$2:$D$192,H$1-9)-10)/((INDEX('Stat Boosts'!$D$2:$D$192,(D10/2+22)-9)-10))-0.5)*0.5,(1.75-(($A10+5)/($A10+10))*(INDEX('Stat Boosts'!$D$2:$D$192,H$1-9)-10)/((INDEX('Stat Boosts'!$D$2:$D$192,(D10/2+22)-9)-10))))</f>
        <v>0.83978328173374617</v>
      </c>
      <c r="I10" s="16">
        <f>IF((1.75-(($A10+5)/($A10+10))*(INDEX('Stat Boosts'!$D$2:$D$192,I$1-9)-10)/((INDEX('Stat Boosts'!$D$2:$D$192,(E10/2+22)-9)-10)))&lt;0.5,POWER(1.1,1.75-(($A10+5)/($A10+10))*(INDEX('Stat Boosts'!$D$2:$D$192,I$1-9)-10)/((INDEX('Stat Boosts'!$D$2:$D$192,(E10/2+22)-9)-10))-0.5)*0.5,(1.75-(($A10+5)/($A10+10))*(INDEX('Stat Boosts'!$D$2:$D$192,I$1-9)-10)/((INDEX('Stat Boosts'!$D$2:$D$192,(E10/2+22)-9)-10))))</f>
        <v>0.5797213622291022</v>
      </c>
      <c r="J10" s="16">
        <f>IF((1.75-(($A10+5)/($A10+10))*(INDEX('Stat Boosts'!$D$2:$D$192,J$1-9)-10)/((INDEX('Stat Boosts'!$D$2:$D$192,(F10/2+22)-9)-10)))&lt;0.5,POWER(1.1,1.75-(($A10+5)/($A10+10))*(INDEX('Stat Boosts'!$D$2:$D$192,J$1-9)-10)/((INDEX('Stat Boosts'!$D$2:$D$192,(F10/2+22)-9)-10))-0.5)*0.5,(1.75-(($A10+5)/($A10+10))*(INDEX('Stat Boosts'!$D$2:$D$192,J$1-9)-10)/((INDEX('Stat Boosts'!$D$2:$D$192,(F10/2+22)-9)-10))))</f>
        <v>0.49147929250663369</v>
      </c>
      <c r="K10" s="16">
        <f>IF((1.75-(($A10+5)/($A10+10))*(INDEX('Stat Boosts'!$D$2:$D$192,K$1-9)-10)/((INDEX('Stat Boosts'!$D$2:$D$192,(G10/2+22)-9)-10)))&lt;0.5,POWER(1.1,1.75-(($A10+5)/($A10+10))*(INDEX('Stat Boosts'!$D$2:$D$192,K$1-9)-10)/((INDEX('Stat Boosts'!$D$2:$D$192,(G10/2+22)-9)-10))-0.5)*0.5,(1.75-(($A10+5)/($A10+10))*(INDEX('Stat Boosts'!$D$2:$D$192,K$1-9)-10)/((INDEX('Stat Boosts'!$D$2:$D$192,(G10/2+22)-9)-10))))</f>
        <v>0.46386080968499077</v>
      </c>
      <c r="L10" s="16">
        <f>IF((1.75-(($A10+5)/($A10+10))*(INDEX('Stat Boosts'!$D$2:$D$192,L$1-9)-10)/((INDEX('Stat Boosts'!$D$2:$D$192,(H10/2+22)-9)-10)))&lt;0.5,POWER(1.1,1.75-(($A10+5)/($A10+10))*(INDEX('Stat Boosts'!$D$2:$D$192,L$1-9)-10)/((INDEX('Stat Boosts'!$D$2:$D$192,(H10/2+22)-9)-10))-0.5)*0.5,(1.75-(($A10+5)/($A10+10))*(INDEX('Stat Boosts'!$D$2:$D$192,L$1-9)-10)/((INDEX('Stat Boosts'!$D$2:$D$192,(H10/2+22)-9)-10))))</f>
        <v>0.45437782753217859</v>
      </c>
      <c r="M10" s="16">
        <f>IF((1.75-(($A10+5)/($A10+10))*(INDEX('Stat Boosts'!$D$2:$D$192,M$1-9)-10)/((INDEX('Stat Boosts'!$D$2:$D$192,(I10/2+22)-9)-10)))&lt;0.5,POWER(1.1,1.75-(($A10+5)/($A10+10))*(INDEX('Stat Boosts'!$D$2:$D$192,M$1-9)-10)/((INDEX('Stat Boosts'!$D$2:$D$192,(I10/2+22)-9)-10))-0.5)*0.5,(1.75-(($A10+5)/($A10+10))*(INDEX('Stat Boosts'!$D$2:$D$192,M$1-9)-10)/((INDEX('Stat Boosts'!$D$2:$D$192,(I10/2+22)-9)-10))))</f>
        <v>0.44142645727478014</v>
      </c>
      <c r="N10" s="16">
        <f>IF((1.75-(($A10+5)/($A10+10))*(INDEX('Stat Boosts'!$D$2:$D$192,N$1-9)-10)/((INDEX('Stat Boosts'!$D$2:$D$192,(J10/2+22)-9)-10)))&lt;0.5,POWER(1.1,1.75-(($A10+5)/($A10+10))*(INDEX('Stat Boosts'!$D$2:$D$192,N$1-9)-10)/((INDEX('Stat Boosts'!$D$2:$D$192,(J10/2+22)-9)-10))-0.5)*0.5,(1.75-(($A10+5)/($A10+10))*(INDEX('Stat Boosts'!$D$2:$D$192,N$1-9)-10)/((INDEX('Stat Boosts'!$D$2:$D$192,(J10/2+22)-9)-10))))</f>
        <v>0.42531565420222101</v>
      </c>
      <c r="O10" s="16">
        <f>IF((1.75-(($A10+5)/($A10+10))*(INDEX('Stat Boosts'!$D$2:$D$192,O$1-9)-10)/((INDEX('Stat Boosts'!$D$2:$D$192,(K10/2+22)-9)-10)))&lt;0.5,POWER(1.1,1.75-(($A10+5)/($A10+10))*(INDEX('Stat Boosts'!$D$2:$D$192,O$1-9)-10)/((INDEX('Stat Boosts'!$D$2:$D$192,(K10/2+22)-9)-10))-0.5)*0.5,(1.75-(($A10+5)/($A10+10))*(INDEX('Stat Boosts'!$D$2:$D$192,O$1-9)-10)/((INDEX('Stat Boosts'!$D$2:$D$192,(K10/2+22)-9)-10))))</f>
        <v>0.41662067356600324</v>
      </c>
      <c r="P10" s="16">
        <f>IF((1.75-(($A10+5)/($A10+10))*(INDEX('Stat Boosts'!$D$2:$D$192,P$1-9)-10)/((INDEX('Stat Boosts'!$D$2:$D$192,(L10/2+22)-9)-10)))&lt;0.5,POWER(1.1,1.75-(($A10+5)/($A10+10))*(INDEX('Stat Boosts'!$D$2:$D$192,P$1-9)-10)/((INDEX('Stat Boosts'!$D$2:$D$192,(L10/2+22)-9)-10))-0.5)*0.5,(1.75-(($A10+5)/($A10+10))*(INDEX('Stat Boosts'!$D$2:$D$192,P$1-9)-10)/((INDEX('Stat Boosts'!$D$2:$D$192,(L10/2+22)-9)-10))))</f>
        <v>0.40307692354559382</v>
      </c>
      <c r="Q10" s="16">
        <f>IF((1.75-(($A10+5)/($A10+10))*(INDEX('Stat Boosts'!$D$2:$D$192,Q$1-9)-10)/((INDEX('Stat Boosts'!$D$2:$D$192,(M10/2+22)-9)-10)))&lt;0.5,POWER(1.1,1.75-(($A10+5)/($A10+10))*(INDEX('Stat Boosts'!$D$2:$D$192,Q$1-9)-10)/((INDEX('Stat Boosts'!$D$2:$D$192,(M10/2+22)-9)-10))-0.5)*0.5,(1.75-(($A10+5)/($A10+10))*(INDEX('Stat Boosts'!$D$2:$D$192,Q$1-9)-10)/((INDEX('Stat Boosts'!$D$2:$D$192,(M10/2+22)-9)-10))))</f>
        <v>0.38997346172078745</v>
      </c>
      <c r="R10" s="16">
        <f>IF((1.75-(($A10+5)/($A10+10))*1.25*(INDEX('Stat Boosts'!$D$2:$D$192,R$1-9)-10)/((INDEX('Stat Boosts'!$D$2:$D$192,(N10/2+22)-9)-10)))&lt;0.5,POWER(1.1,1.75-(($A10+5)/($A10+10))*1.25*(INDEX('Stat Boosts'!$D$2:$D$192,R$1-9)-10)/((INDEX('Stat Boosts'!$D$2:$D$192,(N10/2+22)-9)-10))-0.5)*0.5,(1.75-(($A10+5)/($A10+10))*1.25*(INDEX('Stat Boosts'!$D$2:$D$192,R$1-9)-10)/((INDEX('Stat Boosts'!$D$2:$D$192,(N10/2+22)-9)-10))))</f>
        <v>0.34133042376935785</v>
      </c>
      <c r="T10" t="s">
        <v>328</v>
      </c>
    </row>
    <row r="11" spans="1:20">
      <c r="A11" s="9">
        <v>10</v>
      </c>
      <c r="B11" s="16">
        <f t="shared" si="0"/>
        <v>26</v>
      </c>
      <c r="C11" s="16">
        <f t="shared" si="1"/>
        <v>2.5000000000000001E-2</v>
      </c>
      <c r="E11" s="16">
        <f>IF((1.75-(($A11+5)/($A11+10))*(INDEX('Stat Boosts'!$D$2:$D$192,E$1-9)-10)/((INDEX('Stat Boosts'!$D$2:$D$192,(A11/2+22)-9)-10)))&lt;0.5,POWER(1.1,1.75-(($A11+5)/($A11+10))*(INDEX('Stat Boosts'!$D$2:$D$192,E$1-9)-10)/((INDEX('Stat Boosts'!$D$2:$D$192,(A11/2+22)-9)-10))-0.5)*0.5,(1.75-(($A11+5)/($A11+10))*(INDEX('Stat Boosts'!$D$2:$D$192,E$1-9)-10)/((INDEX('Stat Boosts'!$D$2:$D$192,(A11/2+22)-9)-10))))</f>
        <v>1.75</v>
      </c>
      <c r="F11" s="16">
        <f>IF((1.75-(($A11+5)/($A11+10))*(INDEX('Stat Boosts'!$D$2:$D$192,F$1-9)-10)/((INDEX('Stat Boosts'!$D$2:$D$192,(B11/2+22)-9)-10)))&lt;0.5,POWER(1.1,1.75-(($A11+5)/($A11+10))*(INDEX('Stat Boosts'!$D$2:$D$192,F$1-9)-10)/((INDEX('Stat Boosts'!$D$2:$D$192,(B11/2+22)-9)-10))-0.5)*0.5,(1.75-(($A11+5)/($A11+10))*(INDEX('Stat Boosts'!$D$2:$D$192,F$1-9)-10)/((INDEX('Stat Boosts'!$D$2:$D$192,(B11/2+22)-9)-10))))</f>
        <v>1.5909090909090908</v>
      </c>
      <c r="G11" s="16">
        <f>IF((1.75-(($A11+5)/($A11+10))*(INDEX('Stat Boosts'!$D$2:$D$192,G$1-9)-10)/((INDEX('Stat Boosts'!$D$2:$D$192,(C11/2+22)-9)-10)))&lt;0.5,POWER(1.1,1.75-(($A11+5)/($A11+10))*(INDEX('Stat Boosts'!$D$2:$D$192,G$1-9)-10)/((INDEX('Stat Boosts'!$D$2:$D$192,(C11/2+22)-9)-10))-0.5)*0.5,(1.75-(($A11+5)/($A11+10))*(INDEX('Stat Boosts'!$D$2:$D$192,G$1-9)-10)/((INDEX('Stat Boosts'!$D$2:$D$192,(C11/2+22)-9)-10))))</f>
        <v>1.1323529411764706</v>
      </c>
      <c r="H11" s="16">
        <f>IF((1.75-(($A11+5)/($A11+10))*(INDEX('Stat Boosts'!$D$2:$D$192,H$1-9)-10)/((INDEX('Stat Boosts'!$D$2:$D$192,(D11/2+22)-9)-10)))&lt;0.5,POWER(1.1,1.75-(($A11+5)/($A11+10))*(INDEX('Stat Boosts'!$D$2:$D$192,H$1-9)-10)/((INDEX('Stat Boosts'!$D$2:$D$192,(D11/2+22)-9)-10))-0.5)*0.5,(1.75-(($A11+5)/($A11+10))*(INDEX('Stat Boosts'!$D$2:$D$192,H$1-9)-10)/((INDEX('Stat Boosts'!$D$2:$D$192,(D11/2+22)-9)-10))))</f>
        <v>0.82352941176470584</v>
      </c>
      <c r="I11" s="16">
        <f>IF((1.75-(($A11+5)/($A11+10))*(INDEX('Stat Boosts'!$D$2:$D$192,I$1-9)-10)/((INDEX('Stat Boosts'!$D$2:$D$192,(E11/2+22)-9)-10)))&lt;0.5,POWER(1.1,1.75-(($A11+5)/($A11+10))*(INDEX('Stat Boosts'!$D$2:$D$192,I$1-9)-10)/((INDEX('Stat Boosts'!$D$2:$D$192,(E11/2+22)-9)-10))-0.5)*0.5,(1.75-(($A11+5)/($A11+10))*(INDEX('Stat Boosts'!$D$2:$D$192,I$1-9)-10)/((INDEX('Stat Boosts'!$D$2:$D$192,(E11/2+22)-9)-10))))</f>
        <v>0.55882352941176472</v>
      </c>
      <c r="J11" s="16">
        <f>IF((1.75-(($A11+5)/($A11+10))*(INDEX('Stat Boosts'!$D$2:$D$192,J$1-9)-10)/((INDEX('Stat Boosts'!$D$2:$D$192,(F11/2+22)-9)-10)))&lt;0.5,POWER(1.1,1.75-(($A11+5)/($A11+10))*(INDEX('Stat Boosts'!$D$2:$D$192,J$1-9)-10)/((INDEX('Stat Boosts'!$D$2:$D$192,(F11/2+22)-9)-10))-0.5)*0.5,(1.75-(($A11+5)/($A11+10))*(INDEX('Stat Boosts'!$D$2:$D$192,J$1-9)-10)/((INDEX('Stat Boosts'!$D$2:$D$192,(F11/2+22)-9)-10))))</f>
        <v>0.49028429382822097</v>
      </c>
      <c r="K11" s="16">
        <f>IF((1.75-(($A11+5)/($A11+10))*(INDEX('Stat Boosts'!$D$2:$D$192,K$1-9)-10)/((INDEX('Stat Boosts'!$D$2:$D$192,(G11/2+22)-9)-10)))&lt;0.5,POWER(1.1,1.75-(($A11+5)/($A11+10))*(INDEX('Stat Boosts'!$D$2:$D$192,K$1-9)-10)/((INDEX('Stat Boosts'!$D$2:$D$192,(G11/2+22)-9)-10))-0.5)*0.5,(1.75-(($A11+5)/($A11+10))*(INDEX('Stat Boosts'!$D$2:$D$192,K$1-9)-10)/((INDEX('Stat Boosts'!$D$2:$D$192,(G11/2+22)-9)-10))))</f>
        <v>0.46225531213611165</v>
      </c>
      <c r="L11" s="16">
        <f>IF((1.75-(($A11+5)/($A11+10))*(INDEX('Stat Boosts'!$D$2:$D$192,L$1-9)-10)/((INDEX('Stat Boosts'!$D$2:$D$192,(H11/2+22)-9)-10)))&lt;0.5,POWER(1.1,1.75-(($A11+5)/($A11+10))*(INDEX('Stat Boosts'!$D$2:$D$192,L$1-9)-10)/((INDEX('Stat Boosts'!$D$2:$D$192,(H11/2+22)-9)-10))-0.5)*0.5,(1.75-(($A11+5)/($A11+10))*(INDEX('Stat Boosts'!$D$2:$D$192,L$1-9)-10)/((INDEX('Stat Boosts'!$D$2:$D$192,(H11/2+22)-9)-10))))</f>
        <v>0.45263816689811615</v>
      </c>
      <c r="M11" s="16">
        <f>IF((1.75-(($A11+5)/($A11+10))*(INDEX('Stat Boosts'!$D$2:$D$192,M$1-9)-10)/((INDEX('Stat Boosts'!$D$2:$D$192,(I11/2+22)-9)-10)))&lt;0.5,POWER(1.1,1.75-(($A11+5)/($A11+10))*(INDEX('Stat Boosts'!$D$2:$D$192,M$1-9)-10)/((INDEX('Stat Boosts'!$D$2:$D$192,(I11/2+22)-9)-10))-0.5)*0.5,(1.75-(($A11+5)/($A11+10))*(INDEX('Stat Boosts'!$D$2:$D$192,M$1-9)-10)/((INDEX('Stat Boosts'!$D$2:$D$192,(I11/2+22)-9)-10))))</f>
        <v>0.43950936782384775</v>
      </c>
      <c r="N11" s="16">
        <f>IF((1.75-(($A11+5)/($A11+10))*(INDEX('Stat Boosts'!$D$2:$D$192,N$1-9)-10)/((INDEX('Stat Boosts'!$D$2:$D$192,(J11/2+22)-9)-10)))&lt;0.5,POWER(1.1,1.75-(($A11+5)/($A11+10))*(INDEX('Stat Boosts'!$D$2:$D$192,N$1-9)-10)/((INDEX('Stat Boosts'!$D$2:$D$192,(J11/2+22)-9)-10))-0.5)*0.5,(1.75-(($A11+5)/($A11+10))*(INDEX('Stat Boosts'!$D$2:$D$192,N$1-9)-10)/((INDEX('Stat Boosts'!$D$2:$D$192,(J11/2+22)-9)-10))))</f>
        <v>0.42318747482828306</v>
      </c>
      <c r="O11" s="16">
        <f>IF((1.75-(($A11+5)/($A11+10))*(INDEX('Stat Boosts'!$D$2:$D$192,O$1-9)-10)/((INDEX('Stat Boosts'!$D$2:$D$192,(K11/2+22)-9)-10)))&lt;0.5,POWER(1.1,1.75-(($A11+5)/($A11+10))*(INDEX('Stat Boosts'!$D$2:$D$192,O$1-9)-10)/((INDEX('Stat Boosts'!$D$2:$D$192,(K11/2+22)-9)-10))-0.5)*0.5,(1.75-(($A11+5)/($A11+10))*(INDEX('Stat Boosts'!$D$2:$D$192,O$1-9)-10)/((INDEX('Stat Boosts'!$D$2:$D$192,(K11/2+22)-9)-10))))</f>
        <v>0.41438312947740513</v>
      </c>
      <c r="P11" s="16">
        <f>IF((1.75-(($A11+5)/($A11+10))*(INDEX('Stat Boosts'!$D$2:$D$192,P$1-9)-10)/((INDEX('Stat Boosts'!$D$2:$D$192,(L11/2+22)-9)-10)))&lt;0.5,POWER(1.1,1.75-(($A11+5)/($A11+10))*(INDEX('Stat Boosts'!$D$2:$D$192,P$1-9)-10)/((INDEX('Stat Boosts'!$D$2:$D$192,(L11/2+22)-9)-10))-0.5)*0.5,(1.75-(($A11+5)/($A11+10))*(INDEX('Stat Boosts'!$D$2:$D$192,P$1-9)-10)/((INDEX('Stat Boosts'!$D$2:$D$192,(L11/2+22)-9)-10))))</f>
        <v>0.40067558800166037</v>
      </c>
      <c r="Q11" s="16">
        <f>IF((1.75-(($A11+5)/($A11+10))*(INDEX('Stat Boosts'!$D$2:$D$192,Q$1-9)-10)/((INDEX('Stat Boosts'!$D$2:$D$192,(M11/2+22)-9)-10)))&lt;0.5,POWER(1.1,1.75-(($A11+5)/($A11+10))*(INDEX('Stat Boosts'!$D$2:$D$192,Q$1-9)-10)/((INDEX('Stat Boosts'!$D$2:$D$192,(M11/2+22)-9)-10))-0.5)*0.5,(1.75-(($A11+5)/($A11+10))*(INDEX('Stat Boosts'!$D$2:$D$192,Q$1-9)-10)/((INDEX('Stat Boosts'!$D$2:$D$192,(M11/2+22)-9)-10))))</f>
        <v>0.38742148364712814</v>
      </c>
      <c r="R11" s="16">
        <f>IF((1.75-(($A11+5)/($A11+10))*1.25*(INDEX('Stat Boosts'!$D$2:$D$192,R$1-9)-10)/((INDEX('Stat Boosts'!$D$2:$D$192,(N11/2+22)-9)-10)))&lt;0.5,POWER(1.1,1.75-(($A11+5)/($A11+10))*1.25*(INDEX('Stat Boosts'!$D$2:$D$192,R$1-9)-10)/((INDEX('Stat Boosts'!$D$2:$D$192,(N11/2+22)-9)-10))-0.5)*0.5,(1.75-(($A11+5)/($A11+10))*1.25*(INDEX('Stat Boosts'!$D$2:$D$192,R$1-9)-10)/((INDEX('Stat Boosts'!$D$2:$D$192,(N11/2+22)-9)-10))))</f>
        <v>0.33829098999081769</v>
      </c>
      <c r="T11" t="s">
        <v>330</v>
      </c>
    </row>
    <row r="12" spans="1:20">
      <c r="A12" s="9">
        <v>11</v>
      </c>
      <c r="B12" s="16">
        <f t="shared" si="0"/>
        <v>26.4</v>
      </c>
      <c r="C12" s="16">
        <f t="shared" si="1"/>
        <v>2.4390243902439029E-2</v>
      </c>
      <c r="E12" s="16">
        <f>IF((1.75-(($A12+5)/($A12+10))*(INDEX('Stat Boosts'!$D$2:$D$192,E$1-9)-10)/((INDEX('Stat Boosts'!$D$2:$D$192,(A12/2+22)-9)-10)))&lt;0.5,POWER(1.1,1.75-(($A12+5)/($A12+10))*(INDEX('Stat Boosts'!$D$2:$D$192,E$1-9)-10)/((INDEX('Stat Boosts'!$D$2:$D$192,(A12/2+22)-9)-10))-0.5)*0.5,(1.75-(($A12+5)/($A12+10))*(INDEX('Stat Boosts'!$D$2:$D$192,E$1-9)-10)/((INDEX('Stat Boosts'!$D$2:$D$192,(A12/2+22)-9)-10))))</f>
        <v>1.75</v>
      </c>
      <c r="F12" s="16">
        <f>IF((1.75-(($A12+5)/($A12+10))*(INDEX('Stat Boosts'!$D$2:$D$192,F$1-9)-10)/((INDEX('Stat Boosts'!$D$2:$D$192,(B12/2+22)-9)-10)))&lt;0.5,POWER(1.1,1.75-(($A12+5)/($A12+10))*(INDEX('Stat Boosts'!$D$2:$D$192,F$1-9)-10)/((INDEX('Stat Boosts'!$D$2:$D$192,(B12/2+22)-9)-10))-0.5)*0.5,(1.75-(($A12+5)/($A12+10))*(INDEX('Stat Boosts'!$D$2:$D$192,F$1-9)-10)/((INDEX('Stat Boosts'!$D$2:$D$192,(B12/2+22)-9)-10))))</f>
        <v>1.5883838383838385</v>
      </c>
      <c r="G12" s="16">
        <f>IF((1.75-(($A12+5)/($A12+10))*(INDEX('Stat Boosts'!$D$2:$D$192,G$1-9)-10)/((INDEX('Stat Boosts'!$D$2:$D$192,(C12/2+22)-9)-10)))&lt;0.5,POWER(1.1,1.75-(($A12+5)/($A12+10))*(INDEX('Stat Boosts'!$D$2:$D$192,G$1-9)-10)/((INDEX('Stat Boosts'!$D$2:$D$192,(C12/2+22)-9)-10))-0.5)*0.5,(1.75-(($A12+5)/($A12+10))*(INDEX('Stat Boosts'!$D$2:$D$192,G$1-9)-10)/((INDEX('Stat Boosts'!$D$2:$D$192,(C12/2+22)-9)-10))))</f>
        <v>1.1225490196078431</v>
      </c>
      <c r="H12" s="16">
        <f>IF((1.75-(($A12+5)/($A12+10))*(INDEX('Stat Boosts'!$D$2:$D$192,H$1-9)-10)/((INDEX('Stat Boosts'!$D$2:$D$192,(D12/2+22)-9)-10)))&lt;0.5,POWER(1.1,1.75-(($A12+5)/($A12+10))*(INDEX('Stat Boosts'!$D$2:$D$192,H$1-9)-10)/((INDEX('Stat Boosts'!$D$2:$D$192,(D12/2+22)-9)-10))-0.5)*0.5,(1.75-(($A12+5)/($A12+10))*(INDEX('Stat Boosts'!$D$2:$D$192,H$1-9)-10)/((INDEX('Stat Boosts'!$D$2:$D$192,(D12/2+22)-9)-10))))</f>
        <v>0.80882352941176472</v>
      </c>
      <c r="I12" s="16">
        <f>IF((1.75-(($A12+5)/($A12+10))*(INDEX('Stat Boosts'!$D$2:$D$192,I$1-9)-10)/((INDEX('Stat Boosts'!$D$2:$D$192,(E12/2+22)-9)-10)))&lt;0.5,POWER(1.1,1.75-(($A12+5)/($A12+10))*(INDEX('Stat Boosts'!$D$2:$D$192,I$1-9)-10)/((INDEX('Stat Boosts'!$D$2:$D$192,(E12/2+22)-9)-10))-0.5)*0.5,(1.75-(($A12+5)/($A12+10))*(INDEX('Stat Boosts'!$D$2:$D$192,I$1-9)-10)/((INDEX('Stat Boosts'!$D$2:$D$192,(E12/2+22)-9)-10))))</f>
        <v>0.5399159663865547</v>
      </c>
      <c r="J12" s="16">
        <f>IF((1.75-(($A12+5)/($A12+10))*(INDEX('Stat Boosts'!$D$2:$D$192,J$1-9)-10)/((INDEX('Stat Boosts'!$D$2:$D$192,(F12/2+22)-9)-10)))&lt;0.5,POWER(1.1,1.75-(($A12+5)/($A12+10))*(INDEX('Stat Boosts'!$D$2:$D$192,J$1-9)-10)/((INDEX('Stat Boosts'!$D$2:$D$192,(F12/2+22)-9)-10))-0.5)*0.5,(1.75-(($A12+5)/($A12+10))*(INDEX('Stat Boosts'!$D$2:$D$192,J$1-9)-10)/((INDEX('Stat Boosts'!$D$2:$D$192,(F12/2+22)-9)-10))))</f>
        <v>0.48920560839699412</v>
      </c>
      <c r="K12" s="16">
        <f>IF((1.75-(($A12+5)/($A12+10))*(INDEX('Stat Boosts'!$D$2:$D$192,K$1-9)-10)/((INDEX('Stat Boosts'!$D$2:$D$192,(G12/2+22)-9)-10)))&lt;0.5,POWER(1.1,1.75-(($A12+5)/($A12+10))*(INDEX('Stat Boosts'!$D$2:$D$192,K$1-9)-10)/((INDEX('Stat Boosts'!$D$2:$D$192,(G12/2+22)-9)-10))-0.5)*0.5,(1.75-(($A12+5)/($A12+10))*(INDEX('Stat Boosts'!$D$2:$D$192,K$1-9)-10)/((INDEX('Stat Boosts'!$D$2:$D$192,(G12/2+22)-9)-10))))</f>
        <v>0.46080750789013536</v>
      </c>
      <c r="L12" s="16">
        <f>IF((1.75-(($A12+5)/($A12+10))*(INDEX('Stat Boosts'!$D$2:$D$192,L$1-9)-10)/((INDEX('Stat Boosts'!$D$2:$D$192,(H12/2+22)-9)-10)))&lt;0.5,POWER(1.1,1.75-(($A12+5)/($A12+10))*(INDEX('Stat Boosts'!$D$2:$D$192,L$1-9)-10)/((INDEX('Stat Boosts'!$D$2:$D$192,(H12/2+22)-9)-10))-0.5)*0.5,(1.75-(($A12+5)/($A12+10))*(INDEX('Stat Boosts'!$D$2:$D$192,L$1-9)-10)/((INDEX('Stat Boosts'!$D$2:$D$192,(H12/2+22)-9)-10))))</f>
        <v>0.45106992820137798</v>
      </c>
      <c r="M12" s="16">
        <f>IF((1.75-(($A12+5)/($A12+10))*(INDEX('Stat Boosts'!$D$2:$D$192,M$1-9)-10)/((INDEX('Stat Boosts'!$D$2:$D$192,(I12/2+22)-9)-10)))&lt;0.5,POWER(1.1,1.75-(($A12+5)/($A12+10))*(INDEX('Stat Boosts'!$D$2:$D$192,M$1-9)-10)/((INDEX('Stat Boosts'!$D$2:$D$192,(I12/2+22)-9)-10))-0.5)*0.5,(1.75-(($A12+5)/($A12+10))*(INDEX('Stat Boosts'!$D$2:$D$192,M$1-9)-10)/((INDEX('Stat Boosts'!$D$2:$D$192,(I12/2+22)-9)-10))))</f>
        <v>0.43778203347660111</v>
      </c>
      <c r="N12" s="16">
        <f>IF((1.75-(($A12+5)/($A12+10))*(INDEX('Stat Boosts'!$D$2:$D$192,N$1-9)-10)/((INDEX('Stat Boosts'!$D$2:$D$192,(J12/2+22)-9)-10)))&lt;0.5,POWER(1.1,1.75-(($A12+5)/($A12+10))*(INDEX('Stat Boosts'!$D$2:$D$192,N$1-9)-10)/((INDEX('Stat Boosts'!$D$2:$D$192,(J12/2+22)-9)-10))-0.5)*0.5,(1.75-(($A12+5)/($A12+10))*(INDEX('Stat Boosts'!$D$2:$D$192,N$1-9)-10)/((INDEX('Stat Boosts'!$D$2:$D$192,(J12/2+22)-9)-10))))</f>
        <v>0.42127115659398934</v>
      </c>
      <c r="O12" s="16">
        <f>IF((1.75-(($A12+5)/($A12+10))*(INDEX('Stat Boosts'!$D$2:$D$192,O$1-9)-10)/((INDEX('Stat Boosts'!$D$2:$D$192,(K12/2+22)-9)-10)))&lt;0.5,POWER(1.1,1.75-(($A12+5)/($A12+10))*(INDEX('Stat Boosts'!$D$2:$D$192,O$1-9)-10)/((INDEX('Stat Boosts'!$D$2:$D$192,(K12/2+22)-9)-10))-0.5)*0.5,(1.75-(($A12+5)/($A12+10))*(INDEX('Stat Boosts'!$D$2:$D$192,O$1-9)-10)/((INDEX('Stat Boosts'!$D$2:$D$192,(K12/2+22)-9)-10))))</f>
        <v>0.41236904152930381</v>
      </c>
      <c r="P12" s="16">
        <f>IF((1.75-(($A12+5)/($A12+10))*(INDEX('Stat Boosts'!$D$2:$D$192,P$1-9)-10)/((INDEX('Stat Boosts'!$D$2:$D$192,(L12/2+22)-9)-10)))&lt;0.5,POWER(1.1,1.75-(($A12+5)/($A12+10))*(INDEX('Stat Boosts'!$D$2:$D$192,P$1-9)-10)/((INDEX('Stat Boosts'!$D$2:$D$192,(L12/2+22)-9)-10))-0.5)*0.5,(1.75-(($A12+5)/($A12+10))*(INDEX('Stat Boosts'!$D$2:$D$192,P$1-9)-10)/((INDEX('Stat Boosts'!$D$2:$D$192,(L12/2+22)-9)-10))))</f>
        <v>0.39851528056872204</v>
      </c>
      <c r="Q12" s="16">
        <f>IF((1.75-(($A12+5)/($A12+10))*(INDEX('Stat Boosts'!$D$2:$D$192,Q$1-9)-10)/((INDEX('Stat Boosts'!$D$2:$D$192,(M12/2+22)-9)-10)))&lt;0.5,POWER(1.1,1.75-(($A12+5)/($A12+10))*(INDEX('Stat Boosts'!$D$2:$D$192,Q$1-9)-10)/((INDEX('Stat Boosts'!$D$2:$D$192,(M12/2+22)-9)-10))-0.5)*0.5,(1.75-(($A12+5)/($A12+10))*(INDEX('Stat Boosts'!$D$2:$D$192,Q$1-9)-10)/((INDEX('Stat Boosts'!$D$2:$D$192,(M12/2+22)-9)-10))))</f>
        <v>0.38512694419976617</v>
      </c>
      <c r="R12" s="16">
        <f>IF((1.75-(($A12+5)/($A12+10))*1.25*(INDEX('Stat Boosts'!$D$2:$D$192,R$1-9)-10)/((INDEX('Stat Boosts'!$D$2:$D$192,(N12/2+22)-9)-10)))&lt;0.5,POWER(1.1,1.75-(($A12+5)/($A12+10))*1.25*(INDEX('Stat Boosts'!$D$2:$D$192,R$1-9)-10)/((INDEX('Stat Boosts'!$D$2:$D$192,(N12/2+22)-9)-10))-0.5)*0.5,(1.75-(($A12+5)/($A12+10))*1.25*(INDEX('Stat Boosts'!$D$2:$D$192,R$1-9)-10)/((INDEX('Stat Boosts'!$D$2:$D$192,(N12/2+22)-9)-10))))</f>
        <v>0.33556435414561803</v>
      </c>
    </row>
    <row r="13" spans="1:20">
      <c r="A13" s="9">
        <v>12</v>
      </c>
      <c r="B13" s="16">
        <f t="shared" si="0"/>
        <v>26.8</v>
      </c>
      <c r="C13" s="16">
        <f t="shared" si="1"/>
        <v>2.3809523809523808E-2</v>
      </c>
      <c r="E13" s="16">
        <f>IF((1.75-(($A13+5)/($A13+10))*(INDEX('Stat Boosts'!$D$2:$D$192,E$1-9)-10)/((INDEX('Stat Boosts'!$D$2:$D$192,(A13/2+22)-9)-10)))&lt;0.5,POWER(1.1,1.75-(($A13+5)/($A13+10))*(INDEX('Stat Boosts'!$D$2:$D$192,E$1-9)-10)/((INDEX('Stat Boosts'!$D$2:$D$192,(A13/2+22)-9)-10))-0.5)*0.5,(1.75-(($A13+5)/($A13+10))*(INDEX('Stat Boosts'!$D$2:$D$192,E$1-9)-10)/((INDEX('Stat Boosts'!$D$2:$D$192,(A13/2+22)-9)-10))))</f>
        <v>1.75</v>
      </c>
      <c r="F13" s="16">
        <f>IF((1.75-(($A13+5)/($A13+10))*(INDEX('Stat Boosts'!$D$2:$D$192,F$1-9)-10)/((INDEX('Stat Boosts'!$D$2:$D$192,(B13/2+22)-9)-10)))&lt;0.5,POWER(1.1,1.75-(($A13+5)/($A13+10))*(INDEX('Stat Boosts'!$D$2:$D$192,F$1-9)-10)/((INDEX('Stat Boosts'!$D$2:$D$192,(B13/2+22)-9)-10))-0.5)*0.5,(1.75-(($A13+5)/($A13+10))*(INDEX('Stat Boosts'!$D$2:$D$192,F$1-9)-10)/((INDEX('Stat Boosts'!$D$2:$D$192,(B13/2+22)-9)-10))))</f>
        <v>1.5860881542699725</v>
      </c>
      <c r="G13" s="16">
        <f>IF((1.75-(($A13+5)/($A13+10))*(INDEX('Stat Boosts'!$D$2:$D$192,G$1-9)-10)/((INDEX('Stat Boosts'!$D$2:$D$192,(C13/2+22)-9)-10)))&lt;0.5,POWER(1.1,1.75-(($A13+5)/($A13+10))*(INDEX('Stat Boosts'!$D$2:$D$192,G$1-9)-10)/((INDEX('Stat Boosts'!$D$2:$D$192,(C13/2+22)-9)-10))-0.5)*0.5,(1.75-(($A13+5)/($A13+10))*(INDEX('Stat Boosts'!$D$2:$D$192,G$1-9)-10)/((INDEX('Stat Boosts'!$D$2:$D$192,(C13/2+22)-9)-10))))</f>
        <v>1.1136363636363638</v>
      </c>
      <c r="H13" s="16">
        <f>IF((1.75-(($A13+5)/($A13+10))*(INDEX('Stat Boosts'!$D$2:$D$192,H$1-9)-10)/((INDEX('Stat Boosts'!$D$2:$D$192,(D13/2+22)-9)-10)))&lt;0.5,POWER(1.1,1.75-(($A13+5)/($A13+10))*(INDEX('Stat Boosts'!$D$2:$D$192,H$1-9)-10)/((INDEX('Stat Boosts'!$D$2:$D$192,(D13/2+22)-9)-10))-0.5)*0.5,(1.75-(($A13+5)/($A13+10))*(INDEX('Stat Boosts'!$D$2:$D$192,H$1-9)-10)/((INDEX('Stat Boosts'!$D$2:$D$192,(D13/2+22)-9)-10))))</f>
        <v>0.79545454545454553</v>
      </c>
      <c r="I13" s="16">
        <f>IF((1.75-(($A13+5)/($A13+10))*(INDEX('Stat Boosts'!$D$2:$D$192,I$1-9)-10)/((INDEX('Stat Boosts'!$D$2:$D$192,(E13/2+22)-9)-10)))&lt;0.5,POWER(1.1,1.75-(($A13+5)/($A13+10))*(INDEX('Stat Boosts'!$D$2:$D$192,I$1-9)-10)/((INDEX('Stat Boosts'!$D$2:$D$192,(E13/2+22)-9)-10))-0.5)*0.5,(1.75-(($A13+5)/($A13+10))*(INDEX('Stat Boosts'!$D$2:$D$192,I$1-9)-10)/((INDEX('Stat Boosts'!$D$2:$D$192,(E13/2+22)-9)-10))))</f>
        <v>0.52272727272727271</v>
      </c>
      <c r="J13" s="16">
        <f>IF((1.75-(($A13+5)/($A13+10))*(INDEX('Stat Boosts'!$D$2:$D$192,J$1-9)-10)/((INDEX('Stat Boosts'!$D$2:$D$192,(F13/2+22)-9)-10)))&lt;0.5,POWER(1.1,1.75-(($A13+5)/($A13+10))*(INDEX('Stat Boosts'!$D$2:$D$192,J$1-9)-10)/((INDEX('Stat Boosts'!$D$2:$D$192,(F13/2+22)-9)-10))-0.5)*0.5,(1.75-(($A13+5)/($A13+10))*(INDEX('Stat Boosts'!$D$2:$D$192,J$1-9)-10)/((INDEX('Stat Boosts'!$D$2:$D$192,(F13/2+22)-9)-10))))</f>
        <v>0.48822704483815527</v>
      </c>
      <c r="K13" s="16">
        <f>IF((1.75-(($A13+5)/($A13+10))*(INDEX('Stat Boosts'!$D$2:$D$192,K$1-9)-10)/((INDEX('Stat Boosts'!$D$2:$D$192,(G13/2+22)-9)-10)))&lt;0.5,POWER(1.1,1.75-(($A13+5)/($A13+10))*(INDEX('Stat Boosts'!$D$2:$D$192,K$1-9)-10)/((INDEX('Stat Boosts'!$D$2:$D$192,(G13/2+22)-9)-10))-0.5)*0.5,(1.75-(($A13+5)/($A13+10))*(INDEX('Stat Boosts'!$D$2:$D$192,K$1-9)-10)/((INDEX('Stat Boosts'!$D$2:$D$192,(G13/2+22)-9)-10))))</f>
        <v>0.45949525755834053</v>
      </c>
      <c r="L13" s="16">
        <f>IF((1.75-(($A13+5)/($A13+10))*(INDEX('Stat Boosts'!$D$2:$D$192,L$1-9)-10)/((INDEX('Stat Boosts'!$D$2:$D$192,(H13/2+22)-9)-10)))&lt;0.5,POWER(1.1,1.75-(($A13+5)/($A13+10))*(INDEX('Stat Boosts'!$D$2:$D$192,L$1-9)-10)/((INDEX('Stat Boosts'!$D$2:$D$192,(H13/2+22)-9)-10))-0.5)*0.5,(1.75-(($A13+5)/($A13+10))*(INDEX('Stat Boosts'!$D$2:$D$192,L$1-9)-10)/((INDEX('Stat Boosts'!$D$2:$D$192,(H13/2+22)-9)-10))))</f>
        <v>0.44964897210435534</v>
      </c>
      <c r="M13" s="16">
        <f>IF((1.75-(($A13+5)/($A13+10))*(INDEX('Stat Boosts'!$D$2:$D$192,M$1-9)-10)/((INDEX('Stat Boosts'!$D$2:$D$192,(I13/2+22)-9)-10)))&lt;0.5,POWER(1.1,1.75-(($A13+5)/($A13+10))*(INDEX('Stat Boosts'!$D$2:$D$192,M$1-9)-10)/((INDEX('Stat Boosts'!$D$2:$D$192,(I13/2+22)-9)-10))-0.5)*0.5,(1.75-(($A13+5)/($A13+10))*(INDEX('Stat Boosts'!$D$2:$D$192,M$1-9)-10)/((INDEX('Stat Boosts'!$D$2:$D$192,(I13/2+22)-9)-10))))</f>
        <v>0.43621762122130653</v>
      </c>
      <c r="N13" s="16">
        <f>IF((1.75-(($A13+5)/($A13+10))*(INDEX('Stat Boosts'!$D$2:$D$192,N$1-9)-10)/((INDEX('Stat Boosts'!$D$2:$D$192,(J13/2+22)-9)-10)))&lt;0.5,POWER(1.1,1.75-(($A13+5)/($A13+10))*(INDEX('Stat Boosts'!$D$2:$D$192,N$1-9)-10)/((INDEX('Stat Boosts'!$D$2:$D$192,(J13/2+22)-9)-10))-0.5)*0.5,(1.75-(($A13+5)/($A13+10))*(INDEX('Stat Boosts'!$D$2:$D$192,N$1-9)-10)/((INDEX('Stat Boosts'!$D$2:$D$192,(J13/2+22)-9)-10))))</f>
        <v>0.41953658034070607</v>
      </c>
      <c r="O13" s="16">
        <f>IF((1.75-(($A13+5)/($A13+10))*(INDEX('Stat Boosts'!$D$2:$D$192,O$1-9)-10)/((INDEX('Stat Boosts'!$D$2:$D$192,(K13/2+22)-9)-10)))&lt;0.5,POWER(1.1,1.75-(($A13+5)/($A13+10))*(INDEX('Stat Boosts'!$D$2:$D$192,O$1-9)-10)/((INDEX('Stat Boosts'!$D$2:$D$192,(K13/2+22)-9)-10))-0.5)*0.5,(1.75-(($A13+5)/($A13+10))*(INDEX('Stat Boosts'!$D$2:$D$192,O$1-9)-10)/((INDEX('Stat Boosts'!$D$2:$D$192,(K13/2+22)-9)-10))))</f>
        <v>0.41054654864729107</v>
      </c>
      <c r="P13" s="16">
        <f>IF((1.75-(($A13+5)/($A13+10))*(INDEX('Stat Boosts'!$D$2:$D$192,P$1-9)-10)/((INDEX('Stat Boosts'!$D$2:$D$192,(L13/2+22)-9)-10)))&lt;0.5,POWER(1.1,1.75-(($A13+5)/($A13+10))*(INDEX('Stat Boosts'!$D$2:$D$192,P$1-9)-10)/((INDEX('Stat Boosts'!$D$2:$D$192,(L13/2+22)-9)-10))-0.5)*0.5,(1.75-(($A13+5)/($A13+10))*(INDEX('Stat Boosts'!$D$2:$D$192,P$1-9)-10)/((INDEX('Stat Boosts'!$D$2:$D$192,(L13/2+22)-9)-10))))</f>
        <v>0.39656147383755136</v>
      </c>
      <c r="Q13" s="16">
        <f>IF((1.75-(($A13+5)/($A13+10))*(INDEX('Stat Boosts'!$D$2:$D$192,Q$1-9)-10)/((INDEX('Stat Boosts'!$D$2:$D$192,(M13/2+22)-9)-10)))&lt;0.5,POWER(1.1,1.75-(($A13+5)/($A13+10))*(INDEX('Stat Boosts'!$D$2:$D$192,Q$1-9)-10)/((INDEX('Stat Boosts'!$D$2:$D$192,(M13/2+22)-9)-10))-0.5)*0.5,(1.75-(($A13+5)/($A13+10))*(INDEX('Stat Boosts'!$D$2:$D$192,Q$1-9)-10)/((INDEX('Stat Boosts'!$D$2:$D$192,(M13/2+22)-9)-10))))</f>
        <v>0.38305279401414982</v>
      </c>
      <c r="R13" s="16">
        <f>IF((1.75-(($A13+5)/($A13+10))*1.25*(INDEX('Stat Boosts'!$D$2:$D$192,R$1-9)-10)/((INDEX('Stat Boosts'!$D$2:$D$192,(N13/2+22)-9)-10)))&lt;0.5,POWER(1.1,1.75-(($A13+5)/($A13+10))*1.25*(INDEX('Stat Boosts'!$D$2:$D$192,R$1-9)-10)/((INDEX('Stat Boosts'!$D$2:$D$192,(N13/2+22)-9)-10))-0.5)*0.5,(1.75-(($A13+5)/($A13+10))*1.25*(INDEX('Stat Boosts'!$D$2:$D$192,R$1-9)-10)/((INDEX('Stat Boosts'!$D$2:$D$192,(N13/2+22)-9)-10))))</f>
        <v>0.33310466970471431</v>
      </c>
      <c r="T13" t="s">
        <v>331</v>
      </c>
    </row>
    <row r="14" spans="1:20">
      <c r="A14" s="9">
        <v>13</v>
      </c>
      <c r="B14" s="16">
        <f t="shared" si="0"/>
        <v>27.2</v>
      </c>
      <c r="C14" s="16">
        <f t="shared" si="1"/>
        <v>2.3255813953488375E-2</v>
      </c>
      <c r="E14" s="16">
        <f>IF((1.75-(($A14+5)/($A14+10))*(INDEX('Stat Boosts'!$D$2:$D$192,E$1-9)-10)/((INDEX('Stat Boosts'!$D$2:$D$192,(A14/2+22)-9)-10)))&lt;0.5,POWER(1.1,1.75-(($A14+5)/($A14+10))*(INDEX('Stat Boosts'!$D$2:$D$192,E$1-9)-10)/((INDEX('Stat Boosts'!$D$2:$D$192,(A14/2+22)-9)-10))-0.5)*0.5,(1.75-(($A14+5)/($A14+10))*(INDEX('Stat Boosts'!$D$2:$D$192,E$1-9)-10)/((INDEX('Stat Boosts'!$D$2:$D$192,(A14/2+22)-9)-10))))</f>
        <v>1.75</v>
      </c>
      <c r="F14" s="16">
        <f>IF((1.75-(($A14+5)/($A14+10))*(INDEX('Stat Boosts'!$D$2:$D$192,F$1-9)-10)/((INDEX('Stat Boosts'!$D$2:$D$192,(B14/2+22)-9)-10)))&lt;0.5,POWER(1.1,1.75-(($A14+5)/($A14+10))*(INDEX('Stat Boosts'!$D$2:$D$192,F$1-9)-10)/((INDEX('Stat Boosts'!$D$2:$D$192,(B14/2+22)-9)-10))-0.5)*0.5,(1.75-(($A14+5)/($A14+10))*(INDEX('Stat Boosts'!$D$2:$D$192,F$1-9)-10)/((INDEX('Stat Boosts'!$D$2:$D$192,(B14/2+22)-9)-10))))</f>
        <v>1.5839920948616601</v>
      </c>
      <c r="G14" s="16">
        <f>IF((1.75-(($A14+5)/($A14+10))*(INDEX('Stat Boosts'!$D$2:$D$192,G$1-9)-10)/((INDEX('Stat Boosts'!$D$2:$D$192,(C14/2+22)-9)-10)))&lt;0.5,POWER(1.1,1.75-(($A14+5)/($A14+10))*(INDEX('Stat Boosts'!$D$2:$D$192,G$1-9)-10)/((INDEX('Stat Boosts'!$D$2:$D$192,(C14/2+22)-9)-10))-0.5)*0.5,(1.75-(($A14+5)/($A14+10))*(INDEX('Stat Boosts'!$D$2:$D$192,G$1-9)-10)/((INDEX('Stat Boosts'!$D$2:$D$192,(C14/2+22)-9)-10))))</f>
        <v>1.1054987212276215</v>
      </c>
      <c r="H14" s="16">
        <f>IF((1.75-(($A14+5)/($A14+10))*(INDEX('Stat Boosts'!$D$2:$D$192,H$1-9)-10)/((INDEX('Stat Boosts'!$D$2:$D$192,(D14/2+22)-9)-10)))&lt;0.5,POWER(1.1,1.75-(($A14+5)/($A14+10))*(INDEX('Stat Boosts'!$D$2:$D$192,H$1-9)-10)/((INDEX('Stat Boosts'!$D$2:$D$192,(D14/2+22)-9)-10))-0.5)*0.5,(1.75-(($A14+5)/($A14+10))*(INDEX('Stat Boosts'!$D$2:$D$192,H$1-9)-10)/((INDEX('Stat Boosts'!$D$2:$D$192,(D14/2+22)-9)-10))))</f>
        <v>0.78324808184143224</v>
      </c>
      <c r="I14" s="16">
        <f>IF((1.75-(($A14+5)/($A14+10))*(INDEX('Stat Boosts'!$D$2:$D$192,I$1-9)-10)/((INDEX('Stat Boosts'!$D$2:$D$192,(E14/2+22)-9)-10)))&lt;0.5,POWER(1.1,1.75-(($A14+5)/($A14+10))*(INDEX('Stat Boosts'!$D$2:$D$192,I$1-9)-10)/((INDEX('Stat Boosts'!$D$2:$D$192,(E14/2+22)-9)-10))-0.5)*0.5,(1.75-(($A14+5)/($A14+10))*(INDEX('Stat Boosts'!$D$2:$D$192,I$1-9)-10)/((INDEX('Stat Boosts'!$D$2:$D$192,(E14/2+22)-9)-10))))</f>
        <v>0.50703324808184136</v>
      </c>
      <c r="J14" s="16">
        <f>IF((1.75-(($A14+5)/($A14+10))*(INDEX('Stat Boosts'!$D$2:$D$192,J$1-9)-10)/((INDEX('Stat Boosts'!$D$2:$D$192,(F14/2+22)-9)-10)))&lt;0.5,POWER(1.1,1.75-(($A14+5)/($A14+10))*(INDEX('Stat Boosts'!$D$2:$D$192,J$1-9)-10)/((INDEX('Stat Boosts'!$D$2:$D$192,(F14/2+22)-9)-10))-0.5)*0.5,(1.75-(($A14+5)/($A14+10))*(INDEX('Stat Boosts'!$D$2:$D$192,J$1-9)-10)/((INDEX('Stat Boosts'!$D$2:$D$192,(F14/2+22)-9)-10))))</f>
        <v>0.48733528337701537</v>
      </c>
      <c r="K14" s="16">
        <f>IF((1.75-(($A14+5)/($A14+10))*(INDEX('Stat Boosts'!$D$2:$D$192,K$1-9)-10)/((INDEX('Stat Boosts'!$D$2:$D$192,(G14/2+22)-9)-10)))&lt;0.5,POWER(1.1,1.75-(($A14+5)/($A14+10))*(INDEX('Stat Boosts'!$D$2:$D$192,K$1-9)-10)/((INDEX('Stat Boosts'!$D$2:$D$192,(G14/2+22)-9)-10))-0.5)*0.5,(1.75-(($A14+5)/($A14+10))*(INDEX('Stat Boosts'!$D$2:$D$192,K$1-9)-10)/((INDEX('Stat Boosts'!$D$2:$D$192,(G14/2+22)-9)-10))))</f>
        <v>0.45830037984480754</v>
      </c>
      <c r="L14" s="16">
        <f>IF((1.75-(($A14+5)/($A14+10))*(INDEX('Stat Boosts'!$D$2:$D$192,L$1-9)-10)/((INDEX('Stat Boosts'!$D$2:$D$192,(H14/2+22)-9)-10)))&lt;0.5,POWER(1.1,1.75-(($A14+5)/($A14+10))*(INDEX('Stat Boosts'!$D$2:$D$192,L$1-9)-10)/((INDEX('Stat Boosts'!$D$2:$D$192,(H14/2+22)-9)-10))-0.5)*0.5,(1.75-(($A14+5)/($A14+10))*(INDEX('Stat Boosts'!$D$2:$D$192,L$1-9)-10)/((INDEX('Stat Boosts'!$D$2:$D$192,(H14/2+22)-9)-10))))</f>
        <v>0.44835548710709006</v>
      </c>
      <c r="M14" s="16">
        <f>IF((1.75-(($A14+5)/($A14+10))*(INDEX('Stat Boosts'!$D$2:$D$192,M$1-9)-10)/((INDEX('Stat Boosts'!$D$2:$D$192,(I14/2+22)-9)-10)))&lt;0.5,POWER(1.1,1.75-(($A14+5)/($A14+10))*(INDEX('Stat Boosts'!$D$2:$D$192,M$1-9)-10)/((INDEX('Stat Boosts'!$D$2:$D$192,(I14/2+22)-9)-10))-0.5)*0.5,(1.75-(($A14+5)/($A14+10))*(INDEX('Stat Boosts'!$D$2:$D$192,M$1-9)-10)/((INDEX('Stat Boosts'!$D$2:$D$192,(I14/2+22)-9)-10))))</f>
        <v>0.43479412769162668</v>
      </c>
      <c r="N14" s="16">
        <f>IF((1.75-(($A14+5)/($A14+10))*(INDEX('Stat Boosts'!$D$2:$D$192,N$1-9)-10)/((INDEX('Stat Boosts'!$D$2:$D$192,(J14/2+22)-9)-10)))&lt;0.5,POWER(1.1,1.75-(($A14+5)/($A14+10))*(INDEX('Stat Boosts'!$D$2:$D$192,N$1-9)-10)/((INDEX('Stat Boosts'!$D$2:$D$192,(J14/2+22)-9)-10))-0.5)*0.5,(1.75-(($A14+5)/($A14+10))*(INDEX('Stat Boosts'!$D$2:$D$192,N$1-9)-10)/((INDEX('Stat Boosts'!$D$2:$D$192,(J14/2+22)-9)-10))))</f>
        <v>0.41795907506203855</v>
      </c>
      <c r="O14" s="16">
        <f>IF((1.75-(($A14+5)/($A14+10))*(INDEX('Stat Boosts'!$D$2:$D$192,O$1-9)-10)/((INDEX('Stat Boosts'!$D$2:$D$192,(K14/2+22)-9)-10)))&lt;0.5,POWER(1.1,1.75-(($A14+5)/($A14+10))*(INDEX('Stat Boosts'!$D$2:$D$192,O$1-9)-10)/((INDEX('Stat Boosts'!$D$2:$D$192,(K14/2+22)-9)-10))-0.5)*0.5,(1.75-(($A14+5)/($A14+10))*(INDEX('Stat Boosts'!$D$2:$D$192,O$1-9)-10)/((INDEX('Stat Boosts'!$D$2:$D$192,(K14/2+22)-9)-10))))</f>
        <v>0.4088895687883255</v>
      </c>
      <c r="P14" s="16">
        <f>IF((1.75-(($A14+5)/($A14+10))*(INDEX('Stat Boosts'!$D$2:$D$192,P$1-9)-10)/((INDEX('Stat Boosts'!$D$2:$D$192,(L14/2+22)-9)-10)))&lt;0.5,POWER(1.1,1.75-(($A14+5)/($A14+10))*(INDEX('Stat Boosts'!$D$2:$D$192,P$1-9)-10)/((INDEX('Stat Boosts'!$D$2:$D$192,(L14/2+22)-9)-10))-0.5)*0.5,(1.75-(($A14+5)/($A14+10))*(INDEX('Stat Boosts'!$D$2:$D$192,P$1-9)-10)/((INDEX('Stat Boosts'!$D$2:$D$192,(L14/2+22)-9)-10))))</f>
        <v>0.39478593027747549</v>
      </c>
      <c r="Q14" s="16">
        <f>IF((1.75-(($A14+5)/($A14+10))*(INDEX('Stat Boosts'!$D$2:$D$192,Q$1-9)-10)/((INDEX('Stat Boosts'!$D$2:$D$192,(M14/2+22)-9)-10)))&lt;0.5,POWER(1.1,1.75-(($A14+5)/($A14+10))*(INDEX('Stat Boosts'!$D$2:$D$192,Q$1-9)-10)/((INDEX('Stat Boosts'!$D$2:$D$192,(M14/2+22)-9)-10))-0.5)*0.5,(1.75-(($A14+5)/($A14+10))*(INDEX('Stat Boosts'!$D$2:$D$192,Q$1-9)-10)/((INDEX('Stat Boosts'!$D$2:$D$192,(M14/2+22)-9)-10))))</f>
        <v>0.38116876203739863</v>
      </c>
      <c r="R14" s="16">
        <f>IF((1.75-(($A14+5)/($A14+10))*1.25*(INDEX('Stat Boosts'!$D$2:$D$192,R$1-9)-10)/((INDEX('Stat Boosts'!$D$2:$D$192,(N14/2+22)-9)-10)))&lt;0.5,POWER(1.1,1.75-(($A14+5)/($A14+10))*1.25*(INDEX('Stat Boosts'!$D$2:$D$192,R$1-9)-10)/((INDEX('Stat Boosts'!$D$2:$D$192,(N14/2+22)-9)-10))-0.5)*0.5,(1.75-(($A14+5)/($A14+10))*1.25*(INDEX('Stat Boosts'!$D$2:$D$192,R$1-9)-10)/((INDEX('Stat Boosts'!$D$2:$D$192,(N14/2+22)-9)-10))))</f>
        <v>0.33087462018408426</v>
      </c>
      <c r="T14" t="s">
        <v>332</v>
      </c>
    </row>
    <row r="15" spans="1:20">
      <c r="A15" s="9">
        <v>14</v>
      </c>
      <c r="B15" s="16">
        <f t="shared" si="0"/>
        <v>27.6</v>
      </c>
      <c r="C15" s="16">
        <f t="shared" si="1"/>
        <v>2.2727272727272728E-2</v>
      </c>
      <c r="E15" s="16">
        <f>IF((1.75-(($A15+5)/($A15+10))*(INDEX('Stat Boosts'!$D$2:$D$192,E$1-9)-10)/((INDEX('Stat Boosts'!$D$2:$D$192,(A15/2+22)-9)-10)))&lt;0.5,POWER(1.1,1.75-(($A15+5)/($A15+10))*(INDEX('Stat Boosts'!$D$2:$D$192,E$1-9)-10)/((INDEX('Stat Boosts'!$D$2:$D$192,(A15/2+22)-9)-10))-0.5)*0.5,(1.75-(($A15+5)/($A15+10))*(INDEX('Stat Boosts'!$D$2:$D$192,E$1-9)-10)/((INDEX('Stat Boosts'!$D$2:$D$192,(A15/2+22)-9)-10))))</f>
        <v>1.75</v>
      </c>
      <c r="F15" s="16">
        <f>IF((1.75-(($A15+5)/($A15+10))*(INDEX('Stat Boosts'!$D$2:$D$192,F$1-9)-10)/((INDEX('Stat Boosts'!$D$2:$D$192,(B15/2+22)-9)-10)))&lt;0.5,POWER(1.1,1.75-(($A15+5)/($A15+10))*(INDEX('Stat Boosts'!$D$2:$D$192,F$1-9)-10)/((INDEX('Stat Boosts'!$D$2:$D$192,(B15/2+22)-9)-10))-0.5)*0.5,(1.75-(($A15+5)/($A15+10))*(INDEX('Stat Boosts'!$D$2:$D$192,F$1-9)-10)/((INDEX('Stat Boosts'!$D$2:$D$192,(B15/2+22)-9)-10))))</f>
        <v>1.5820707070707072</v>
      </c>
      <c r="G15" s="16">
        <f>IF((1.75-(($A15+5)/($A15+10))*(INDEX('Stat Boosts'!$D$2:$D$192,G$1-9)-10)/((INDEX('Stat Boosts'!$D$2:$D$192,(C15/2+22)-9)-10)))&lt;0.5,POWER(1.1,1.75-(($A15+5)/($A15+10))*(INDEX('Stat Boosts'!$D$2:$D$192,G$1-9)-10)/((INDEX('Stat Boosts'!$D$2:$D$192,(C15/2+22)-9)-10))-0.5)*0.5,(1.75-(($A15+5)/($A15+10))*(INDEX('Stat Boosts'!$D$2:$D$192,G$1-9)-10)/((INDEX('Stat Boosts'!$D$2:$D$192,(C15/2+22)-9)-10))))</f>
        <v>1.0980392156862746</v>
      </c>
      <c r="H15" s="16">
        <f>IF((1.75-(($A15+5)/($A15+10))*(INDEX('Stat Boosts'!$D$2:$D$192,H$1-9)-10)/((INDEX('Stat Boosts'!$D$2:$D$192,(D15/2+22)-9)-10)))&lt;0.5,POWER(1.1,1.75-(($A15+5)/($A15+10))*(INDEX('Stat Boosts'!$D$2:$D$192,H$1-9)-10)/((INDEX('Stat Boosts'!$D$2:$D$192,(D15/2+22)-9)-10))-0.5)*0.5,(1.75-(($A15+5)/($A15+10))*(INDEX('Stat Boosts'!$D$2:$D$192,H$1-9)-10)/((INDEX('Stat Boosts'!$D$2:$D$192,(D15/2+22)-9)-10))))</f>
        <v>0.7720588235294118</v>
      </c>
      <c r="I15" s="16">
        <f>IF((1.75-(($A15+5)/($A15+10))*(INDEX('Stat Boosts'!$D$2:$D$192,I$1-9)-10)/((INDEX('Stat Boosts'!$D$2:$D$192,(E15/2+22)-9)-10)))&lt;0.5,POWER(1.1,1.75-(($A15+5)/($A15+10))*(INDEX('Stat Boosts'!$D$2:$D$192,I$1-9)-10)/((INDEX('Stat Boosts'!$D$2:$D$192,(E15/2+22)-9)-10))-0.5)*0.5,(1.75-(($A15+5)/($A15+10))*(INDEX('Stat Boosts'!$D$2:$D$192,I$1-9)-10)/((INDEX('Stat Boosts'!$D$2:$D$192,(E15/2+22)-9)-10))))</f>
        <v>0.49964971768222732</v>
      </c>
      <c r="J15" s="16">
        <f>IF((1.75-(($A15+5)/($A15+10))*(INDEX('Stat Boosts'!$D$2:$D$192,J$1-9)-10)/((INDEX('Stat Boosts'!$D$2:$D$192,(F15/2+22)-9)-10)))&lt;0.5,POWER(1.1,1.75-(($A15+5)/($A15+10))*(INDEX('Stat Boosts'!$D$2:$D$192,J$1-9)-10)/((INDEX('Stat Boosts'!$D$2:$D$192,(F15/2+22)-9)-10))-0.5)*0.5,(1.75-(($A15+5)/($A15+10))*(INDEX('Stat Boosts'!$D$2:$D$192,J$1-9)-10)/((INDEX('Stat Boosts'!$D$2:$D$192,(F15/2+22)-9)-10))))</f>
        <v>0.48651926632487791</v>
      </c>
      <c r="K15" s="16">
        <f>IF((1.75-(($A15+5)/($A15+10))*(INDEX('Stat Boosts'!$D$2:$D$192,K$1-9)-10)/((INDEX('Stat Boosts'!$D$2:$D$192,(G15/2+22)-9)-10)))&lt;0.5,POWER(1.1,1.75-(($A15+5)/($A15+10))*(INDEX('Stat Boosts'!$D$2:$D$192,K$1-9)-10)/((INDEX('Stat Boosts'!$D$2:$D$192,(G15/2+22)-9)-10))-0.5)*0.5,(1.75-(($A15+5)/($A15+10))*(INDEX('Stat Boosts'!$D$2:$D$192,K$1-9)-10)/((INDEX('Stat Boosts'!$D$2:$D$192,(G15/2+22)-9)-10))))</f>
        <v>0.45720780503939801</v>
      </c>
      <c r="L15" s="16">
        <f>IF((1.75-(($A15+5)/($A15+10))*(INDEX('Stat Boosts'!$D$2:$D$192,L$1-9)-10)/((INDEX('Stat Boosts'!$D$2:$D$192,(H15/2+22)-9)-10)))&lt;0.5,POWER(1.1,1.75-(($A15+5)/($A15+10))*(INDEX('Stat Boosts'!$D$2:$D$192,L$1-9)-10)/((INDEX('Stat Boosts'!$D$2:$D$192,(H15/2+22)-9)-10))-0.5)*0.5,(1.75-(($A15+5)/($A15+10))*(INDEX('Stat Boosts'!$D$2:$D$192,L$1-9)-10)/((INDEX('Stat Boosts'!$D$2:$D$192,(H15/2+22)-9)-10))))</f>
        <v>0.44717306150389613</v>
      </c>
      <c r="M15" s="16">
        <f>IF((1.75-(($A15+5)/($A15+10))*(INDEX('Stat Boosts'!$D$2:$D$192,M$1-9)-10)/((INDEX('Stat Boosts'!$D$2:$D$192,(I15/2+22)-9)-10)))&lt;0.5,POWER(1.1,1.75-(($A15+5)/($A15+10))*(INDEX('Stat Boosts'!$D$2:$D$192,M$1-9)-10)/((INDEX('Stat Boosts'!$D$2:$D$192,(I15/2+22)-9)-10))-0.5)*0.5,(1.75-(($A15+5)/($A15+10))*(INDEX('Stat Boosts'!$D$2:$D$192,M$1-9)-10)/((INDEX('Stat Boosts'!$D$2:$D$192,(I15/2+22)-9)-10))))</f>
        <v>0.4334933397038363</v>
      </c>
      <c r="N15" s="16">
        <f>IF((1.75-(($A15+5)/($A15+10))*(INDEX('Stat Boosts'!$D$2:$D$192,N$1-9)-10)/((INDEX('Stat Boosts'!$D$2:$D$192,(J15/2+22)-9)-10)))&lt;0.5,POWER(1.1,1.75-(($A15+5)/($A15+10))*(INDEX('Stat Boosts'!$D$2:$D$192,N$1-9)-10)/((INDEX('Stat Boosts'!$D$2:$D$192,(J15/2+22)-9)-10))-0.5)*0.5,(1.75-(($A15+5)/($A15+10))*(INDEX('Stat Boosts'!$D$2:$D$192,N$1-9)-10)/((INDEX('Stat Boosts'!$D$2:$D$192,(J15/2+22)-9)-10))))</f>
        <v>0.41651823984665443</v>
      </c>
      <c r="O15" s="16">
        <f>IF((1.75-(($A15+5)/($A15+10))*(INDEX('Stat Boosts'!$D$2:$D$192,O$1-9)-10)/((INDEX('Stat Boosts'!$D$2:$D$192,(K15/2+22)-9)-10)))&lt;0.5,POWER(1.1,1.75-(($A15+5)/($A15+10))*(INDEX('Stat Boosts'!$D$2:$D$192,O$1-9)-10)/((INDEX('Stat Boosts'!$D$2:$D$192,(K15/2+22)-9)-10))-0.5)*0.5,(1.75-(($A15+5)/($A15+10))*(INDEX('Stat Boosts'!$D$2:$D$192,O$1-9)-10)/((INDEX('Stat Boosts'!$D$2:$D$192,(K15/2+22)-9)-10))))</f>
        <v>0.40737654613834234</v>
      </c>
      <c r="P15" s="16">
        <f>IF((1.75-(($A15+5)/($A15+10))*(INDEX('Stat Boosts'!$D$2:$D$192,P$1-9)-10)/((INDEX('Stat Boosts'!$D$2:$D$192,(L15/2+22)-9)-10)))&lt;0.5,POWER(1.1,1.75-(($A15+5)/($A15+10))*(INDEX('Stat Boosts'!$D$2:$D$192,P$1-9)-10)/((INDEX('Stat Boosts'!$D$2:$D$192,(L15/2+22)-9)-10))-0.5)*0.5,(1.75-(($A15+5)/($A15+10))*(INDEX('Stat Boosts'!$D$2:$D$192,P$1-9)-10)/((INDEX('Stat Boosts'!$D$2:$D$192,(L15/2+22)-9)-10))))</f>
        <v>0.3931653331635393</v>
      </c>
      <c r="Q15" s="16">
        <f>IF((1.75-(($A15+5)/($A15+10))*(INDEX('Stat Boosts'!$D$2:$D$192,Q$1-9)-10)/((INDEX('Stat Boosts'!$D$2:$D$192,(M15/2+22)-9)-10)))&lt;0.5,POWER(1.1,1.75-(($A15+5)/($A15+10))*(INDEX('Stat Boosts'!$D$2:$D$192,Q$1-9)-10)/((INDEX('Stat Boosts'!$D$2:$D$192,(M15/2+22)-9)-10))-0.5)*0.5,(1.75-(($A15+5)/($A15+10))*(INDEX('Stat Boosts'!$D$2:$D$192,Q$1-9)-10)/((INDEX('Stat Boosts'!$D$2:$D$192,(M15/2+22)-9)-10))))</f>
        <v>0.37944987424264454</v>
      </c>
      <c r="R15" s="16">
        <f>IF((1.75-(($A15+5)/($A15+10))*1.25*(INDEX('Stat Boosts'!$D$2:$D$192,R$1-9)-10)/((INDEX('Stat Boosts'!$D$2:$D$192,(N15/2+22)-9)-10)))&lt;0.5,POWER(1.1,1.75-(($A15+5)/($A15+10))*1.25*(INDEX('Stat Boosts'!$D$2:$D$192,R$1-9)-10)/((INDEX('Stat Boosts'!$D$2:$D$192,(N15/2+22)-9)-10))-0.5)*0.5,(1.75-(($A15+5)/($A15+10))*1.25*(INDEX('Stat Boosts'!$D$2:$D$192,R$1-9)-10)/((INDEX('Stat Boosts'!$D$2:$D$192,(N15/2+22)-9)-10))))</f>
        <v>0.32884352580946635</v>
      </c>
    </row>
    <row r="16" spans="1:20">
      <c r="A16" s="9">
        <v>15</v>
      </c>
      <c r="B16" s="16">
        <f t="shared" si="0"/>
        <v>28</v>
      </c>
      <c r="C16" s="16">
        <f t="shared" si="1"/>
        <v>2.2222222222222223E-2</v>
      </c>
      <c r="E16" s="16">
        <f>IF((1.75-(($A16+5)/($A16+10))*(INDEX('Stat Boosts'!$D$2:$D$192,E$1-9)-10)/((INDEX('Stat Boosts'!$D$2:$D$192,(A16/2+22)-9)-10)))&lt;0.5,POWER(1.1,1.75-(($A16+5)/($A16+10))*(INDEX('Stat Boosts'!$D$2:$D$192,E$1-9)-10)/((INDEX('Stat Boosts'!$D$2:$D$192,(A16/2+22)-9)-10))-0.5)*0.5,(1.75-(($A16+5)/($A16+10))*(INDEX('Stat Boosts'!$D$2:$D$192,E$1-9)-10)/((INDEX('Stat Boosts'!$D$2:$D$192,(A16/2+22)-9)-10))))</f>
        <v>1.75</v>
      </c>
      <c r="F16" s="16">
        <f>IF((1.75-(($A16+5)/($A16+10))*(INDEX('Stat Boosts'!$D$2:$D$192,F$1-9)-10)/((INDEX('Stat Boosts'!$D$2:$D$192,(B16/2+22)-9)-10)))&lt;0.5,POWER(1.1,1.75-(($A16+5)/($A16+10))*(INDEX('Stat Boosts'!$D$2:$D$192,F$1-9)-10)/((INDEX('Stat Boosts'!$D$2:$D$192,(B16/2+22)-9)-10))-0.5)*0.5,(1.75-(($A16+5)/($A16+10))*(INDEX('Stat Boosts'!$D$2:$D$192,F$1-9)-10)/((INDEX('Stat Boosts'!$D$2:$D$192,(B16/2+22)-9)-10))))</f>
        <v>1.5852941176470587</v>
      </c>
      <c r="G16" s="16">
        <f>IF((1.75-(($A16+5)/($A16+10))*(INDEX('Stat Boosts'!$D$2:$D$192,G$1-9)-10)/((INDEX('Stat Boosts'!$D$2:$D$192,(C16/2+22)-9)-10)))&lt;0.5,POWER(1.1,1.75-(($A16+5)/($A16+10))*(INDEX('Stat Boosts'!$D$2:$D$192,G$1-9)-10)/((INDEX('Stat Boosts'!$D$2:$D$192,(C16/2+22)-9)-10))-0.5)*0.5,(1.75-(($A16+5)/($A16+10))*(INDEX('Stat Boosts'!$D$2:$D$192,G$1-9)-10)/((INDEX('Stat Boosts'!$D$2:$D$192,(C16/2+22)-9)-10))))</f>
        <v>1.0911764705882352</v>
      </c>
      <c r="H16" s="16">
        <f>IF((1.75-(($A16+5)/($A16+10))*(INDEX('Stat Boosts'!$D$2:$D$192,H$1-9)-10)/((INDEX('Stat Boosts'!$D$2:$D$192,(D16/2+22)-9)-10)))&lt;0.5,POWER(1.1,1.75-(($A16+5)/($A16+10))*(INDEX('Stat Boosts'!$D$2:$D$192,H$1-9)-10)/((INDEX('Stat Boosts'!$D$2:$D$192,(D16/2+22)-9)-10))-0.5)*0.5,(1.75-(($A16+5)/($A16+10))*(INDEX('Stat Boosts'!$D$2:$D$192,H$1-9)-10)/((INDEX('Stat Boosts'!$D$2:$D$192,(D16/2+22)-9)-10))))</f>
        <v>0.7617647058823529</v>
      </c>
      <c r="I16" s="16">
        <f>IF((1.75-(($A16+5)/($A16+10))*(INDEX('Stat Boosts'!$D$2:$D$192,I$1-9)-10)/((INDEX('Stat Boosts'!$D$2:$D$192,(E16/2+22)-9)-10)))&lt;0.5,POWER(1.1,1.75-(($A16+5)/($A16+10))*(INDEX('Stat Boosts'!$D$2:$D$192,I$1-9)-10)/((INDEX('Stat Boosts'!$D$2:$D$192,(E16/2+22)-9)-10))-0.5)*0.5,(1.75-(($A16+5)/($A16+10))*(INDEX('Stat Boosts'!$D$2:$D$192,I$1-9)-10)/((INDEX('Stat Boosts'!$D$2:$D$192,(E16/2+22)-9)-10))))</f>
        <v>0.4990198277911243</v>
      </c>
      <c r="J16" s="16">
        <f>IF((1.75-(($A16+5)/($A16+10))*(INDEX('Stat Boosts'!$D$2:$D$192,J$1-9)-10)/((INDEX('Stat Boosts'!$D$2:$D$192,(F16/2+22)-9)-10)))&lt;0.5,POWER(1.1,1.75-(($A16+5)/($A16+10))*(INDEX('Stat Boosts'!$D$2:$D$192,J$1-9)-10)/((INDEX('Stat Boosts'!$D$2:$D$192,(F16/2+22)-9)-10))-0.5)*0.5,(1.75-(($A16+5)/($A16+10))*(INDEX('Stat Boosts'!$D$2:$D$192,J$1-9)-10)/((INDEX('Stat Boosts'!$D$2:$D$192,(F16/2+22)-9)-10))))</f>
        <v>0.48576973747518126</v>
      </c>
      <c r="K16" s="16">
        <f>IF((1.75-(($A16+5)/($A16+10))*(INDEX('Stat Boosts'!$D$2:$D$192,K$1-9)-10)/((INDEX('Stat Boosts'!$D$2:$D$192,(G16/2+22)-9)-10)))&lt;0.5,POWER(1.1,1.75-(($A16+5)/($A16+10))*(INDEX('Stat Boosts'!$D$2:$D$192,K$1-9)-10)/((INDEX('Stat Boosts'!$D$2:$D$192,(G16/2+22)-9)-10))-0.5)*0.5,(1.75-(($A16+5)/($A16+10))*(INDEX('Stat Boosts'!$D$2:$D$192,K$1-9)-10)/((INDEX('Stat Boosts'!$D$2:$D$192,(G16/2+22)-9)-10))))</f>
        <v>0.45620493680632712</v>
      </c>
      <c r="L16" s="16">
        <f>IF((1.75-(($A16+5)/($A16+10))*(INDEX('Stat Boosts'!$D$2:$D$192,L$1-9)-10)/((INDEX('Stat Boosts'!$D$2:$D$192,(H16/2+22)-9)-10)))&lt;0.5,POWER(1.1,1.75-(($A16+5)/($A16+10))*(INDEX('Stat Boosts'!$D$2:$D$192,L$1-9)-10)/((INDEX('Stat Boosts'!$D$2:$D$192,(H16/2+22)-9)-10))-0.5)*0.5,(1.75-(($A16+5)/($A16+10))*(INDEX('Stat Boosts'!$D$2:$D$192,L$1-9)-10)/((INDEX('Stat Boosts'!$D$2:$D$192,(H16/2+22)-9)-10))))</f>
        <v>0.44608798427142293</v>
      </c>
      <c r="M16" s="16">
        <f>IF((1.75-(($A16+5)/($A16+10))*(INDEX('Stat Boosts'!$D$2:$D$192,M$1-9)-10)/((INDEX('Stat Boosts'!$D$2:$D$192,(I16/2+22)-9)-10)))&lt;0.5,POWER(1.1,1.75-(($A16+5)/($A16+10))*(INDEX('Stat Boosts'!$D$2:$D$192,M$1-9)-10)/((INDEX('Stat Boosts'!$D$2:$D$192,(I16/2+22)-9)-10))-0.5)*0.5,(1.75-(($A16+5)/($A16+10))*(INDEX('Stat Boosts'!$D$2:$D$192,M$1-9)-10)/((INDEX('Stat Boosts'!$D$2:$D$192,(I16/2+22)-9)-10))))</f>
        <v>0.43230005209988531</v>
      </c>
      <c r="N16" s="16">
        <f>IF((1.75-(($A16+5)/($A16+10))*(INDEX('Stat Boosts'!$D$2:$D$192,N$1-9)-10)/((INDEX('Stat Boosts'!$D$2:$D$192,(J16/2+22)-9)-10)))&lt;0.5,POWER(1.1,1.75-(($A16+5)/($A16+10))*(INDEX('Stat Boosts'!$D$2:$D$192,N$1-9)-10)/((INDEX('Stat Boosts'!$D$2:$D$192,(J16/2+22)-9)-10))-0.5)*0.5,(1.75-(($A16+5)/($A16+10))*(INDEX('Stat Boosts'!$D$2:$D$192,N$1-9)-10)/((INDEX('Stat Boosts'!$D$2:$D$192,(J16/2+22)-9)-10))))</f>
        <v>0.41519705871372142</v>
      </c>
      <c r="O16" s="16">
        <f>IF((1.75-(($A16+5)/($A16+10))*(INDEX('Stat Boosts'!$D$2:$D$192,O$1-9)-10)/((INDEX('Stat Boosts'!$D$2:$D$192,(K16/2+22)-9)-10)))&lt;0.5,POWER(1.1,1.75-(($A16+5)/($A16+10))*(INDEX('Stat Boosts'!$D$2:$D$192,O$1-9)-10)/((INDEX('Stat Boosts'!$D$2:$D$192,(K16/2+22)-9)-10))-0.5)*0.5,(1.75-(($A16+5)/($A16+10))*(INDEX('Stat Boosts'!$D$2:$D$192,O$1-9)-10)/((INDEX('Stat Boosts'!$D$2:$D$192,(K16/2+22)-9)-10))))</f>
        <v>0.40598951053363275</v>
      </c>
      <c r="P16" s="16">
        <f>IF((1.75-(($A16+5)/($A16+10))*(INDEX('Stat Boosts'!$D$2:$D$192,P$1-9)-10)/((INDEX('Stat Boosts'!$D$2:$D$192,(L16/2+22)-9)-10)))&lt;0.5,POWER(1.1,1.75-(($A16+5)/($A16+10))*(INDEX('Stat Boosts'!$D$2:$D$192,P$1-9)-10)/((INDEX('Stat Boosts'!$D$2:$D$192,(L16/2+22)-9)-10))-0.5)*0.5,(1.75-(($A16+5)/($A16+10))*(INDEX('Stat Boosts'!$D$2:$D$192,P$1-9)-10)/((INDEX('Stat Boosts'!$D$2:$D$192,(L16/2+22)-9)-10))))</f>
        <v>0.39168025999894063</v>
      </c>
      <c r="Q16" s="16">
        <f>IF((1.75-(($A16+5)/($A16+10))*(INDEX('Stat Boosts'!$D$2:$D$192,Q$1-9)-10)/((INDEX('Stat Boosts'!$D$2:$D$192,(M16/2+22)-9)-10)))&lt;0.5,POWER(1.1,1.75-(($A16+5)/($A16+10))*(INDEX('Stat Boosts'!$D$2:$D$192,Q$1-9)-10)/((INDEX('Stat Boosts'!$D$2:$D$192,(M16/2+22)-9)-10))-0.5)*0.5,(1.75-(($A16+5)/($A16+10))*(INDEX('Stat Boosts'!$D$2:$D$192,Q$1-9)-10)/((INDEX('Stat Boosts'!$D$2:$D$192,(M16/2+22)-9)-10))))</f>
        <v>0.37787534429446479</v>
      </c>
      <c r="R16" s="16">
        <f>IF((1.75-(($A16+5)/($A16+10))*1.25*(INDEX('Stat Boosts'!$D$2:$D$192,R$1-9)-10)/((INDEX('Stat Boosts'!$D$2:$D$192,(N16/2+22)-9)-10)))&lt;0.5,POWER(1.1,1.75-(($A16+5)/($A16+10))*1.25*(INDEX('Stat Boosts'!$D$2:$D$192,R$1-9)-10)/((INDEX('Stat Boosts'!$D$2:$D$192,(N16/2+22)-9)-10))-0.5)*0.5,(1.75-(($A16+5)/($A16+10))*1.25*(INDEX('Stat Boosts'!$D$2:$D$192,R$1-9)-10)/((INDEX('Stat Boosts'!$D$2:$D$192,(N16/2+22)-9)-10))))</f>
        <v>0.32698593252689578</v>
      </c>
    </row>
    <row r="17" spans="1:18">
      <c r="A17" s="9">
        <v>16</v>
      </c>
      <c r="B17" s="16">
        <f t="shared" si="0"/>
        <v>28.4</v>
      </c>
      <c r="C17" s="16">
        <f t="shared" si="1"/>
        <v>2.1739130434782612E-2</v>
      </c>
      <c r="E17" s="16">
        <f>IF((1.75-(($A17+5)/($A17+10))*(INDEX('Stat Boosts'!$D$2:$D$192,E$1-9)-10)/((INDEX('Stat Boosts'!$D$2:$D$192,(A17/2+22)-9)-10)))&lt;0.5,POWER(1.1,1.75-(($A17+5)/($A17+10))*(INDEX('Stat Boosts'!$D$2:$D$192,E$1-9)-10)/((INDEX('Stat Boosts'!$D$2:$D$192,(A17/2+22)-9)-10))-0.5)*0.5,(1.75-(($A17+5)/($A17+10))*(INDEX('Stat Boosts'!$D$2:$D$192,E$1-9)-10)/((INDEX('Stat Boosts'!$D$2:$D$192,(A17/2+22)-9)-10))))</f>
        <v>1.75</v>
      </c>
      <c r="F17" s="16">
        <f>IF((1.75-(($A17+5)/($A17+10))*(INDEX('Stat Boosts'!$D$2:$D$192,F$1-9)-10)/((INDEX('Stat Boosts'!$D$2:$D$192,(B17/2+22)-9)-10)))&lt;0.5,POWER(1.1,1.75-(($A17+5)/($A17+10))*(INDEX('Stat Boosts'!$D$2:$D$192,F$1-9)-10)/((INDEX('Stat Boosts'!$D$2:$D$192,(B17/2+22)-9)-10))-0.5)*0.5,(1.75-(($A17+5)/($A17+10))*(INDEX('Stat Boosts'!$D$2:$D$192,F$1-9)-10)/((INDEX('Stat Boosts'!$D$2:$D$192,(B17/2+22)-9)-10))))</f>
        <v>1.5837104072398189</v>
      </c>
      <c r="G17" s="16">
        <f>IF((1.75-(($A17+5)/($A17+10))*(INDEX('Stat Boosts'!$D$2:$D$192,G$1-9)-10)/((INDEX('Stat Boosts'!$D$2:$D$192,(C17/2+22)-9)-10)))&lt;0.5,POWER(1.1,1.75-(($A17+5)/($A17+10))*(INDEX('Stat Boosts'!$D$2:$D$192,G$1-9)-10)/((INDEX('Stat Boosts'!$D$2:$D$192,(C17/2+22)-9)-10))-0.5)*0.5,(1.75-(($A17+5)/($A17+10))*(INDEX('Stat Boosts'!$D$2:$D$192,G$1-9)-10)/((INDEX('Stat Boosts'!$D$2:$D$192,(C17/2+22)-9)-10))))</f>
        <v>1.0848416289592759</v>
      </c>
      <c r="H17" s="16">
        <f>IF((1.75-(($A17+5)/($A17+10))*(INDEX('Stat Boosts'!$D$2:$D$192,H$1-9)-10)/((INDEX('Stat Boosts'!$D$2:$D$192,(D17/2+22)-9)-10)))&lt;0.5,POWER(1.1,1.75-(($A17+5)/($A17+10))*(INDEX('Stat Boosts'!$D$2:$D$192,H$1-9)-10)/((INDEX('Stat Boosts'!$D$2:$D$192,(D17/2+22)-9)-10))-0.5)*0.5,(1.75-(($A17+5)/($A17+10))*(INDEX('Stat Boosts'!$D$2:$D$192,H$1-9)-10)/((INDEX('Stat Boosts'!$D$2:$D$192,(D17/2+22)-9)-10))))</f>
        <v>0.75226244343891391</v>
      </c>
      <c r="I17" s="16">
        <f>IF((1.75-(($A17+5)/($A17+10))*(INDEX('Stat Boosts'!$D$2:$D$192,I$1-9)-10)/((INDEX('Stat Boosts'!$D$2:$D$192,(E17/2+22)-9)-10)))&lt;0.5,POWER(1.1,1.75-(($A17+5)/($A17+10))*(INDEX('Stat Boosts'!$D$2:$D$192,I$1-9)-10)/((INDEX('Stat Boosts'!$D$2:$D$192,(E17/2+22)-9)-10))-0.5)*0.5,(1.75-(($A17+5)/($A17+10))*(INDEX('Stat Boosts'!$D$2:$D$192,I$1-9)-10)/((INDEX('Stat Boosts'!$D$2:$D$192,(E17/2+22)-9)-10))))</f>
        <v>0.49843909579507389</v>
      </c>
      <c r="J17" s="16">
        <f>IF((1.75-(($A17+5)/($A17+10))*(INDEX('Stat Boosts'!$D$2:$D$192,J$1-9)-10)/((INDEX('Stat Boosts'!$D$2:$D$192,(F17/2+22)-9)-10)))&lt;0.5,POWER(1.1,1.75-(($A17+5)/($A17+10))*(INDEX('Stat Boosts'!$D$2:$D$192,J$1-9)-10)/((INDEX('Stat Boosts'!$D$2:$D$192,(F17/2+22)-9)-10))-0.5)*0.5,(1.75-(($A17+5)/($A17+10))*(INDEX('Stat Boosts'!$D$2:$D$192,J$1-9)-10)/((INDEX('Stat Boosts'!$D$2:$D$192,(F17/2+22)-9)-10))))</f>
        <v>0.48507888963070089</v>
      </c>
      <c r="K17" s="16">
        <f>IF((1.75-(($A17+5)/($A17+10))*(INDEX('Stat Boosts'!$D$2:$D$192,K$1-9)-10)/((INDEX('Stat Boosts'!$D$2:$D$192,(G17/2+22)-9)-10)))&lt;0.5,POWER(1.1,1.75-(($A17+5)/($A17+10))*(INDEX('Stat Boosts'!$D$2:$D$192,K$1-9)-10)/((INDEX('Stat Boosts'!$D$2:$D$192,(G17/2+22)-9)-10))-0.5)*0.5,(1.75-(($A17+5)/($A17+10))*(INDEX('Stat Boosts'!$D$2:$D$192,K$1-9)-10)/((INDEX('Stat Boosts'!$D$2:$D$192,(G17/2+22)-9)-10))))</f>
        <v>0.4552811648377369</v>
      </c>
      <c r="L17" s="16">
        <f>IF((1.75-(($A17+5)/($A17+10))*(INDEX('Stat Boosts'!$D$2:$D$192,L$1-9)-10)/((INDEX('Stat Boosts'!$D$2:$D$192,(H17/2+22)-9)-10)))&lt;0.5,POWER(1.1,1.75-(($A17+5)/($A17+10))*(INDEX('Stat Boosts'!$D$2:$D$192,L$1-9)-10)/((INDEX('Stat Boosts'!$D$2:$D$192,(H17/2+22)-9)-10))-0.5)*0.5,(1.75-(($A17+5)/($A17+10))*(INDEX('Stat Boosts'!$D$2:$D$192,L$1-9)-10)/((INDEX('Stat Boosts'!$D$2:$D$192,(H17/2+22)-9)-10))))</f>
        <v>0.44508871161818842</v>
      </c>
      <c r="M17" s="16">
        <f>IF((1.75-(($A17+5)/($A17+10))*(INDEX('Stat Boosts'!$D$2:$D$192,M$1-9)-10)/((INDEX('Stat Boosts'!$D$2:$D$192,(I17/2+22)-9)-10)))&lt;0.5,POWER(1.1,1.75-(($A17+5)/($A17+10))*(INDEX('Stat Boosts'!$D$2:$D$192,M$1-9)-10)/((INDEX('Stat Boosts'!$D$2:$D$192,(I17/2+22)-9)-10))-0.5)*0.5,(1.75-(($A17+5)/($A17+10))*(INDEX('Stat Boosts'!$D$2:$D$192,M$1-9)-10)/((INDEX('Stat Boosts'!$D$2:$D$192,(I17/2+22)-9)-10))))</f>
        <v>0.4312014715515744</v>
      </c>
      <c r="N17" s="16">
        <f>IF((1.75-(($A17+5)/($A17+10))*(INDEX('Stat Boosts'!$D$2:$D$192,N$1-9)-10)/((INDEX('Stat Boosts'!$D$2:$D$192,(J17/2+22)-9)-10)))&lt;0.5,POWER(1.1,1.75-(($A17+5)/($A17+10))*(INDEX('Stat Boosts'!$D$2:$D$192,N$1-9)-10)/((INDEX('Stat Boosts'!$D$2:$D$192,(J17/2+22)-9)-10))-0.5)*0.5,(1.75-(($A17+5)/($A17+10))*(INDEX('Stat Boosts'!$D$2:$D$192,N$1-9)-10)/((INDEX('Stat Boosts'!$D$2:$D$192,(J17/2+22)-9)-10))))</f>
        <v>0.41398122679307142</v>
      </c>
      <c r="O17" s="16">
        <f>IF((1.75-(($A17+5)/($A17+10))*(INDEX('Stat Boosts'!$D$2:$D$192,O$1-9)-10)/((INDEX('Stat Boosts'!$D$2:$D$192,(K17/2+22)-9)-10)))&lt;0.5,POWER(1.1,1.75-(($A17+5)/($A17+10))*(INDEX('Stat Boosts'!$D$2:$D$192,O$1-9)-10)/((INDEX('Stat Boosts'!$D$2:$D$192,(K17/2+22)-9)-10))-0.5)*0.5,(1.75-(($A17+5)/($A17+10))*(INDEX('Stat Boosts'!$D$2:$D$192,O$1-9)-10)/((INDEX('Stat Boosts'!$D$2:$D$192,(K17/2+22)-9)-10))))</f>
        <v>0.40471336197954794</v>
      </c>
      <c r="P17" s="16">
        <f>IF((1.75-(($A17+5)/($A17+10))*(INDEX('Stat Boosts'!$D$2:$D$192,P$1-9)-10)/((INDEX('Stat Boosts'!$D$2:$D$192,(L17/2+22)-9)-10)))&lt;0.5,POWER(1.1,1.75-(($A17+5)/($A17+10))*(INDEX('Stat Boosts'!$D$2:$D$192,P$1-9)-10)/((INDEX('Stat Boosts'!$D$2:$D$192,(L17/2+22)-9)-10))-0.5)*0.5,(1.75-(($A17+5)/($A17+10))*(INDEX('Stat Boosts'!$D$2:$D$192,P$1-9)-10)/((INDEX('Stat Boosts'!$D$2:$D$192,(L17/2+22)-9)-10))))</f>
        <v>0.39031440251840799</v>
      </c>
      <c r="Q17" s="16">
        <f>IF((1.75-(($A17+5)/($A17+10))*(INDEX('Stat Boosts'!$D$2:$D$192,Q$1-9)-10)/((INDEX('Stat Boosts'!$D$2:$D$192,(M17/2+22)-9)-10)))&lt;0.5,POWER(1.1,1.75-(($A17+5)/($A17+10))*(INDEX('Stat Boosts'!$D$2:$D$192,Q$1-9)-10)/((INDEX('Stat Boosts'!$D$2:$D$192,(M17/2+22)-9)-10))-0.5)*0.5,(1.75-(($A17+5)/($A17+10))*(INDEX('Stat Boosts'!$D$2:$D$192,Q$1-9)-10)/((INDEX('Stat Boosts'!$D$2:$D$192,(M17/2+22)-9)-10))))</f>
        <v>0.37642773163738669</v>
      </c>
      <c r="R17" s="16">
        <f>IF((1.75-(($A17+5)/($A17+10))*1.25*(INDEX('Stat Boosts'!$D$2:$D$192,R$1-9)-10)/((INDEX('Stat Boosts'!$D$2:$D$192,(N17/2+22)-9)-10)))&lt;0.5,POWER(1.1,1.75-(($A17+5)/($A17+10))*1.25*(INDEX('Stat Boosts'!$D$2:$D$192,R$1-9)-10)/((INDEX('Stat Boosts'!$D$2:$D$192,(N17/2+22)-9)-10))-0.5)*0.5,(1.75-(($A17+5)/($A17+10))*1.25*(INDEX('Stat Boosts'!$D$2:$D$192,R$1-9)-10)/((INDEX('Stat Boosts'!$D$2:$D$192,(N17/2+22)-9)-10))))</f>
        <v>0.32528054596362727</v>
      </c>
    </row>
    <row r="18" spans="1:18">
      <c r="A18" s="9">
        <v>17</v>
      </c>
      <c r="B18" s="16">
        <f t="shared" si="0"/>
        <v>28.8</v>
      </c>
      <c r="C18" s="16">
        <f t="shared" si="1"/>
        <v>2.1276595744680851E-2</v>
      </c>
      <c r="E18" s="16">
        <f>IF((1.75-(($A18+5)/($A18+10))*(INDEX('Stat Boosts'!$D$2:$D$192,E$1-9)-10)/((INDEX('Stat Boosts'!$D$2:$D$192,(A18/2+22)-9)-10)))&lt;0.5,POWER(1.1,1.75-(($A18+5)/($A18+10))*(INDEX('Stat Boosts'!$D$2:$D$192,E$1-9)-10)/((INDEX('Stat Boosts'!$D$2:$D$192,(A18/2+22)-9)-10))-0.5)*0.5,(1.75-(($A18+5)/($A18+10))*(INDEX('Stat Boosts'!$D$2:$D$192,E$1-9)-10)/((INDEX('Stat Boosts'!$D$2:$D$192,(A18/2+22)-9)-10))))</f>
        <v>1.75</v>
      </c>
      <c r="F18" s="16">
        <f>IF((1.75-(($A18+5)/($A18+10))*(INDEX('Stat Boosts'!$D$2:$D$192,F$1-9)-10)/((INDEX('Stat Boosts'!$D$2:$D$192,(B18/2+22)-9)-10)))&lt;0.5,POWER(1.1,1.75-(($A18+5)/($A18+10))*(INDEX('Stat Boosts'!$D$2:$D$192,F$1-9)-10)/((INDEX('Stat Boosts'!$D$2:$D$192,(B18/2+22)-9)-10))-0.5)*0.5,(1.75-(($A18+5)/($A18+10))*(INDEX('Stat Boosts'!$D$2:$D$192,F$1-9)-10)/((INDEX('Stat Boosts'!$D$2:$D$192,(B18/2+22)-9)-10))))</f>
        <v>1.582244008714597</v>
      </c>
      <c r="G18" s="16">
        <f>IF((1.75-(($A18+5)/($A18+10))*(INDEX('Stat Boosts'!$D$2:$D$192,G$1-9)-10)/((INDEX('Stat Boosts'!$D$2:$D$192,(C18/2+22)-9)-10)))&lt;0.5,POWER(1.1,1.75-(($A18+5)/($A18+10))*(INDEX('Stat Boosts'!$D$2:$D$192,G$1-9)-10)/((INDEX('Stat Boosts'!$D$2:$D$192,(C18/2+22)-9)-10))-0.5)*0.5,(1.75-(($A18+5)/($A18+10))*(INDEX('Stat Boosts'!$D$2:$D$192,G$1-9)-10)/((INDEX('Stat Boosts'!$D$2:$D$192,(C18/2+22)-9)-10))))</f>
        <v>1.0789760348583879</v>
      </c>
      <c r="H18" s="16">
        <f>IF((1.75-(($A18+5)/($A18+10))*(INDEX('Stat Boosts'!$D$2:$D$192,H$1-9)-10)/((INDEX('Stat Boosts'!$D$2:$D$192,(D18/2+22)-9)-10)))&lt;0.5,POWER(1.1,1.75-(($A18+5)/($A18+10))*(INDEX('Stat Boosts'!$D$2:$D$192,H$1-9)-10)/((INDEX('Stat Boosts'!$D$2:$D$192,(D18/2+22)-9)-10))-0.5)*0.5,(1.75-(($A18+5)/($A18+10))*(INDEX('Stat Boosts'!$D$2:$D$192,H$1-9)-10)/((INDEX('Stat Boosts'!$D$2:$D$192,(D18/2+22)-9)-10))))</f>
        <v>0.74346405228758172</v>
      </c>
      <c r="I18" s="16">
        <f>IF((1.75-(($A18+5)/($A18+10))*(INDEX('Stat Boosts'!$D$2:$D$192,I$1-9)-10)/((INDEX('Stat Boosts'!$D$2:$D$192,(E18/2+22)-9)-10)))&lt;0.5,POWER(1.1,1.75-(($A18+5)/($A18+10))*(INDEX('Stat Boosts'!$D$2:$D$192,I$1-9)-10)/((INDEX('Stat Boosts'!$D$2:$D$192,(E18/2+22)-9)-10))-0.5)*0.5,(1.75-(($A18+5)/($A18+10))*(INDEX('Stat Boosts'!$D$2:$D$192,I$1-9)-10)/((INDEX('Stat Boosts'!$D$2:$D$192,(E18/2+22)-9)-10))))</f>
        <v>0.4979019835879277</v>
      </c>
      <c r="J18" s="16">
        <f>IF((1.75-(($A18+5)/($A18+10))*(INDEX('Stat Boosts'!$D$2:$D$192,J$1-9)-10)/((INDEX('Stat Boosts'!$D$2:$D$192,(F18/2+22)-9)-10)))&lt;0.5,POWER(1.1,1.75-(($A18+5)/($A18+10))*(INDEX('Stat Boosts'!$D$2:$D$192,J$1-9)-10)/((INDEX('Stat Boosts'!$D$2:$D$192,(F18/2+22)-9)-10))-0.5)*0.5,(1.75-(($A18+5)/($A18+10))*(INDEX('Stat Boosts'!$D$2:$D$192,J$1-9)-10)/((INDEX('Stat Boosts'!$D$2:$D$192,(F18/2+22)-9)-10))))</f>
        <v>0.48444009176383618</v>
      </c>
      <c r="K18" s="16">
        <f>IF((1.75-(($A18+5)/($A18+10))*(INDEX('Stat Boosts'!$D$2:$D$192,K$1-9)-10)/((INDEX('Stat Boosts'!$D$2:$D$192,(G18/2+22)-9)-10)))&lt;0.5,POWER(1.1,1.75-(($A18+5)/($A18+10))*(INDEX('Stat Boosts'!$D$2:$D$192,K$1-9)-10)/((INDEX('Stat Boosts'!$D$2:$D$192,(G18/2+22)-9)-10))-0.5)*0.5,(1.75-(($A18+5)/($A18+10))*(INDEX('Stat Boosts'!$D$2:$D$192,K$1-9)-10)/((INDEX('Stat Boosts'!$D$2:$D$192,(G18/2+22)-9)-10))))</f>
        <v>0.45442748834973251</v>
      </c>
      <c r="L18" s="16">
        <f>IF((1.75-(($A18+5)/($A18+10))*(INDEX('Stat Boosts'!$D$2:$D$192,L$1-9)-10)/((INDEX('Stat Boosts'!$D$2:$D$192,(H18/2+22)-9)-10)))&lt;0.5,POWER(1.1,1.75-(($A18+5)/($A18+10))*(INDEX('Stat Boosts'!$D$2:$D$192,L$1-9)-10)/((INDEX('Stat Boosts'!$D$2:$D$192,(H18/2+22)-9)-10))-0.5)*0.5,(1.75-(($A18+5)/($A18+10))*(INDEX('Stat Boosts'!$D$2:$D$192,L$1-9)-10)/((INDEX('Stat Boosts'!$D$2:$D$192,(H18/2+22)-9)-10))))</f>
        <v>0.44416545514680894</v>
      </c>
      <c r="M18" s="16">
        <f>IF((1.75-(($A18+5)/($A18+10))*(INDEX('Stat Boosts'!$D$2:$D$192,M$1-9)-10)/((INDEX('Stat Boosts'!$D$2:$D$192,(I18/2+22)-9)-10)))&lt;0.5,POWER(1.1,1.75-(($A18+5)/($A18+10))*(INDEX('Stat Boosts'!$D$2:$D$192,M$1-9)-10)/((INDEX('Stat Boosts'!$D$2:$D$192,(I18/2+22)-9)-10))-0.5)*0.5,(1.75-(($A18+5)/($A18+10))*(INDEX('Stat Boosts'!$D$2:$D$192,M$1-9)-10)/((INDEX('Stat Boosts'!$D$2:$D$192,(I18/2+22)-9)-10))))</f>
        <v>0.43018675672259915</v>
      </c>
      <c r="N18" s="16">
        <f>IF((1.75-(($A18+5)/($A18+10))*(INDEX('Stat Boosts'!$D$2:$D$192,N$1-9)-10)/((INDEX('Stat Boosts'!$D$2:$D$192,(J18/2+22)-9)-10)))&lt;0.5,POWER(1.1,1.75-(($A18+5)/($A18+10))*(INDEX('Stat Boosts'!$D$2:$D$192,N$1-9)-10)/((INDEX('Stat Boosts'!$D$2:$D$192,(J18/2+22)-9)-10))-0.5)*0.5,(1.75-(($A18+5)/($A18+10))*(INDEX('Stat Boosts'!$D$2:$D$192,N$1-9)-10)/((INDEX('Stat Boosts'!$D$2:$D$192,(J18/2+22)-9)-10))))</f>
        <v>0.41285863125008865</v>
      </c>
      <c r="O18" s="16">
        <f>IF((1.75-(($A18+5)/($A18+10))*(INDEX('Stat Boosts'!$D$2:$D$192,O$1-9)-10)/((INDEX('Stat Boosts'!$D$2:$D$192,(K18/2+22)-9)-10)))&lt;0.5,POWER(1.1,1.75-(($A18+5)/($A18+10))*(INDEX('Stat Boosts'!$D$2:$D$192,O$1-9)-10)/((INDEX('Stat Boosts'!$D$2:$D$192,(K18/2+22)-9)-10))-0.5)*0.5,(1.75-(($A18+5)/($A18+10))*(INDEX('Stat Boosts'!$D$2:$D$192,O$1-9)-10)/((INDEX('Stat Boosts'!$D$2:$D$192,(K18/2+22)-9)-10))))</f>
        <v>0.40353531985141428</v>
      </c>
      <c r="P18" s="16">
        <f>IF((1.75-(($A18+5)/($A18+10))*(INDEX('Stat Boosts'!$D$2:$D$192,P$1-9)-10)/((INDEX('Stat Boosts'!$D$2:$D$192,(L18/2+22)-9)-10)))&lt;0.5,POWER(1.1,1.75-(($A18+5)/($A18+10))*(INDEX('Stat Boosts'!$D$2:$D$192,P$1-9)-10)/((INDEX('Stat Boosts'!$D$2:$D$192,(L18/2+22)-9)-10))-0.5)*0.5,(1.75-(($A18+5)/($A18+10))*(INDEX('Stat Boosts'!$D$2:$D$192,P$1-9)-10)/((INDEX('Stat Boosts'!$D$2:$D$192,(L18/2+22)-9)-10))))</f>
        <v>0.38905396686244664</v>
      </c>
      <c r="Q18" s="16">
        <f>IF((1.75-(($A18+5)/($A18+10))*(INDEX('Stat Boosts'!$D$2:$D$192,Q$1-9)-10)/((INDEX('Stat Boosts'!$D$2:$D$192,(M18/2+22)-9)-10)))&lt;0.5,POWER(1.1,1.75-(($A18+5)/($A18+10))*(INDEX('Stat Boosts'!$D$2:$D$192,Q$1-9)-10)/((INDEX('Stat Boosts'!$D$2:$D$192,(M18/2+22)-9)-10))-0.5)*0.5,(1.75-(($A18+5)/($A18+10))*(INDEX('Stat Boosts'!$D$2:$D$192,Q$1-9)-10)/((INDEX('Stat Boosts'!$D$2:$D$192,(M18/2+22)-9)-10))))</f>
        <v>0.37509229473925365</v>
      </c>
      <c r="R18" s="16">
        <f>IF((1.75-(($A18+5)/($A18+10))*1.25*(INDEX('Stat Boosts'!$D$2:$D$192,R$1-9)-10)/((INDEX('Stat Boosts'!$D$2:$D$192,(N18/2+22)-9)-10)))&lt;0.5,POWER(1.1,1.75-(($A18+5)/($A18+10))*1.25*(INDEX('Stat Boosts'!$D$2:$D$192,R$1-9)-10)/((INDEX('Stat Boosts'!$D$2:$D$192,(N18/2+22)-9)-10))-0.5)*0.5,(1.75-(($A18+5)/($A18+10))*1.25*(INDEX('Stat Boosts'!$D$2:$D$192,R$1-9)-10)/((INDEX('Stat Boosts'!$D$2:$D$192,(N18/2+22)-9)-10))))</f>
        <v>0.3237094158877063</v>
      </c>
    </row>
    <row r="19" spans="1:18">
      <c r="A19" s="9">
        <v>18</v>
      </c>
      <c r="B19" s="16">
        <f t="shared" si="0"/>
        <v>29.2</v>
      </c>
      <c r="C19" s="16">
        <f t="shared" si="1"/>
        <v>2.0833333333333336E-2</v>
      </c>
      <c r="E19" s="16">
        <f>IF((1.75-(($A19+5)/($A19+10))*(INDEX('Stat Boosts'!$D$2:$D$192,E$1-9)-10)/((INDEX('Stat Boosts'!$D$2:$D$192,(A19/2+22)-9)-10)))&lt;0.5,POWER(1.1,1.75-(($A19+5)/($A19+10))*(INDEX('Stat Boosts'!$D$2:$D$192,E$1-9)-10)/((INDEX('Stat Boosts'!$D$2:$D$192,(A19/2+22)-9)-10))-0.5)*0.5,(1.75-(($A19+5)/($A19+10))*(INDEX('Stat Boosts'!$D$2:$D$192,E$1-9)-10)/((INDEX('Stat Boosts'!$D$2:$D$192,(A19/2+22)-9)-10))))</f>
        <v>1.75</v>
      </c>
      <c r="F19" s="16">
        <f>IF((1.75-(($A19+5)/($A19+10))*(INDEX('Stat Boosts'!$D$2:$D$192,F$1-9)-10)/((INDEX('Stat Boosts'!$D$2:$D$192,(B19/2+22)-9)-10)))&lt;0.5,POWER(1.1,1.75-(($A19+5)/($A19+10))*(INDEX('Stat Boosts'!$D$2:$D$192,F$1-9)-10)/((INDEX('Stat Boosts'!$D$2:$D$192,(B19/2+22)-9)-10))-0.5)*0.5,(1.75-(($A19+5)/($A19+10))*(INDEX('Stat Boosts'!$D$2:$D$192,F$1-9)-10)/((INDEX('Stat Boosts'!$D$2:$D$192,(B19/2+22)-9)-10))))</f>
        <v>1.5808823529411764</v>
      </c>
      <c r="G19" s="16">
        <f>IF((1.75-(($A19+5)/($A19+10))*(INDEX('Stat Boosts'!$D$2:$D$192,G$1-9)-10)/((INDEX('Stat Boosts'!$D$2:$D$192,(C19/2+22)-9)-10)))&lt;0.5,POWER(1.1,1.75-(($A19+5)/($A19+10))*(INDEX('Stat Boosts'!$D$2:$D$192,G$1-9)-10)/((INDEX('Stat Boosts'!$D$2:$D$192,(C19/2+22)-9)-10))-0.5)*0.5,(1.75-(($A19+5)/($A19+10))*(INDEX('Stat Boosts'!$D$2:$D$192,G$1-9)-10)/((INDEX('Stat Boosts'!$D$2:$D$192,(C19/2+22)-9)-10))))</f>
        <v>1.0735294117647058</v>
      </c>
      <c r="H19" s="16">
        <f>IF((1.75-(($A19+5)/($A19+10))*(INDEX('Stat Boosts'!$D$2:$D$192,H$1-9)-10)/((INDEX('Stat Boosts'!$D$2:$D$192,(D19/2+22)-9)-10)))&lt;0.5,POWER(1.1,1.75-(($A19+5)/($A19+10))*(INDEX('Stat Boosts'!$D$2:$D$192,H$1-9)-10)/((INDEX('Stat Boosts'!$D$2:$D$192,(D19/2+22)-9)-10))-0.5)*0.5,(1.75-(($A19+5)/($A19+10))*(INDEX('Stat Boosts'!$D$2:$D$192,H$1-9)-10)/((INDEX('Stat Boosts'!$D$2:$D$192,(D19/2+22)-9)-10))))</f>
        <v>0.73529411764705888</v>
      </c>
      <c r="I19" s="16">
        <f>IF((1.75-(($A19+5)/($A19+10))*(INDEX('Stat Boosts'!$D$2:$D$192,I$1-9)-10)/((INDEX('Stat Boosts'!$D$2:$D$192,(E19/2+22)-9)-10)))&lt;0.5,POWER(1.1,1.75-(($A19+5)/($A19+10))*(INDEX('Stat Boosts'!$D$2:$D$192,I$1-9)-10)/((INDEX('Stat Boosts'!$D$2:$D$192,(E19/2+22)-9)-10))-0.5)*0.5,(1.75-(($A19+5)/($A19+10))*(INDEX('Stat Boosts'!$D$2:$D$192,I$1-9)-10)/((INDEX('Stat Boosts'!$D$2:$D$192,(E19/2+22)-9)-10))))</f>
        <v>0.4974037548013594</v>
      </c>
      <c r="J19" s="16">
        <f>IF((1.75-(($A19+5)/($A19+10))*(INDEX('Stat Boosts'!$D$2:$D$192,J$1-9)-10)/((INDEX('Stat Boosts'!$D$2:$D$192,(F19/2+22)-9)-10)))&lt;0.5,POWER(1.1,1.75-(($A19+5)/($A19+10))*(INDEX('Stat Boosts'!$D$2:$D$192,J$1-9)-10)/((INDEX('Stat Boosts'!$D$2:$D$192,(F19/2+22)-9)-10))-0.5)*0.5,(1.75-(($A19+5)/($A19+10))*(INDEX('Stat Boosts'!$D$2:$D$192,J$1-9)-10)/((INDEX('Stat Boosts'!$D$2:$D$192,(F19/2+22)-9)-10))))</f>
        <v>0.48384767558349984</v>
      </c>
      <c r="K19" s="16">
        <f>IF((1.75-(($A19+5)/($A19+10))*(INDEX('Stat Boosts'!$D$2:$D$192,K$1-9)-10)/((INDEX('Stat Boosts'!$D$2:$D$192,(G19/2+22)-9)-10)))&lt;0.5,POWER(1.1,1.75-(($A19+5)/($A19+10))*(INDEX('Stat Boosts'!$D$2:$D$192,K$1-9)-10)/((INDEX('Stat Boosts'!$D$2:$D$192,(G19/2+22)-9)-10))-0.5)*0.5,(1.75-(($A19+5)/($A19+10))*(INDEX('Stat Boosts'!$D$2:$D$192,K$1-9)-10)/((INDEX('Stat Boosts'!$D$2:$D$192,(G19/2+22)-9)-10))))</f>
        <v>0.45363622208773285</v>
      </c>
      <c r="L19" s="16">
        <f>IF((1.75-(($A19+5)/($A19+10))*(INDEX('Stat Boosts'!$D$2:$D$192,L$1-9)-10)/((INDEX('Stat Boosts'!$D$2:$D$192,(H19/2+22)-9)-10)))&lt;0.5,POWER(1.1,1.75-(($A19+5)/($A19+10))*(INDEX('Stat Boosts'!$D$2:$D$192,L$1-9)-10)/((INDEX('Stat Boosts'!$D$2:$D$192,(H19/2+22)-9)-10))-0.5)*0.5,(1.75-(($A19+5)/($A19+10))*(INDEX('Stat Boosts'!$D$2:$D$192,L$1-9)-10)/((INDEX('Stat Boosts'!$D$2:$D$192,(H19/2+22)-9)-10))))</f>
        <v>0.44330986047355042</v>
      </c>
      <c r="M19" s="16">
        <f>IF((1.75-(($A19+5)/($A19+10))*(INDEX('Stat Boosts'!$D$2:$D$192,M$1-9)-10)/((INDEX('Stat Boosts'!$D$2:$D$192,(I19/2+22)-9)-10)))&lt;0.5,POWER(1.1,1.75-(($A19+5)/($A19+10))*(INDEX('Stat Boosts'!$D$2:$D$192,M$1-9)-10)/((INDEX('Stat Boosts'!$D$2:$D$192,(I19/2+22)-9)-10))-0.5)*0.5,(1.75-(($A19+5)/($A19+10))*(INDEX('Stat Boosts'!$D$2:$D$192,M$1-9)-10)/((INDEX('Stat Boosts'!$D$2:$D$192,(I19/2+22)-9)-10))))</f>
        <v>0.42924665974815401</v>
      </c>
      <c r="N19" s="16">
        <f>IF((1.75-(($A19+5)/($A19+10))*(INDEX('Stat Boosts'!$D$2:$D$192,N$1-9)-10)/((INDEX('Stat Boosts'!$D$2:$D$192,(J19/2+22)-9)-10)))&lt;0.5,POWER(1.1,1.75-(($A19+5)/($A19+10))*(INDEX('Stat Boosts'!$D$2:$D$192,N$1-9)-10)/((INDEX('Stat Boosts'!$D$2:$D$192,(J19/2+22)-9)-10))-0.5)*0.5,(1.75-(($A19+5)/($A19+10))*(INDEX('Stat Boosts'!$D$2:$D$192,N$1-9)-10)/((INDEX('Stat Boosts'!$D$2:$D$192,(J19/2+22)-9)-10))))</f>
        <v>0.41181894703547911</v>
      </c>
      <c r="O19" s="16">
        <f>IF((1.75-(($A19+5)/($A19+10))*(INDEX('Stat Boosts'!$D$2:$D$192,O$1-9)-10)/((INDEX('Stat Boosts'!$D$2:$D$192,(K19/2+22)-9)-10)))&lt;0.5,POWER(1.1,1.75-(($A19+5)/($A19+10))*(INDEX('Stat Boosts'!$D$2:$D$192,O$1-9)-10)/((INDEX('Stat Boosts'!$D$2:$D$192,(K19/2+22)-9)-10))-0.5)*0.5,(1.75-(($A19+5)/($A19+10))*(INDEX('Stat Boosts'!$D$2:$D$192,O$1-9)-10)/((INDEX('Stat Boosts'!$D$2:$D$192,(K19/2+22)-9)-10))))</f>
        <v>0.40244449420389333</v>
      </c>
      <c r="P19" s="16">
        <f>IF((1.75-(($A19+5)/($A19+10))*(INDEX('Stat Boosts'!$D$2:$D$192,P$1-9)-10)/((INDEX('Stat Boosts'!$D$2:$D$192,(L19/2+22)-9)-10)))&lt;0.5,POWER(1.1,1.75-(($A19+5)/($A19+10))*(INDEX('Stat Boosts'!$D$2:$D$192,P$1-9)-10)/((INDEX('Stat Boosts'!$D$2:$D$192,(L19/2+22)-9)-10))-0.5)*0.5,(1.75-(($A19+5)/($A19+10))*(INDEX('Stat Boosts'!$D$2:$D$192,P$1-9)-10)/((INDEX('Stat Boosts'!$D$2:$D$192,(L19/2+22)-9)-10))))</f>
        <v>0.38788720718813313</v>
      </c>
      <c r="Q19" s="16">
        <f>IF((1.75-(($A19+5)/($A19+10))*(INDEX('Stat Boosts'!$D$2:$D$192,Q$1-9)-10)/((INDEX('Stat Boosts'!$D$2:$D$192,(M19/2+22)-9)-10)))&lt;0.5,POWER(1.1,1.75-(($A19+5)/($A19+10))*(INDEX('Stat Boosts'!$D$2:$D$192,Q$1-9)-10)/((INDEX('Stat Boosts'!$D$2:$D$192,(M19/2+22)-9)-10))-0.5)*0.5,(1.75-(($A19+5)/($A19+10))*(INDEX('Stat Boosts'!$D$2:$D$192,Q$1-9)-10)/((INDEX('Stat Boosts'!$D$2:$D$192,(M19/2+22)-9)-10))))</f>
        <v>0.37385648870122912</v>
      </c>
      <c r="R19" s="16">
        <f>IF((1.75-(($A19+5)/($A19+10))*1.25*(INDEX('Stat Boosts'!$D$2:$D$192,R$1-9)-10)/((INDEX('Stat Boosts'!$D$2:$D$192,(N19/2+22)-9)-10)))&lt;0.5,POWER(1.1,1.75-(($A19+5)/($A19+10))*1.25*(INDEX('Stat Boosts'!$D$2:$D$192,R$1-9)-10)/((INDEX('Stat Boosts'!$D$2:$D$192,(N19/2+22)-9)-10))-0.5)*0.5,(1.75-(($A19+5)/($A19+10))*1.25*(INDEX('Stat Boosts'!$D$2:$D$192,R$1-9)-10)/((INDEX('Stat Boosts'!$D$2:$D$192,(N19/2+22)-9)-10))))</f>
        <v>0.32225730513639317</v>
      </c>
    </row>
    <row r="20" spans="1:18">
      <c r="A20" s="9">
        <v>19</v>
      </c>
      <c r="B20" s="16">
        <f t="shared" si="0"/>
        <v>29.6</v>
      </c>
      <c r="C20" s="16">
        <f t="shared" si="1"/>
        <v>2.0408163265306121E-2</v>
      </c>
      <c r="E20" s="16">
        <f>IF((1.75-(($A20+5)/($A20+10))*(INDEX('Stat Boosts'!$D$2:$D$192,E$1-9)-10)/((INDEX('Stat Boosts'!$D$2:$D$192,(A20/2+22)-9)-10)))&lt;0.5,POWER(1.1,1.75-(($A20+5)/($A20+10))*(INDEX('Stat Boosts'!$D$2:$D$192,E$1-9)-10)/((INDEX('Stat Boosts'!$D$2:$D$192,(A20/2+22)-9)-10))-0.5)*0.5,(1.75-(($A20+5)/($A20+10))*(INDEX('Stat Boosts'!$D$2:$D$192,E$1-9)-10)/((INDEX('Stat Boosts'!$D$2:$D$192,(A20/2+22)-9)-10))))</f>
        <v>1.75</v>
      </c>
      <c r="F20" s="16">
        <f>IF((1.75-(($A20+5)/($A20+10))*(INDEX('Stat Boosts'!$D$2:$D$192,F$1-9)-10)/((INDEX('Stat Boosts'!$D$2:$D$192,(B20/2+22)-9)-10)))&lt;0.5,POWER(1.1,1.75-(($A20+5)/($A20+10))*(INDEX('Stat Boosts'!$D$2:$D$192,F$1-9)-10)/((INDEX('Stat Boosts'!$D$2:$D$192,(B20/2+22)-9)-10))-0.5)*0.5,(1.75-(($A20+5)/($A20+10))*(INDEX('Stat Boosts'!$D$2:$D$192,F$1-9)-10)/((INDEX('Stat Boosts'!$D$2:$D$192,(B20/2+22)-9)-10))))</f>
        <v>1.5796146044624746</v>
      </c>
      <c r="G20" s="16">
        <f>IF((1.75-(($A20+5)/($A20+10))*(INDEX('Stat Boosts'!$D$2:$D$192,G$1-9)-10)/((INDEX('Stat Boosts'!$D$2:$D$192,(C20/2+22)-9)-10)))&lt;0.5,POWER(1.1,1.75-(($A20+5)/($A20+10))*(INDEX('Stat Boosts'!$D$2:$D$192,G$1-9)-10)/((INDEX('Stat Boosts'!$D$2:$D$192,(C20/2+22)-9)-10))-0.5)*0.5,(1.75-(($A20+5)/($A20+10))*(INDEX('Stat Boosts'!$D$2:$D$192,G$1-9)-10)/((INDEX('Stat Boosts'!$D$2:$D$192,(C20/2+22)-9)-10))))</f>
        <v>1.0684584178498986</v>
      </c>
      <c r="H20" s="16">
        <f>IF((1.75-(($A20+5)/($A20+10))*(INDEX('Stat Boosts'!$D$2:$D$192,H$1-9)-10)/((INDEX('Stat Boosts'!$D$2:$D$192,(D20/2+22)-9)-10)))&lt;0.5,POWER(1.1,1.75-(($A20+5)/($A20+10))*(INDEX('Stat Boosts'!$D$2:$D$192,H$1-9)-10)/((INDEX('Stat Boosts'!$D$2:$D$192,(D20/2+22)-9)-10))-0.5)*0.5,(1.75-(($A20+5)/($A20+10))*(INDEX('Stat Boosts'!$D$2:$D$192,H$1-9)-10)/((INDEX('Stat Boosts'!$D$2:$D$192,(D20/2+22)-9)-10))))</f>
        <v>0.72768762677484777</v>
      </c>
      <c r="I20" s="16">
        <f>IF((1.75-(($A20+5)/($A20+10))*(INDEX('Stat Boosts'!$D$2:$D$192,I$1-9)-10)/((INDEX('Stat Boosts'!$D$2:$D$192,(E20/2+22)-9)-10)))&lt;0.5,POWER(1.1,1.75-(($A20+5)/($A20+10))*(INDEX('Stat Boosts'!$D$2:$D$192,I$1-9)-10)/((INDEX('Stat Boosts'!$D$2:$D$192,(E20/2+22)-9)-10))-0.5)*0.5,(1.75-(($A20+5)/($A20+10))*(INDEX('Stat Boosts'!$D$2:$D$192,I$1-9)-10)/((INDEX('Stat Boosts'!$D$2:$D$192,(E20/2+22)-9)-10))))</f>
        <v>0.49694033479776528</v>
      </c>
      <c r="J20" s="16">
        <f>IF((1.75-(($A20+5)/($A20+10))*(INDEX('Stat Boosts'!$D$2:$D$192,J$1-9)-10)/((INDEX('Stat Boosts'!$D$2:$D$192,(F20/2+22)-9)-10)))&lt;0.5,POWER(1.1,1.75-(($A20+5)/($A20+10))*(INDEX('Stat Boosts'!$D$2:$D$192,J$1-9)-10)/((INDEX('Stat Boosts'!$D$2:$D$192,(F20/2+22)-9)-10))-0.5)*0.5,(1.75-(($A20+5)/($A20+10))*(INDEX('Stat Boosts'!$D$2:$D$192,J$1-9)-10)/((INDEX('Stat Boosts'!$D$2:$D$192,(F20/2+22)-9)-10))))</f>
        <v>0.48329676694749368</v>
      </c>
      <c r="K20" s="16">
        <f>IF((1.75-(($A20+5)/($A20+10))*(INDEX('Stat Boosts'!$D$2:$D$192,K$1-9)-10)/((INDEX('Stat Boosts'!$D$2:$D$192,(G20/2+22)-9)-10)))&lt;0.5,POWER(1.1,1.75-(($A20+5)/($A20+10))*(INDEX('Stat Boosts'!$D$2:$D$192,K$1-9)-10)/((INDEX('Stat Boosts'!$D$2:$D$192,(G20/2+22)-9)-10))-0.5)*0.5,(1.75-(($A20+5)/($A20+10))*(INDEX('Stat Boosts'!$D$2:$D$192,K$1-9)-10)/((INDEX('Stat Boosts'!$D$2:$D$192,(G20/2+22)-9)-10))))</f>
        <v>0.4529007644922885</v>
      </c>
      <c r="L20" s="16">
        <f>IF((1.75-(($A20+5)/($A20+10))*(INDEX('Stat Boosts'!$D$2:$D$192,L$1-9)-10)/((INDEX('Stat Boosts'!$D$2:$D$192,(H20/2+22)-9)-10)))&lt;0.5,POWER(1.1,1.75-(($A20+5)/($A20+10))*(INDEX('Stat Boosts'!$D$2:$D$192,L$1-9)-10)/((INDEX('Stat Boosts'!$D$2:$D$192,(H20/2+22)-9)-10))-0.5)*0.5,(1.75-(($A20+5)/($A20+10))*(INDEX('Stat Boosts'!$D$2:$D$192,L$1-9)-10)/((INDEX('Stat Boosts'!$D$2:$D$192,(H20/2+22)-9)-10))))</f>
        <v>0.4425147539480318</v>
      </c>
      <c r="M20" s="16">
        <f>IF((1.75-(($A20+5)/($A20+10))*(INDEX('Stat Boosts'!$D$2:$D$192,M$1-9)-10)/((INDEX('Stat Boosts'!$D$2:$D$192,(I20/2+22)-9)-10)))&lt;0.5,POWER(1.1,1.75-(($A20+5)/($A20+10))*(INDEX('Stat Boosts'!$D$2:$D$192,M$1-9)-10)/((INDEX('Stat Boosts'!$D$2:$D$192,(I20/2+22)-9)-10))-0.5)*0.5,(1.75-(($A20+5)/($A20+10))*(INDEX('Stat Boosts'!$D$2:$D$192,M$1-9)-10)/((INDEX('Stat Boosts'!$D$2:$D$192,(I20/2+22)-9)-10))))</f>
        <v>0.42837324391600684</v>
      </c>
      <c r="N20" s="16">
        <f>IF((1.75-(($A20+5)/($A20+10))*(INDEX('Stat Boosts'!$D$2:$D$192,N$1-9)-10)/((INDEX('Stat Boosts'!$D$2:$D$192,(J20/2+22)-9)-10)))&lt;0.5,POWER(1.1,1.75-(($A20+5)/($A20+10))*(INDEX('Stat Boosts'!$D$2:$D$192,N$1-9)-10)/((INDEX('Stat Boosts'!$D$2:$D$192,(J20/2+22)-9)-10))-0.5)*0.5,(1.75-(($A20+5)/($A20+10))*(INDEX('Stat Boosts'!$D$2:$D$192,N$1-9)-10)/((INDEX('Stat Boosts'!$D$2:$D$192,(J20/2+22)-9)-10))))</f>
        <v>0.41085331888798909</v>
      </c>
      <c r="O20" s="16">
        <f>IF((1.75-(($A20+5)/($A20+10))*(INDEX('Stat Boosts'!$D$2:$D$192,O$1-9)-10)/((INDEX('Stat Boosts'!$D$2:$D$192,(K20/2+22)-9)-10)))&lt;0.5,POWER(1.1,1.75-(($A20+5)/($A20+10))*(INDEX('Stat Boosts'!$D$2:$D$192,O$1-9)-10)/((INDEX('Stat Boosts'!$D$2:$D$192,(K20/2+22)-9)-10))-0.5)*0.5,(1.75-(($A20+5)/($A20+10))*(INDEX('Stat Boosts'!$D$2:$D$192,O$1-9)-10)/((INDEX('Stat Boosts'!$D$2:$D$192,(K20/2+22)-9)-10))))</f>
        <v>0.40143154874172526</v>
      </c>
      <c r="P20" s="16">
        <f>IF((1.75-(($A20+5)/($A20+10))*(INDEX('Stat Boosts'!$D$2:$D$192,P$1-9)-10)/((INDEX('Stat Boosts'!$D$2:$D$192,(L20/2+22)-9)-10)))&lt;0.5,POWER(1.1,1.75-(($A20+5)/($A20+10))*(INDEX('Stat Boosts'!$D$2:$D$192,P$1-9)-10)/((INDEX('Stat Boosts'!$D$2:$D$192,(L20/2+22)-9)-10))-0.5)*0.5,(1.75-(($A20+5)/($A20+10))*(INDEX('Stat Boosts'!$D$2:$D$192,P$1-9)-10)/((INDEX('Stat Boosts'!$D$2:$D$192,(L20/2+22)-9)-10))))</f>
        <v>0.38680405933621503</v>
      </c>
      <c r="Q20" s="16">
        <f>IF((1.75-(($A20+5)/($A20+10))*(INDEX('Stat Boosts'!$D$2:$D$192,Q$1-9)-10)/((INDEX('Stat Boosts'!$D$2:$D$192,(M20/2+22)-9)-10)))&lt;0.5,POWER(1.1,1.75-(($A20+5)/($A20+10))*(INDEX('Stat Boosts'!$D$2:$D$192,Q$1-9)-10)/((INDEX('Stat Boosts'!$D$2:$D$192,(M20/2+22)-9)-10))-0.5)*0.5,(1.75-(($A20+5)/($A20+10))*(INDEX('Stat Boosts'!$D$2:$D$192,Q$1-9)-10)/((INDEX('Stat Boosts'!$D$2:$D$192,(M20/2+22)-9)-10))))</f>
        <v>0.37270957100393637</v>
      </c>
      <c r="R20" s="16">
        <f>IF((1.75-(($A20+5)/($A20+10))*1.25*(INDEX('Stat Boosts'!$D$2:$D$192,R$1-9)-10)/((INDEX('Stat Boosts'!$D$2:$D$192,(N20/2+22)-9)-10)))&lt;0.5,POWER(1.1,1.75-(($A20+5)/($A20+10))*1.25*(INDEX('Stat Boosts'!$D$2:$D$192,R$1-9)-10)/((INDEX('Stat Boosts'!$D$2:$D$192,(N20/2+22)-9)-10))-0.5)*0.5,(1.75-(($A20+5)/($A20+10))*1.25*(INDEX('Stat Boosts'!$D$2:$D$192,R$1-9)-10)/((INDEX('Stat Boosts'!$D$2:$D$192,(N20/2+22)-9)-10))))</f>
        <v>0.32091119613911928</v>
      </c>
    </row>
    <row r="21" spans="1:18">
      <c r="A21" s="9">
        <v>20</v>
      </c>
      <c r="B21" s="16">
        <f t="shared" si="0"/>
        <v>30</v>
      </c>
      <c r="C21" s="16">
        <f t="shared" si="1"/>
        <v>0.02</v>
      </c>
      <c r="E21" s="16">
        <f>IF((1.75-(($A21+5)/($A21+10))*(INDEX('Stat Boosts'!$D$2:$D$192,E$1-9)-10)/((INDEX('Stat Boosts'!$D$2:$D$192,(A21/2+22)-9)-10)))&lt;0.5,POWER(1.1,1.75-(($A21+5)/($A21+10))*(INDEX('Stat Boosts'!$D$2:$D$192,E$1-9)-10)/((INDEX('Stat Boosts'!$D$2:$D$192,(A21/2+22)-9)-10))-0.5)*0.5,(1.75-(($A21+5)/($A21+10))*(INDEX('Stat Boosts'!$D$2:$D$192,E$1-9)-10)/((INDEX('Stat Boosts'!$D$2:$D$192,(A21/2+22)-9)-10))))</f>
        <v>1.75</v>
      </c>
      <c r="F21" s="16">
        <f>IF((1.75-(($A21+5)/($A21+10))*(INDEX('Stat Boosts'!$D$2:$D$192,F$1-9)-10)/((INDEX('Stat Boosts'!$D$2:$D$192,(B21/2+22)-9)-10)))&lt;0.5,POWER(1.1,1.75-(($A21+5)/($A21+10))*(INDEX('Stat Boosts'!$D$2:$D$192,F$1-9)-10)/((INDEX('Stat Boosts'!$D$2:$D$192,(B21/2+22)-9)-10))-0.5)*0.5,(1.75-(($A21+5)/($A21+10))*(INDEX('Stat Boosts'!$D$2:$D$192,F$1-9)-10)/((INDEX('Stat Boosts'!$D$2:$D$192,(B21/2+22)-9)-10))))</f>
        <v>1.5833333333333333</v>
      </c>
      <c r="G21" s="16">
        <f>IF((1.75-(($A21+5)/($A21+10))*(INDEX('Stat Boosts'!$D$2:$D$192,G$1-9)-10)/((INDEX('Stat Boosts'!$D$2:$D$192,(C21/2+22)-9)-10)))&lt;0.5,POWER(1.1,1.75-(($A21+5)/($A21+10))*(INDEX('Stat Boosts'!$D$2:$D$192,G$1-9)-10)/((INDEX('Stat Boosts'!$D$2:$D$192,(C21/2+22)-9)-10))-0.5)*0.5,(1.75-(($A21+5)/($A21+10))*(INDEX('Stat Boosts'!$D$2:$D$192,G$1-9)-10)/((INDEX('Stat Boosts'!$D$2:$D$192,(C21/2+22)-9)-10))))</f>
        <v>1.0637254901960782</v>
      </c>
      <c r="H21" s="16">
        <f>IF((1.75-(($A21+5)/($A21+10))*(INDEX('Stat Boosts'!$D$2:$D$192,H$1-9)-10)/((INDEX('Stat Boosts'!$D$2:$D$192,(D21/2+22)-9)-10)))&lt;0.5,POWER(1.1,1.75-(($A21+5)/($A21+10))*(INDEX('Stat Boosts'!$D$2:$D$192,H$1-9)-10)/((INDEX('Stat Boosts'!$D$2:$D$192,(D21/2+22)-9)-10))-0.5)*0.5,(1.75-(($A21+5)/($A21+10))*(INDEX('Stat Boosts'!$D$2:$D$192,H$1-9)-10)/((INDEX('Stat Boosts'!$D$2:$D$192,(D21/2+22)-9)-10))))</f>
        <v>0.72058823529411775</v>
      </c>
      <c r="I21" s="16">
        <f>IF((1.75-(($A21+5)/($A21+10))*(INDEX('Stat Boosts'!$D$2:$D$192,I$1-9)-10)/((INDEX('Stat Boosts'!$D$2:$D$192,(E21/2+22)-9)-10)))&lt;0.5,POWER(1.1,1.75-(($A21+5)/($A21+10))*(INDEX('Stat Boosts'!$D$2:$D$192,I$1-9)-10)/((INDEX('Stat Boosts'!$D$2:$D$192,(E21/2+22)-9)-10))-0.5)*0.5,(1.75-(($A21+5)/($A21+10))*(INDEX('Stat Boosts'!$D$2:$D$192,I$1-9)-10)/((INDEX('Stat Boosts'!$D$2:$D$192,(E21/2+22)-9)-10))))</f>
        <v>0.49650819901089627</v>
      </c>
      <c r="J21" s="16">
        <f>IF((1.75-(($A21+5)/($A21+10))*(INDEX('Stat Boosts'!$D$2:$D$192,J$1-9)-10)/((INDEX('Stat Boosts'!$D$2:$D$192,(F21/2+22)-9)-10)))&lt;0.5,POWER(1.1,1.75-(($A21+5)/($A21+10))*(INDEX('Stat Boosts'!$D$2:$D$192,J$1-9)-10)/((INDEX('Stat Boosts'!$D$2:$D$192,(F21/2+22)-9)-10))-0.5)*0.5,(1.75-(($A21+5)/($A21+10))*(INDEX('Stat Boosts'!$D$2:$D$192,J$1-9)-10)/((INDEX('Stat Boosts'!$D$2:$D$192,(F21/2+22)-9)-10))))</f>
        <v>0.48278315149991219</v>
      </c>
      <c r="K21" s="16">
        <f>IF((1.75-(($A21+5)/($A21+10))*(INDEX('Stat Boosts'!$D$2:$D$192,K$1-9)-10)/((INDEX('Stat Boosts'!$D$2:$D$192,(G21/2+22)-9)-10)))&lt;0.5,POWER(1.1,1.75-(($A21+5)/($A21+10))*(INDEX('Stat Boosts'!$D$2:$D$192,K$1-9)-10)/((INDEX('Stat Boosts'!$D$2:$D$192,(G21/2+22)-9)-10))-0.5)*0.5,(1.75-(($A21+5)/($A21+10))*(INDEX('Stat Boosts'!$D$2:$D$192,K$1-9)-10)/((INDEX('Stat Boosts'!$D$2:$D$192,(G21/2+22)-9)-10))))</f>
        <v>0.45221541321604625</v>
      </c>
      <c r="L21" s="16">
        <f>IF((1.75-(($A21+5)/($A21+10))*(INDEX('Stat Boosts'!$D$2:$D$192,L$1-9)-10)/((INDEX('Stat Boosts'!$D$2:$D$192,(H21/2+22)-9)-10)))&lt;0.5,POWER(1.1,1.75-(($A21+5)/($A21+10))*(INDEX('Stat Boosts'!$D$2:$D$192,L$1-9)-10)/((INDEX('Stat Boosts'!$D$2:$D$192,(H21/2+22)-9)-10))-0.5)*0.5,(1.75-(($A21+5)/($A21+10))*(INDEX('Stat Boosts'!$D$2:$D$192,L$1-9)-10)/((INDEX('Stat Boosts'!$D$2:$D$192,(H21/2+22)-9)-10))))</f>
        <v>0.4417739412146765</v>
      </c>
      <c r="M21" s="16">
        <f>IF((1.75-(($A21+5)/($A21+10))*(INDEX('Stat Boosts'!$D$2:$D$192,M$1-9)-10)/((INDEX('Stat Boosts'!$D$2:$D$192,(I21/2+22)-9)-10)))&lt;0.5,POWER(1.1,1.75-(($A21+5)/($A21+10))*(INDEX('Stat Boosts'!$D$2:$D$192,M$1-9)-10)/((INDEX('Stat Boosts'!$D$2:$D$192,(I21/2+22)-9)-10))-0.5)*0.5,(1.75-(($A21+5)/($A21+10))*(INDEX('Stat Boosts'!$D$2:$D$192,M$1-9)-10)/((INDEX('Stat Boosts'!$D$2:$D$192,(I21/2+22)-9)-10))))</f>
        <v>0.42755965930378348</v>
      </c>
      <c r="N21" s="16">
        <f>IF((1.75-(($A21+5)/($A21+10))*(INDEX('Stat Boosts'!$D$2:$D$192,N$1-9)-10)/((INDEX('Stat Boosts'!$D$2:$D$192,(J21/2+22)-9)-10)))&lt;0.5,POWER(1.1,1.75-(($A21+5)/($A21+10))*(INDEX('Stat Boosts'!$D$2:$D$192,N$1-9)-10)/((INDEX('Stat Boosts'!$D$2:$D$192,(J21/2+22)-9)-10))-0.5)*0.5,(1.75-(($A21+5)/($A21+10))*(INDEX('Stat Boosts'!$D$2:$D$192,N$1-9)-10)/((INDEX('Stat Boosts'!$D$2:$D$192,(J21/2+22)-9)-10))))</f>
        <v>0.40995410886239292</v>
      </c>
      <c r="O21" s="16">
        <f>IF((1.75-(($A21+5)/($A21+10))*(INDEX('Stat Boosts'!$D$2:$D$192,O$1-9)-10)/((INDEX('Stat Boosts'!$D$2:$D$192,(K21/2+22)-9)-10)))&lt;0.5,POWER(1.1,1.75-(($A21+5)/($A21+10))*(INDEX('Stat Boosts'!$D$2:$D$192,O$1-9)-10)/((INDEX('Stat Boosts'!$D$2:$D$192,(K21/2+22)-9)-10))-0.5)*0.5,(1.75-(($A21+5)/($A21+10))*(INDEX('Stat Boosts'!$D$2:$D$192,O$1-9)-10)/((INDEX('Stat Boosts'!$D$2:$D$192,(K21/2+22)-9)-10))))</f>
        <v>0.40048843338023471</v>
      </c>
      <c r="P21" s="16">
        <f>IF((1.75-(($A21+5)/($A21+10))*(INDEX('Stat Boosts'!$D$2:$D$192,P$1-9)-10)/((INDEX('Stat Boosts'!$D$2:$D$192,(L21/2+22)-9)-10)))&lt;0.5,POWER(1.1,1.75-(($A21+5)/($A21+10))*(INDEX('Stat Boosts'!$D$2:$D$192,P$1-9)-10)/((INDEX('Stat Boosts'!$D$2:$D$192,(L21/2+22)-9)-10))-0.5)*0.5,(1.75-(($A21+5)/($A21+10))*(INDEX('Stat Boosts'!$D$2:$D$192,P$1-9)-10)/((INDEX('Stat Boosts'!$D$2:$D$192,(L21/2+22)-9)-10))))</f>
        <v>0.38579585038496605</v>
      </c>
      <c r="Q21" s="16">
        <f>IF((1.75-(($A21+5)/($A21+10))*(INDEX('Stat Boosts'!$D$2:$D$192,Q$1-9)-10)/((INDEX('Stat Boosts'!$D$2:$D$192,(M21/2+22)-9)-10)))&lt;0.5,POWER(1.1,1.75-(($A21+5)/($A21+10))*(INDEX('Stat Boosts'!$D$2:$D$192,Q$1-9)-10)/((INDEX('Stat Boosts'!$D$2:$D$192,(M21/2+22)-9)-10))-0.5)*0.5,(1.75-(($A21+5)/($A21+10))*(INDEX('Stat Boosts'!$D$2:$D$192,Q$1-9)-10)/((INDEX('Stat Boosts'!$D$2:$D$192,(M21/2+22)-9)-10))))</f>
        <v>0.37164228918678355</v>
      </c>
      <c r="R21" s="16">
        <f>IF((1.75-(($A21+5)/($A21+10))*1.25*(INDEX('Stat Boosts'!$D$2:$D$192,R$1-9)-10)/((INDEX('Stat Boosts'!$D$2:$D$192,(N21/2+22)-9)-10)))&lt;0.5,POWER(1.1,1.75-(($A21+5)/($A21+10))*1.25*(INDEX('Stat Boosts'!$D$2:$D$192,R$1-9)-10)/((INDEX('Stat Boosts'!$D$2:$D$192,(N21/2+22)-9)-10))-0.5)*0.5,(1.75-(($A21+5)/($A21+10))*1.25*(INDEX('Stat Boosts'!$D$2:$D$192,R$1-9)-10)/((INDEX('Stat Boosts'!$D$2:$D$192,(N21/2+22)-9)-10))))</f>
        <v>0.3196599012871621</v>
      </c>
    </row>
    <row r="22" spans="1:18">
      <c r="A22" s="9">
        <v>21</v>
      </c>
      <c r="B22" s="16">
        <f t="shared" si="0"/>
        <v>30.4</v>
      </c>
      <c r="C22" s="16">
        <f t="shared" si="1"/>
        <v>1.9607843137254905E-2</v>
      </c>
      <c r="E22" s="16">
        <f>IF((1.75-(($A22+5)/($A22+10))*(INDEX('Stat Boosts'!$D$2:$D$192,E$1-9)-10)/((INDEX('Stat Boosts'!$D$2:$D$192,(A22/2+22)-9)-10)))&lt;0.5,POWER(1.1,1.75-(($A22+5)/($A22+10))*(INDEX('Stat Boosts'!$D$2:$D$192,E$1-9)-10)/((INDEX('Stat Boosts'!$D$2:$D$192,(A22/2+22)-9)-10))-0.5)*0.5,(1.75-(($A22+5)/($A22+10))*(INDEX('Stat Boosts'!$D$2:$D$192,E$1-9)-10)/((INDEX('Stat Boosts'!$D$2:$D$192,(A22/2+22)-9)-10))))</f>
        <v>1.75</v>
      </c>
      <c r="F22" s="16">
        <f>IF((1.75-(($A22+5)/($A22+10))*(INDEX('Stat Boosts'!$D$2:$D$192,F$1-9)-10)/((INDEX('Stat Boosts'!$D$2:$D$192,(B22/2+22)-9)-10)))&lt;0.5,POWER(1.1,1.75-(($A22+5)/($A22+10))*(INDEX('Stat Boosts'!$D$2:$D$192,F$1-9)-10)/((INDEX('Stat Boosts'!$D$2:$D$192,(B22/2+22)-9)-10))-0.5)*0.5,(1.75-(($A22+5)/($A22+10))*(INDEX('Stat Boosts'!$D$2:$D$192,F$1-9)-10)/((INDEX('Stat Boosts'!$D$2:$D$192,(B22/2+22)-9)-10))))</f>
        <v>1.582258064516129</v>
      </c>
      <c r="G22" s="16">
        <f>IF((1.75-(($A22+5)/($A22+10))*(INDEX('Stat Boosts'!$D$2:$D$192,G$1-9)-10)/((INDEX('Stat Boosts'!$D$2:$D$192,(C22/2+22)-9)-10)))&lt;0.5,POWER(1.1,1.75-(($A22+5)/($A22+10))*(INDEX('Stat Boosts'!$D$2:$D$192,G$1-9)-10)/((INDEX('Stat Boosts'!$D$2:$D$192,(C22/2+22)-9)-10))-0.5)*0.5,(1.75-(($A22+5)/($A22+10))*(INDEX('Stat Boosts'!$D$2:$D$192,G$1-9)-10)/((INDEX('Stat Boosts'!$D$2:$D$192,(C22/2+22)-9)-10))))</f>
        <v>1.0592979127134725</v>
      </c>
      <c r="H22" s="16">
        <f>IF((1.75-(($A22+5)/($A22+10))*(INDEX('Stat Boosts'!$D$2:$D$192,H$1-9)-10)/((INDEX('Stat Boosts'!$D$2:$D$192,(D22/2+22)-9)-10)))&lt;0.5,POWER(1.1,1.75-(($A22+5)/($A22+10))*(INDEX('Stat Boosts'!$D$2:$D$192,H$1-9)-10)/((INDEX('Stat Boosts'!$D$2:$D$192,(D22/2+22)-9)-10))-0.5)*0.5,(1.75-(($A22+5)/($A22+10))*(INDEX('Stat Boosts'!$D$2:$D$192,H$1-9)-10)/((INDEX('Stat Boosts'!$D$2:$D$192,(D22/2+22)-9)-10))))</f>
        <v>0.71394686907020866</v>
      </c>
      <c r="I22" s="16">
        <f>IF((1.75-(($A22+5)/($A22+10))*(INDEX('Stat Boosts'!$D$2:$D$192,I$1-9)-10)/((INDEX('Stat Boosts'!$D$2:$D$192,(E22/2+22)-9)-10)))&lt;0.5,POWER(1.1,1.75-(($A22+5)/($A22+10))*(INDEX('Stat Boosts'!$D$2:$D$192,I$1-9)-10)/((INDEX('Stat Boosts'!$D$2:$D$192,(E22/2+22)-9)-10))-0.5)*0.5,(1.75-(($A22+5)/($A22+10))*(INDEX('Stat Boosts'!$D$2:$D$192,I$1-9)-10)/((INDEX('Stat Boosts'!$D$2:$D$192,(E22/2+22)-9)-10))))</f>
        <v>0.49610428315683247</v>
      </c>
      <c r="J22" s="16">
        <f>IF((1.75-(($A22+5)/($A22+10))*(INDEX('Stat Boosts'!$D$2:$D$192,J$1-9)-10)/((INDEX('Stat Boosts'!$D$2:$D$192,(F22/2+22)-9)-10)))&lt;0.5,POWER(1.1,1.75-(($A22+5)/($A22+10))*(INDEX('Stat Boosts'!$D$2:$D$192,J$1-9)-10)/((INDEX('Stat Boosts'!$D$2:$D$192,(F22/2+22)-9)-10))-0.5)*0.5,(1.75-(($A22+5)/($A22+10))*(INDEX('Stat Boosts'!$D$2:$D$192,J$1-9)-10)/((INDEX('Stat Boosts'!$D$2:$D$192,(F22/2+22)-9)-10))))</f>
        <v>0.48230316669335382</v>
      </c>
      <c r="K22" s="16">
        <f>IF((1.75-(($A22+5)/($A22+10))*(INDEX('Stat Boosts'!$D$2:$D$192,K$1-9)-10)/((INDEX('Stat Boosts'!$D$2:$D$192,(G22/2+22)-9)-10)))&lt;0.5,POWER(1.1,1.75-(($A22+5)/($A22+10))*(INDEX('Stat Boosts'!$D$2:$D$192,K$1-9)-10)/((INDEX('Stat Boosts'!$D$2:$D$192,(G22/2+22)-9)-10))-0.5)*0.5,(1.75-(($A22+5)/($A22+10))*(INDEX('Stat Boosts'!$D$2:$D$192,K$1-9)-10)/((INDEX('Stat Boosts'!$D$2:$D$192,(G22/2+22)-9)-10))))</f>
        <v>0.45157521708157666</v>
      </c>
      <c r="L22" s="16">
        <f>IF((1.75-(($A22+5)/($A22+10))*(INDEX('Stat Boosts'!$D$2:$D$192,L$1-9)-10)/((INDEX('Stat Boosts'!$D$2:$D$192,(H22/2+22)-9)-10)))&lt;0.5,POWER(1.1,1.75-(($A22+5)/($A22+10))*(INDEX('Stat Boosts'!$D$2:$D$192,L$1-9)-10)/((INDEX('Stat Boosts'!$D$2:$D$192,(H22/2+22)-9)-10))-0.5)*0.5,(1.75-(($A22+5)/($A22+10))*(INDEX('Stat Boosts'!$D$2:$D$192,L$1-9)-10)/((INDEX('Stat Boosts'!$D$2:$D$192,(H22/2+22)-9)-10))))</f>
        <v>0.4410820456466264</v>
      </c>
      <c r="M22" s="16">
        <f>IF((1.75-(($A22+5)/($A22+10))*(INDEX('Stat Boosts'!$D$2:$D$192,M$1-9)-10)/((INDEX('Stat Boosts'!$D$2:$D$192,(I22/2+22)-9)-10)))&lt;0.5,POWER(1.1,1.75-(($A22+5)/($A22+10))*(INDEX('Stat Boosts'!$D$2:$D$192,M$1-9)-10)/((INDEX('Stat Boosts'!$D$2:$D$192,(I22/2+22)-9)-10))-0.5)*0.5,(1.75-(($A22+5)/($A22+10))*(INDEX('Stat Boosts'!$D$2:$D$192,M$1-9)-10)/((INDEX('Stat Boosts'!$D$2:$D$192,(I22/2+22)-9)-10))))</f>
        <v>0.42679996295377404</v>
      </c>
      <c r="N22" s="16">
        <f>IF((1.75-(($A22+5)/($A22+10))*(INDEX('Stat Boosts'!$D$2:$D$192,N$1-9)-10)/((INDEX('Stat Boosts'!$D$2:$D$192,(J22/2+22)-9)-10)))&lt;0.5,POWER(1.1,1.75-(($A22+5)/($A22+10))*(INDEX('Stat Boosts'!$D$2:$D$192,N$1-9)-10)/((INDEX('Stat Boosts'!$D$2:$D$192,(J22/2+22)-9)-10))-0.5)*0.5,(1.75-(($A22+5)/($A22+10))*(INDEX('Stat Boosts'!$D$2:$D$192,N$1-9)-10)/((INDEX('Stat Boosts'!$D$2:$D$192,(J22/2+22)-9)-10))))</f>
        <v>0.40911469415747648</v>
      </c>
      <c r="O22" s="16">
        <f>IF((1.75-(($A22+5)/($A22+10))*(INDEX('Stat Boosts'!$D$2:$D$192,O$1-9)-10)/((INDEX('Stat Boosts'!$D$2:$D$192,(K22/2+22)-9)-10)))&lt;0.5,POWER(1.1,1.75-(($A22+5)/($A22+10))*(INDEX('Stat Boosts'!$D$2:$D$192,O$1-9)-10)/((INDEX('Stat Boosts'!$D$2:$D$192,(K22/2+22)-9)-10))-0.5)*0.5,(1.75-(($A22+5)/($A22+10))*(INDEX('Stat Boosts'!$D$2:$D$192,O$1-9)-10)/((INDEX('Stat Boosts'!$D$2:$D$192,(K22/2+22)-9)-10))))</f>
        <v>0.39960817019432437</v>
      </c>
      <c r="P22" s="16">
        <f>IF((1.75-(($A22+5)/($A22+10))*(INDEX('Stat Boosts'!$D$2:$D$192,P$1-9)-10)/((INDEX('Stat Boosts'!$D$2:$D$192,(L22/2+22)-9)-10)))&lt;0.5,POWER(1.1,1.75-(($A22+5)/($A22+10))*(INDEX('Stat Boosts'!$D$2:$D$192,P$1-9)-10)/((INDEX('Stat Boosts'!$D$2:$D$192,(L22/2+22)-9)-10))-0.5)*0.5,(1.75-(($A22+5)/($A22+10))*(INDEX('Stat Boosts'!$D$2:$D$192,P$1-9)-10)/((INDEX('Stat Boosts'!$D$2:$D$192,(L22/2+22)-9)-10))))</f>
        <v>0.38485506636893907</v>
      </c>
      <c r="Q22" s="16">
        <f>IF((1.75-(($A22+5)/($A22+10))*(INDEX('Stat Boosts'!$D$2:$D$192,Q$1-9)-10)/((INDEX('Stat Boosts'!$D$2:$D$192,(M22/2+22)-9)-10)))&lt;0.5,POWER(1.1,1.75-(($A22+5)/($A22+10))*(INDEX('Stat Boosts'!$D$2:$D$192,Q$1-9)-10)/((INDEX('Stat Boosts'!$D$2:$D$192,(M22/2+22)-9)-10))-0.5)*0.5,(1.75-(($A22+5)/($A22+10))*(INDEX('Stat Boosts'!$D$2:$D$192,Q$1-9)-10)/((INDEX('Stat Boosts'!$D$2:$D$192,(M22/2+22)-9)-10))))</f>
        <v>0.37064663126836173</v>
      </c>
      <c r="R22" s="16">
        <f>IF((1.75-(($A22+5)/($A22+10))*1.25*(INDEX('Stat Boosts'!$D$2:$D$192,R$1-9)-10)/((INDEX('Stat Boosts'!$D$2:$D$192,(N22/2+22)-9)-10)))&lt;0.5,POWER(1.1,1.75-(($A22+5)/($A22+10))*1.25*(INDEX('Stat Boosts'!$D$2:$D$192,R$1-9)-10)/((INDEX('Stat Boosts'!$D$2:$D$192,(N22/2+22)-9)-10))-0.5)*0.5,(1.75-(($A22+5)/($A22+10))*1.25*(INDEX('Stat Boosts'!$D$2:$D$192,R$1-9)-10)/((INDEX('Stat Boosts'!$D$2:$D$192,(N22/2+22)-9)-10))))</f>
        <v>0.31849375253571699</v>
      </c>
    </row>
    <row r="23" spans="1:18">
      <c r="A23" s="9">
        <v>22</v>
      </c>
      <c r="B23" s="16">
        <f t="shared" si="0"/>
        <v>30.8</v>
      </c>
      <c r="C23" s="16">
        <f t="shared" si="1"/>
        <v>1.9230769230769232E-2</v>
      </c>
      <c r="E23" s="16">
        <f>IF((1.75-(($A23+5)/($A23+10))*(INDEX('Stat Boosts'!$D$2:$D$192,E$1-9)-10)/((INDEX('Stat Boosts'!$D$2:$D$192,(A23/2+22)-9)-10)))&lt;0.5,POWER(1.1,1.75-(($A23+5)/($A23+10))*(INDEX('Stat Boosts'!$D$2:$D$192,E$1-9)-10)/((INDEX('Stat Boosts'!$D$2:$D$192,(A23/2+22)-9)-10))-0.5)*0.5,(1.75-(($A23+5)/($A23+10))*(INDEX('Stat Boosts'!$D$2:$D$192,E$1-9)-10)/((INDEX('Stat Boosts'!$D$2:$D$192,(A23/2+22)-9)-10))))</f>
        <v>1.75</v>
      </c>
      <c r="F23" s="16">
        <f>IF((1.75-(($A23+5)/($A23+10))*(INDEX('Stat Boosts'!$D$2:$D$192,F$1-9)-10)/((INDEX('Stat Boosts'!$D$2:$D$192,(B23/2+22)-9)-10)))&lt;0.5,POWER(1.1,1.75-(($A23+5)/($A23+10))*(INDEX('Stat Boosts'!$D$2:$D$192,F$1-9)-10)/((INDEX('Stat Boosts'!$D$2:$D$192,(B23/2+22)-9)-10))-0.5)*0.5,(1.75-(($A23+5)/($A23+10))*(INDEX('Stat Boosts'!$D$2:$D$192,F$1-9)-10)/((INDEX('Stat Boosts'!$D$2:$D$192,(B23/2+22)-9)-10))))</f>
        <v>1.58125</v>
      </c>
      <c r="G23" s="16">
        <f>IF((1.75-(($A23+5)/($A23+10))*(INDEX('Stat Boosts'!$D$2:$D$192,G$1-9)-10)/((INDEX('Stat Boosts'!$D$2:$D$192,(C23/2+22)-9)-10)))&lt;0.5,POWER(1.1,1.75-(($A23+5)/($A23+10))*(INDEX('Stat Boosts'!$D$2:$D$192,G$1-9)-10)/((INDEX('Stat Boosts'!$D$2:$D$192,(C23/2+22)-9)-10))-0.5)*0.5,(1.75-(($A23+5)/($A23+10))*(INDEX('Stat Boosts'!$D$2:$D$192,G$1-9)-10)/((INDEX('Stat Boosts'!$D$2:$D$192,(C23/2+22)-9)-10))))</f>
        <v>1.0551470588235294</v>
      </c>
      <c r="H23" s="16">
        <f>IF((1.75-(($A23+5)/($A23+10))*(INDEX('Stat Boosts'!$D$2:$D$192,H$1-9)-10)/((INDEX('Stat Boosts'!$D$2:$D$192,(D23/2+22)-9)-10)))&lt;0.5,POWER(1.1,1.75-(($A23+5)/($A23+10))*(INDEX('Stat Boosts'!$D$2:$D$192,H$1-9)-10)/((INDEX('Stat Boosts'!$D$2:$D$192,(D23/2+22)-9)-10))-0.5)*0.5,(1.75-(($A23+5)/($A23+10))*(INDEX('Stat Boosts'!$D$2:$D$192,H$1-9)-10)/((INDEX('Stat Boosts'!$D$2:$D$192,(D23/2+22)-9)-10))))</f>
        <v>0.70772058823529416</v>
      </c>
      <c r="I23" s="16">
        <f>IF((1.75-(($A23+5)/($A23+10))*(INDEX('Stat Boosts'!$D$2:$D$192,I$1-9)-10)/((INDEX('Stat Boosts'!$D$2:$D$192,(E23/2+22)-9)-10)))&lt;0.5,POWER(1.1,1.75-(($A23+5)/($A23+10))*(INDEX('Stat Boosts'!$D$2:$D$192,I$1-9)-10)/((INDEX('Stat Boosts'!$D$2:$D$192,(E23/2+22)-9)-10))-0.5)*0.5,(1.75-(($A23+5)/($A23+10))*(INDEX('Stat Boosts'!$D$2:$D$192,I$1-9)-10)/((INDEX('Stat Boosts'!$D$2:$D$192,(E23/2+22)-9)-10))))</f>
        <v>0.4957259104758811</v>
      </c>
      <c r="J23" s="16">
        <f>IF((1.75-(($A23+5)/($A23+10))*(INDEX('Stat Boosts'!$D$2:$D$192,J$1-9)-10)/((INDEX('Stat Boosts'!$D$2:$D$192,(F23/2+22)-9)-10)))&lt;0.5,POWER(1.1,1.75-(($A23+5)/($A23+10))*(INDEX('Stat Boosts'!$D$2:$D$192,J$1-9)-10)/((INDEX('Stat Boosts'!$D$2:$D$192,(F23/2+22)-9)-10))-0.5)*0.5,(1.75-(($A23+5)/($A23+10))*(INDEX('Stat Boosts'!$D$2:$D$192,J$1-9)-10)/((INDEX('Stat Boosts'!$D$2:$D$192,(F23/2+22)-9)-10))))</f>
        <v>0.48185361434315122</v>
      </c>
      <c r="K23" s="16">
        <f>IF((1.75-(($A23+5)/($A23+10))*(INDEX('Stat Boosts'!$D$2:$D$192,K$1-9)-10)/((INDEX('Stat Boosts'!$D$2:$D$192,(G23/2+22)-9)-10)))&lt;0.5,POWER(1.1,1.75-(($A23+5)/($A23+10))*(INDEX('Stat Boosts'!$D$2:$D$192,K$1-9)-10)/((INDEX('Stat Boosts'!$D$2:$D$192,(G23/2+22)-9)-10))-0.5)*0.5,(1.75-(($A23+5)/($A23+10))*(INDEX('Stat Boosts'!$D$2:$D$192,K$1-9)-10)/((INDEX('Stat Boosts'!$D$2:$D$192,(G23/2+22)-9)-10))))</f>
        <v>0.45097585635088155</v>
      </c>
      <c r="L23" s="16">
        <f>IF((1.75-(($A23+5)/($A23+10))*(INDEX('Stat Boosts'!$D$2:$D$192,L$1-9)-10)/((INDEX('Stat Boosts'!$D$2:$D$192,(H23/2+22)-9)-10)))&lt;0.5,POWER(1.1,1.75-(($A23+5)/($A23+10))*(INDEX('Stat Boosts'!$D$2:$D$192,L$1-9)-10)/((INDEX('Stat Boosts'!$D$2:$D$192,(H23/2+22)-9)-10))-0.5)*0.5,(1.75-(($A23+5)/($A23+10))*(INDEX('Stat Boosts'!$D$2:$D$192,L$1-9)-10)/((INDEX('Stat Boosts'!$D$2:$D$192,(H23/2+22)-9)-10))))</f>
        <v>0.44043437773981814</v>
      </c>
      <c r="M23" s="16">
        <f>IF((1.75-(($A23+5)/($A23+10))*(INDEX('Stat Boosts'!$D$2:$D$192,M$1-9)-10)/((INDEX('Stat Boosts'!$D$2:$D$192,(I23/2+22)-9)-10)))&lt;0.5,POWER(1.1,1.75-(($A23+5)/($A23+10))*(INDEX('Stat Boosts'!$D$2:$D$192,M$1-9)-10)/((INDEX('Stat Boosts'!$D$2:$D$192,(I23/2+22)-9)-10))-0.5)*0.5,(1.75-(($A23+5)/($A23+10))*(INDEX('Stat Boosts'!$D$2:$D$192,M$1-9)-10)/((INDEX('Stat Boosts'!$D$2:$D$192,(I23/2+22)-9)-10))))</f>
        <v>0.42608897360295128</v>
      </c>
      <c r="N23" s="16">
        <f>IF((1.75-(($A23+5)/($A23+10))*(INDEX('Stat Boosts'!$D$2:$D$192,N$1-9)-10)/((INDEX('Stat Boosts'!$D$2:$D$192,(J23/2+22)-9)-10)))&lt;0.5,POWER(1.1,1.75-(($A23+5)/($A23+10))*(INDEX('Stat Boosts'!$D$2:$D$192,N$1-9)-10)/((INDEX('Stat Boosts'!$D$2:$D$192,(J23/2+22)-9)-10))-0.5)*0.5,(1.75-(($A23+5)/($A23+10))*(INDEX('Stat Boosts'!$D$2:$D$192,N$1-9)-10)/((INDEX('Stat Boosts'!$D$2:$D$192,(J23/2+22)-9)-10))))</f>
        <v>0.40832930393102185</v>
      </c>
      <c r="O23" s="16">
        <f>IF((1.75-(($A23+5)/($A23+10))*(INDEX('Stat Boosts'!$D$2:$D$192,O$1-9)-10)/((INDEX('Stat Boosts'!$D$2:$D$192,(K23/2+22)-9)-10)))&lt;0.5,POWER(1.1,1.75-(($A23+5)/($A23+10))*(INDEX('Stat Boosts'!$D$2:$D$192,O$1-9)-10)/((INDEX('Stat Boosts'!$D$2:$D$192,(K23/2+22)-9)-10))-0.5)*0.5,(1.75-(($A23+5)/($A23+10))*(INDEX('Stat Boosts'!$D$2:$D$192,O$1-9)-10)/((INDEX('Stat Boosts'!$D$2:$D$192,(K23/2+22)-9)-10))))</f>
        <v>0.39878468072549439</v>
      </c>
      <c r="P23" s="16">
        <f>IF((1.75-(($A23+5)/($A23+10))*(INDEX('Stat Boosts'!$D$2:$D$192,P$1-9)-10)/((INDEX('Stat Boosts'!$D$2:$D$192,(L23/2+22)-9)-10)))&lt;0.5,POWER(1.1,1.75-(($A23+5)/($A23+10))*(INDEX('Stat Boosts'!$D$2:$D$192,P$1-9)-10)/((INDEX('Stat Boosts'!$D$2:$D$192,(L23/2+22)-9)-10))-0.5)*0.5,(1.75-(($A23+5)/($A23+10))*(INDEX('Stat Boosts'!$D$2:$D$192,P$1-9)-10)/((INDEX('Stat Boosts'!$D$2:$D$192,(L23/2+22)-9)-10))))</f>
        <v>0.38397516501642148</v>
      </c>
      <c r="Q23" s="16">
        <f>IF((1.75-(($A23+5)/($A23+10))*(INDEX('Stat Boosts'!$D$2:$D$192,Q$1-9)-10)/((INDEX('Stat Boosts'!$D$2:$D$192,(M23/2+22)-9)-10)))&lt;0.5,POWER(1.1,1.75-(($A23+5)/($A23+10))*(INDEX('Stat Boosts'!$D$2:$D$192,Q$1-9)-10)/((INDEX('Stat Boosts'!$D$2:$D$192,(M23/2+22)-9)-10))-0.5)*0.5,(1.75-(($A23+5)/($A23+10))*(INDEX('Stat Boosts'!$D$2:$D$192,Q$1-9)-10)/((INDEX('Stat Boosts'!$D$2:$D$192,(M23/2+22)-9)-10))))</f>
        <v>0.36971562468538549</v>
      </c>
      <c r="R23" s="16">
        <f>IF((1.75-(($A23+5)/($A23+10))*1.25*(INDEX('Stat Boosts'!$D$2:$D$192,R$1-9)-10)/((INDEX('Stat Boosts'!$D$2:$D$192,(N23/2+22)-9)-10)))&lt;0.5,POWER(1.1,1.75-(($A23+5)/($A23+10))*1.25*(INDEX('Stat Boosts'!$D$2:$D$192,R$1-9)-10)/((INDEX('Stat Boosts'!$D$2:$D$192,(N23/2+22)-9)-10))-0.5)*0.5,(1.75-(($A23+5)/($A23+10))*1.25*(INDEX('Stat Boosts'!$D$2:$D$192,R$1-9)-10)/((INDEX('Stat Boosts'!$D$2:$D$192,(N23/2+22)-9)-10))))</f>
        <v>0.31740435206926537</v>
      </c>
    </row>
    <row r="24" spans="1:18">
      <c r="A24" s="9">
        <v>23</v>
      </c>
      <c r="B24" s="16">
        <f t="shared" si="0"/>
        <v>31.2</v>
      </c>
      <c r="C24" s="16">
        <f t="shared" si="1"/>
        <v>1.886792452830189E-2</v>
      </c>
      <c r="E24" s="16">
        <f>IF((1.75-(($A24+5)/($A24+10))*(INDEX('Stat Boosts'!$D$2:$D$192,E$1-9)-10)/((INDEX('Stat Boosts'!$D$2:$D$192,(A24/2+22)-9)-10)))&lt;0.5,POWER(1.1,1.75-(($A24+5)/($A24+10))*(INDEX('Stat Boosts'!$D$2:$D$192,E$1-9)-10)/((INDEX('Stat Boosts'!$D$2:$D$192,(A24/2+22)-9)-10))-0.5)*0.5,(1.75-(($A24+5)/($A24+10))*(INDEX('Stat Boosts'!$D$2:$D$192,E$1-9)-10)/((INDEX('Stat Boosts'!$D$2:$D$192,(A24/2+22)-9)-10))))</f>
        <v>1.75</v>
      </c>
      <c r="F24" s="16">
        <f>IF((1.75-(($A24+5)/($A24+10))*(INDEX('Stat Boosts'!$D$2:$D$192,F$1-9)-10)/((INDEX('Stat Boosts'!$D$2:$D$192,(B24/2+22)-9)-10)))&lt;0.5,POWER(1.1,1.75-(($A24+5)/($A24+10))*(INDEX('Stat Boosts'!$D$2:$D$192,F$1-9)-10)/((INDEX('Stat Boosts'!$D$2:$D$192,(B24/2+22)-9)-10))-0.5)*0.5,(1.75-(($A24+5)/($A24+10))*(INDEX('Stat Boosts'!$D$2:$D$192,F$1-9)-10)/((INDEX('Stat Boosts'!$D$2:$D$192,(B24/2+22)-9)-10))))</f>
        <v>1.5803030303030303</v>
      </c>
      <c r="G24" s="16">
        <f>IF((1.75-(($A24+5)/($A24+10))*(INDEX('Stat Boosts'!$D$2:$D$192,G$1-9)-10)/((INDEX('Stat Boosts'!$D$2:$D$192,(C24/2+22)-9)-10)))&lt;0.5,POWER(1.1,1.75-(($A24+5)/($A24+10))*(INDEX('Stat Boosts'!$D$2:$D$192,G$1-9)-10)/((INDEX('Stat Boosts'!$D$2:$D$192,(C24/2+22)-9)-10))-0.5)*0.5,(1.75-(($A24+5)/($A24+10))*(INDEX('Stat Boosts'!$D$2:$D$192,G$1-9)-10)/((INDEX('Stat Boosts'!$D$2:$D$192,(C24/2+22)-9)-10))))</f>
        <v>1.0512477718360071</v>
      </c>
      <c r="H24" s="16">
        <f>IF((1.75-(($A24+5)/($A24+10))*(INDEX('Stat Boosts'!$D$2:$D$192,H$1-9)-10)/((INDEX('Stat Boosts'!$D$2:$D$192,(D24/2+22)-9)-10)))&lt;0.5,POWER(1.1,1.75-(($A24+5)/($A24+10))*(INDEX('Stat Boosts'!$D$2:$D$192,H$1-9)-10)/((INDEX('Stat Boosts'!$D$2:$D$192,(D24/2+22)-9)-10))-0.5)*0.5,(1.75-(($A24+5)/($A24+10))*(INDEX('Stat Boosts'!$D$2:$D$192,H$1-9)-10)/((INDEX('Stat Boosts'!$D$2:$D$192,(D24/2+22)-9)-10))))</f>
        <v>0.7018716577540105</v>
      </c>
      <c r="I24" s="16">
        <f>IF((1.75-(($A24+5)/($A24+10))*(INDEX('Stat Boosts'!$D$2:$D$192,I$1-9)-10)/((INDEX('Stat Boosts'!$D$2:$D$192,(E24/2+22)-9)-10)))&lt;0.5,POWER(1.1,1.75-(($A24+5)/($A24+10))*(INDEX('Stat Boosts'!$D$2:$D$192,I$1-9)-10)/((INDEX('Stat Boosts'!$D$2:$D$192,(E24/2+22)-9)-10))-0.5)*0.5,(1.75-(($A24+5)/($A24+10))*(INDEX('Stat Boosts'!$D$2:$D$192,I$1-9)-10)/((INDEX('Stat Boosts'!$D$2:$D$192,(E24/2+22)-9)-10))))</f>
        <v>0.49537073235226475</v>
      </c>
      <c r="J24" s="16">
        <f>IF((1.75-(($A24+5)/($A24+10))*(INDEX('Stat Boosts'!$D$2:$D$192,J$1-9)-10)/((INDEX('Stat Boosts'!$D$2:$D$192,(F24/2+22)-9)-10)))&lt;0.5,POWER(1.1,1.75-(($A24+5)/($A24+10))*(INDEX('Stat Boosts'!$D$2:$D$192,J$1-9)-10)/((INDEX('Stat Boosts'!$D$2:$D$192,(F24/2+22)-9)-10))-0.5)*0.5,(1.75-(($A24+5)/($A24+10))*(INDEX('Stat Boosts'!$D$2:$D$192,J$1-9)-10)/((INDEX('Stat Boosts'!$D$2:$D$192,(F24/2+22)-9)-10))))</f>
        <v>0.48143168929893387</v>
      </c>
      <c r="K24" s="16">
        <f>IF((1.75-(($A24+5)/($A24+10))*(INDEX('Stat Boosts'!$D$2:$D$192,K$1-9)-10)/((INDEX('Stat Boosts'!$D$2:$D$192,(G24/2+22)-9)-10)))&lt;0.5,POWER(1.1,1.75-(($A24+5)/($A24+10))*(INDEX('Stat Boosts'!$D$2:$D$192,K$1-9)-10)/((INDEX('Stat Boosts'!$D$2:$D$192,(G24/2+22)-9)-10))-0.5)*0.5,(1.75-(($A24+5)/($A24+10))*(INDEX('Stat Boosts'!$D$2:$D$192,K$1-9)-10)/((INDEX('Stat Boosts'!$D$2:$D$192,(G24/2+22)-9)-10))))</f>
        <v>0.45041354518567484</v>
      </c>
      <c r="L24" s="16">
        <f>IF((1.75-(($A24+5)/($A24+10))*(INDEX('Stat Boosts'!$D$2:$D$192,L$1-9)-10)/((INDEX('Stat Boosts'!$D$2:$D$192,(H24/2+22)-9)-10)))&lt;0.5,POWER(1.1,1.75-(($A24+5)/($A24+10))*(INDEX('Stat Boosts'!$D$2:$D$192,L$1-9)-10)/((INDEX('Stat Boosts'!$D$2:$D$192,(H24/2+22)-9)-10))-0.5)*0.5,(1.75-(($A24+5)/($A24+10))*(INDEX('Stat Boosts'!$D$2:$D$192,L$1-9)-10)/((INDEX('Stat Boosts'!$D$2:$D$192,(H24/2+22)-9)-10))))</f>
        <v>0.43982682876083162</v>
      </c>
      <c r="M24" s="16">
        <f>IF((1.75-(($A24+5)/($A24+10))*(INDEX('Stat Boosts'!$D$2:$D$192,M$1-9)-10)/((INDEX('Stat Boosts'!$D$2:$D$192,(I24/2+22)-9)-10)))&lt;0.5,POWER(1.1,1.75-(($A24+5)/($A24+10))*(INDEX('Stat Boosts'!$D$2:$D$192,M$1-9)-10)/((INDEX('Stat Boosts'!$D$2:$D$192,(I24/2+22)-9)-10))-0.5)*0.5,(1.75-(($A24+5)/($A24+10))*(INDEX('Stat Boosts'!$D$2:$D$192,M$1-9)-10)/((INDEX('Stat Boosts'!$D$2:$D$192,(I24/2+22)-9)-10))))</f>
        <v>0.4254221534631159</v>
      </c>
      <c r="N24" s="16">
        <f>IF((1.75-(($A24+5)/($A24+10))*(INDEX('Stat Boosts'!$D$2:$D$192,N$1-9)-10)/((INDEX('Stat Boosts'!$D$2:$D$192,(J24/2+22)-9)-10)))&lt;0.5,POWER(1.1,1.75-(($A24+5)/($A24+10))*(INDEX('Stat Boosts'!$D$2:$D$192,N$1-9)-10)/((INDEX('Stat Boosts'!$D$2:$D$192,(J24/2+22)-9)-10))-0.5)*0.5,(1.75-(($A24+5)/($A24+10))*(INDEX('Stat Boosts'!$D$2:$D$192,N$1-9)-10)/((INDEX('Stat Boosts'!$D$2:$D$192,(J24/2+22)-9)-10))))</f>
        <v>0.40759288660554743</v>
      </c>
      <c r="O24" s="16">
        <f>IF((1.75-(($A24+5)/($A24+10))*(INDEX('Stat Boosts'!$D$2:$D$192,O$1-9)-10)/((INDEX('Stat Boosts'!$D$2:$D$192,(K24/2+22)-9)-10)))&lt;0.5,POWER(1.1,1.75-(($A24+5)/($A24+10))*(INDEX('Stat Boosts'!$D$2:$D$192,O$1-9)-10)/((INDEX('Stat Boosts'!$D$2:$D$192,(K24/2+22)-9)-10))-0.5)*0.5,(1.75-(($A24+5)/($A24+10))*(INDEX('Stat Boosts'!$D$2:$D$192,O$1-9)-10)/((INDEX('Stat Boosts'!$D$2:$D$192,(K24/2+22)-9)-10))))</f>
        <v>0.39801264561724098</v>
      </c>
      <c r="P24" s="16">
        <f>IF((1.75-(($A24+5)/($A24+10))*(INDEX('Stat Boosts'!$D$2:$D$192,P$1-9)-10)/((INDEX('Stat Boosts'!$D$2:$D$192,(L24/2+22)-9)-10)))&lt;0.5,POWER(1.1,1.75-(($A24+5)/($A24+10))*(INDEX('Stat Boosts'!$D$2:$D$192,P$1-9)-10)/((INDEX('Stat Boosts'!$D$2:$D$192,(L24/2+22)-9)-10))-0.5)*0.5,(1.75-(($A24+5)/($A24+10))*(INDEX('Stat Boosts'!$D$2:$D$192,P$1-9)-10)/((INDEX('Stat Boosts'!$D$2:$D$192,(L24/2+22)-9)-10))))</f>
        <v>0.38315042364790225</v>
      </c>
      <c r="Q24" s="16">
        <f>IF((1.75-(($A24+5)/($A24+10))*(INDEX('Stat Boosts'!$D$2:$D$192,Q$1-9)-10)/((INDEX('Stat Boosts'!$D$2:$D$192,(M24/2+22)-9)-10)))&lt;0.5,POWER(1.1,1.75-(($A24+5)/($A24+10))*(INDEX('Stat Boosts'!$D$2:$D$192,Q$1-9)-10)/((INDEX('Stat Boosts'!$D$2:$D$192,(M24/2+22)-9)-10))-0.5)*0.5,(1.75-(($A24+5)/($A24+10))*(INDEX('Stat Boosts'!$D$2:$D$192,Q$1-9)-10)/((INDEX('Stat Boosts'!$D$2:$D$192,(M24/2+22)-9)-10))))</f>
        <v>0.36884317309542219</v>
      </c>
      <c r="R24" s="16">
        <f>IF((1.75-(($A24+5)/($A24+10))*1.25*(INDEX('Stat Boosts'!$D$2:$D$192,R$1-9)-10)/((INDEX('Stat Boosts'!$D$2:$D$192,(N24/2+22)-9)-10)))&lt;0.5,POWER(1.1,1.75-(($A24+5)/($A24+10))*1.25*(INDEX('Stat Boosts'!$D$2:$D$192,R$1-9)-10)/((INDEX('Stat Boosts'!$D$2:$D$192,(N24/2+22)-9)-10))-0.5)*0.5,(1.75-(($A24+5)/($A24+10))*1.25*(INDEX('Stat Boosts'!$D$2:$D$192,R$1-9)-10)/((INDEX('Stat Boosts'!$D$2:$D$192,(N24/2+22)-9)-10))))</f>
        <v>0.31638437046895634</v>
      </c>
    </row>
    <row r="25" spans="1:18">
      <c r="A25" s="9">
        <v>24</v>
      </c>
      <c r="B25" s="16">
        <f t="shared" si="0"/>
        <v>31.6</v>
      </c>
      <c r="C25" s="16">
        <f t="shared" si="1"/>
        <v>1.8518518518518517E-2</v>
      </c>
      <c r="E25" s="16">
        <f>IF((1.75-(($A25+5)/($A25+10))*(INDEX('Stat Boosts'!$D$2:$D$192,E$1-9)-10)/((INDEX('Stat Boosts'!$D$2:$D$192,(A25/2+22)-9)-10)))&lt;0.5,POWER(1.1,1.75-(($A25+5)/($A25+10))*(INDEX('Stat Boosts'!$D$2:$D$192,E$1-9)-10)/((INDEX('Stat Boosts'!$D$2:$D$192,(A25/2+22)-9)-10))-0.5)*0.5,(1.75-(($A25+5)/($A25+10))*(INDEX('Stat Boosts'!$D$2:$D$192,E$1-9)-10)/((INDEX('Stat Boosts'!$D$2:$D$192,(A25/2+22)-9)-10))))</f>
        <v>1.75</v>
      </c>
      <c r="F25" s="16">
        <f>IF((1.75-(($A25+5)/($A25+10))*(INDEX('Stat Boosts'!$D$2:$D$192,F$1-9)-10)/((INDEX('Stat Boosts'!$D$2:$D$192,(B25/2+22)-9)-10)))&lt;0.5,POWER(1.1,1.75-(($A25+5)/($A25+10))*(INDEX('Stat Boosts'!$D$2:$D$192,F$1-9)-10)/((INDEX('Stat Boosts'!$D$2:$D$192,(B25/2+22)-9)-10))-0.5)*0.5,(1.75-(($A25+5)/($A25+10))*(INDEX('Stat Boosts'!$D$2:$D$192,F$1-9)-10)/((INDEX('Stat Boosts'!$D$2:$D$192,(B25/2+22)-9)-10))))</f>
        <v>1.5794117647058823</v>
      </c>
      <c r="G25" s="16">
        <f>IF((1.75-(($A25+5)/($A25+10))*(INDEX('Stat Boosts'!$D$2:$D$192,G$1-9)-10)/((INDEX('Stat Boosts'!$D$2:$D$192,(C25/2+22)-9)-10)))&lt;0.5,POWER(1.1,1.75-(($A25+5)/($A25+10))*(INDEX('Stat Boosts'!$D$2:$D$192,G$1-9)-10)/((INDEX('Stat Boosts'!$D$2:$D$192,(C25/2+22)-9)-10))-0.5)*0.5,(1.75-(($A25+5)/($A25+10))*(INDEX('Stat Boosts'!$D$2:$D$192,G$1-9)-10)/((INDEX('Stat Boosts'!$D$2:$D$192,(C25/2+22)-9)-10))))</f>
        <v>1.0475778546712804</v>
      </c>
      <c r="H25" s="16">
        <f>IF((1.75-(($A25+5)/($A25+10))*(INDEX('Stat Boosts'!$D$2:$D$192,H$1-9)-10)/((INDEX('Stat Boosts'!$D$2:$D$192,(D25/2+22)-9)-10)))&lt;0.5,POWER(1.1,1.75-(($A25+5)/($A25+10))*(INDEX('Stat Boosts'!$D$2:$D$192,H$1-9)-10)/((INDEX('Stat Boosts'!$D$2:$D$192,(D25/2+22)-9)-10))-0.5)*0.5,(1.75-(($A25+5)/($A25+10))*(INDEX('Stat Boosts'!$D$2:$D$192,H$1-9)-10)/((INDEX('Stat Boosts'!$D$2:$D$192,(D25/2+22)-9)-10))))</f>
        <v>0.69636678200692059</v>
      </c>
      <c r="I25" s="16">
        <f>IF((1.75-(($A25+5)/($A25+10))*(INDEX('Stat Boosts'!$D$2:$D$192,I$1-9)-10)/((INDEX('Stat Boosts'!$D$2:$D$192,(E25/2+22)-9)-10)))&lt;0.5,POWER(1.1,1.75-(($A25+5)/($A25+10))*(INDEX('Stat Boosts'!$D$2:$D$192,I$1-9)-10)/((INDEX('Stat Boosts'!$D$2:$D$192,(E25/2+22)-9)-10))-0.5)*0.5,(1.75-(($A25+5)/($A25+10))*(INDEX('Stat Boosts'!$D$2:$D$192,I$1-9)-10)/((INDEX('Stat Boosts'!$D$2:$D$192,(E25/2+22)-9)-10))))</f>
        <v>0.49503667952734515</v>
      </c>
      <c r="J25" s="16">
        <f>IF((1.75-(($A25+5)/($A25+10))*(INDEX('Stat Boosts'!$D$2:$D$192,J$1-9)-10)/((INDEX('Stat Boosts'!$D$2:$D$192,(F25/2+22)-9)-10)))&lt;0.5,POWER(1.1,1.75-(($A25+5)/($A25+10))*(INDEX('Stat Boosts'!$D$2:$D$192,J$1-9)-10)/((INDEX('Stat Boosts'!$D$2:$D$192,(F25/2+22)-9)-10))-0.5)*0.5,(1.75-(($A25+5)/($A25+10))*(INDEX('Stat Boosts'!$D$2:$D$192,J$1-9)-10)/((INDEX('Stat Boosts'!$D$2:$D$192,(F25/2+22)-9)-10))))</f>
        <v>0.48103492087127592</v>
      </c>
      <c r="K25" s="16">
        <f>IF((1.75-(($A25+5)/($A25+10))*(INDEX('Stat Boosts'!$D$2:$D$192,K$1-9)-10)/((INDEX('Stat Boosts'!$D$2:$D$192,(G25/2+22)-9)-10)))&lt;0.5,POWER(1.1,1.75-(($A25+5)/($A25+10))*(INDEX('Stat Boosts'!$D$2:$D$192,K$1-9)-10)/((INDEX('Stat Boosts'!$D$2:$D$192,(G25/2+22)-9)-10))-0.5)*0.5,(1.75-(($A25+5)/($A25+10))*(INDEX('Stat Boosts'!$D$2:$D$192,K$1-9)-10)/((INDEX('Stat Boosts'!$D$2:$D$192,(G25/2+22)-9)-10))))</f>
        <v>0.44988495164443121</v>
      </c>
      <c r="L25" s="16">
        <f>IF((1.75-(($A25+5)/($A25+10))*(INDEX('Stat Boosts'!$D$2:$D$192,L$1-9)-10)/((INDEX('Stat Boosts'!$D$2:$D$192,(H25/2+22)-9)-10)))&lt;0.5,POWER(1.1,1.75-(($A25+5)/($A25+10))*(INDEX('Stat Boosts'!$D$2:$D$192,L$1-9)-10)/((INDEX('Stat Boosts'!$D$2:$D$192,(H25/2+22)-9)-10))-0.5)*0.5,(1.75-(($A25+5)/($A25+10))*(INDEX('Stat Boosts'!$D$2:$D$192,L$1-9)-10)/((INDEX('Stat Boosts'!$D$2:$D$192,(H25/2+22)-9)-10))))</f>
        <v>0.43925578355230349</v>
      </c>
      <c r="M25" s="16">
        <f>IF((1.75-(($A25+5)/($A25+10))*(INDEX('Stat Boosts'!$D$2:$D$192,M$1-9)-10)/((INDEX('Stat Boosts'!$D$2:$D$192,(I25/2+22)-9)-10)))&lt;0.5,POWER(1.1,1.75-(($A25+5)/($A25+10))*(INDEX('Stat Boosts'!$D$2:$D$192,M$1-9)-10)/((INDEX('Stat Boosts'!$D$2:$D$192,(I25/2+22)-9)-10))-0.5)*0.5,(1.75-(($A25+5)/($A25+10))*(INDEX('Stat Boosts'!$D$2:$D$192,M$1-9)-10)/((INDEX('Stat Boosts'!$D$2:$D$192,(I25/2+22)-9)-10))))</f>
        <v>0.42479551135263122</v>
      </c>
      <c r="N25" s="16">
        <f>IF((1.75-(($A25+5)/($A25+10))*(INDEX('Stat Boosts'!$D$2:$D$192,N$1-9)-10)/((INDEX('Stat Boosts'!$D$2:$D$192,(J25/2+22)-9)-10)))&lt;0.5,POWER(1.1,1.75-(($A25+5)/($A25+10))*(INDEX('Stat Boosts'!$D$2:$D$192,N$1-9)-10)/((INDEX('Stat Boosts'!$D$2:$D$192,(J25/2+22)-9)-10))-0.5)*0.5,(1.75-(($A25+5)/($A25+10))*(INDEX('Stat Boosts'!$D$2:$D$192,N$1-9)-10)/((INDEX('Stat Boosts'!$D$2:$D$192,(J25/2+22)-9)-10))))</f>
        <v>0.4069010012202901</v>
      </c>
      <c r="O25" s="16">
        <f>IF((1.75-(($A25+5)/($A25+10))*(INDEX('Stat Boosts'!$D$2:$D$192,O$1-9)-10)/((INDEX('Stat Boosts'!$D$2:$D$192,(K25/2+22)-9)-10)))&lt;0.5,POWER(1.1,1.75-(($A25+5)/($A25+10))*(INDEX('Stat Boosts'!$D$2:$D$192,O$1-9)-10)/((INDEX('Stat Boosts'!$D$2:$D$192,(K25/2+22)-9)-10))-0.5)*0.5,(1.75-(($A25+5)/($A25+10))*(INDEX('Stat Boosts'!$D$2:$D$192,O$1-9)-10)/((INDEX('Stat Boosts'!$D$2:$D$192,(K25/2+22)-9)-10))))</f>
        <v>0.39728738973358307</v>
      </c>
      <c r="P25" s="16">
        <f>IF((1.75-(($A25+5)/($A25+10))*(INDEX('Stat Boosts'!$D$2:$D$192,P$1-9)-10)/((INDEX('Stat Boosts'!$D$2:$D$192,(L25/2+22)-9)-10)))&lt;0.5,POWER(1.1,1.75-(($A25+5)/($A25+10))*(INDEX('Stat Boosts'!$D$2:$D$192,P$1-9)-10)/((INDEX('Stat Boosts'!$D$2:$D$192,(L25/2+22)-9)-10))-0.5)*0.5,(1.75-(($A25+5)/($A25+10))*(INDEX('Stat Boosts'!$D$2:$D$192,P$1-9)-10)/((INDEX('Stat Boosts'!$D$2:$D$192,(L25/2+22)-9)-10))))</f>
        <v>0.38237581476923288</v>
      </c>
      <c r="Q25" s="16">
        <f>IF((1.75-(($A25+5)/($A25+10))*(INDEX('Stat Boosts'!$D$2:$D$192,Q$1-9)-10)/((INDEX('Stat Boosts'!$D$2:$D$192,(M25/2+22)-9)-10)))&lt;0.5,POWER(1.1,1.75-(($A25+5)/($A25+10))*(INDEX('Stat Boosts'!$D$2:$D$192,Q$1-9)-10)/((INDEX('Stat Boosts'!$D$2:$D$192,(M25/2+22)-9)-10))-0.5)*0.5,(1.75-(($A25+5)/($A25+10))*(INDEX('Stat Boosts'!$D$2:$D$192,Q$1-9)-10)/((INDEX('Stat Boosts'!$D$2:$D$192,(M25/2+22)-9)-10))))</f>
        <v>0.36802392298049647</v>
      </c>
      <c r="R25" s="16">
        <f>IF((1.75-(($A25+5)/($A25+10))*1.25*(INDEX('Stat Boosts'!$D$2:$D$192,R$1-9)-10)/((INDEX('Stat Boosts'!$D$2:$D$192,(N25/2+22)-9)-10)))&lt;0.5,POWER(1.1,1.75-(($A25+5)/($A25+10))*1.25*(INDEX('Stat Boosts'!$D$2:$D$192,R$1-9)-10)/((INDEX('Stat Boosts'!$D$2:$D$192,(N25/2+22)-9)-10))-0.5)*0.5,(1.75-(($A25+5)/($A25+10))*1.25*(INDEX('Stat Boosts'!$D$2:$D$192,R$1-9)-10)/((INDEX('Stat Boosts'!$D$2:$D$192,(N25/2+22)-9)-10))))</f>
        <v>0.31542738215497595</v>
      </c>
    </row>
    <row r="26" spans="1:18">
      <c r="A26" s="9">
        <v>25</v>
      </c>
      <c r="B26" s="16">
        <f t="shared" si="0"/>
        <v>32</v>
      </c>
      <c r="C26" s="16">
        <f t="shared" si="1"/>
        <v>1.8181818181818184E-2</v>
      </c>
      <c r="E26" s="16">
        <f>IF((1.75-(($A26+5)/($A26+10))*(INDEX('Stat Boosts'!$D$2:$D$192,E$1-9)-10)/((INDEX('Stat Boosts'!$D$2:$D$192,(A26/2+22)-9)-10)))&lt;0.5,POWER(1.1,1.75-(($A26+5)/($A26+10))*(INDEX('Stat Boosts'!$D$2:$D$192,E$1-9)-10)/((INDEX('Stat Boosts'!$D$2:$D$192,(A26/2+22)-9)-10))-0.5)*0.5,(1.75-(($A26+5)/($A26+10))*(INDEX('Stat Boosts'!$D$2:$D$192,E$1-9)-10)/((INDEX('Stat Boosts'!$D$2:$D$192,(A26/2+22)-9)-10))))</f>
        <v>1.75</v>
      </c>
      <c r="F26" s="16">
        <f>IF((1.75-(($A26+5)/($A26+10))*(INDEX('Stat Boosts'!$D$2:$D$192,F$1-9)-10)/((INDEX('Stat Boosts'!$D$2:$D$192,(B26/2+22)-9)-10)))&lt;0.5,POWER(1.1,1.75-(($A26+5)/($A26+10))*(INDEX('Stat Boosts'!$D$2:$D$192,F$1-9)-10)/((INDEX('Stat Boosts'!$D$2:$D$192,(B26/2+22)-9)-10))-0.5)*0.5,(1.75-(($A26+5)/($A26+10))*(INDEX('Stat Boosts'!$D$2:$D$192,F$1-9)-10)/((INDEX('Stat Boosts'!$D$2:$D$192,(B26/2+22)-9)-10))))</f>
        <v>1.5833333333333333</v>
      </c>
      <c r="G26" s="16">
        <f>IF((1.75-(($A26+5)/($A26+10))*(INDEX('Stat Boosts'!$D$2:$D$192,G$1-9)-10)/((INDEX('Stat Boosts'!$D$2:$D$192,(C26/2+22)-9)-10)))&lt;0.5,POWER(1.1,1.75-(($A26+5)/($A26+10))*(INDEX('Stat Boosts'!$D$2:$D$192,G$1-9)-10)/((INDEX('Stat Boosts'!$D$2:$D$192,(C26/2+22)-9)-10))-0.5)*0.5,(1.75-(($A26+5)/($A26+10))*(INDEX('Stat Boosts'!$D$2:$D$192,G$1-9)-10)/((INDEX('Stat Boosts'!$D$2:$D$192,(C26/2+22)-9)-10))))</f>
        <v>1.0441176470588234</v>
      </c>
      <c r="H26" s="16">
        <f>IF((1.75-(($A26+5)/($A26+10))*(INDEX('Stat Boosts'!$D$2:$D$192,H$1-9)-10)/((INDEX('Stat Boosts'!$D$2:$D$192,(D26/2+22)-9)-10)))&lt;0.5,POWER(1.1,1.75-(($A26+5)/($A26+10))*(INDEX('Stat Boosts'!$D$2:$D$192,H$1-9)-10)/((INDEX('Stat Boosts'!$D$2:$D$192,(D26/2+22)-9)-10))-0.5)*0.5,(1.75-(($A26+5)/($A26+10))*(INDEX('Stat Boosts'!$D$2:$D$192,H$1-9)-10)/((INDEX('Stat Boosts'!$D$2:$D$192,(D26/2+22)-9)-10))))</f>
        <v>0.69117647058823528</v>
      </c>
      <c r="I26" s="16">
        <f>IF((1.75-(($A26+5)/($A26+10))*(INDEX('Stat Boosts'!$D$2:$D$192,I$1-9)-10)/((INDEX('Stat Boosts'!$D$2:$D$192,(E26/2+22)-9)-10)))&lt;0.5,POWER(1.1,1.75-(($A26+5)/($A26+10))*(INDEX('Stat Boosts'!$D$2:$D$192,I$1-9)-10)/((INDEX('Stat Boosts'!$D$2:$D$192,(E26/2+22)-9)-10))-0.5)*0.5,(1.75-(($A26+5)/($A26+10))*(INDEX('Stat Boosts'!$D$2:$D$192,I$1-9)-10)/((INDEX('Stat Boosts'!$D$2:$D$192,(E26/2+22)-9)-10))))</f>
        <v>0.49472192176524143</v>
      </c>
      <c r="J26" s="16">
        <f>IF((1.75-(($A26+5)/($A26+10))*(INDEX('Stat Boosts'!$D$2:$D$192,J$1-9)-10)/((INDEX('Stat Boosts'!$D$2:$D$192,(F26/2+22)-9)-10)))&lt;0.5,POWER(1.1,1.75-(($A26+5)/($A26+10))*(INDEX('Stat Boosts'!$D$2:$D$192,J$1-9)-10)/((INDEX('Stat Boosts'!$D$2:$D$192,(F26/2+22)-9)-10))-0.5)*0.5,(1.75-(($A26+5)/($A26+10))*(INDEX('Stat Boosts'!$D$2:$D$192,J$1-9)-10)/((INDEX('Stat Boosts'!$D$2:$D$192,(F26/2+22)-9)-10))))</f>
        <v>0.4806611244295429</v>
      </c>
      <c r="K26" s="16">
        <f>IF((1.75-(($A26+5)/($A26+10))*(INDEX('Stat Boosts'!$D$2:$D$192,K$1-9)-10)/((INDEX('Stat Boosts'!$D$2:$D$192,(G26/2+22)-9)-10)))&lt;0.5,POWER(1.1,1.75-(($A26+5)/($A26+10))*(INDEX('Stat Boosts'!$D$2:$D$192,K$1-9)-10)/((INDEX('Stat Boosts'!$D$2:$D$192,(G26/2+22)-9)-10))-0.5)*0.5,(1.75-(($A26+5)/($A26+10))*(INDEX('Stat Boosts'!$D$2:$D$192,K$1-9)-10)/((INDEX('Stat Boosts'!$D$2:$D$192,(G26/2+22)-9)-10))))</f>
        <v>0.44938713164514632</v>
      </c>
      <c r="L26" s="16">
        <f>IF((1.75-(($A26+5)/($A26+10))*(INDEX('Stat Boosts'!$D$2:$D$192,L$1-9)-10)/((INDEX('Stat Boosts'!$D$2:$D$192,(H26/2+22)-9)-10)))&lt;0.5,POWER(1.1,1.75-(($A26+5)/($A26+10))*(INDEX('Stat Boosts'!$D$2:$D$192,L$1-9)-10)/((INDEX('Stat Boosts'!$D$2:$D$192,(H26/2+22)-9)-10))-0.5)*0.5,(1.75-(($A26+5)/($A26+10))*(INDEX('Stat Boosts'!$D$2:$D$192,L$1-9)-10)/((INDEX('Stat Boosts'!$D$2:$D$192,(H26/2+22)-9)-10))))</f>
        <v>0.43871804858767793</v>
      </c>
      <c r="M26" s="16">
        <f>IF((1.75-(($A26+5)/($A26+10))*(INDEX('Stat Boosts'!$D$2:$D$192,M$1-9)-10)/((INDEX('Stat Boosts'!$D$2:$D$192,(I26/2+22)-9)-10)))&lt;0.5,POWER(1.1,1.75-(($A26+5)/($A26+10))*(INDEX('Stat Boosts'!$D$2:$D$192,M$1-9)-10)/((INDEX('Stat Boosts'!$D$2:$D$192,(I26/2+22)-9)-10))-0.5)*0.5,(1.75-(($A26+5)/($A26+10))*(INDEX('Stat Boosts'!$D$2:$D$192,M$1-9)-10)/((INDEX('Stat Boosts'!$D$2:$D$192,(I26/2+22)-9)-10))))</f>
        <v>0.42420552281290147</v>
      </c>
      <c r="N26" s="16">
        <f>IF((1.75-(($A26+5)/($A26+10))*(INDEX('Stat Boosts'!$D$2:$D$192,N$1-9)-10)/((INDEX('Stat Boosts'!$D$2:$D$192,(J26/2+22)-9)-10)))&lt;0.5,POWER(1.1,1.75-(($A26+5)/($A26+10))*(INDEX('Stat Boosts'!$D$2:$D$192,N$1-9)-10)/((INDEX('Stat Boosts'!$D$2:$D$192,(J26/2+22)-9)-10))-0.5)*0.5,(1.75-(($A26+5)/($A26+10))*(INDEX('Stat Boosts'!$D$2:$D$192,N$1-9)-10)/((INDEX('Stat Boosts'!$D$2:$D$192,(J26/2+22)-9)-10))))</f>
        <v>0.40624972789568409</v>
      </c>
      <c r="O26" s="16">
        <f>IF((1.75-(($A26+5)/($A26+10))*(INDEX('Stat Boosts'!$D$2:$D$192,O$1-9)-10)/((INDEX('Stat Boosts'!$D$2:$D$192,(K26/2+22)-9)-10)))&lt;0.5,POWER(1.1,1.75-(($A26+5)/($A26+10))*(INDEX('Stat Boosts'!$D$2:$D$192,O$1-9)-10)/((INDEX('Stat Boosts'!$D$2:$D$192,(K26/2+22)-9)-10))-0.5)*0.5,(1.75-(($A26+5)/($A26+10))*(INDEX('Stat Boosts'!$D$2:$D$192,O$1-9)-10)/((INDEX('Stat Boosts'!$D$2:$D$192,(K26/2+22)-9)-10))))</f>
        <v>0.39660478752294659</v>
      </c>
      <c r="P26" s="16">
        <f>IF((1.75-(($A26+5)/($A26+10))*(INDEX('Stat Boosts'!$D$2:$D$192,P$1-9)-10)/((INDEX('Stat Boosts'!$D$2:$D$192,(L26/2+22)-9)-10)))&lt;0.5,POWER(1.1,1.75-(($A26+5)/($A26+10))*(INDEX('Stat Boosts'!$D$2:$D$192,P$1-9)-10)/((INDEX('Stat Boosts'!$D$2:$D$192,(L26/2+22)-9)-10))-0.5)*0.5,(1.75-(($A26+5)/($A26+10))*(INDEX('Stat Boosts'!$D$2:$D$192,P$1-9)-10)/((INDEX('Stat Boosts'!$D$2:$D$192,(L26/2+22)-9)-10))))</f>
        <v>0.38164690365127829</v>
      </c>
      <c r="Q26" s="16">
        <f>IF((1.75-(($A26+5)/($A26+10))*(INDEX('Stat Boosts'!$D$2:$D$192,Q$1-9)-10)/((INDEX('Stat Boosts'!$D$2:$D$192,(M26/2+22)-9)-10)))&lt;0.5,POWER(1.1,1.75-(($A26+5)/($A26+10))*(INDEX('Stat Boosts'!$D$2:$D$192,Q$1-9)-10)/((INDEX('Stat Boosts'!$D$2:$D$192,(M26/2+22)-9)-10))-0.5)*0.5,(1.75-(($A26+5)/($A26+10))*(INDEX('Stat Boosts'!$D$2:$D$192,Q$1-9)-10)/((INDEX('Stat Boosts'!$D$2:$D$192,(M26/2+22)-9)-10))))</f>
        <v>0.36725315389235158</v>
      </c>
      <c r="R26" s="16">
        <f>IF((1.75-(($A26+5)/($A26+10))*1.25*(INDEX('Stat Boosts'!$D$2:$D$192,R$1-9)-10)/((INDEX('Stat Boosts'!$D$2:$D$192,(N26/2+22)-9)-10)))&lt;0.5,POWER(1.1,1.75-(($A26+5)/($A26+10))*1.25*(INDEX('Stat Boosts'!$D$2:$D$192,R$1-9)-10)/((INDEX('Stat Boosts'!$D$2:$D$192,(N26/2+22)-9)-10))-0.5)*0.5,(1.75-(($A26+5)/($A26+10))*1.25*(INDEX('Stat Boosts'!$D$2:$D$192,R$1-9)-10)/((INDEX('Stat Boosts'!$D$2:$D$192,(N26/2+22)-9)-10))))</f>
        <v>0.31452773031684578</v>
      </c>
    </row>
    <row r="27" spans="1:18">
      <c r="A27" s="9">
        <v>26</v>
      </c>
      <c r="B27" s="16">
        <f t="shared" si="0"/>
        <v>32.4</v>
      </c>
      <c r="C27" s="16">
        <f t="shared" si="1"/>
        <v>1.785714285714286E-2</v>
      </c>
      <c r="E27" s="16">
        <f>IF((1.75-(($A27+5)/($A27+10))*(INDEX('Stat Boosts'!$D$2:$D$192,E$1-9)-10)/((INDEX('Stat Boosts'!$D$2:$D$192,(A27/2+22)-9)-10)))&lt;0.5,POWER(1.1,1.75-(($A27+5)/($A27+10))*(INDEX('Stat Boosts'!$D$2:$D$192,E$1-9)-10)/((INDEX('Stat Boosts'!$D$2:$D$192,(A27/2+22)-9)-10))-0.5)*0.5,(1.75-(($A27+5)/($A27+10))*(INDEX('Stat Boosts'!$D$2:$D$192,E$1-9)-10)/((INDEX('Stat Boosts'!$D$2:$D$192,(A27/2+22)-9)-10))))</f>
        <v>1.75</v>
      </c>
      <c r="F27" s="16">
        <f>IF((1.75-(($A27+5)/($A27+10))*(INDEX('Stat Boosts'!$D$2:$D$192,F$1-9)-10)/((INDEX('Stat Boosts'!$D$2:$D$192,(B27/2+22)-9)-10)))&lt;0.5,POWER(1.1,1.75-(($A27+5)/($A27+10))*(INDEX('Stat Boosts'!$D$2:$D$192,F$1-9)-10)/((INDEX('Stat Boosts'!$D$2:$D$192,(B27/2+22)-9)-10))-0.5)*0.5,(1.75-(($A27+5)/($A27+10))*(INDEX('Stat Boosts'!$D$2:$D$192,F$1-9)-10)/((INDEX('Stat Boosts'!$D$2:$D$192,(B27/2+22)-9)-10))))</f>
        <v>1.5825617283950617</v>
      </c>
      <c r="G27" s="16">
        <f>IF((1.75-(($A27+5)/($A27+10))*(INDEX('Stat Boosts'!$D$2:$D$192,G$1-9)-10)/((INDEX('Stat Boosts'!$D$2:$D$192,(C27/2+22)-9)-10)))&lt;0.5,POWER(1.1,1.75-(($A27+5)/($A27+10))*(INDEX('Stat Boosts'!$D$2:$D$192,G$1-9)-10)/((INDEX('Stat Boosts'!$D$2:$D$192,(C27/2+22)-9)-10))-0.5)*0.5,(1.75-(($A27+5)/($A27+10))*(INDEX('Stat Boosts'!$D$2:$D$192,G$1-9)-10)/((INDEX('Stat Boosts'!$D$2:$D$192,(C27/2+22)-9)-10))))</f>
        <v>1.0408496732026142</v>
      </c>
      <c r="H27" s="16">
        <f>IF((1.75-(($A27+5)/($A27+10))*(INDEX('Stat Boosts'!$D$2:$D$192,H$1-9)-10)/((INDEX('Stat Boosts'!$D$2:$D$192,(D27/2+22)-9)-10)))&lt;0.5,POWER(1.1,1.75-(($A27+5)/($A27+10))*(INDEX('Stat Boosts'!$D$2:$D$192,H$1-9)-10)/((INDEX('Stat Boosts'!$D$2:$D$192,(D27/2+22)-9)-10))-0.5)*0.5,(1.75-(($A27+5)/($A27+10))*(INDEX('Stat Boosts'!$D$2:$D$192,H$1-9)-10)/((INDEX('Stat Boosts'!$D$2:$D$192,(D27/2+22)-9)-10))))</f>
        <v>0.68627450980392135</v>
      </c>
      <c r="I27" s="16">
        <f>IF((1.75-(($A27+5)/($A27+10))*(INDEX('Stat Boosts'!$D$2:$D$192,I$1-9)-10)/((INDEX('Stat Boosts'!$D$2:$D$192,(E27/2+22)-9)-10)))&lt;0.5,POWER(1.1,1.75-(($A27+5)/($A27+10))*(INDEX('Stat Boosts'!$D$2:$D$192,I$1-9)-10)/((INDEX('Stat Boosts'!$D$2:$D$192,(E27/2+22)-9)-10))-0.5)*0.5,(1.75-(($A27+5)/($A27+10))*(INDEX('Stat Boosts'!$D$2:$D$192,I$1-9)-10)/((INDEX('Stat Boosts'!$D$2:$D$192,(E27/2+22)-9)-10))))</f>
        <v>0.49442483431038975</v>
      </c>
      <c r="J27" s="16">
        <f>IF((1.75-(($A27+5)/($A27+10))*(INDEX('Stat Boosts'!$D$2:$D$192,J$1-9)-10)/((INDEX('Stat Boosts'!$D$2:$D$192,(F27/2+22)-9)-10)))&lt;0.5,POWER(1.1,1.75-(($A27+5)/($A27+10))*(INDEX('Stat Boosts'!$D$2:$D$192,J$1-9)-10)/((INDEX('Stat Boosts'!$D$2:$D$192,(F27/2+22)-9)-10))-0.5)*0.5,(1.75-(($A27+5)/($A27+10))*(INDEX('Stat Boosts'!$D$2:$D$192,J$1-9)-10)/((INDEX('Stat Boosts'!$D$2:$D$192,(F27/2+22)-9)-10))))</f>
        <v>0.4803083611684113</v>
      </c>
      <c r="K27" s="16">
        <f>IF((1.75-(($A27+5)/($A27+10))*(INDEX('Stat Boosts'!$D$2:$D$192,K$1-9)-10)/((INDEX('Stat Boosts'!$D$2:$D$192,(G27/2+22)-9)-10)))&lt;0.5,POWER(1.1,1.75-(($A27+5)/($A27+10))*(INDEX('Stat Boosts'!$D$2:$D$192,K$1-9)-10)/((INDEX('Stat Boosts'!$D$2:$D$192,(G27/2+22)-9)-10))-0.5)*0.5,(1.75-(($A27+5)/($A27+10))*(INDEX('Stat Boosts'!$D$2:$D$192,K$1-9)-10)/((INDEX('Stat Boosts'!$D$2:$D$192,(G27/2+22)-9)-10))))</f>
        <v>0.44891747413024946</v>
      </c>
      <c r="L27" s="16">
        <f>IF((1.75-(($A27+5)/($A27+10))*(INDEX('Stat Boosts'!$D$2:$D$192,L$1-9)-10)/((INDEX('Stat Boosts'!$D$2:$D$192,(H27/2+22)-9)-10)))&lt;0.5,POWER(1.1,1.75-(($A27+5)/($A27+10))*(INDEX('Stat Boosts'!$D$2:$D$192,L$1-9)-10)/((INDEX('Stat Boosts'!$D$2:$D$192,(H27/2+22)-9)-10))-0.5)*0.5,(1.75-(($A27+5)/($A27+10))*(INDEX('Stat Boosts'!$D$2:$D$192,L$1-9)-10)/((INDEX('Stat Boosts'!$D$2:$D$192,(H27/2+22)-9)-10))))</f>
        <v>0.43821079225235449</v>
      </c>
      <c r="M27" s="16">
        <f>IF((1.75-(($A27+5)/($A27+10))*(INDEX('Stat Boosts'!$D$2:$D$192,M$1-9)-10)/((INDEX('Stat Boosts'!$D$2:$D$192,(I27/2+22)-9)-10)))&lt;0.5,POWER(1.1,1.75-(($A27+5)/($A27+10))*(INDEX('Stat Boosts'!$D$2:$D$192,M$1-9)-10)/((INDEX('Stat Boosts'!$D$2:$D$192,(I27/2+22)-9)-10))-0.5)*0.5,(1.75-(($A27+5)/($A27+10))*(INDEX('Stat Boosts'!$D$2:$D$192,M$1-9)-10)/((INDEX('Stat Boosts'!$D$2:$D$192,(I27/2+22)-9)-10))))</f>
        <v>0.42364906383432893</v>
      </c>
      <c r="N27" s="16">
        <f>IF((1.75-(($A27+5)/($A27+10))*(INDEX('Stat Boosts'!$D$2:$D$192,N$1-9)-10)/((INDEX('Stat Boosts'!$D$2:$D$192,(J27/2+22)-9)-10)))&lt;0.5,POWER(1.1,1.75-(($A27+5)/($A27+10))*(INDEX('Stat Boosts'!$D$2:$D$192,N$1-9)-10)/((INDEX('Stat Boosts'!$D$2:$D$192,(J27/2+22)-9)-10))-0.5)*0.5,(1.75-(($A27+5)/($A27+10))*(INDEX('Stat Boosts'!$D$2:$D$192,N$1-9)-10)/((INDEX('Stat Boosts'!$D$2:$D$192,(J27/2+22)-9)-10))))</f>
        <v>0.4056355936003388</v>
      </c>
      <c r="O27" s="16">
        <f>IF((1.75-(($A27+5)/($A27+10))*(INDEX('Stat Boosts'!$D$2:$D$192,O$1-9)-10)/((INDEX('Stat Boosts'!$D$2:$D$192,(K27/2+22)-9)-10)))&lt;0.5,POWER(1.1,1.75-(($A27+5)/($A27+10))*(INDEX('Stat Boosts'!$D$2:$D$192,O$1-9)-10)/((INDEX('Stat Boosts'!$D$2:$D$192,(K27/2+22)-9)-10))-0.5)*0.5,(1.75-(($A27+5)/($A27+10))*(INDEX('Stat Boosts'!$D$2:$D$192,O$1-9)-10)/((INDEX('Stat Boosts'!$D$2:$D$192,(K27/2+22)-9)-10))))</f>
        <v>0.39596118458464108</v>
      </c>
      <c r="P27" s="16">
        <f>IF((1.75-(($A27+5)/($A27+10))*(INDEX('Stat Boosts'!$D$2:$D$192,P$1-9)-10)/((INDEX('Stat Boosts'!$D$2:$D$192,(L27/2+22)-9)-10)))&lt;0.5,POWER(1.1,1.75-(($A27+5)/($A27+10))*(INDEX('Stat Boosts'!$D$2:$D$192,P$1-9)-10)/((INDEX('Stat Boosts'!$D$2:$D$192,(L27/2+22)-9)-10))-0.5)*0.5,(1.75-(($A27+5)/($A27+10))*(INDEX('Stat Boosts'!$D$2:$D$192,P$1-9)-10)/((INDEX('Stat Boosts'!$D$2:$D$192,(L27/2+22)-9)-10))))</f>
        <v>0.3809597634936539</v>
      </c>
      <c r="Q27" s="16">
        <f>IF((1.75-(($A27+5)/($A27+10))*(INDEX('Stat Boosts'!$D$2:$D$192,Q$1-9)-10)/((INDEX('Stat Boosts'!$D$2:$D$192,(M27/2+22)-9)-10)))&lt;0.5,POWER(1.1,1.75-(($A27+5)/($A27+10))*(INDEX('Stat Boosts'!$D$2:$D$192,Q$1-9)-10)/((INDEX('Stat Boosts'!$D$2:$D$192,(M27/2+22)-9)-10))-0.5)*0.5,(1.75-(($A27+5)/($A27+10))*(INDEX('Stat Boosts'!$D$2:$D$192,Q$1-9)-10)/((INDEX('Stat Boosts'!$D$2:$D$192,(M27/2+22)-9)-10))))</f>
        <v>0.36652668759282764</v>
      </c>
      <c r="R27" s="16">
        <f>IF((1.75-(($A27+5)/($A27+10))*1.25*(INDEX('Stat Boosts'!$D$2:$D$192,R$1-9)-10)/((INDEX('Stat Boosts'!$D$2:$D$192,(N27/2+22)-9)-10)))&lt;0.5,POWER(1.1,1.75-(($A27+5)/($A27+10))*1.25*(INDEX('Stat Boosts'!$D$2:$D$192,R$1-9)-10)/((INDEX('Stat Boosts'!$D$2:$D$192,(N27/2+22)-9)-10))-0.5)*0.5,(1.75-(($A27+5)/($A27+10))*1.25*(INDEX('Stat Boosts'!$D$2:$D$192,R$1-9)-10)/((INDEX('Stat Boosts'!$D$2:$D$192,(N27/2+22)-9)-10))))</f>
        <v>0.31368041534894958</v>
      </c>
    </row>
    <row r="28" spans="1:18">
      <c r="A28" s="9">
        <v>27</v>
      </c>
      <c r="B28" s="16">
        <f t="shared" si="0"/>
        <v>32.799999999999997</v>
      </c>
      <c r="C28" s="16">
        <f t="shared" si="1"/>
        <v>1.754385964912281E-2</v>
      </c>
      <c r="E28" s="16">
        <f>IF((1.75-(($A28+5)/($A28+10))*(INDEX('Stat Boosts'!$D$2:$D$192,E$1-9)-10)/((INDEX('Stat Boosts'!$D$2:$D$192,(A28/2+22)-9)-10)))&lt;0.5,POWER(1.1,1.75-(($A28+5)/($A28+10))*(INDEX('Stat Boosts'!$D$2:$D$192,E$1-9)-10)/((INDEX('Stat Boosts'!$D$2:$D$192,(A28/2+22)-9)-10))-0.5)*0.5,(1.75-(($A28+5)/($A28+10))*(INDEX('Stat Boosts'!$D$2:$D$192,E$1-9)-10)/((INDEX('Stat Boosts'!$D$2:$D$192,(A28/2+22)-9)-10))))</f>
        <v>1.75</v>
      </c>
      <c r="F28" s="16">
        <f>IF((1.75-(($A28+5)/($A28+10))*(INDEX('Stat Boosts'!$D$2:$D$192,F$1-9)-10)/((INDEX('Stat Boosts'!$D$2:$D$192,(B28/2+22)-9)-10)))&lt;0.5,POWER(1.1,1.75-(($A28+5)/($A28+10))*(INDEX('Stat Boosts'!$D$2:$D$192,F$1-9)-10)/((INDEX('Stat Boosts'!$D$2:$D$192,(B28/2+22)-9)-10))-0.5)*0.5,(1.75-(($A28+5)/($A28+10))*(INDEX('Stat Boosts'!$D$2:$D$192,F$1-9)-10)/((INDEX('Stat Boosts'!$D$2:$D$192,(B28/2+22)-9)-10))))</f>
        <v>1.5818318318318318</v>
      </c>
      <c r="G28" s="16">
        <f>IF((1.75-(($A28+5)/($A28+10))*(INDEX('Stat Boosts'!$D$2:$D$192,G$1-9)-10)/((INDEX('Stat Boosts'!$D$2:$D$192,(C28/2+22)-9)-10)))&lt;0.5,POWER(1.1,1.75-(($A28+5)/($A28+10))*(INDEX('Stat Boosts'!$D$2:$D$192,G$1-9)-10)/((INDEX('Stat Boosts'!$D$2:$D$192,(C28/2+22)-9)-10))-0.5)*0.5,(1.75-(($A28+5)/($A28+10))*(INDEX('Stat Boosts'!$D$2:$D$192,G$1-9)-10)/((INDEX('Stat Boosts'!$D$2:$D$192,(C28/2+22)-9)-10))))</f>
        <v>1.0377583465818758</v>
      </c>
      <c r="H28" s="16">
        <f>IF((1.75-(($A28+5)/($A28+10))*(INDEX('Stat Boosts'!$D$2:$D$192,H$1-9)-10)/((INDEX('Stat Boosts'!$D$2:$D$192,(D28/2+22)-9)-10)))&lt;0.5,POWER(1.1,1.75-(($A28+5)/($A28+10))*(INDEX('Stat Boosts'!$D$2:$D$192,H$1-9)-10)/((INDEX('Stat Boosts'!$D$2:$D$192,(D28/2+22)-9)-10))-0.5)*0.5,(1.75-(($A28+5)/($A28+10))*(INDEX('Stat Boosts'!$D$2:$D$192,H$1-9)-10)/((INDEX('Stat Boosts'!$D$2:$D$192,(D28/2+22)-9)-10))))</f>
        <v>0.68163751987281396</v>
      </c>
      <c r="I28" s="16">
        <f>IF((1.75-(($A28+5)/($A28+10))*(INDEX('Stat Boosts'!$D$2:$D$192,I$1-9)-10)/((INDEX('Stat Boosts'!$D$2:$D$192,(E28/2+22)-9)-10)))&lt;0.5,POWER(1.1,1.75-(($A28+5)/($A28+10))*(INDEX('Stat Boosts'!$D$2:$D$192,I$1-9)-10)/((INDEX('Stat Boosts'!$D$2:$D$192,(E28/2+22)-9)-10))-0.5)*0.5,(1.75-(($A28+5)/($A28+10))*(INDEX('Stat Boosts'!$D$2:$D$192,I$1-9)-10)/((INDEX('Stat Boosts'!$D$2:$D$192,(E28/2+22)-9)-10))))</f>
        <v>0.49414396983919351</v>
      </c>
      <c r="J28" s="16">
        <f>IF((1.75-(($A28+5)/($A28+10))*(INDEX('Stat Boosts'!$D$2:$D$192,J$1-9)-10)/((INDEX('Stat Boosts'!$D$2:$D$192,(F28/2+22)-9)-10)))&lt;0.5,POWER(1.1,1.75-(($A28+5)/($A28+10))*(INDEX('Stat Boosts'!$D$2:$D$192,J$1-9)-10)/((INDEX('Stat Boosts'!$D$2:$D$192,(F28/2+22)-9)-10))-0.5)*0.5,(1.75-(($A28+5)/($A28+10))*(INDEX('Stat Boosts'!$D$2:$D$192,J$1-9)-10)/((INDEX('Stat Boosts'!$D$2:$D$192,(F28/2+22)-9)-10))))</f>
        <v>0.47997490447876995</v>
      </c>
      <c r="K28" s="16">
        <f>IF((1.75-(($A28+5)/($A28+10))*(INDEX('Stat Boosts'!$D$2:$D$192,K$1-9)-10)/((INDEX('Stat Boosts'!$D$2:$D$192,(G28/2+22)-9)-10)))&lt;0.5,POWER(1.1,1.75-(($A28+5)/($A28+10))*(INDEX('Stat Boosts'!$D$2:$D$192,K$1-9)-10)/((INDEX('Stat Boosts'!$D$2:$D$192,(G28/2+22)-9)-10))-0.5)*0.5,(1.75-(($A28+5)/($A28+10))*(INDEX('Stat Boosts'!$D$2:$D$192,K$1-9)-10)/((INDEX('Stat Boosts'!$D$2:$D$192,(G28/2+22)-9)-10))))</f>
        <v>0.44847365527785077</v>
      </c>
      <c r="L28" s="16">
        <f>IF((1.75-(($A28+5)/($A28+10))*(INDEX('Stat Boosts'!$D$2:$D$192,L$1-9)-10)/((INDEX('Stat Boosts'!$D$2:$D$192,(H28/2+22)-9)-10)))&lt;0.5,POWER(1.1,1.75-(($A28+5)/($A28+10))*(INDEX('Stat Boosts'!$D$2:$D$192,L$1-9)-10)/((INDEX('Stat Boosts'!$D$2:$D$192,(H28/2+22)-9)-10))-0.5)*0.5,(1.75-(($A28+5)/($A28+10))*(INDEX('Stat Boosts'!$D$2:$D$192,L$1-9)-10)/((INDEX('Stat Boosts'!$D$2:$D$192,(H28/2+22)-9)-10))))</f>
        <v>0.43773149499421676</v>
      </c>
      <c r="M28" s="16">
        <f>IF((1.75-(($A28+5)/($A28+10))*(INDEX('Stat Boosts'!$D$2:$D$192,M$1-9)-10)/((INDEX('Stat Boosts'!$D$2:$D$192,(I28/2+22)-9)-10)))&lt;0.5,POWER(1.1,1.75-(($A28+5)/($A28+10))*(INDEX('Stat Boosts'!$D$2:$D$192,M$1-9)-10)/((INDEX('Stat Boosts'!$D$2:$D$192,(I28/2+22)-9)-10))-0.5)*0.5,(1.75-(($A28+5)/($A28+10))*(INDEX('Stat Boosts'!$D$2:$D$192,M$1-9)-10)/((INDEX('Stat Boosts'!$D$2:$D$192,(I28/2+22)-9)-10))))</f>
        <v>0.42312335556178027</v>
      </c>
      <c r="N28" s="16">
        <f>IF((1.75-(($A28+5)/($A28+10))*(INDEX('Stat Boosts'!$D$2:$D$192,N$1-9)-10)/((INDEX('Stat Boosts'!$D$2:$D$192,(J28/2+22)-9)-10)))&lt;0.5,POWER(1.1,1.75-(($A28+5)/($A28+10))*(INDEX('Stat Boosts'!$D$2:$D$192,N$1-9)-10)/((INDEX('Stat Boosts'!$D$2:$D$192,(J28/2+22)-9)-10))-0.5)*0.5,(1.75-(($A28+5)/($A28+10))*(INDEX('Stat Boosts'!$D$2:$D$192,N$1-9)-10)/((INDEX('Stat Boosts'!$D$2:$D$192,(J28/2+22)-9)-10))))</f>
        <v>0.40505551025433856</v>
      </c>
      <c r="O28" s="16">
        <f>IF((1.75-(($A28+5)/($A28+10))*(INDEX('Stat Boosts'!$D$2:$D$192,O$1-9)-10)/((INDEX('Stat Boosts'!$D$2:$D$192,(K28/2+22)-9)-10)))&lt;0.5,POWER(1.1,1.75-(($A28+5)/($A28+10))*(INDEX('Stat Boosts'!$D$2:$D$192,O$1-9)-10)/((INDEX('Stat Boosts'!$D$2:$D$192,(K28/2+22)-9)-10))-0.5)*0.5,(1.75-(($A28+5)/($A28+10))*(INDEX('Stat Boosts'!$D$2:$D$192,O$1-9)-10)/((INDEX('Stat Boosts'!$D$2:$D$192,(K28/2+22)-9)-10))))</f>
        <v>0.39535333229201086</v>
      </c>
      <c r="P28" s="16">
        <f>IF((1.75-(($A28+5)/($A28+10))*(INDEX('Stat Boosts'!$D$2:$D$192,P$1-9)-10)/((INDEX('Stat Boosts'!$D$2:$D$192,(L28/2+22)-9)-10)))&lt;0.5,POWER(1.1,1.75-(($A28+5)/($A28+10))*(INDEX('Stat Boosts'!$D$2:$D$192,P$1-9)-10)/((INDEX('Stat Boosts'!$D$2:$D$192,(L28/2+22)-9)-10))-0.5)*0.5,(1.75-(($A28+5)/($A28+10))*(INDEX('Stat Boosts'!$D$2:$D$192,P$1-9)-10)/((INDEX('Stat Boosts'!$D$2:$D$192,(L28/2+22)-9)-10))))</f>
        <v>0.38031090474932033</v>
      </c>
      <c r="Q28" s="16">
        <f>IF((1.75-(($A28+5)/($A28+10))*(INDEX('Stat Boosts'!$D$2:$D$192,Q$1-9)-10)/((INDEX('Stat Boosts'!$D$2:$D$192,(M28/2+22)-9)-10)))&lt;0.5,POWER(1.1,1.75-(($A28+5)/($A28+10))*(INDEX('Stat Boosts'!$D$2:$D$192,Q$1-9)-10)/((INDEX('Stat Boosts'!$D$2:$D$192,(M28/2+22)-9)-10))-0.5)*0.5,(1.75-(($A28+5)/($A28+10))*(INDEX('Stat Boosts'!$D$2:$D$192,Q$1-9)-10)/((INDEX('Stat Boosts'!$D$2:$D$192,(M28/2+22)-9)-10))))</f>
        <v>0.36584081240123989</v>
      </c>
      <c r="R28" s="16">
        <f>IF((1.75-(($A28+5)/($A28+10))*1.25*(INDEX('Stat Boosts'!$D$2:$D$192,R$1-9)-10)/((INDEX('Stat Boosts'!$D$2:$D$192,(N28/2+22)-9)-10)))&lt;0.5,POWER(1.1,1.75-(($A28+5)/($A28+10))*1.25*(INDEX('Stat Boosts'!$D$2:$D$192,R$1-9)-10)/((INDEX('Stat Boosts'!$D$2:$D$192,(N28/2+22)-9)-10))-0.5)*0.5,(1.75-(($A28+5)/($A28+10))*1.25*(INDEX('Stat Boosts'!$D$2:$D$192,R$1-9)-10)/((INDEX('Stat Boosts'!$D$2:$D$192,(N28/2+22)-9)-10))))</f>
        <v>0.31288100215604725</v>
      </c>
    </row>
    <row r="29" spans="1:18">
      <c r="A29" s="9">
        <v>28</v>
      </c>
      <c r="B29" s="16">
        <f t="shared" si="0"/>
        <v>33.200000000000003</v>
      </c>
      <c r="C29" s="16">
        <f t="shared" si="1"/>
        <v>1.7241379310344827E-2</v>
      </c>
      <c r="E29" s="16">
        <f>IF((1.75-(($A29+5)/($A29+10))*(INDEX('Stat Boosts'!$D$2:$D$192,E$1-9)-10)/((INDEX('Stat Boosts'!$D$2:$D$192,(A29/2+22)-9)-10)))&lt;0.5,POWER(1.1,1.75-(($A29+5)/($A29+10))*(INDEX('Stat Boosts'!$D$2:$D$192,E$1-9)-10)/((INDEX('Stat Boosts'!$D$2:$D$192,(A29/2+22)-9)-10))-0.5)*0.5,(1.75-(($A29+5)/($A29+10))*(INDEX('Stat Boosts'!$D$2:$D$192,E$1-9)-10)/((INDEX('Stat Boosts'!$D$2:$D$192,(A29/2+22)-9)-10))))</f>
        <v>1.75</v>
      </c>
      <c r="F29" s="16">
        <f>IF((1.75-(($A29+5)/($A29+10))*(INDEX('Stat Boosts'!$D$2:$D$192,F$1-9)-10)/((INDEX('Stat Boosts'!$D$2:$D$192,(B29/2+22)-9)-10)))&lt;0.5,POWER(1.1,1.75-(($A29+5)/($A29+10))*(INDEX('Stat Boosts'!$D$2:$D$192,F$1-9)-10)/((INDEX('Stat Boosts'!$D$2:$D$192,(B29/2+22)-9)-10))-0.5)*0.5,(1.75-(($A29+5)/($A29+10))*(INDEX('Stat Boosts'!$D$2:$D$192,F$1-9)-10)/((INDEX('Stat Boosts'!$D$2:$D$192,(B29/2+22)-9)-10))))</f>
        <v>1.5811403508771931</v>
      </c>
      <c r="G29" s="16">
        <f>IF((1.75-(($A29+5)/($A29+10))*(INDEX('Stat Boosts'!$D$2:$D$192,G$1-9)-10)/((INDEX('Stat Boosts'!$D$2:$D$192,(C29/2+22)-9)-10)))&lt;0.5,POWER(1.1,1.75-(($A29+5)/($A29+10))*(INDEX('Stat Boosts'!$D$2:$D$192,G$1-9)-10)/((INDEX('Stat Boosts'!$D$2:$D$192,(C29/2+22)-9)-10))-0.5)*0.5,(1.75-(($A29+5)/($A29+10))*(INDEX('Stat Boosts'!$D$2:$D$192,G$1-9)-10)/((INDEX('Stat Boosts'!$D$2:$D$192,(C29/2+22)-9)-10))))</f>
        <v>1.0348297213622291</v>
      </c>
      <c r="H29" s="16">
        <f>IF((1.75-(($A29+5)/($A29+10))*(INDEX('Stat Boosts'!$D$2:$D$192,H$1-9)-10)/((INDEX('Stat Boosts'!$D$2:$D$192,(D29/2+22)-9)-10)))&lt;0.5,POWER(1.1,1.75-(($A29+5)/($A29+10))*(INDEX('Stat Boosts'!$D$2:$D$192,H$1-9)-10)/((INDEX('Stat Boosts'!$D$2:$D$192,(D29/2+22)-9)-10))-0.5)*0.5,(1.75-(($A29+5)/($A29+10))*(INDEX('Stat Boosts'!$D$2:$D$192,H$1-9)-10)/((INDEX('Stat Boosts'!$D$2:$D$192,(D29/2+22)-9)-10))))</f>
        <v>0.6772445820433437</v>
      </c>
      <c r="I29" s="16">
        <f>IF((1.75-(($A29+5)/($A29+10))*(INDEX('Stat Boosts'!$D$2:$D$192,I$1-9)-10)/((INDEX('Stat Boosts'!$D$2:$D$192,(E29/2+22)-9)-10)))&lt;0.5,POWER(1.1,1.75-(($A29+5)/($A29+10))*(INDEX('Stat Boosts'!$D$2:$D$192,I$1-9)-10)/((INDEX('Stat Boosts'!$D$2:$D$192,(E29/2+22)-9)-10))-0.5)*0.5,(1.75-(($A29+5)/($A29+10))*(INDEX('Stat Boosts'!$D$2:$D$192,I$1-9)-10)/((INDEX('Stat Boosts'!$D$2:$D$192,(E29/2+22)-9)-10))))</f>
        <v>0.49387803488380672</v>
      </c>
      <c r="J29" s="16">
        <f>IF((1.75-(($A29+5)/($A29+10))*(INDEX('Stat Boosts'!$D$2:$D$192,J$1-9)-10)/((INDEX('Stat Boosts'!$D$2:$D$192,(F29/2+22)-9)-10)))&lt;0.5,POWER(1.1,1.75-(($A29+5)/($A29+10))*(INDEX('Stat Boosts'!$D$2:$D$192,J$1-9)-10)/((INDEX('Stat Boosts'!$D$2:$D$192,(F29/2+22)-9)-10))-0.5)*0.5,(1.75-(($A29+5)/($A29+10))*(INDEX('Stat Boosts'!$D$2:$D$192,J$1-9)-10)/((INDEX('Stat Boosts'!$D$2:$D$192,(F29/2+22)-9)-10))))</f>
        <v>0.47965921169193709</v>
      </c>
      <c r="K29" s="16">
        <f>IF((1.75-(($A29+5)/($A29+10))*(INDEX('Stat Boosts'!$D$2:$D$192,K$1-9)-10)/((INDEX('Stat Boosts'!$D$2:$D$192,(G29/2+22)-9)-10)))&lt;0.5,POWER(1.1,1.75-(($A29+5)/($A29+10))*(INDEX('Stat Boosts'!$D$2:$D$192,K$1-9)-10)/((INDEX('Stat Boosts'!$D$2:$D$192,(G29/2+22)-9)-10))-0.5)*0.5,(1.75-(($A29+5)/($A29+10))*(INDEX('Stat Boosts'!$D$2:$D$192,K$1-9)-10)/((INDEX('Stat Boosts'!$D$2:$D$192,(G29/2+22)-9)-10))))</f>
        <v>0.44805360006492778</v>
      </c>
      <c r="L29" s="16">
        <f>IF((1.75-(($A29+5)/($A29+10))*(INDEX('Stat Boosts'!$D$2:$D$192,L$1-9)-10)/((INDEX('Stat Boosts'!$D$2:$D$192,(H29/2+22)-9)-10)))&lt;0.5,POWER(1.1,1.75-(($A29+5)/($A29+10))*(INDEX('Stat Boosts'!$D$2:$D$192,L$1-9)-10)/((INDEX('Stat Boosts'!$D$2:$D$192,(H29/2+22)-9)-10))-0.5)*0.5,(1.75-(($A29+5)/($A29+10))*(INDEX('Stat Boosts'!$D$2:$D$192,L$1-9)-10)/((INDEX('Stat Boosts'!$D$2:$D$192,(H29/2+22)-9)-10))))</f>
        <v>0.43727790749185413</v>
      </c>
      <c r="M29" s="16">
        <f>IF((1.75-(($A29+5)/($A29+10))*(INDEX('Stat Boosts'!$D$2:$D$192,M$1-9)-10)/((INDEX('Stat Boosts'!$D$2:$D$192,(I29/2+22)-9)-10)))&lt;0.5,POWER(1.1,1.75-(($A29+5)/($A29+10))*(INDEX('Stat Boosts'!$D$2:$D$192,M$1-9)-10)/((INDEX('Stat Boosts'!$D$2:$D$192,(I29/2+22)-9)-10))-0.5)*0.5,(1.75-(($A29+5)/($A29+10))*(INDEX('Stat Boosts'!$D$2:$D$192,M$1-9)-10)/((INDEX('Stat Boosts'!$D$2:$D$192,(I29/2+22)-9)-10))))</f>
        <v>0.42262591791474963</v>
      </c>
      <c r="N29" s="16">
        <f>IF((1.75-(($A29+5)/($A29+10))*(INDEX('Stat Boosts'!$D$2:$D$192,N$1-9)-10)/((INDEX('Stat Boosts'!$D$2:$D$192,(J29/2+22)-9)-10)))&lt;0.5,POWER(1.1,1.75-(($A29+5)/($A29+10))*(INDEX('Stat Boosts'!$D$2:$D$192,N$1-9)-10)/((INDEX('Stat Boosts'!$D$2:$D$192,(J29/2+22)-9)-10))-0.5)*0.5,(1.75-(($A29+5)/($A29+10))*(INDEX('Stat Boosts'!$D$2:$D$192,N$1-9)-10)/((INDEX('Stat Boosts'!$D$2:$D$192,(J29/2+22)-9)-10))))</f>
        <v>0.40450672284196071</v>
      </c>
      <c r="O29" s="16">
        <f>IF((1.75-(($A29+5)/($A29+10))*(INDEX('Stat Boosts'!$D$2:$D$192,O$1-9)-10)/((INDEX('Stat Boosts'!$D$2:$D$192,(K29/2+22)-9)-10)))&lt;0.5,POWER(1.1,1.75-(($A29+5)/($A29+10))*(INDEX('Stat Boosts'!$D$2:$D$192,O$1-9)-10)/((INDEX('Stat Boosts'!$D$2:$D$192,(K29/2+22)-9)-10))-0.5)*0.5,(1.75-(($A29+5)/($A29+10))*(INDEX('Stat Boosts'!$D$2:$D$192,O$1-9)-10)/((INDEX('Stat Boosts'!$D$2:$D$192,(K29/2+22)-9)-10))))</f>
        <v>0.39477833300544379</v>
      </c>
      <c r="P29" s="16">
        <f>IF((1.75-(($A29+5)/($A29+10))*(INDEX('Stat Boosts'!$D$2:$D$192,P$1-9)-10)/((INDEX('Stat Boosts'!$D$2:$D$192,(L29/2+22)-9)-10)))&lt;0.5,POWER(1.1,1.75-(($A29+5)/($A29+10))*(INDEX('Stat Boosts'!$D$2:$D$192,P$1-9)-10)/((INDEX('Stat Boosts'!$D$2:$D$192,(L29/2+22)-9)-10))-0.5)*0.5,(1.75-(($A29+5)/($A29+10))*(INDEX('Stat Boosts'!$D$2:$D$192,P$1-9)-10)/((INDEX('Stat Boosts'!$D$2:$D$192,(L29/2+22)-9)-10))))</f>
        <v>0.37969721592765449</v>
      </c>
      <c r="Q29" s="16">
        <f>IF((1.75-(($A29+5)/($A29+10))*(INDEX('Stat Boosts'!$D$2:$D$192,Q$1-9)-10)/((INDEX('Stat Boosts'!$D$2:$D$192,(M29/2+22)-9)-10)))&lt;0.5,POWER(1.1,1.75-(($A29+5)/($A29+10))*(INDEX('Stat Boosts'!$D$2:$D$192,Q$1-9)-10)/((INDEX('Stat Boosts'!$D$2:$D$192,(M29/2+22)-9)-10))-0.5)*0.5,(1.75-(($A29+5)/($A29+10))*(INDEX('Stat Boosts'!$D$2:$D$192,Q$1-9)-10)/((INDEX('Stat Boosts'!$D$2:$D$192,(M29/2+22)-9)-10))))</f>
        <v>0.36519221986081957</v>
      </c>
      <c r="R29" s="16">
        <f>IF((1.75-(($A29+5)/($A29+10))*1.25*(INDEX('Stat Boosts'!$D$2:$D$192,R$1-9)-10)/((INDEX('Stat Boosts'!$D$2:$D$192,(N29/2+22)-9)-10)))&lt;0.5,POWER(1.1,1.75-(($A29+5)/($A29+10))*1.25*(INDEX('Stat Boosts'!$D$2:$D$192,R$1-9)-10)/((INDEX('Stat Boosts'!$D$2:$D$192,(N29/2+22)-9)-10))-0.5)*0.5,(1.75-(($A29+5)/($A29+10))*1.25*(INDEX('Stat Boosts'!$D$2:$D$192,R$1-9)-10)/((INDEX('Stat Boosts'!$D$2:$D$192,(N29/2+22)-9)-10))))</f>
        <v>0.31212554270907839</v>
      </c>
    </row>
    <row r="30" spans="1:18">
      <c r="A30" s="9">
        <v>29</v>
      </c>
      <c r="B30" s="16">
        <f t="shared" si="0"/>
        <v>33.6</v>
      </c>
      <c r="C30" s="16">
        <f t="shared" si="1"/>
        <v>1.6949152542372881E-2</v>
      </c>
      <c r="E30" s="16">
        <f>IF((1.75-(($A30+5)/($A30+10))*(INDEX('Stat Boosts'!$D$2:$D$192,E$1-9)-10)/((INDEX('Stat Boosts'!$D$2:$D$192,(A30/2+22)-9)-10)))&lt;0.5,POWER(1.1,1.75-(($A30+5)/($A30+10))*(INDEX('Stat Boosts'!$D$2:$D$192,E$1-9)-10)/((INDEX('Stat Boosts'!$D$2:$D$192,(A30/2+22)-9)-10))-0.5)*0.5,(1.75-(($A30+5)/($A30+10))*(INDEX('Stat Boosts'!$D$2:$D$192,E$1-9)-10)/((INDEX('Stat Boosts'!$D$2:$D$192,(A30/2+22)-9)-10))))</f>
        <v>1.75</v>
      </c>
      <c r="F30" s="16">
        <f>IF((1.75-(($A30+5)/($A30+10))*(INDEX('Stat Boosts'!$D$2:$D$192,F$1-9)-10)/((INDEX('Stat Boosts'!$D$2:$D$192,(B30/2+22)-9)-10)))&lt;0.5,POWER(1.1,1.75-(($A30+5)/($A30+10))*(INDEX('Stat Boosts'!$D$2:$D$192,F$1-9)-10)/((INDEX('Stat Boosts'!$D$2:$D$192,(B30/2+22)-9)-10))-0.5)*0.5,(1.75-(($A30+5)/($A30+10))*(INDEX('Stat Boosts'!$D$2:$D$192,F$1-9)-10)/((INDEX('Stat Boosts'!$D$2:$D$192,(B30/2+22)-9)-10))))</f>
        <v>1.5804843304843306</v>
      </c>
      <c r="G30" s="16">
        <f>IF((1.75-(($A30+5)/($A30+10))*(INDEX('Stat Boosts'!$D$2:$D$192,G$1-9)-10)/((INDEX('Stat Boosts'!$D$2:$D$192,(C30/2+22)-9)-10)))&lt;0.5,POWER(1.1,1.75-(($A30+5)/($A30+10))*(INDEX('Stat Boosts'!$D$2:$D$192,G$1-9)-10)/((INDEX('Stat Boosts'!$D$2:$D$192,(C30/2+22)-9)-10))-0.5)*0.5,(1.75-(($A30+5)/($A30+10))*(INDEX('Stat Boosts'!$D$2:$D$192,G$1-9)-10)/((INDEX('Stat Boosts'!$D$2:$D$192,(C30/2+22)-9)-10))))</f>
        <v>1.0320512820512819</v>
      </c>
      <c r="H30" s="16">
        <f>IF((1.75-(($A30+5)/($A30+10))*(INDEX('Stat Boosts'!$D$2:$D$192,H$1-9)-10)/((INDEX('Stat Boosts'!$D$2:$D$192,(D30/2+22)-9)-10)))&lt;0.5,POWER(1.1,1.75-(($A30+5)/($A30+10))*(INDEX('Stat Boosts'!$D$2:$D$192,H$1-9)-10)/((INDEX('Stat Boosts'!$D$2:$D$192,(D30/2+22)-9)-10))-0.5)*0.5,(1.75-(($A30+5)/($A30+10))*(INDEX('Stat Boosts'!$D$2:$D$192,H$1-9)-10)/((INDEX('Stat Boosts'!$D$2:$D$192,(D30/2+22)-9)-10))))</f>
        <v>0.67307692307692313</v>
      </c>
      <c r="I30" s="16">
        <f>IF((1.75-(($A30+5)/($A30+10))*(INDEX('Stat Boosts'!$D$2:$D$192,I$1-9)-10)/((INDEX('Stat Boosts'!$D$2:$D$192,(E30/2+22)-9)-10)))&lt;0.5,POWER(1.1,1.75-(($A30+5)/($A30+10))*(INDEX('Stat Boosts'!$D$2:$D$192,I$1-9)-10)/((INDEX('Stat Boosts'!$D$2:$D$192,(E30/2+22)-9)-10))-0.5)*0.5,(1.75-(($A30+5)/($A30+10))*(INDEX('Stat Boosts'!$D$2:$D$192,I$1-9)-10)/((INDEX('Stat Boosts'!$D$2:$D$192,(E30/2+22)-9)-10))))</f>
        <v>0.49362586991771207</v>
      </c>
      <c r="J30" s="16">
        <f>IF((1.75-(($A30+5)/($A30+10))*(INDEX('Stat Boosts'!$D$2:$D$192,J$1-9)-10)/((INDEX('Stat Boosts'!$D$2:$D$192,(F30/2+22)-9)-10)))&lt;0.5,POWER(1.1,1.75-(($A30+5)/($A30+10))*(INDEX('Stat Boosts'!$D$2:$D$192,J$1-9)-10)/((INDEX('Stat Boosts'!$D$2:$D$192,(F30/2+22)-9)-10))-0.5)*0.5,(1.75-(($A30+5)/($A30+10))*(INDEX('Stat Boosts'!$D$2:$D$192,J$1-9)-10)/((INDEX('Stat Boosts'!$D$2:$D$192,(F30/2+22)-9)-10))))</f>
        <v>0.47935990022156649</v>
      </c>
      <c r="K30" s="16">
        <f>IF((1.75-(($A30+5)/($A30+10))*(INDEX('Stat Boosts'!$D$2:$D$192,K$1-9)-10)/((INDEX('Stat Boosts'!$D$2:$D$192,(G30/2+22)-9)-10)))&lt;0.5,POWER(1.1,1.75-(($A30+5)/($A30+10))*(INDEX('Stat Boosts'!$D$2:$D$192,K$1-9)-10)/((INDEX('Stat Boosts'!$D$2:$D$192,(G30/2+22)-9)-10))-0.5)*0.5,(1.75-(($A30+5)/($A30+10))*(INDEX('Stat Boosts'!$D$2:$D$192,K$1-9)-10)/((INDEX('Stat Boosts'!$D$2:$D$192,(G30/2+22)-9)-10))))</f>
        <v>0.44765544984127509</v>
      </c>
      <c r="L30" s="16">
        <f>IF((1.75-(($A30+5)/($A30+10))*(INDEX('Stat Boosts'!$D$2:$D$192,L$1-9)-10)/((INDEX('Stat Boosts'!$D$2:$D$192,(H30/2+22)-9)-10)))&lt;0.5,POWER(1.1,1.75-(($A30+5)/($A30+10))*(INDEX('Stat Boosts'!$D$2:$D$192,L$1-9)-10)/((INDEX('Stat Boosts'!$D$2:$D$192,(H30/2+22)-9)-10))-0.5)*0.5,(1.75-(($A30+5)/($A30+10))*(INDEX('Stat Boosts'!$D$2:$D$192,L$1-9)-10)/((INDEX('Stat Boosts'!$D$2:$D$192,(H30/2+22)-9)-10))))</f>
        <v>0.4368480153754285</v>
      </c>
      <c r="M30" s="16">
        <f>IF((1.75-(($A30+5)/($A30+10))*(INDEX('Stat Boosts'!$D$2:$D$192,M$1-9)-10)/((INDEX('Stat Boosts'!$D$2:$D$192,(I30/2+22)-9)-10)))&lt;0.5,POWER(1.1,1.75-(($A30+5)/($A30+10))*(INDEX('Stat Boosts'!$D$2:$D$192,M$1-9)-10)/((INDEX('Stat Boosts'!$D$2:$D$192,(I30/2+22)-9)-10))-0.5)*0.5,(1.75-(($A30+5)/($A30+10))*(INDEX('Stat Boosts'!$D$2:$D$192,M$1-9)-10)/((INDEX('Stat Boosts'!$D$2:$D$192,(I30/2+22)-9)-10))))</f>
        <v>0.42215453048952112</v>
      </c>
      <c r="N30" s="16">
        <f>IF((1.75-(($A30+5)/($A30+10))*(INDEX('Stat Boosts'!$D$2:$D$192,N$1-9)-10)/((INDEX('Stat Boosts'!$D$2:$D$192,(J30/2+22)-9)-10)))&lt;0.5,POWER(1.1,1.75-(($A30+5)/($A30+10))*(INDEX('Stat Boosts'!$D$2:$D$192,N$1-9)-10)/((INDEX('Stat Boosts'!$D$2:$D$192,(J30/2+22)-9)-10))-0.5)*0.5,(1.75-(($A30+5)/($A30+10))*(INDEX('Stat Boosts'!$D$2:$D$192,N$1-9)-10)/((INDEX('Stat Boosts'!$D$2:$D$192,(J30/2+22)-9)-10))))</f>
        <v>0.4039867656952712</v>
      </c>
      <c r="O30" s="16">
        <f>IF((1.75-(($A30+5)/($A30+10))*(INDEX('Stat Boosts'!$D$2:$D$192,O$1-9)-10)/((INDEX('Stat Boosts'!$D$2:$D$192,(K30/2+22)-9)-10)))&lt;0.5,POWER(1.1,1.75-(($A30+5)/($A30+10))*(INDEX('Stat Boosts'!$D$2:$D$192,O$1-9)-10)/((INDEX('Stat Boosts'!$D$2:$D$192,(K30/2+22)-9)-10))-0.5)*0.5,(1.75-(($A30+5)/($A30+10))*(INDEX('Stat Boosts'!$D$2:$D$192,O$1-9)-10)/((INDEX('Stat Boosts'!$D$2:$D$192,(K30/2+22)-9)-10))))</f>
        <v>0.39423359392696361</v>
      </c>
      <c r="P30" s="16">
        <f>IF((1.75-(($A30+5)/($A30+10))*(INDEX('Stat Boosts'!$D$2:$D$192,P$1-9)-10)/((INDEX('Stat Boosts'!$D$2:$D$192,(L30/2+22)-9)-10)))&lt;0.5,POWER(1.1,1.75-(($A30+5)/($A30+10))*(INDEX('Stat Boosts'!$D$2:$D$192,P$1-9)-10)/((INDEX('Stat Boosts'!$D$2:$D$192,(L30/2+22)-9)-10))-0.5)*0.5,(1.75-(($A30+5)/($A30+10))*(INDEX('Stat Boosts'!$D$2:$D$192,P$1-9)-10)/((INDEX('Stat Boosts'!$D$2:$D$192,(L30/2+22)-9)-10))))</f>
        <v>0.37911591375887177</v>
      </c>
      <c r="Q30" s="16">
        <f>IF((1.75-(($A30+5)/($A30+10))*(INDEX('Stat Boosts'!$D$2:$D$192,Q$1-9)-10)/((INDEX('Stat Boosts'!$D$2:$D$192,(M30/2+22)-9)-10)))&lt;0.5,POWER(1.1,1.75-(($A30+5)/($A30+10))*(INDEX('Stat Boosts'!$D$2:$D$192,Q$1-9)-10)/((INDEX('Stat Boosts'!$D$2:$D$192,(M30/2+22)-9)-10))-0.5)*0.5,(1.75-(($A30+5)/($A30+10))*(INDEX('Stat Boosts'!$D$2:$D$192,Q$1-9)-10)/((INDEX('Stat Boosts'!$D$2:$D$192,(M30/2+22)-9)-10))))</f>
        <v>0.36457795144634908</v>
      </c>
      <c r="R30" s="16">
        <f>IF((1.75-(($A30+5)/($A30+10))*1.25*(INDEX('Stat Boosts'!$D$2:$D$192,R$1-9)-10)/((INDEX('Stat Boosts'!$D$2:$D$192,(N30/2+22)-9)-10)))&lt;0.5,POWER(1.1,1.75-(($A30+5)/($A30+10))*1.25*(INDEX('Stat Boosts'!$D$2:$D$192,R$1-9)-10)/((INDEX('Stat Boosts'!$D$2:$D$192,(N30/2+22)-9)-10))-0.5)*0.5,(1.75-(($A30+5)/($A30+10))*1.25*(INDEX('Stat Boosts'!$D$2:$D$192,R$1-9)-10)/((INDEX('Stat Boosts'!$D$2:$D$192,(N30/2+22)-9)-10))))</f>
        <v>0.31141051100356876</v>
      </c>
    </row>
    <row r="31" spans="1:18">
      <c r="A31" s="9">
        <v>30</v>
      </c>
      <c r="B31" s="16">
        <f t="shared" si="0"/>
        <v>34</v>
      </c>
      <c r="C31" s="16">
        <f t="shared" si="1"/>
        <v>1.6666666666666666E-2</v>
      </c>
      <c r="E31" s="16">
        <f>IF((1.75-(($A31+5)/($A31+10))*(INDEX('Stat Boosts'!$D$2:$D$192,E$1-9)-10)/((INDEX('Stat Boosts'!$D$2:$D$192,(A31/2+22)-9)-10)))&lt;0.5,POWER(1.1,1.75-(($A31+5)/($A31+10))*(INDEX('Stat Boosts'!$D$2:$D$192,E$1-9)-10)/((INDEX('Stat Boosts'!$D$2:$D$192,(A31/2+22)-9)-10))-0.5)*0.5,(1.75-(($A31+5)/($A31+10))*(INDEX('Stat Boosts'!$D$2:$D$192,E$1-9)-10)/((INDEX('Stat Boosts'!$D$2:$D$192,(A31/2+22)-9)-10))))</f>
        <v>1.75</v>
      </c>
      <c r="F31" s="16">
        <f>IF((1.75-(($A31+5)/($A31+10))*(INDEX('Stat Boosts'!$D$2:$D$192,F$1-9)-10)/((INDEX('Stat Boosts'!$D$2:$D$192,(B31/2+22)-9)-10)))&lt;0.5,POWER(1.1,1.75-(($A31+5)/($A31+10))*(INDEX('Stat Boosts'!$D$2:$D$192,F$1-9)-10)/((INDEX('Stat Boosts'!$D$2:$D$192,(B31/2+22)-9)-10))-0.5)*0.5,(1.75-(($A31+5)/($A31+10))*(INDEX('Stat Boosts'!$D$2:$D$192,F$1-9)-10)/((INDEX('Stat Boosts'!$D$2:$D$192,(B31/2+22)-9)-10))))</f>
        <v>1.5929487179487181</v>
      </c>
      <c r="G31" s="16">
        <f>IF((1.75-(($A31+5)/($A31+10))*(INDEX('Stat Boosts'!$D$2:$D$192,G$1-9)-10)/((INDEX('Stat Boosts'!$D$2:$D$192,(C31/2+22)-9)-10)))&lt;0.5,POWER(1.1,1.75-(($A31+5)/($A31+10))*(INDEX('Stat Boosts'!$D$2:$D$192,G$1-9)-10)/((INDEX('Stat Boosts'!$D$2:$D$192,(C31/2+22)-9)-10))-0.5)*0.5,(1.75-(($A31+5)/($A31+10))*(INDEX('Stat Boosts'!$D$2:$D$192,G$1-9)-10)/((INDEX('Stat Boosts'!$D$2:$D$192,(C31/2+22)-9)-10))))</f>
        <v>1.0294117647058822</v>
      </c>
      <c r="H31" s="16">
        <f>IF((1.75-(($A31+5)/($A31+10))*(INDEX('Stat Boosts'!$D$2:$D$192,H$1-9)-10)/((INDEX('Stat Boosts'!$D$2:$D$192,(D31/2+22)-9)-10)))&lt;0.5,POWER(1.1,1.75-(($A31+5)/($A31+10))*(INDEX('Stat Boosts'!$D$2:$D$192,H$1-9)-10)/((INDEX('Stat Boosts'!$D$2:$D$192,(D31/2+22)-9)-10))-0.5)*0.5,(1.75-(($A31+5)/($A31+10))*(INDEX('Stat Boosts'!$D$2:$D$192,H$1-9)-10)/((INDEX('Stat Boosts'!$D$2:$D$192,(D31/2+22)-9)-10))))</f>
        <v>0.66911764705882359</v>
      </c>
      <c r="I31" s="16">
        <f>IF((1.75-(($A31+5)/($A31+10))*(INDEX('Stat Boosts'!$D$2:$D$192,I$1-9)-10)/((INDEX('Stat Boosts'!$D$2:$D$192,(E31/2+22)-9)-10)))&lt;0.5,POWER(1.1,1.75-(($A31+5)/($A31+10))*(INDEX('Stat Boosts'!$D$2:$D$192,I$1-9)-10)/((INDEX('Stat Boosts'!$D$2:$D$192,(E31/2+22)-9)-10))-0.5)*0.5,(1.75-(($A31+5)/($A31+10))*(INDEX('Stat Boosts'!$D$2:$D$192,I$1-9)-10)/((INDEX('Stat Boosts'!$D$2:$D$192,(E31/2+22)-9)-10))))</f>
        <v>0.49338643245632435</v>
      </c>
      <c r="J31" s="16">
        <f>IF((1.75-(($A31+5)/($A31+10))*(INDEX('Stat Boosts'!$D$2:$D$192,J$1-9)-10)/((INDEX('Stat Boosts'!$D$2:$D$192,(F31/2+22)-9)-10)))&lt;0.5,POWER(1.1,1.75-(($A31+5)/($A31+10))*(INDEX('Stat Boosts'!$D$2:$D$192,J$1-9)-10)/((INDEX('Stat Boosts'!$D$2:$D$192,(F31/2+22)-9)-10))-0.5)*0.5,(1.75-(($A31+5)/($A31+10))*(INDEX('Stat Boosts'!$D$2:$D$192,J$1-9)-10)/((INDEX('Stat Boosts'!$D$2:$D$192,(F31/2+22)-9)-10))))</f>
        <v>0.47907572732494025</v>
      </c>
      <c r="K31" s="16">
        <f>IF((1.75-(($A31+5)/($A31+10))*(INDEX('Stat Boosts'!$D$2:$D$192,K$1-9)-10)/((INDEX('Stat Boosts'!$D$2:$D$192,(G31/2+22)-9)-10)))&lt;0.5,POWER(1.1,1.75-(($A31+5)/($A31+10))*(INDEX('Stat Boosts'!$D$2:$D$192,K$1-9)-10)/((INDEX('Stat Boosts'!$D$2:$D$192,(G31/2+22)-9)-10))-0.5)*0.5,(1.75-(($A31+5)/($A31+10))*(INDEX('Stat Boosts'!$D$2:$D$192,K$1-9)-10)/((INDEX('Stat Boosts'!$D$2:$D$192,(G31/2+22)-9)-10))))</f>
        <v>0.44727753484553401</v>
      </c>
      <c r="L31" s="16">
        <f>IF((1.75-(($A31+5)/($A31+10))*(INDEX('Stat Boosts'!$D$2:$D$192,L$1-9)-10)/((INDEX('Stat Boosts'!$D$2:$D$192,(H31/2+22)-9)-10)))&lt;0.5,POWER(1.1,1.75-(($A31+5)/($A31+10))*(INDEX('Stat Boosts'!$D$2:$D$192,L$1-9)-10)/((INDEX('Stat Boosts'!$D$2:$D$192,(H31/2+22)-9)-10))-0.5)*0.5,(1.75-(($A31+5)/($A31+10))*(INDEX('Stat Boosts'!$D$2:$D$192,L$1-9)-10)/((INDEX('Stat Boosts'!$D$2:$D$192,(H31/2+22)-9)-10))))</f>
        <v>0.43644000933327243</v>
      </c>
      <c r="M31" s="16">
        <f>IF((1.75-(($A31+5)/($A31+10))*(INDEX('Stat Boosts'!$D$2:$D$192,M$1-9)-10)/((INDEX('Stat Boosts'!$D$2:$D$192,(I31/2+22)-9)-10)))&lt;0.5,POWER(1.1,1.75-(($A31+5)/($A31+10))*(INDEX('Stat Boosts'!$D$2:$D$192,M$1-9)-10)/((INDEX('Stat Boosts'!$D$2:$D$192,(I31/2+22)-9)-10))-0.5)*0.5,(1.75-(($A31+5)/($A31+10))*(INDEX('Stat Boosts'!$D$2:$D$192,M$1-9)-10)/((INDEX('Stat Boosts'!$D$2:$D$192,(I31/2+22)-9)-10))))</f>
        <v>0.42170719944362178</v>
      </c>
      <c r="N31" s="16">
        <f>IF((1.75-(($A31+5)/($A31+10))*(INDEX('Stat Boosts'!$D$2:$D$192,N$1-9)-10)/((INDEX('Stat Boosts'!$D$2:$D$192,(J31/2+22)-9)-10)))&lt;0.5,POWER(1.1,1.75-(($A31+5)/($A31+10))*(INDEX('Stat Boosts'!$D$2:$D$192,N$1-9)-10)/((INDEX('Stat Boosts'!$D$2:$D$192,(J31/2+22)-9)-10))-0.5)*0.5,(1.75-(($A31+5)/($A31+10))*(INDEX('Stat Boosts'!$D$2:$D$192,N$1-9)-10)/((INDEX('Stat Boosts'!$D$2:$D$192,(J31/2+22)-9)-10))))</f>
        <v>0.40349342548607864</v>
      </c>
      <c r="O31" s="16">
        <f>IF((1.75-(($A31+5)/($A31+10))*(INDEX('Stat Boosts'!$D$2:$D$192,O$1-9)-10)/((INDEX('Stat Boosts'!$D$2:$D$192,(K31/2+22)-9)-10)))&lt;0.5,POWER(1.1,1.75-(($A31+5)/($A31+10))*(INDEX('Stat Boosts'!$D$2:$D$192,O$1-9)-10)/((INDEX('Stat Boosts'!$D$2:$D$192,(K31/2+22)-9)-10))-0.5)*0.5,(1.75-(($A31+5)/($A31+10))*(INDEX('Stat Boosts'!$D$2:$D$192,O$1-9)-10)/((INDEX('Stat Boosts'!$D$2:$D$192,(K31/2+22)-9)-10))))</f>
        <v>0.39371678804721122</v>
      </c>
      <c r="P31" s="16">
        <f>IF((1.75-(($A31+5)/($A31+10))*(INDEX('Stat Boosts'!$D$2:$D$192,P$1-9)-10)/((INDEX('Stat Boosts'!$D$2:$D$192,(L31/2+22)-9)-10)))&lt;0.5,POWER(1.1,1.75-(($A31+5)/($A31+10))*(INDEX('Stat Boosts'!$D$2:$D$192,P$1-9)-10)/((INDEX('Stat Boosts'!$D$2:$D$192,(L31/2+22)-9)-10))-0.5)*0.5,(1.75-(($A31+5)/($A31+10))*(INDEX('Stat Boosts'!$D$2:$D$192,P$1-9)-10)/((INDEX('Stat Boosts'!$D$2:$D$192,(L31/2+22)-9)-10))))</f>
        <v>0.3785645010374018</v>
      </c>
      <c r="Q31" s="16">
        <f>IF((1.75-(($A31+5)/($A31+10))*(INDEX('Stat Boosts'!$D$2:$D$192,Q$1-9)-10)/((INDEX('Stat Boosts'!$D$2:$D$192,(M31/2+22)-9)-10)))&lt;0.5,POWER(1.1,1.75-(($A31+5)/($A31+10))*(INDEX('Stat Boosts'!$D$2:$D$192,Q$1-9)-10)/((INDEX('Stat Boosts'!$D$2:$D$192,(M31/2+22)-9)-10))-0.5)*0.5,(1.75-(($A31+5)/($A31+10))*(INDEX('Stat Boosts'!$D$2:$D$192,Q$1-9)-10)/((INDEX('Stat Boosts'!$D$2:$D$192,(M31/2+22)-9)-10))))</f>
        <v>0.36399535350398188</v>
      </c>
      <c r="R31" s="16">
        <f>IF((1.75-(($A31+5)/($A31+10))*1.25*(INDEX('Stat Boosts'!$D$2:$D$192,R$1-9)-10)/((INDEX('Stat Boosts'!$D$2:$D$192,(N31/2+22)-9)-10)))&lt;0.5,POWER(1.1,1.75-(($A31+5)/($A31+10))*1.25*(INDEX('Stat Boosts'!$D$2:$D$192,R$1-9)-10)/((INDEX('Stat Boosts'!$D$2:$D$192,(N31/2+22)-9)-10))-0.5)*0.5,(1.75-(($A31+5)/($A31+10))*1.25*(INDEX('Stat Boosts'!$D$2:$D$192,R$1-9)-10)/((INDEX('Stat Boosts'!$D$2:$D$192,(N31/2+22)-9)-10))))</f>
        <v>0.31073274816461882</v>
      </c>
    </row>
    <row r="32" spans="1:18">
      <c r="A32" s="9">
        <v>31</v>
      </c>
      <c r="B32" s="16">
        <f t="shared" si="0"/>
        <v>34.4</v>
      </c>
      <c r="C32" s="16">
        <f t="shared" si="1"/>
        <v>1.6393442622950821E-2</v>
      </c>
      <c r="E32" s="16">
        <f>IF((1.75-(($A32+5)/($A32+10))*(INDEX('Stat Boosts'!$D$2:$D$192,E$1-9)-10)/((INDEX('Stat Boosts'!$D$2:$D$192,(A32/2+22)-9)-10)))&lt;0.5,POWER(1.1,1.75-(($A32+5)/($A32+10))*(INDEX('Stat Boosts'!$D$2:$D$192,E$1-9)-10)/((INDEX('Stat Boosts'!$D$2:$D$192,(A32/2+22)-9)-10))-0.5)*0.5,(1.75-(($A32+5)/($A32+10))*(INDEX('Stat Boosts'!$D$2:$D$192,E$1-9)-10)/((INDEX('Stat Boosts'!$D$2:$D$192,(A32/2+22)-9)-10))))</f>
        <v>1.75</v>
      </c>
      <c r="F32" s="16">
        <f>IF((1.75-(($A32+5)/($A32+10))*(INDEX('Stat Boosts'!$D$2:$D$192,F$1-9)-10)/((INDEX('Stat Boosts'!$D$2:$D$192,(B32/2+22)-9)-10)))&lt;0.5,POWER(1.1,1.75-(($A32+5)/($A32+10))*(INDEX('Stat Boosts'!$D$2:$D$192,F$1-9)-10)/((INDEX('Stat Boosts'!$D$2:$D$192,(B32/2+22)-9)-10))-0.5)*0.5,(1.75-(($A32+5)/($A32+10))*(INDEX('Stat Boosts'!$D$2:$D$192,F$1-9)-10)/((INDEX('Stat Boosts'!$D$2:$D$192,(B32/2+22)-9)-10))))</f>
        <v>1.5924015009380863</v>
      </c>
      <c r="G32" s="16">
        <f>IF((1.75-(($A32+5)/($A32+10))*(INDEX('Stat Boosts'!$D$2:$D$192,G$1-9)-10)/((INDEX('Stat Boosts'!$D$2:$D$192,(C32/2+22)-9)-10)))&lt;0.5,POWER(1.1,1.75-(($A32+5)/($A32+10))*(INDEX('Stat Boosts'!$D$2:$D$192,G$1-9)-10)/((INDEX('Stat Boosts'!$D$2:$D$192,(C32/2+22)-9)-10))-0.5)*0.5,(1.75-(($A32+5)/($A32+10))*(INDEX('Stat Boosts'!$D$2:$D$192,G$1-9)-10)/((INDEX('Stat Boosts'!$D$2:$D$192,(C32/2+22)-9)-10))))</f>
        <v>1.0269010043041606</v>
      </c>
      <c r="H32" s="16">
        <f>IF((1.75-(($A32+5)/($A32+10))*(INDEX('Stat Boosts'!$D$2:$D$192,H$1-9)-10)/((INDEX('Stat Boosts'!$D$2:$D$192,(D32/2+22)-9)-10)))&lt;0.5,POWER(1.1,1.75-(($A32+5)/($A32+10))*(INDEX('Stat Boosts'!$D$2:$D$192,H$1-9)-10)/((INDEX('Stat Boosts'!$D$2:$D$192,(D32/2+22)-9)-10))-0.5)*0.5,(1.75-(($A32+5)/($A32+10))*(INDEX('Stat Boosts'!$D$2:$D$192,H$1-9)-10)/((INDEX('Stat Boosts'!$D$2:$D$192,(D32/2+22)-9)-10))))</f>
        <v>0.66535150645624119</v>
      </c>
      <c r="I32" s="16">
        <f>IF((1.75-(($A32+5)/($A32+10))*(INDEX('Stat Boosts'!$D$2:$D$192,I$1-9)-10)/((INDEX('Stat Boosts'!$D$2:$D$192,(E32/2+22)-9)-10)))&lt;0.5,POWER(1.1,1.75-(($A32+5)/($A32+10))*(INDEX('Stat Boosts'!$D$2:$D$192,I$1-9)-10)/((INDEX('Stat Boosts'!$D$2:$D$192,(E32/2+22)-9)-10))-0.5)*0.5,(1.75-(($A32+5)/($A32+10))*(INDEX('Stat Boosts'!$D$2:$D$192,I$1-9)-10)/((INDEX('Stat Boosts'!$D$2:$D$192,(E32/2+22)-9)-10))))</f>
        <v>0.49315878265319102</v>
      </c>
      <c r="J32" s="16">
        <f>IF((1.75-(($A32+5)/($A32+10))*(INDEX('Stat Boosts'!$D$2:$D$192,J$1-9)-10)/((INDEX('Stat Boosts'!$D$2:$D$192,(F32/2+22)-9)-10)))&lt;0.5,POWER(1.1,1.75-(($A32+5)/($A32+10))*(INDEX('Stat Boosts'!$D$2:$D$192,J$1-9)-10)/((INDEX('Stat Boosts'!$D$2:$D$192,(F32/2+22)-9)-10))-0.5)*0.5,(1.75-(($A32+5)/($A32+10))*(INDEX('Stat Boosts'!$D$2:$D$192,J$1-9)-10)/((INDEX('Stat Boosts'!$D$2:$D$192,(F32/2+22)-9)-10))))</f>
        <v>0.47880557285887804</v>
      </c>
      <c r="K32" s="16">
        <f>IF((1.75-(($A32+5)/($A32+10))*(INDEX('Stat Boosts'!$D$2:$D$192,K$1-9)-10)/((INDEX('Stat Boosts'!$D$2:$D$192,(G32/2+22)-9)-10)))&lt;0.5,POWER(1.1,1.75-(($A32+5)/($A32+10))*(INDEX('Stat Boosts'!$D$2:$D$192,K$1-9)-10)/((INDEX('Stat Boosts'!$D$2:$D$192,(G32/2+22)-9)-10))-0.5)*0.5,(1.75-(($A32+5)/($A32+10))*(INDEX('Stat Boosts'!$D$2:$D$192,K$1-9)-10)/((INDEX('Stat Boosts'!$D$2:$D$192,(G32/2+22)-9)-10))))</f>
        <v>0.4469183508063726</v>
      </c>
      <c r="L32" s="16">
        <f>IF((1.75-(($A32+5)/($A32+10))*(INDEX('Stat Boosts'!$D$2:$D$192,L$1-9)-10)/((INDEX('Stat Boosts'!$D$2:$D$192,(H32/2+22)-9)-10)))&lt;0.5,POWER(1.1,1.75-(($A32+5)/($A32+10))*(INDEX('Stat Boosts'!$D$2:$D$192,L$1-9)-10)/((INDEX('Stat Boosts'!$D$2:$D$192,(H32/2+22)-9)-10))-0.5)*0.5,(1.75-(($A32+5)/($A32+10))*(INDEX('Stat Boosts'!$D$2:$D$192,L$1-9)-10)/((INDEX('Stat Boosts'!$D$2:$D$192,(H32/2+22)-9)-10))))</f>
        <v>0.43605225966888816</v>
      </c>
      <c r="M32" s="16">
        <f>IF((1.75-(($A32+5)/($A32+10))*(INDEX('Stat Boosts'!$D$2:$D$192,M$1-9)-10)/((INDEX('Stat Boosts'!$D$2:$D$192,(I32/2+22)-9)-10)))&lt;0.5,POWER(1.1,1.75-(($A32+5)/($A32+10))*(INDEX('Stat Boosts'!$D$2:$D$192,M$1-9)-10)/((INDEX('Stat Boosts'!$D$2:$D$192,(I32/2+22)-9)-10))-0.5)*0.5,(1.75-(($A32+5)/($A32+10))*(INDEX('Stat Boosts'!$D$2:$D$192,M$1-9)-10)/((INDEX('Stat Boosts'!$D$2:$D$192,(I32/2+22)-9)-10))))</f>
        <v>0.42128212932134751</v>
      </c>
      <c r="N32" s="16">
        <f>IF((1.75-(($A32+5)/($A32+10))*(INDEX('Stat Boosts'!$D$2:$D$192,N$1-9)-10)/((INDEX('Stat Boosts'!$D$2:$D$192,(J32/2+22)-9)-10)))&lt;0.5,POWER(1.1,1.75-(($A32+5)/($A32+10))*(INDEX('Stat Boosts'!$D$2:$D$192,N$1-9)-10)/((INDEX('Stat Boosts'!$D$2:$D$192,(J32/2+22)-9)-10))-0.5)*0.5,(1.75-(($A32+5)/($A32+10))*(INDEX('Stat Boosts'!$D$2:$D$192,N$1-9)-10)/((INDEX('Stat Boosts'!$D$2:$D$192,(J32/2+22)-9)-10))))</f>
        <v>0.40302470975540067</v>
      </c>
      <c r="O32" s="16">
        <f>IF((1.75-(($A32+5)/($A32+10))*(INDEX('Stat Boosts'!$D$2:$D$192,O$1-9)-10)/((INDEX('Stat Boosts'!$D$2:$D$192,(K32/2+22)-9)-10)))&lt;0.5,POWER(1.1,1.75-(($A32+5)/($A32+10))*(INDEX('Stat Boosts'!$D$2:$D$192,O$1-9)-10)/((INDEX('Stat Boosts'!$D$2:$D$192,(K32/2+22)-9)-10))-0.5)*0.5,(1.75-(($A32+5)/($A32+10))*(INDEX('Stat Boosts'!$D$2:$D$192,O$1-9)-10)/((INDEX('Stat Boosts'!$D$2:$D$192,(K32/2+22)-9)-10))))</f>
        <v>0.39322582094504233</v>
      </c>
      <c r="P32" s="16">
        <f>IF((1.75-(($A32+5)/($A32+10))*(INDEX('Stat Boosts'!$D$2:$D$192,P$1-9)-10)/((INDEX('Stat Boosts'!$D$2:$D$192,(L32/2+22)-9)-10)))&lt;0.5,POWER(1.1,1.75-(($A32+5)/($A32+10))*(INDEX('Stat Boosts'!$D$2:$D$192,P$1-9)-10)/((INDEX('Stat Boosts'!$D$2:$D$192,(L32/2+22)-9)-10))-0.5)*0.5,(1.75-(($A32+5)/($A32+10))*(INDEX('Stat Boosts'!$D$2:$D$192,P$1-9)-10)/((INDEX('Stat Boosts'!$D$2:$D$192,(L32/2+22)-9)-10))))</f>
        <v>0.37804073079864736</v>
      </c>
      <c r="Q32" s="16">
        <f>IF((1.75-(($A32+5)/($A32+10))*(INDEX('Stat Boosts'!$D$2:$D$192,Q$1-9)-10)/((INDEX('Stat Boosts'!$D$2:$D$192,(M32/2+22)-9)-10)))&lt;0.5,POWER(1.1,1.75-(($A32+5)/($A32+10))*(INDEX('Stat Boosts'!$D$2:$D$192,Q$1-9)-10)/((INDEX('Stat Boosts'!$D$2:$D$192,(M32/2+22)-9)-10))-0.5)*0.5,(1.75-(($A32+5)/($A32+10))*(INDEX('Stat Boosts'!$D$2:$D$192,Q$1-9)-10)/((INDEX('Stat Boosts'!$D$2:$D$192,(M32/2+22)-9)-10))))</f>
        <v>0.36344203897726568</v>
      </c>
      <c r="R32" s="16">
        <f>IF((1.75-(($A32+5)/($A32+10))*1.25*(INDEX('Stat Boosts'!$D$2:$D$192,R$1-9)-10)/((INDEX('Stat Boosts'!$D$2:$D$192,(N32/2+22)-9)-10)))&lt;0.5,POWER(1.1,1.75-(($A32+5)/($A32+10))*1.25*(INDEX('Stat Boosts'!$D$2:$D$192,R$1-9)-10)/((INDEX('Stat Boosts'!$D$2:$D$192,(N32/2+22)-9)-10))-0.5)*0.5,(1.75-(($A32+5)/($A32+10))*1.25*(INDEX('Stat Boosts'!$D$2:$D$192,R$1-9)-10)/((INDEX('Stat Boosts'!$D$2:$D$192,(N32/2+22)-9)-10))))</f>
        <v>0.31008941589936873</v>
      </c>
    </row>
    <row r="33" spans="1:18">
      <c r="A33" s="9">
        <v>32</v>
      </c>
      <c r="B33" s="16">
        <f t="shared" si="0"/>
        <v>34.799999999999997</v>
      </c>
      <c r="C33" s="16">
        <f t="shared" si="1"/>
        <v>1.6129032258064519E-2</v>
      </c>
      <c r="E33" s="16">
        <f>IF((1.75-(($A33+5)/($A33+10))*(INDEX('Stat Boosts'!$D$2:$D$192,E$1-9)-10)/((INDEX('Stat Boosts'!$D$2:$D$192,(A33/2+22)-9)-10)))&lt;0.5,POWER(1.1,1.75-(($A33+5)/($A33+10))*(INDEX('Stat Boosts'!$D$2:$D$192,E$1-9)-10)/((INDEX('Stat Boosts'!$D$2:$D$192,(A33/2+22)-9)-10))-0.5)*0.5,(1.75-(($A33+5)/($A33+10))*(INDEX('Stat Boosts'!$D$2:$D$192,E$1-9)-10)/((INDEX('Stat Boosts'!$D$2:$D$192,(A33/2+22)-9)-10))))</f>
        <v>1.75</v>
      </c>
      <c r="F33" s="16">
        <f>IF((1.75-(($A33+5)/($A33+10))*(INDEX('Stat Boosts'!$D$2:$D$192,F$1-9)-10)/((INDEX('Stat Boosts'!$D$2:$D$192,(B33/2+22)-9)-10)))&lt;0.5,POWER(1.1,1.75-(($A33+5)/($A33+10))*(INDEX('Stat Boosts'!$D$2:$D$192,F$1-9)-10)/((INDEX('Stat Boosts'!$D$2:$D$192,(B33/2+22)-9)-10))-0.5)*0.5,(1.75-(($A33+5)/($A33+10))*(INDEX('Stat Boosts'!$D$2:$D$192,F$1-9)-10)/((INDEX('Stat Boosts'!$D$2:$D$192,(B33/2+22)-9)-10))))</f>
        <v>1.591880341880342</v>
      </c>
      <c r="G33" s="16">
        <f>IF((1.75-(($A33+5)/($A33+10))*(INDEX('Stat Boosts'!$D$2:$D$192,G$1-9)-10)/((INDEX('Stat Boosts'!$D$2:$D$192,(C33/2+22)-9)-10)))&lt;0.5,POWER(1.1,1.75-(($A33+5)/($A33+10))*(INDEX('Stat Boosts'!$D$2:$D$192,G$1-9)-10)/((INDEX('Stat Boosts'!$D$2:$D$192,(C33/2+22)-9)-10))-0.5)*0.5,(1.75-(($A33+5)/($A33+10))*(INDEX('Stat Boosts'!$D$2:$D$192,G$1-9)-10)/((INDEX('Stat Boosts'!$D$2:$D$192,(C33/2+22)-9)-10))))</f>
        <v>1.0245098039215685</v>
      </c>
      <c r="H33" s="16">
        <f>IF((1.75-(($A33+5)/($A33+10))*(INDEX('Stat Boosts'!$D$2:$D$192,H$1-9)-10)/((INDEX('Stat Boosts'!$D$2:$D$192,(D33/2+22)-9)-10)))&lt;0.5,POWER(1.1,1.75-(($A33+5)/($A33+10))*(INDEX('Stat Boosts'!$D$2:$D$192,H$1-9)-10)/((INDEX('Stat Boosts'!$D$2:$D$192,(D33/2+22)-9)-10))-0.5)*0.5,(1.75-(($A33+5)/($A33+10))*(INDEX('Stat Boosts'!$D$2:$D$192,H$1-9)-10)/((INDEX('Stat Boosts'!$D$2:$D$192,(D33/2+22)-9)-10))))</f>
        <v>0.66176470588235303</v>
      </c>
      <c r="I33" s="16">
        <f>IF((1.75-(($A33+5)/($A33+10))*(INDEX('Stat Boosts'!$D$2:$D$192,I$1-9)-10)/((INDEX('Stat Boosts'!$D$2:$D$192,(E33/2+22)-9)-10)))&lt;0.5,POWER(1.1,1.75-(($A33+5)/($A33+10))*(INDEX('Stat Boosts'!$D$2:$D$192,I$1-9)-10)/((INDEX('Stat Boosts'!$D$2:$D$192,(E33/2+22)-9)-10))-0.5)*0.5,(1.75-(($A33+5)/($A33+10))*(INDEX('Stat Boosts'!$D$2:$D$192,I$1-9)-10)/((INDEX('Stat Boosts'!$D$2:$D$192,(E33/2+22)-9)-10))))</f>
        <v>0.49294207097217013</v>
      </c>
      <c r="J33" s="16">
        <f>IF((1.75-(($A33+5)/($A33+10))*(INDEX('Stat Boosts'!$D$2:$D$192,J$1-9)-10)/((INDEX('Stat Boosts'!$D$2:$D$192,(F33/2+22)-9)-10)))&lt;0.5,POWER(1.1,1.75-(($A33+5)/($A33+10))*(INDEX('Stat Boosts'!$D$2:$D$192,J$1-9)-10)/((INDEX('Stat Boosts'!$D$2:$D$192,(F33/2+22)-9)-10))-0.5)*0.5,(1.75-(($A33+5)/($A33+10))*(INDEX('Stat Boosts'!$D$2:$D$192,J$1-9)-10)/((INDEX('Stat Boosts'!$D$2:$D$192,(F33/2+22)-9)-10))))</f>
        <v>0.47854842452577701</v>
      </c>
      <c r="K33" s="16">
        <f>IF((1.75-(($A33+5)/($A33+10))*(INDEX('Stat Boosts'!$D$2:$D$192,K$1-9)-10)/((INDEX('Stat Boosts'!$D$2:$D$192,(G33/2+22)-9)-10)))&lt;0.5,POWER(1.1,1.75-(($A33+5)/($A33+10))*(INDEX('Stat Boosts'!$D$2:$D$192,K$1-9)-10)/((INDEX('Stat Boosts'!$D$2:$D$192,(G33/2+22)-9)-10))-0.5)*0.5,(1.75-(($A33+5)/($A33+10))*(INDEX('Stat Boosts'!$D$2:$D$192,K$1-9)-10)/((INDEX('Stat Boosts'!$D$2:$D$192,(G33/2+22)-9)-10))))</f>
        <v>0.4465765389375857</v>
      </c>
      <c r="L33" s="16">
        <f>IF((1.75-(($A33+5)/($A33+10))*(INDEX('Stat Boosts'!$D$2:$D$192,L$1-9)-10)/((INDEX('Stat Boosts'!$D$2:$D$192,(H33/2+22)-9)-10)))&lt;0.5,POWER(1.1,1.75-(($A33+5)/($A33+10))*(INDEX('Stat Boosts'!$D$2:$D$192,L$1-9)-10)/((INDEX('Stat Boosts'!$D$2:$D$192,(H33/2+22)-9)-10))-0.5)*0.5,(1.75-(($A33+5)/($A33+10))*(INDEX('Stat Boosts'!$D$2:$D$192,L$1-9)-10)/((INDEX('Stat Boosts'!$D$2:$D$192,(H33/2+22)-9)-10))))</f>
        <v>0.43568329455414656</v>
      </c>
      <c r="M33" s="16">
        <f>IF((1.75-(($A33+5)/($A33+10))*(INDEX('Stat Boosts'!$D$2:$D$192,M$1-9)-10)/((INDEX('Stat Boosts'!$D$2:$D$192,(I33/2+22)-9)-10)))&lt;0.5,POWER(1.1,1.75-(($A33+5)/($A33+10))*(INDEX('Stat Boosts'!$D$2:$D$192,M$1-9)-10)/((INDEX('Stat Boosts'!$D$2:$D$192,(I33/2+22)-9)-10))-0.5)*0.5,(1.75-(($A33+5)/($A33+10))*(INDEX('Stat Boosts'!$D$2:$D$192,M$1-9)-10)/((INDEX('Stat Boosts'!$D$2:$D$192,(I33/2+22)-9)-10))))</f>
        <v>0.4208776989812113</v>
      </c>
      <c r="N33" s="16">
        <f>IF((1.75-(($A33+5)/($A33+10))*(INDEX('Stat Boosts'!$D$2:$D$192,N$1-9)-10)/((INDEX('Stat Boosts'!$D$2:$D$192,(J33/2+22)-9)-10)))&lt;0.5,POWER(1.1,1.75-(($A33+5)/($A33+10))*(INDEX('Stat Boosts'!$D$2:$D$192,N$1-9)-10)/((INDEX('Stat Boosts'!$D$2:$D$192,(J33/2+22)-9)-10))-0.5)*0.5,(1.75-(($A33+5)/($A33+10))*(INDEX('Stat Boosts'!$D$2:$D$192,N$1-9)-10)/((INDEX('Stat Boosts'!$D$2:$D$192,(J33/2+22)-9)-10))))</f>
        <v>0.4025788200374279</v>
      </c>
      <c r="O33" s="16">
        <f>IF((1.75-(($A33+5)/($A33+10))*(INDEX('Stat Boosts'!$D$2:$D$192,O$1-9)-10)/((INDEX('Stat Boosts'!$D$2:$D$192,(K33/2+22)-9)-10)))&lt;0.5,POWER(1.1,1.75-(($A33+5)/($A33+10))*(INDEX('Stat Boosts'!$D$2:$D$192,O$1-9)-10)/((INDEX('Stat Boosts'!$D$2:$D$192,(K33/2+22)-9)-10))-0.5)*0.5,(1.75-(($A33+5)/($A33+10))*(INDEX('Stat Boosts'!$D$2:$D$192,O$1-9)-10)/((INDEX('Stat Boosts'!$D$2:$D$192,(K33/2+22)-9)-10))))</f>
        <v>0.3927588024415703</v>
      </c>
      <c r="P33" s="16">
        <f>IF((1.75-(($A33+5)/($A33+10))*(INDEX('Stat Boosts'!$D$2:$D$192,P$1-9)-10)/((INDEX('Stat Boosts'!$D$2:$D$192,(L33/2+22)-9)-10)))&lt;0.5,POWER(1.1,1.75-(($A33+5)/($A33+10))*(INDEX('Stat Boosts'!$D$2:$D$192,P$1-9)-10)/((INDEX('Stat Boosts'!$D$2:$D$192,(L33/2+22)-9)-10))-0.5)*0.5,(1.75-(($A33+5)/($A33+10))*(INDEX('Stat Boosts'!$D$2:$D$192,P$1-9)-10)/((INDEX('Stat Boosts'!$D$2:$D$192,(L33/2+22)-9)-10))))</f>
        <v>0.37754257574638778</v>
      </c>
      <c r="Q33" s="16">
        <f>IF((1.75-(($A33+5)/($A33+10))*(INDEX('Stat Boosts'!$D$2:$D$192,Q$1-9)-10)/((INDEX('Stat Boosts'!$D$2:$D$192,(M33/2+22)-9)-10)))&lt;0.5,POWER(1.1,1.75-(($A33+5)/($A33+10))*(INDEX('Stat Boosts'!$D$2:$D$192,Q$1-9)-10)/((INDEX('Stat Boosts'!$D$2:$D$192,(M33/2+22)-9)-10))-0.5)*0.5,(1.75-(($A33+5)/($A33+10))*(INDEX('Stat Boosts'!$D$2:$D$192,Q$1-9)-10)/((INDEX('Stat Boosts'!$D$2:$D$192,(M33/2+22)-9)-10))))</f>
        <v>0.36291585475648758</v>
      </c>
      <c r="R33" s="16">
        <f>IF((1.75-(($A33+5)/($A33+10))*1.25*(INDEX('Stat Boosts'!$D$2:$D$192,R$1-9)-10)/((INDEX('Stat Boosts'!$D$2:$D$192,(N33/2+22)-9)-10)))&lt;0.5,POWER(1.1,1.75-(($A33+5)/($A33+10))*1.25*(INDEX('Stat Boosts'!$D$2:$D$192,R$1-9)-10)/((INDEX('Stat Boosts'!$D$2:$D$192,(N33/2+22)-9)-10))-0.5)*0.5,(1.75-(($A33+5)/($A33+10))*1.25*(INDEX('Stat Boosts'!$D$2:$D$192,R$1-9)-10)/((INDEX('Stat Boosts'!$D$2:$D$192,(N33/2+22)-9)-10))))</f>
        <v>0.30947795685326229</v>
      </c>
    </row>
    <row r="34" spans="1:18">
      <c r="A34" s="9">
        <v>33</v>
      </c>
      <c r="B34" s="16">
        <f t="shared" si="0"/>
        <v>35.200000000000003</v>
      </c>
      <c r="C34" s="16">
        <f t="shared" si="1"/>
        <v>1.5873015873015872E-2</v>
      </c>
      <c r="E34" s="16">
        <f>IF((1.75-(($A34+5)/($A34+10))*(INDEX('Stat Boosts'!$D$2:$D$192,E$1-9)-10)/((INDEX('Stat Boosts'!$D$2:$D$192,(A34/2+22)-9)-10)))&lt;0.5,POWER(1.1,1.75-(($A34+5)/($A34+10))*(INDEX('Stat Boosts'!$D$2:$D$192,E$1-9)-10)/((INDEX('Stat Boosts'!$D$2:$D$192,(A34/2+22)-9)-10))-0.5)*0.5,(1.75-(($A34+5)/($A34+10))*(INDEX('Stat Boosts'!$D$2:$D$192,E$1-9)-10)/((INDEX('Stat Boosts'!$D$2:$D$192,(A34/2+22)-9)-10))))</f>
        <v>1.75</v>
      </c>
      <c r="F34" s="16">
        <f>IF((1.75-(($A34+5)/($A34+10))*(INDEX('Stat Boosts'!$D$2:$D$192,F$1-9)-10)/((INDEX('Stat Boosts'!$D$2:$D$192,(B34/2+22)-9)-10)))&lt;0.5,POWER(1.1,1.75-(($A34+5)/($A34+10))*(INDEX('Stat Boosts'!$D$2:$D$192,F$1-9)-10)/((INDEX('Stat Boosts'!$D$2:$D$192,(B34/2+22)-9)-10))-0.5)*0.5,(1.75-(($A34+5)/($A34+10))*(INDEX('Stat Boosts'!$D$2:$D$192,F$1-9)-10)/((INDEX('Stat Boosts'!$D$2:$D$192,(B34/2+22)-9)-10))))</f>
        <v>1.5913834227787715</v>
      </c>
      <c r="G34" s="16">
        <f>IF((1.75-(($A34+5)/($A34+10))*(INDEX('Stat Boosts'!$D$2:$D$192,G$1-9)-10)/((INDEX('Stat Boosts'!$D$2:$D$192,(C34/2+22)-9)-10)))&lt;0.5,POWER(1.1,1.75-(($A34+5)/($A34+10))*(INDEX('Stat Boosts'!$D$2:$D$192,G$1-9)-10)/((INDEX('Stat Boosts'!$D$2:$D$192,(C34/2+22)-9)-10))-0.5)*0.5,(1.75-(($A34+5)/($A34+10))*(INDEX('Stat Boosts'!$D$2:$D$192,G$1-9)-10)/((INDEX('Stat Boosts'!$D$2:$D$192,(C34/2+22)-9)-10))))</f>
        <v>1.0222298221614228</v>
      </c>
      <c r="H34" s="16">
        <f>IF((1.75-(($A34+5)/($A34+10))*(INDEX('Stat Boosts'!$D$2:$D$192,H$1-9)-10)/((INDEX('Stat Boosts'!$D$2:$D$192,(D34/2+22)-9)-10)))&lt;0.5,POWER(1.1,1.75-(($A34+5)/($A34+10))*(INDEX('Stat Boosts'!$D$2:$D$192,H$1-9)-10)/((INDEX('Stat Boosts'!$D$2:$D$192,(D34/2+22)-9)-10))-0.5)*0.5,(1.75-(($A34+5)/($A34+10))*(INDEX('Stat Boosts'!$D$2:$D$192,H$1-9)-10)/((INDEX('Stat Boosts'!$D$2:$D$192,(D34/2+22)-9)-10))))</f>
        <v>0.65834473324213394</v>
      </c>
      <c r="I34" s="16">
        <f>IF((1.75-(($A34+5)/($A34+10))*(INDEX('Stat Boosts'!$D$2:$D$192,I$1-9)-10)/((INDEX('Stat Boosts'!$D$2:$D$192,(E34/2+22)-9)-10)))&lt;0.5,POWER(1.1,1.75-(($A34+5)/($A34+10))*(INDEX('Stat Boosts'!$D$2:$D$192,I$1-9)-10)/((INDEX('Stat Boosts'!$D$2:$D$192,(E34/2+22)-9)-10))-0.5)*0.5,(1.75-(($A34+5)/($A34+10))*(INDEX('Stat Boosts'!$D$2:$D$192,I$1-9)-10)/((INDEX('Stat Boosts'!$D$2:$D$192,(E34/2+22)-9)-10))))</f>
        <v>0.4927355275947124</v>
      </c>
      <c r="J34" s="16">
        <f>IF((1.75-(($A34+5)/($A34+10))*(INDEX('Stat Boosts'!$D$2:$D$192,J$1-9)-10)/((INDEX('Stat Boosts'!$D$2:$D$192,(F34/2+22)-9)-10)))&lt;0.5,POWER(1.1,1.75-(($A34+5)/($A34+10))*(INDEX('Stat Boosts'!$D$2:$D$192,J$1-9)-10)/((INDEX('Stat Boosts'!$D$2:$D$192,(F34/2+22)-9)-10))-0.5)*0.5,(1.75-(($A34+5)/($A34+10))*(INDEX('Stat Boosts'!$D$2:$D$192,J$1-9)-10)/((INDEX('Stat Boosts'!$D$2:$D$192,(F34/2+22)-9)-10))))</f>
        <v>0.478303365200137</v>
      </c>
      <c r="K34" s="16">
        <f>IF((1.75-(($A34+5)/($A34+10))*(INDEX('Stat Boosts'!$D$2:$D$192,K$1-9)-10)/((INDEX('Stat Boosts'!$D$2:$D$192,(G34/2+22)-9)-10)))&lt;0.5,POWER(1.1,1.75-(($A34+5)/($A34+10))*(INDEX('Stat Boosts'!$D$2:$D$192,K$1-9)-10)/((INDEX('Stat Boosts'!$D$2:$D$192,(G34/2+22)-9)-10))-0.5)*0.5,(1.75-(($A34+5)/($A34+10))*(INDEX('Stat Boosts'!$D$2:$D$192,K$1-9)-10)/((INDEX('Stat Boosts'!$D$2:$D$192,(G34/2+22)-9)-10))))</f>
        <v>0.44625086876638698</v>
      </c>
      <c r="L34" s="16">
        <f>IF((1.75-(($A34+5)/($A34+10))*(INDEX('Stat Boosts'!$D$2:$D$192,L$1-9)-10)/((INDEX('Stat Boosts'!$D$2:$D$192,(H34/2+22)-9)-10)))&lt;0.5,POWER(1.1,1.75-(($A34+5)/($A34+10))*(INDEX('Stat Boosts'!$D$2:$D$192,L$1-9)-10)/((INDEX('Stat Boosts'!$D$2:$D$192,(H34/2+22)-9)-10))-0.5)*0.5,(1.75-(($A34+5)/($A34+10))*(INDEX('Stat Boosts'!$D$2:$D$192,L$1-9)-10)/((INDEX('Stat Boosts'!$D$2:$D$192,(H34/2+22)-9)-10))))</f>
        <v>0.435331781367094</v>
      </c>
      <c r="M34" s="16">
        <f>IF((1.75-(($A34+5)/($A34+10))*(INDEX('Stat Boosts'!$D$2:$D$192,M$1-9)-10)/((INDEX('Stat Boosts'!$D$2:$D$192,(I34/2+22)-9)-10)))&lt;0.5,POWER(1.1,1.75-(($A34+5)/($A34+10))*(INDEX('Stat Boosts'!$D$2:$D$192,M$1-9)-10)/((INDEX('Stat Boosts'!$D$2:$D$192,(I34/2+22)-9)-10))-0.5)*0.5,(1.75-(($A34+5)/($A34+10))*(INDEX('Stat Boosts'!$D$2:$D$192,M$1-9)-10)/((INDEX('Stat Boosts'!$D$2:$D$192,(I34/2+22)-9)-10))))</f>
        <v>0.42049244094516153</v>
      </c>
      <c r="N34" s="16">
        <f>IF((1.75-(($A34+5)/($A34+10))*(INDEX('Stat Boosts'!$D$2:$D$192,N$1-9)-10)/((INDEX('Stat Boosts'!$D$2:$D$192,(J34/2+22)-9)-10)))&lt;0.5,POWER(1.1,1.75-(($A34+5)/($A34+10))*(INDEX('Stat Boosts'!$D$2:$D$192,N$1-9)-10)/((INDEX('Stat Boosts'!$D$2:$D$192,(J34/2+22)-9)-10))-0.5)*0.5,(1.75-(($A34+5)/($A34+10))*(INDEX('Stat Boosts'!$D$2:$D$192,N$1-9)-10)/((INDEX('Stat Boosts'!$D$2:$D$192,(J34/2+22)-9)-10))))</f>
        <v>0.40215412881412244</v>
      </c>
      <c r="O34" s="16">
        <f>IF((1.75-(($A34+5)/($A34+10))*(INDEX('Stat Boosts'!$D$2:$D$192,O$1-9)-10)/((INDEX('Stat Boosts'!$D$2:$D$192,(K34/2+22)-9)-10)))&lt;0.5,POWER(1.1,1.75-(($A34+5)/($A34+10))*(INDEX('Stat Boosts'!$D$2:$D$192,O$1-9)-10)/((INDEX('Stat Boosts'!$D$2:$D$192,(K34/2+22)-9)-10))-0.5)*0.5,(1.75-(($A34+5)/($A34+10))*(INDEX('Stat Boosts'!$D$2:$D$192,O$1-9)-10)/((INDEX('Stat Boosts'!$D$2:$D$192,(K34/2+22)-9)-10))))</f>
        <v>0.39231402230038764</v>
      </c>
      <c r="P34" s="16">
        <f>IF((1.75-(($A34+5)/($A34+10))*(INDEX('Stat Boosts'!$D$2:$D$192,P$1-9)-10)/((INDEX('Stat Boosts'!$D$2:$D$192,(L34/2+22)-9)-10)))&lt;0.5,POWER(1.1,1.75-(($A34+5)/($A34+10))*(INDEX('Stat Boosts'!$D$2:$D$192,P$1-9)-10)/((INDEX('Stat Boosts'!$D$2:$D$192,(L34/2+22)-9)-10))-0.5)*0.5,(1.75-(($A34+5)/($A34+10))*(INDEX('Stat Boosts'!$D$2:$D$192,P$1-9)-10)/((INDEX('Stat Boosts'!$D$2:$D$192,(L34/2+22)-9)-10))))</f>
        <v>0.37706820205455377</v>
      </c>
      <c r="Q34" s="16">
        <f>IF((1.75-(($A34+5)/($A34+10))*(INDEX('Stat Boosts'!$D$2:$D$192,Q$1-9)-10)/((INDEX('Stat Boosts'!$D$2:$D$192,(M34/2+22)-9)-10)))&lt;0.5,POWER(1.1,1.75-(($A34+5)/($A34+10))*(INDEX('Stat Boosts'!$D$2:$D$192,Q$1-9)-10)/((INDEX('Stat Boosts'!$D$2:$D$192,(M34/2+22)-9)-10))-0.5)*0.5,(1.75-(($A34+5)/($A34+10))*(INDEX('Stat Boosts'!$D$2:$D$192,Q$1-9)-10)/((INDEX('Stat Boosts'!$D$2:$D$192,(M34/2+22)-9)-10))))</f>
        <v>0.36241485371070636</v>
      </c>
      <c r="R34" s="16">
        <f>IF((1.75-(($A34+5)/($A34+10))*1.25*(INDEX('Stat Boosts'!$D$2:$D$192,R$1-9)-10)/((INDEX('Stat Boosts'!$D$2:$D$192,(N34/2+22)-9)-10)))&lt;0.5,POWER(1.1,1.75-(($A34+5)/($A34+10))*1.25*(INDEX('Stat Boosts'!$D$2:$D$192,R$1-9)-10)/((INDEX('Stat Boosts'!$D$2:$D$192,(N34/2+22)-9)-10))-0.5)*0.5,(1.75-(($A34+5)/($A34+10))*1.25*(INDEX('Stat Boosts'!$D$2:$D$192,R$1-9)-10)/((INDEX('Stat Boosts'!$D$2:$D$192,(N34/2+22)-9)-10))))</f>
        <v>0.30889606070478937</v>
      </c>
    </row>
    <row r="35" spans="1:18">
      <c r="A35" s="9">
        <v>34</v>
      </c>
      <c r="B35" s="16">
        <f t="shared" si="0"/>
        <v>35.6</v>
      </c>
      <c r="C35" s="16">
        <f t="shared" si="1"/>
        <v>1.5625E-2</v>
      </c>
      <c r="E35" s="16">
        <f>IF((1.75-(($A35+5)/($A35+10))*(INDEX('Stat Boosts'!$D$2:$D$192,E$1-9)-10)/((INDEX('Stat Boosts'!$D$2:$D$192,(A35/2+22)-9)-10)))&lt;0.5,POWER(1.1,1.75-(($A35+5)/($A35+10))*(INDEX('Stat Boosts'!$D$2:$D$192,E$1-9)-10)/((INDEX('Stat Boosts'!$D$2:$D$192,(A35/2+22)-9)-10))-0.5)*0.5,(1.75-(($A35+5)/($A35+10))*(INDEX('Stat Boosts'!$D$2:$D$192,E$1-9)-10)/((INDEX('Stat Boosts'!$D$2:$D$192,(A35/2+22)-9)-10))))</f>
        <v>1.75</v>
      </c>
      <c r="F35" s="16">
        <f>IF((1.75-(($A35+5)/($A35+10))*(INDEX('Stat Boosts'!$D$2:$D$192,F$1-9)-10)/((INDEX('Stat Boosts'!$D$2:$D$192,(B35/2+22)-9)-10)))&lt;0.5,POWER(1.1,1.75-(($A35+5)/($A35+10))*(INDEX('Stat Boosts'!$D$2:$D$192,F$1-9)-10)/((INDEX('Stat Boosts'!$D$2:$D$192,(B35/2+22)-9)-10))-0.5)*0.5,(1.75-(($A35+5)/($A35+10))*(INDEX('Stat Boosts'!$D$2:$D$192,F$1-9)-10)/((INDEX('Stat Boosts'!$D$2:$D$192,(B35/2+22)-9)-10))))</f>
        <v>1.5909090909090908</v>
      </c>
      <c r="G35" s="16">
        <f>IF((1.75-(($A35+5)/($A35+10))*(INDEX('Stat Boosts'!$D$2:$D$192,G$1-9)-10)/((INDEX('Stat Boosts'!$D$2:$D$192,(C35/2+22)-9)-10)))&lt;0.5,POWER(1.1,1.75-(($A35+5)/($A35+10))*(INDEX('Stat Boosts'!$D$2:$D$192,G$1-9)-10)/((INDEX('Stat Boosts'!$D$2:$D$192,(C35/2+22)-9)-10))-0.5)*0.5,(1.75-(($A35+5)/($A35+10))*(INDEX('Stat Boosts'!$D$2:$D$192,G$1-9)-10)/((INDEX('Stat Boosts'!$D$2:$D$192,(C35/2+22)-9)-10))))</f>
        <v>1.0200534759358288</v>
      </c>
      <c r="H35" s="16">
        <f>IF((1.75-(($A35+5)/($A35+10))*(INDEX('Stat Boosts'!$D$2:$D$192,H$1-9)-10)/((INDEX('Stat Boosts'!$D$2:$D$192,(D35/2+22)-9)-10)))&lt;0.5,POWER(1.1,1.75-(($A35+5)/($A35+10))*(INDEX('Stat Boosts'!$D$2:$D$192,H$1-9)-10)/((INDEX('Stat Boosts'!$D$2:$D$192,(D35/2+22)-9)-10))-0.5)*0.5,(1.75-(($A35+5)/($A35+10))*(INDEX('Stat Boosts'!$D$2:$D$192,H$1-9)-10)/((INDEX('Stat Boosts'!$D$2:$D$192,(D35/2+22)-9)-10))))</f>
        <v>0.65508021390374327</v>
      </c>
      <c r="I35" s="16">
        <f>IF((1.75-(($A35+5)/($A35+10))*(INDEX('Stat Boosts'!$D$2:$D$192,I$1-9)-10)/((INDEX('Stat Boosts'!$D$2:$D$192,(E35/2+22)-9)-10)))&lt;0.5,POWER(1.1,1.75-(($A35+5)/($A35+10))*(INDEX('Stat Boosts'!$D$2:$D$192,I$1-9)-10)/((INDEX('Stat Boosts'!$D$2:$D$192,(E35/2+22)-9)-10))-0.5)*0.5,(1.75-(($A35+5)/($A35+10))*(INDEX('Stat Boosts'!$D$2:$D$192,I$1-9)-10)/((INDEX('Stat Boosts'!$D$2:$D$192,(E35/2+22)-9)-10))))</f>
        <v>0.49253845328386892</v>
      </c>
      <c r="J35" s="16">
        <f>IF((1.75-(($A35+5)/($A35+10))*(INDEX('Stat Boosts'!$D$2:$D$192,J$1-9)-10)/((INDEX('Stat Boosts'!$D$2:$D$192,(F35/2+22)-9)-10)))&lt;0.5,POWER(1.1,1.75-(($A35+5)/($A35+10))*(INDEX('Stat Boosts'!$D$2:$D$192,J$1-9)-10)/((INDEX('Stat Boosts'!$D$2:$D$192,(F35/2+22)-9)-10))-0.5)*0.5,(1.75-(($A35+5)/($A35+10))*(INDEX('Stat Boosts'!$D$2:$D$192,J$1-9)-10)/((INDEX('Stat Boosts'!$D$2:$D$192,(F35/2+22)-9)-10))))</f>
        <v>0.47806956200117412</v>
      </c>
      <c r="K35" s="16">
        <f>IF((1.75-(($A35+5)/($A35+10))*(INDEX('Stat Boosts'!$D$2:$D$192,K$1-9)-10)/((INDEX('Stat Boosts'!$D$2:$D$192,(G35/2+22)-9)-10)))&lt;0.5,POWER(1.1,1.75-(($A35+5)/($A35+10))*(INDEX('Stat Boosts'!$D$2:$D$192,K$1-9)-10)/((INDEX('Stat Boosts'!$D$2:$D$192,(G35/2+22)-9)-10))-0.5)*0.5,(1.75-(($A35+5)/($A35+10))*(INDEX('Stat Boosts'!$D$2:$D$192,K$1-9)-10)/((INDEX('Stat Boosts'!$D$2:$D$192,(G35/2+22)-9)-10))))</f>
        <v>0.44594022333759376</v>
      </c>
      <c r="L35" s="16">
        <f>IF((1.75-(($A35+5)/($A35+10))*(INDEX('Stat Boosts'!$D$2:$D$192,L$1-9)-10)/((INDEX('Stat Boosts'!$D$2:$D$192,(H35/2+22)-9)-10)))&lt;0.5,POWER(1.1,1.75-(($A35+5)/($A35+10))*(INDEX('Stat Boosts'!$D$2:$D$192,L$1-9)-10)/((INDEX('Stat Boosts'!$D$2:$D$192,(H35/2+22)-9)-10))-0.5)*0.5,(1.75-(($A35+5)/($A35+10))*(INDEX('Stat Boosts'!$D$2:$D$192,L$1-9)-10)/((INDEX('Stat Boosts'!$D$2:$D$192,(H35/2+22)-9)-10))))</f>
        <v>0.43499651061574846</v>
      </c>
      <c r="M35" s="16">
        <f>IF((1.75-(($A35+5)/($A35+10))*(INDEX('Stat Boosts'!$D$2:$D$192,M$1-9)-10)/((INDEX('Stat Boosts'!$D$2:$D$192,(I35/2+22)-9)-10)))&lt;0.5,POWER(1.1,1.75-(($A35+5)/($A35+10))*(INDEX('Stat Boosts'!$D$2:$D$192,M$1-9)-10)/((INDEX('Stat Boosts'!$D$2:$D$192,(I35/2+22)-9)-10))-0.5)*0.5,(1.75-(($A35+5)/($A35+10))*(INDEX('Stat Boosts'!$D$2:$D$192,M$1-9)-10)/((INDEX('Stat Boosts'!$D$2:$D$192,(I35/2+22)-9)-10))))</f>
        <v>0.42012502361531107</v>
      </c>
      <c r="N35" s="16">
        <f>IF((1.75-(($A35+5)/($A35+10))*(INDEX('Stat Boosts'!$D$2:$D$192,N$1-9)-10)/((INDEX('Stat Boosts'!$D$2:$D$192,(J35/2+22)-9)-10)))&lt;0.5,POWER(1.1,1.75-(($A35+5)/($A35+10))*(INDEX('Stat Boosts'!$D$2:$D$192,N$1-9)-10)/((INDEX('Stat Boosts'!$D$2:$D$192,(J35/2+22)-9)-10))-0.5)*0.5,(1.75-(($A35+5)/($A35+10))*(INDEX('Stat Boosts'!$D$2:$D$192,N$1-9)-10)/((INDEX('Stat Boosts'!$D$2:$D$192,(J35/2+22)-9)-10))))</f>
        <v>0.4017491596783388</v>
      </c>
      <c r="O35" s="16">
        <f>IF((1.75-(($A35+5)/($A35+10))*(INDEX('Stat Boosts'!$D$2:$D$192,O$1-9)-10)/((INDEX('Stat Boosts'!$D$2:$D$192,(K35/2+22)-9)-10)))&lt;0.5,POWER(1.1,1.75-(($A35+5)/($A35+10))*(INDEX('Stat Boosts'!$D$2:$D$192,O$1-9)-10)/((INDEX('Stat Boosts'!$D$2:$D$192,(K35/2+22)-9)-10))-0.5)*0.5,(1.75-(($A35+5)/($A35+10))*(INDEX('Stat Boosts'!$D$2:$D$192,O$1-9)-10)/((INDEX('Stat Boosts'!$D$2:$D$192,(K35/2+22)-9)-10))))</f>
        <v>0.39188992931590055</v>
      </c>
      <c r="P35" s="16">
        <f>IF((1.75-(($A35+5)/($A35+10))*(INDEX('Stat Boosts'!$D$2:$D$192,P$1-9)-10)/((INDEX('Stat Boosts'!$D$2:$D$192,(L35/2+22)-9)-10)))&lt;0.5,POWER(1.1,1.75-(($A35+5)/($A35+10))*(INDEX('Stat Boosts'!$D$2:$D$192,P$1-9)-10)/((INDEX('Stat Boosts'!$D$2:$D$192,(L35/2+22)-9)-10))-0.5)*0.5,(1.75-(($A35+5)/($A35+10))*(INDEX('Stat Boosts'!$D$2:$D$192,P$1-9)-10)/((INDEX('Stat Boosts'!$D$2:$D$192,(L35/2+22)-9)-10))))</f>
        <v>0.37661594683030813</v>
      </c>
      <c r="Q35" s="16">
        <f>IF((1.75-(($A35+5)/($A35+10))*(INDEX('Stat Boosts'!$D$2:$D$192,Q$1-9)-10)/((INDEX('Stat Boosts'!$D$2:$D$192,(M35/2+22)-9)-10)))&lt;0.5,POWER(1.1,1.75-(($A35+5)/($A35+10))*(INDEX('Stat Boosts'!$D$2:$D$192,Q$1-9)-10)/((INDEX('Stat Boosts'!$D$2:$D$192,(M35/2+22)-9)-10))-0.5)*0.5,(1.75-(($A35+5)/($A35+10))*(INDEX('Stat Boosts'!$D$2:$D$192,Q$1-9)-10)/((INDEX('Stat Boosts'!$D$2:$D$192,(M35/2+22)-9)-10))))</f>
        <v>0.36193727063742259</v>
      </c>
      <c r="R35" s="16">
        <f>IF((1.75-(($A35+5)/($A35+10))*1.25*(INDEX('Stat Boosts'!$D$2:$D$192,R$1-9)-10)/((INDEX('Stat Boosts'!$D$2:$D$192,(N35/2+22)-9)-10)))&lt;0.5,POWER(1.1,1.75-(($A35+5)/($A35+10))*1.25*(INDEX('Stat Boosts'!$D$2:$D$192,R$1-9)-10)/((INDEX('Stat Boosts'!$D$2:$D$192,(N35/2+22)-9)-10))-0.5)*0.5,(1.75-(($A35+5)/($A35+10))*1.25*(INDEX('Stat Boosts'!$D$2:$D$192,R$1-9)-10)/((INDEX('Stat Boosts'!$D$2:$D$192,(N35/2+22)-9)-10))))</f>
        <v>0.30834163505281137</v>
      </c>
    </row>
    <row r="36" spans="1:18">
      <c r="A36" s="9">
        <v>35</v>
      </c>
      <c r="B36" s="16">
        <f t="shared" si="0"/>
        <v>36</v>
      </c>
      <c r="C36" s="16">
        <f t="shared" si="1"/>
        <v>1.5384615384615385E-2</v>
      </c>
      <c r="E36" s="16">
        <f>IF((1.75-(($A36+5)/($A36+10))*(INDEX('Stat Boosts'!$D$2:$D$192,E$1-9)-10)/((INDEX('Stat Boosts'!$D$2:$D$192,(A36/2+22)-9)-10)))&lt;0.5,POWER(1.1,1.75-(($A36+5)/($A36+10))*(INDEX('Stat Boosts'!$D$2:$D$192,E$1-9)-10)/((INDEX('Stat Boosts'!$D$2:$D$192,(A36/2+22)-9)-10))-0.5)*0.5,(1.75-(($A36+5)/($A36+10))*(INDEX('Stat Boosts'!$D$2:$D$192,E$1-9)-10)/((INDEX('Stat Boosts'!$D$2:$D$192,(A36/2+22)-9)-10))))</f>
        <v>1.75</v>
      </c>
      <c r="F36" s="16">
        <f>IF((1.75-(($A36+5)/($A36+10))*(INDEX('Stat Boosts'!$D$2:$D$192,F$1-9)-10)/((INDEX('Stat Boosts'!$D$2:$D$192,(B36/2+22)-9)-10)))&lt;0.5,POWER(1.1,1.75-(($A36+5)/($A36+10))*(INDEX('Stat Boosts'!$D$2:$D$192,F$1-9)-10)/((INDEX('Stat Boosts'!$D$2:$D$192,(B36/2+22)-9)-10))-0.5)*0.5,(1.75-(($A36+5)/($A36+10))*(INDEX('Stat Boosts'!$D$2:$D$192,F$1-9)-10)/((INDEX('Stat Boosts'!$D$2:$D$192,(B36/2+22)-9)-10))))</f>
        <v>1.5944444444444446</v>
      </c>
      <c r="G36" s="16">
        <f>IF((1.75-(($A36+5)/($A36+10))*(INDEX('Stat Boosts'!$D$2:$D$192,G$1-9)-10)/((INDEX('Stat Boosts'!$D$2:$D$192,(C36/2+22)-9)-10)))&lt;0.5,POWER(1.1,1.75-(($A36+5)/($A36+10))*(INDEX('Stat Boosts'!$D$2:$D$192,G$1-9)-10)/((INDEX('Stat Boosts'!$D$2:$D$192,(C36/2+22)-9)-10))-0.5)*0.5,(1.75-(($A36+5)/($A36+10))*(INDEX('Stat Boosts'!$D$2:$D$192,G$1-9)-10)/((INDEX('Stat Boosts'!$D$2:$D$192,(C36/2+22)-9)-10))))</f>
        <v>1.0179738562091503</v>
      </c>
      <c r="H36" s="16">
        <f>IF((1.75-(($A36+5)/($A36+10))*(INDEX('Stat Boosts'!$D$2:$D$192,H$1-9)-10)/((INDEX('Stat Boosts'!$D$2:$D$192,(D36/2+22)-9)-10)))&lt;0.5,POWER(1.1,1.75-(($A36+5)/($A36+10))*(INDEX('Stat Boosts'!$D$2:$D$192,H$1-9)-10)/((INDEX('Stat Boosts'!$D$2:$D$192,(D36/2+22)-9)-10))-0.5)*0.5,(1.75-(($A36+5)/($A36+10))*(INDEX('Stat Boosts'!$D$2:$D$192,H$1-9)-10)/((INDEX('Stat Boosts'!$D$2:$D$192,(D36/2+22)-9)-10))))</f>
        <v>0.65196078431372562</v>
      </c>
      <c r="I36" s="16">
        <f>IF((1.75-(($A36+5)/($A36+10))*(INDEX('Stat Boosts'!$D$2:$D$192,I$1-9)-10)/((INDEX('Stat Boosts'!$D$2:$D$192,(E36/2+22)-9)-10)))&lt;0.5,POWER(1.1,1.75-(($A36+5)/($A36+10))*(INDEX('Stat Boosts'!$D$2:$D$192,I$1-9)-10)/((INDEX('Stat Boosts'!$D$2:$D$192,(E36/2+22)-9)-10))-0.5)*0.5,(1.75-(($A36+5)/($A36+10))*(INDEX('Stat Boosts'!$D$2:$D$192,I$1-9)-10)/((INDEX('Stat Boosts'!$D$2:$D$192,(E36/2+22)-9)-10))))</f>
        <v>0.49235021147655111</v>
      </c>
      <c r="J36" s="16">
        <f>IF((1.75-(($A36+5)/($A36+10))*(INDEX('Stat Boosts'!$D$2:$D$192,J$1-9)-10)/((INDEX('Stat Boosts'!$D$2:$D$192,(F36/2+22)-9)-10)))&lt;0.5,POWER(1.1,1.75-(($A36+5)/($A36+10))*(INDEX('Stat Boosts'!$D$2:$D$192,J$1-9)-10)/((INDEX('Stat Boosts'!$D$2:$D$192,(F36/2+22)-9)-10))-0.5)*0.5,(1.75-(($A36+5)/($A36+10))*(INDEX('Stat Boosts'!$D$2:$D$192,J$1-9)-10)/((INDEX('Stat Boosts'!$D$2:$D$192,(F36/2+22)-9)-10))))</f>
        <v>0.47784625683716925</v>
      </c>
      <c r="K36" s="16">
        <f>IF((1.75-(($A36+5)/($A36+10))*(INDEX('Stat Boosts'!$D$2:$D$192,K$1-9)-10)/((INDEX('Stat Boosts'!$D$2:$D$192,(G36/2+22)-9)-10)))&lt;0.5,POWER(1.1,1.75-(($A36+5)/($A36+10))*(INDEX('Stat Boosts'!$D$2:$D$192,K$1-9)-10)/((INDEX('Stat Boosts'!$D$2:$D$192,(G36/2+22)-9)-10))-0.5)*0.5,(1.75-(($A36+5)/($A36+10))*(INDEX('Stat Boosts'!$D$2:$D$192,K$1-9)-10)/((INDEX('Stat Boosts'!$D$2:$D$192,(G36/2+22)-9)-10))))</f>
        <v>0.44564358641885482</v>
      </c>
      <c r="L36" s="16">
        <f>IF((1.75-(($A36+5)/($A36+10))*(INDEX('Stat Boosts'!$D$2:$D$192,L$1-9)-10)/((INDEX('Stat Boosts'!$D$2:$D$192,(H36/2+22)-9)-10)))&lt;0.5,POWER(1.1,1.75-(($A36+5)/($A36+10))*(INDEX('Stat Boosts'!$D$2:$D$192,L$1-9)-10)/((INDEX('Stat Boosts'!$D$2:$D$192,(H36/2+22)-9)-10))-0.5)*0.5,(1.75-(($A36+5)/($A36+10))*(INDEX('Stat Boosts'!$D$2:$D$192,L$1-9)-10)/((INDEX('Stat Boosts'!$D$2:$D$192,(H36/2+22)-9)-10))))</f>
        <v>0.43467638203929582</v>
      </c>
      <c r="M36" s="16">
        <f>IF((1.75-(($A36+5)/($A36+10))*(INDEX('Stat Boosts'!$D$2:$D$192,M$1-9)-10)/((INDEX('Stat Boosts'!$D$2:$D$192,(I36/2+22)-9)-10)))&lt;0.5,POWER(1.1,1.75-(($A36+5)/($A36+10))*(INDEX('Stat Boosts'!$D$2:$D$192,M$1-9)-10)/((INDEX('Stat Boosts'!$D$2:$D$192,(I36/2+22)-9)-10))-0.5)*0.5,(1.75-(($A36+5)/($A36+10))*(INDEX('Stat Boosts'!$D$2:$D$192,M$1-9)-10)/((INDEX('Stat Boosts'!$D$2:$D$192,(I36/2+22)-9)-10))))</f>
        <v>0.41977423590419416</v>
      </c>
      <c r="N36" s="16">
        <f>IF((1.75-(($A36+5)/($A36+10))*(INDEX('Stat Boosts'!$D$2:$D$192,N$1-9)-10)/((INDEX('Stat Boosts'!$D$2:$D$192,(J36/2+22)-9)-10)))&lt;0.5,POWER(1.1,1.75-(($A36+5)/($A36+10))*(INDEX('Stat Boosts'!$D$2:$D$192,N$1-9)-10)/((INDEX('Stat Boosts'!$D$2:$D$192,(J36/2+22)-9)-10))-0.5)*0.5,(1.75-(($A36+5)/($A36+10))*(INDEX('Stat Boosts'!$D$2:$D$192,N$1-9)-10)/((INDEX('Stat Boosts'!$D$2:$D$192,(J36/2+22)-9)-10))))</f>
        <v>0.40136257019619132</v>
      </c>
      <c r="O36" s="16">
        <f>IF((1.75-(($A36+5)/($A36+10))*(INDEX('Stat Boosts'!$D$2:$D$192,O$1-9)-10)/((INDEX('Stat Boosts'!$D$2:$D$192,(K36/2+22)-9)-10)))&lt;0.5,POWER(1.1,1.75-(($A36+5)/($A36+10))*(INDEX('Stat Boosts'!$D$2:$D$192,O$1-9)-10)/((INDEX('Stat Boosts'!$D$2:$D$192,(K36/2+22)-9)-10))-0.5)*0.5,(1.75-(($A36+5)/($A36+10))*(INDEX('Stat Boosts'!$D$2:$D$192,O$1-9)-10)/((INDEX('Stat Boosts'!$D$2:$D$192,(K36/2+22)-9)-10))))</f>
        <v>0.39148511325123836</v>
      </c>
      <c r="P36" s="16">
        <f>IF((1.75-(($A36+5)/($A36+10))*(INDEX('Stat Boosts'!$D$2:$D$192,P$1-9)-10)/((INDEX('Stat Boosts'!$D$2:$D$192,(L36/2+22)-9)-10)))&lt;0.5,POWER(1.1,1.75-(($A36+5)/($A36+10))*(INDEX('Stat Boosts'!$D$2:$D$192,P$1-9)-10)/((INDEX('Stat Boosts'!$D$2:$D$192,(L36/2+22)-9)-10))-0.5)*0.5,(1.75-(($A36+5)/($A36+10))*(INDEX('Stat Boosts'!$D$2:$D$192,P$1-9)-10)/((INDEX('Stat Boosts'!$D$2:$D$192,(L36/2+22)-9)-10))))</f>
        <v>0.37618429865516312</v>
      </c>
      <c r="Q36" s="16">
        <f>IF((1.75-(($A36+5)/($A36+10))*(INDEX('Stat Boosts'!$D$2:$D$192,Q$1-9)-10)/((INDEX('Stat Boosts'!$D$2:$D$192,(M36/2+22)-9)-10)))&lt;0.5,POWER(1.1,1.75-(($A36+5)/($A36+10))*(INDEX('Stat Boosts'!$D$2:$D$192,Q$1-9)-10)/((INDEX('Stat Boosts'!$D$2:$D$192,(M36/2+22)-9)-10))-0.5)*0.5,(1.75-(($A36+5)/($A36+10))*(INDEX('Stat Boosts'!$D$2:$D$192,Q$1-9)-10)/((INDEX('Stat Boosts'!$D$2:$D$192,(M36/2+22)-9)-10))))</f>
        <v>0.36148150150439806</v>
      </c>
      <c r="R36" s="16">
        <f>IF((1.75-(($A36+5)/($A36+10))*1.25*(INDEX('Stat Boosts'!$D$2:$D$192,R$1-9)-10)/((INDEX('Stat Boosts'!$D$2:$D$192,(N36/2+22)-9)-10)))&lt;0.5,POWER(1.1,1.75-(($A36+5)/($A36+10))*1.25*(INDEX('Stat Boosts'!$D$2:$D$192,R$1-9)-10)/((INDEX('Stat Boosts'!$D$2:$D$192,(N36/2+22)-9)-10))-0.5)*0.5,(1.75-(($A36+5)/($A36+10))*1.25*(INDEX('Stat Boosts'!$D$2:$D$192,R$1-9)-10)/((INDEX('Stat Boosts'!$D$2:$D$192,(N36/2+22)-9)-10))))</f>
        <v>0.30781278032460296</v>
      </c>
    </row>
    <row r="37" spans="1:18">
      <c r="A37" s="9">
        <v>36</v>
      </c>
      <c r="B37" s="16">
        <f t="shared" si="0"/>
        <v>36.4</v>
      </c>
      <c r="C37" s="16">
        <f t="shared" si="1"/>
        <v>1.5151515151515154E-2</v>
      </c>
      <c r="E37" s="16">
        <f>IF((1.75-(($A37+5)/($A37+10))*(INDEX('Stat Boosts'!$D$2:$D$192,E$1-9)-10)/((INDEX('Stat Boosts'!$D$2:$D$192,(A37/2+22)-9)-10)))&lt;0.5,POWER(1.1,1.75-(($A37+5)/($A37+10))*(INDEX('Stat Boosts'!$D$2:$D$192,E$1-9)-10)/((INDEX('Stat Boosts'!$D$2:$D$192,(A37/2+22)-9)-10))-0.5)*0.5,(1.75-(($A37+5)/($A37+10))*(INDEX('Stat Boosts'!$D$2:$D$192,E$1-9)-10)/((INDEX('Stat Boosts'!$D$2:$D$192,(A37/2+22)-9)-10))))</f>
        <v>1.75</v>
      </c>
      <c r="F37" s="16">
        <f>IF((1.75-(($A37+5)/($A37+10))*(INDEX('Stat Boosts'!$D$2:$D$192,F$1-9)-10)/((INDEX('Stat Boosts'!$D$2:$D$192,(B37/2+22)-9)-10)))&lt;0.5,POWER(1.1,1.75-(($A37+5)/($A37+10))*(INDEX('Stat Boosts'!$D$2:$D$192,F$1-9)-10)/((INDEX('Stat Boosts'!$D$2:$D$192,(B37/2+22)-9)-10))-0.5)*0.5,(1.75-(($A37+5)/($A37+10))*(INDEX('Stat Boosts'!$D$2:$D$192,F$1-9)-10)/((INDEX('Stat Boosts'!$D$2:$D$192,(B37/2+22)-9)-10))))</f>
        <v>1.5940217391304348</v>
      </c>
      <c r="G37" s="16">
        <f>IF((1.75-(($A37+5)/($A37+10))*(INDEX('Stat Boosts'!$D$2:$D$192,G$1-9)-10)/((INDEX('Stat Boosts'!$D$2:$D$192,(C37/2+22)-9)-10)))&lt;0.5,POWER(1.1,1.75-(($A37+5)/($A37+10))*(INDEX('Stat Boosts'!$D$2:$D$192,G$1-9)-10)/((INDEX('Stat Boosts'!$D$2:$D$192,(C37/2+22)-9)-10))-0.5)*0.5,(1.75-(($A37+5)/($A37+10))*(INDEX('Stat Boosts'!$D$2:$D$192,G$1-9)-10)/((INDEX('Stat Boosts'!$D$2:$D$192,(C37/2+22)-9)-10))))</f>
        <v>1.0159846547314579</v>
      </c>
      <c r="H37" s="16">
        <f>IF((1.75-(($A37+5)/($A37+10))*(INDEX('Stat Boosts'!$D$2:$D$192,H$1-9)-10)/((INDEX('Stat Boosts'!$D$2:$D$192,(D37/2+22)-9)-10)))&lt;0.5,POWER(1.1,1.75-(($A37+5)/($A37+10))*(INDEX('Stat Boosts'!$D$2:$D$192,H$1-9)-10)/((INDEX('Stat Boosts'!$D$2:$D$192,(D37/2+22)-9)-10))-0.5)*0.5,(1.75-(($A37+5)/($A37+10))*(INDEX('Stat Boosts'!$D$2:$D$192,H$1-9)-10)/((INDEX('Stat Boosts'!$D$2:$D$192,(D37/2+22)-9)-10))))</f>
        <v>0.64897698209718691</v>
      </c>
      <c r="I37" s="16">
        <f>IF((1.75-(($A37+5)/($A37+10))*(INDEX('Stat Boosts'!$D$2:$D$192,I$1-9)-10)/((INDEX('Stat Boosts'!$D$2:$D$192,(E37/2+22)-9)-10)))&lt;0.5,POWER(1.1,1.75-(($A37+5)/($A37+10))*(INDEX('Stat Boosts'!$D$2:$D$192,I$1-9)-10)/((INDEX('Stat Boosts'!$D$2:$D$192,(E37/2+22)-9)-10))-0.5)*0.5,(1.75-(($A37+5)/($A37+10))*(INDEX('Stat Boosts'!$D$2:$D$192,I$1-9)-10)/((INDEX('Stat Boosts'!$D$2:$D$192,(E37/2+22)-9)-10))))</f>
        <v>0.49217022141561523</v>
      </c>
      <c r="J37" s="16">
        <f>IF((1.75-(($A37+5)/($A37+10))*(INDEX('Stat Boosts'!$D$2:$D$192,J$1-9)-10)/((INDEX('Stat Boosts'!$D$2:$D$192,(F37/2+22)-9)-10)))&lt;0.5,POWER(1.1,1.75-(($A37+5)/($A37+10))*(INDEX('Stat Boosts'!$D$2:$D$192,J$1-9)-10)/((INDEX('Stat Boosts'!$D$2:$D$192,(F37/2+22)-9)-10))-0.5)*0.5,(1.75-(($A37+5)/($A37+10))*(INDEX('Stat Boosts'!$D$2:$D$192,J$1-9)-10)/((INDEX('Stat Boosts'!$D$2:$D$192,(F37/2+22)-9)-10))))</f>
        <v>0.47763275819538104</v>
      </c>
      <c r="K37" s="16">
        <f>IF((1.75-(($A37+5)/($A37+10))*(INDEX('Stat Boosts'!$D$2:$D$192,K$1-9)-10)/((INDEX('Stat Boosts'!$D$2:$D$192,(G37/2+22)-9)-10)))&lt;0.5,POWER(1.1,1.75-(($A37+5)/($A37+10))*(INDEX('Stat Boosts'!$D$2:$D$192,K$1-9)-10)/((INDEX('Stat Boosts'!$D$2:$D$192,(G37/2+22)-9)-10))-0.5)*0.5,(1.75-(($A37+5)/($A37+10))*(INDEX('Stat Boosts'!$D$2:$D$192,K$1-9)-10)/((INDEX('Stat Boosts'!$D$2:$D$192,(G37/2+22)-9)-10))))</f>
        <v>0.44536003139816593</v>
      </c>
      <c r="L37" s="16">
        <f>IF((1.75-(($A37+5)/($A37+10))*(INDEX('Stat Boosts'!$D$2:$D$192,L$1-9)-10)/((INDEX('Stat Boosts'!$D$2:$D$192,(H37/2+22)-9)-10)))&lt;0.5,POWER(1.1,1.75-(($A37+5)/($A37+10))*(INDEX('Stat Boosts'!$D$2:$D$192,L$1-9)-10)/((INDEX('Stat Boosts'!$D$2:$D$192,(H37/2+22)-9)-10))-0.5)*0.5,(1.75-(($A37+5)/($A37+10))*(INDEX('Stat Boosts'!$D$2:$D$192,L$1-9)-10)/((INDEX('Stat Boosts'!$D$2:$D$192,(H37/2+22)-9)-10))))</f>
        <v>0.43437039255024179</v>
      </c>
      <c r="M37" s="16">
        <f>IF((1.75-(($A37+5)/($A37+10))*(INDEX('Stat Boosts'!$D$2:$D$192,M$1-9)-10)/((INDEX('Stat Boosts'!$D$2:$D$192,(I37/2+22)-9)-10)))&lt;0.5,POWER(1.1,1.75-(($A37+5)/($A37+10))*(INDEX('Stat Boosts'!$D$2:$D$192,M$1-9)-10)/((INDEX('Stat Boosts'!$D$2:$D$192,(I37/2+22)-9)-10))-0.5)*0.5,(1.75-(($A37+5)/($A37+10))*(INDEX('Stat Boosts'!$D$2:$D$192,M$1-9)-10)/((INDEX('Stat Boosts'!$D$2:$D$192,(I37/2+22)-9)-10))))</f>
        <v>0.4194389739048841</v>
      </c>
      <c r="N37" s="16">
        <f>IF((1.75-(($A37+5)/($A37+10))*(INDEX('Stat Boosts'!$D$2:$D$192,N$1-9)-10)/((INDEX('Stat Boosts'!$D$2:$D$192,(J37/2+22)-9)-10)))&lt;0.5,POWER(1.1,1.75-(($A37+5)/($A37+10))*(INDEX('Stat Boosts'!$D$2:$D$192,N$1-9)-10)/((INDEX('Stat Boosts'!$D$2:$D$192,(J37/2+22)-9)-10))-0.5)*0.5,(1.75-(($A37+5)/($A37+10))*(INDEX('Stat Boosts'!$D$2:$D$192,N$1-9)-10)/((INDEX('Stat Boosts'!$D$2:$D$192,(J37/2+22)-9)-10))))</f>
        <v>0.40099313704971529</v>
      </c>
      <c r="O37" s="16">
        <f>IF((1.75-(($A37+5)/($A37+10))*(INDEX('Stat Boosts'!$D$2:$D$192,O$1-9)-10)/((INDEX('Stat Boosts'!$D$2:$D$192,(K37/2+22)-9)-10)))&lt;0.5,POWER(1.1,1.75-(($A37+5)/($A37+10))*(INDEX('Stat Boosts'!$D$2:$D$192,O$1-9)-10)/((INDEX('Stat Boosts'!$D$2:$D$192,(K37/2+22)-9)-10))-0.5)*0.5,(1.75-(($A37+5)/($A37+10))*(INDEX('Stat Boosts'!$D$2:$D$192,O$1-9)-10)/((INDEX('Stat Boosts'!$D$2:$D$192,(K37/2+22)-9)-10))))</f>
        <v>0.39109828918283801</v>
      </c>
      <c r="P37" s="16">
        <f>IF((1.75-(($A37+5)/($A37+10))*(INDEX('Stat Boosts'!$D$2:$D$192,P$1-9)-10)/((INDEX('Stat Boosts'!$D$2:$D$192,(L37/2+22)-9)-10)))&lt;0.5,POWER(1.1,1.75-(($A37+5)/($A37+10))*(INDEX('Stat Boosts'!$D$2:$D$192,P$1-9)-10)/((INDEX('Stat Boosts'!$D$2:$D$192,(L37/2+22)-9)-10))-0.5)*0.5,(1.75-(($A37+5)/($A37+10))*(INDEX('Stat Boosts'!$D$2:$D$192,P$1-9)-10)/((INDEX('Stat Boosts'!$D$2:$D$192,(L37/2+22)-9)-10))))</f>
        <v>0.37577188072467782</v>
      </c>
      <c r="Q37" s="16">
        <f>IF((1.75-(($A37+5)/($A37+10))*(INDEX('Stat Boosts'!$D$2:$D$192,Q$1-9)-10)/((INDEX('Stat Boosts'!$D$2:$D$192,(M37/2+22)-9)-10)))&lt;0.5,POWER(1.1,1.75-(($A37+5)/($A37+10))*(INDEX('Stat Boosts'!$D$2:$D$192,Q$1-9)-10)/((INDEX('Stat Boosts'!$D$2:$D$192,(M37/2+22)-9)-10))-0.5)*0.5,(1.75-(($A37+5)/($A37+10))*(INDEX('Stat Boosts'!$D$2:$D$192,Q$1-9)-10)/((INDEX('Stat Boosts'!$D$2:$D$192,(M37/2+22)-9)-10))))</f>
        <v>0.36104608546970279</v>
      </c>
      <c r="R37" s="16">
        <f>IF((1.75-(($A37+5)/($A37+10))*1.25*(INDEX('Stat Boosts'!$D$2:$D$192,R$1-9)-10)/((INDEX('Stat Boosts'!$D$2:$D$192,(N37/2+22)-9)-10)))&lt;0.5,POWER(1.1,1.75-(($A37+5)/($A37+10))*1.25*(INDEX('Stat Boosts'!$D$2:$D$192,R$1-9)-10)/((INDEX('Stat Boosts'!$D$2:$D$192,(N37/2+22)-9)-10))-0.5)*0.5,(1.75-(($A37+5)/($A37+10))*1.25*(INDEX('Stat Boosts'!$D$2:$D$192,R$1-9)-10)/((INDEX('Stat Boosts'!$D$2:$D$192,(N37/2+22)-9)-10))))</f>
        <v>0.30730776807156795</v>
      </c>
    </row>
    <row r="38" spans="1:18">
      <c r="A38" s="9">
        <v>37</v>
      </c>
      <c r="B38" s="16">
        <f t="shared" si="0"/>
        <v>36.799999999999997</v>
      </c>
      <c r="C38" s="16">
        <f t="shared" si="1"/>
        <v>1.4925373134328361E-2</v>
      </c>
      <c r="E38" s="16">
        <f>IF((1.75-(($A38+5)/($A38+10))*(INDEX('Stat Boosts'!$D$2:$D$192,E$1-9)-10)/((INDEX('Stat Boosts'!$D$2:$D$192,(A38/2+22)-9)-10)))&lt;0.5,POWER(1.1,1.75-(($A38+5)/($A38+10))*(INDEX('Stat Boosts'!$D$2:$D$192,E$1-9)-10)/((INDEX('Stat Boosts'!$D$2:$D$192,(A38/2+22)-9)-10))-0.5)*0.5,(1.75-(($A38+5)/($A38+10))*(INDEX('Stat Boosts'!$D$2:$D$192,E$1-9)-10)/((INDEX('Stat Boosts'!$D$2:$D$192,(A38/2+22)-9)-10))))</f>
        <v>1.75</v>
      </c>
      <c r="F38" s="16">
        <f>IF((1.75-(($A38+5)/($A38+10))*(INDEX('Stat Boosts'!$D$2:$D$192,F$1-9)-10)/((INDEX('Stat Boosts'!$D$2:$D$192,(B38/2+22)-9)-10)))&lt;0.5,POWER(1.1,1.75-(($A38+5)/($A38+10))*(INDEX('Stat Boosts'!$D$2:$D$192,F$1-9)-10)/((INDEX('Stat Boosts'!$D$2:$D$192,(B38/2+22)-9)-10))-0.5)*0.5,(1.75-(($A38+5)/($A38+10))*(INDEX('Stat Boosts'!$D$2:$D$192,F$1-9)-10)/((INDEX('Stat Boosts'!$D$2:$D$192,(B38/2+22)-9)-10))))</f>
        <v>1.5936170212765957</v>
      </c>
      <c r="G38" s="16">
        <f>IF((1.75-(($A38+5)/($A38+10))*(INDEX('Stat Boosts'!$D$2:$D$192,G$1-9)-10)/((INDEX('Stat Boosts'!$D$2:$D$192,(C38/2+22)-9)-10)))&lt;0.5,POWER(1.1,1.75-(($A38+5)/($A38+10))*(INDEX('Stat Boosts'!$D$2:$D$192,G$1-9)-10)/((INDEX('Stat Boosts'!$D$2:$D$192,(C38/2+22)-9)-10))-0.5)*0.5,(1.75-(($A38+5)/($A38+10))*(INDEX('Stat Boosts'!$D$2:$D$192,G$1-9)-10)/((INDEX('Stat Boosts'!$D$2:$D$192,(C38/2+22)-9)-10))))</f>
        <v>1.0140801001251565</v>
      </c>
      <c r="H38" s="16">
        <f>IF((1.75-(($A38+5)/($A38+10))*(INDEX('Stat Boosts'!$D$2:$D$192,H$1-9)-10)/((INDEX('Stat Boosts'!$D$2:$D$192,(D38/2+22)-9)-10)))&lt;0.5,POWER(1.1,1.75-(($A38+5)/($A38+10))*(INDEX('Stat Boosts'!$D$2:$D$192,H$1-9)-10)/((INDEX('Stat Boosts'!$D$2:$D$192,(D38/2+22)-9)-10))-0.5)*0.5,(1.75-(($A38+5)/($A38+10))*(INDEX('Stat Boosts'!$D$2:$D$192,H$1-9)-10)/((INDEX('Stat Boosts'!$D$2:$D$192,(D38/2+22)-9)-10))))</f>
        <v>0.64612015018773472</v>
      </c>
      <c r="I38" s="16">
        <f>IF((1.75-(($A38+5)/($A38+10))*(INDEX('Stat Boosts'!$D$2:$D$192,I$1-9)-10)/((INDEX('Stat Boosts'!$D$2:$D$192,(E38/2+22)-9)-10)))&lt;0.5,POWER(1.1,1.75-(($A38+5)/($A38+10))*(INDEX('Stat Boosts'!$D$2:$D$192,I$1-9)-10)/((INDEX('Stat Boosts'!$D$2:$D$192,(E38/2+22)-9)-10))-0.5)*0.5,(1.75-(($A38+5)/($A38+10))*(INDEX('Stat Boosts'!$D$2:$D$192,I$1-9)-10)/((INDEX('Stat Boosts'!$D$2:$D$192,(E38/2+22)-9)-10))))</f>
        <v>0.49199795216568043</v>
      </c>
      <c r="J38" s="16">
        <f>IF((1.75-(($A38+5)/($A38+10))*(INDEX('Stat Boosts'!$D$2:$D$192,J$1-9)-10)/((INDEX('Stat Boosts'!$D$2:$D$192,(F38/2+22)-9)-10)))&lt;0.5,POWER(1.1,1.75-(($A38+5)/($A38+10))*(INDEX('Stat Boosts'!$D$2:$D$192,J$1-9)-10)/((INDEX('Stat Boosts'!$D$2:$D$192,(F38/2+22)-9)-10))-0.5)*0.5,(1.75-(($A38+5)/($A38+10))*(INDEX('Stat Boosts'!$D$2:$D$192,J$1-9)-10)/((INDEX('Stat Boosts'!$D$2:$D$192,(F38/2+22)-9)-10))))</f>
        <v>0.477428433990222</v>
      </c>
      <c r="K38" s="16">
        <f>IF((1.75-(($A38+5)/($A38+10))*(INDEX('Stat Boosts'!$D$2:$D$192,K$1-9)-10)/((INDEX('Stat Boosts'!$D$2:$D$192,(G38/2+22)-9)-10)))&lt;0.5,POWER(1.1,1.75-(($A38+5)/($A38+10))*(INDEX('Stat Boosts'!$D$2:$D$192,K$1-9)-10)/((INDEX('Stat Boosts'!$D$2:$D$192,(G38/2+22)-9)-10))-0.5)*0.5,(1.75-(($A38+5)/($A38+10))*(INDEX('Stat Boosts'!$D$2:$D$192,K$1-9)-10)/((INDEX('Stat Boosts'!$D$2:$D$192,(G38/2+22)-9)-10))))</f>
        <v>0.44508871161818842</v>
      </c>
      <c r="L38" s="16">
        <f>IF((1.75-(($A38+5)/($A38+10))*(INDEX('Stat Boosts'!$D$2:$D$192,L$1-9)-10)/((INDEX('Stat Boosts'!$D$2:$D$192,(H38/2+22)-9)-10)))&lt;0.5,POWER(1.1,1.75-(($A38+5)/($A38+10))*(INDEX('Stat Boosts'!$D$2:$D$192,L$1-9)-10)/((INDEX('Stat Boosts'!$D$2:$D$192,(H38/2+22)-9)-10))-0.5)*0.5,(1.75-(($A38+5)/($A38+10))*(INDEX('Stat Boosts'!$D$2:$D$192,L$1-9)-10)/((INDEX('Stat Boosts'!$D$2:$D$192,(H38/2+22)-9)-10))))</f>
        <v>0.43407762573920139</v>
      </c>
      <c r="M38" s="16">
        <f>IF((1.75-(($A38+5)/($A38+10))*(INDEX('Stat Boosts'!$D$2:$D$192,M$1-9)-10)/((INDEX('Stat Boosts'!$D$2:$D$192,(I38/2+22)-9)-10)))&lt;0.5,POWER(1.1,1.75-(($A38+5)/($A38+10))*(INDEX('Stat Boosts'!$D$2:$D$192,M$1-9)-10)/((INDEX('Stat Boosts'!$D$2:$D$192,(I38/2+22)-9)-10))-0.5)*0.5,(1.75-(($A38+5)/($A38+10))*(INDEX('Stat Boosts'!$D$2:$D$192,M$1-9)-10)/((INDEX('Stat Boosts'!$D$2:$D$192,(I38/2+22)-9)-10))))</f>
        <v>0.41911822929198478</v>
      </c>
      <c r="N38" s="16">
        <f>IF((1.75-(($A38+5)/($A38+10))*(INDEX('Stat Boosts'!$D$2:$D$192,N$1-9)-10)/((INDEX('Stat Boosts'!$D$2:$D$192,(J38/2+22)-9)-10)))&lt;0.5,POWER(1.1,1.75-(($A38+5)/($A38+10))*(INDEX('Stat Boosts'!$D$2:$D$192,N$1-9)-10)/((INDEX('Stat Boosts'!$D$2:$D$192,(J38/2+22)-9)-10))-0.5)*0.5,(1.75-(($A38+5)/($A38+10))*(INDEX('Stat Boosts'!$D$2:$D$192,N$1-9)-10)/((INDEX('Stat Boosts'!$D$2:$D$192,(J38/2+22)-9)-10))))</f>
        <v>0.40063974311356387</v>
      </c>
      <c r="O38" s="16">
        <f>IF((1.75-(($A38+5)/($A38+10))*(INDEX('Stat Boosts'!$D$2:$D$192,O$1-9)-10)/((INDEX('Stat Boosts'!$D$2:$D$192,(K38/2+22)-9)-10)))&lt;0.5,POWER(1.1,1.75-(($A38+5)/($A38+10))*(INDEX('Stat Boosts'!$D$2:$D$192,O$1-9)-10)/((INDEX('Stat Boosts'!$D$2:$D$192,(K38/2+22)-9)-10))-0.5)*0.5,(1.75-(($A38+5)/($A38+10))*(INDEX('Stat Boosts'!$D$2:$D$192,O$1-9)-10)/((INDEX('Stat Boosts'!$D$2:$D$192,(K38/2+22)-9)-10))))</f>
        <v>0.39072828388576153</v>
      </c>
      <c r="P38" s="16">
        <f>IF((1.75-(($A38+5)/($A38+10))*(INDEX('Stat Boosts'!$D$2:$D$192,P$1-9)-10)/((INDEX('Stat Boosts'!$D$2:$D$192,(L38/2+22)-9)-10)))&lt;0.5,POWER(1.1,1.75-(($A38+5)/($A38+10))*(INDEX('Stat Boosts'!$D$2:$D$192,P$1-9)-10)/((INDEX('Stat Boosts'!$D$2:$D$192,(L38/2+22)-9)-10))-0.5)*0.5,(1.75-(($A38+5)/($A38+10))*(INDEX('Stat Boosts'!$D$2:$D$192,P$1-9)-10)/((INDEX('Stat Boosts'!$D$2:$D$192,(L38/2+22)-9)-10))))</f>
        <v>0.37537743619076058</v>
      </c>
      <c r="Q38" s="16">
        <f>IF((1.75-(($A38+5)/($A38+10))*(INDEX('Stat Boosts'!$D$2:$D$192,Q$1-9)-10)/((INDEX('Stat Boosts'!$D$2:$D$192,(M38/2+22)-9)-10)))&lt;0.5,POWER(1.1,1.75-(($A38+5)/($A38+10))*(INDEX('Stat Boosts'!$D$2:$D$192,Q$1-9)-10)/((INDEX('Stat Boosts'!$D$2:$D$192,(M38/2+22)-9)-10))-0.5)*0.5,(1.75-(($A38+5)/($A38+10))*(INDEX('Stat Boosts'!$D$2:$D$192,Q$1-9)-10)/((INDEX('Stat Boosts'!$D$2:$D$192,(M38/2+22)-9)-10))))</f>
        <v>0.36062968925573441</v>
      </c>
      <c r="R38" s="16">
        <f>IF((1.75-(($A38+5)/($A38+10))*1.25*(INDEX('Stat Boosts'!$D$2:$D$192,R$1-9)-10)/((INDEX('Stat Boosts'!$D$2:$D$192,(N38/2+22)-9)-10)))&lt;0.5,POWER(1.1,1.75-(($A38+5)/($A38+10))*1.25*(INDEX('Stat Boosts'!$D$2:$D$192,R$1-9)-10)/((INDEX('Stat Boosts'!$D$2:$D$192,(N38/2+22)-9)-10))-0.5)*0.5,(1.75-(($A38+5)/($A38+10))*1.25*(INDEX('Stat Boosts'!$D$2:$D$192,R$1-9)-10)/((INDEX('Stat Boosts'!$D$2:$D$192,(N38/2+22)-9)-10))))</f>
        <v>0.30682502213095481</v>
      </c>
    </row>
    <row r="39" spans="1:18">
      <c r="A39" s="9">
        <v>38</v>
      </c>
      <c r="B39" s="16">
        <f t="shared" si="0"/>
        <v>37.200000000000003</v>
      </c>
      <c r="C39" s="16">
        <f t="shared" si="1"/>
        <v>1.4705882352941176E-2</v>
      </c>
      <c r="E39" s="16">
        <f>IF((1.75-(($A39+5)/($A39+10))*(INDEX('Stat Boosts'!$D$2:$D$192,E$1-9)-10)/((INDEX('Stat Boosts'!$D$2:$D$192,(A39/2+22)-9)-10)))&lt;0.5,POWER(1.1,1.75-(($A39+5)/($A39+10))*(INDEX('Stat Boosts'!$D$2:$D$192,E$1-9)-10)/((INDEX('Stat Boosts'!$D$2:$D$192,(A39/2+22)-9)-10))-0.5)*0.5,(1.75-(($A39+5)/($A39+10))*(INDEX('Stat Boosts'!$D$2:$D$192,E$1-9)-10)/((INDEX('Stat Boosts'!$D$2:$D$192,(A39/2+22)-9)-10))))</f>
        <v>1.75</v>
      </c>
      <c r="F39" s="16">
        <f>IF((1.75-(($A39+5)/($A39+10))*(INDEX('Stat Boosts'!$D$2:$D$192,F$1-9)-10)/((INDEX('Stat Boosts'!$D$2:$D$192,(B39/2+22)-9)-10)))&lt;0.5,POWER(1.1,1.75-(($A39+5)/($A39+10))*(INDEX('Stat Boosts'!$D$2:$D$192,F$1-9)-10)/((INDEX('Stat Boosts'!$D$2:$D$192,(B39/2+22)-9)-10))-0.5)*0.5,(1.75-(($A39+5)/($A39+10))*(INDEX('Stat Boosts'!$D$2:$D$192,F$1-9)-10)/((INDEX('Stat Boosts'!$D$2:$D$192,(B39/2+22)-9)-10))))</f>
        <v>1.5932291666666667</v>
      </c>
      <c r="G39" s="16">
        <f>IF((1.75-(($A39+5)/($A39+10))*(INDEX('Stat Boosts'!$D$2:$D$192,G$1-9)-10)/((INDEX('Stat Boosts'!$D$2:$D$192,(C39/2+22)-9)-10)))&lt;0.5,POWER(1.1,1.75-(($A39+5)/($A39+10))*(INDEX('Stat Boosts'!$D$2:$D$192,G$1-9)-10)/((INDEX('Stat Boosts'!$D$2:$D$192,(C39/2+22)-9)-10))-0.5)*0.5,(1.75-(($A39+5)/($A39+10))*(INDEX('Stat Boosts'!$D$2:$D$192,G$1-9)-10)/((INDEX('Stat Boosts'!$D$2:$D$192,(C39/2+22)-9)-10))))</f>
        <v>1.0122549019607843</v>
      </c>
      <c r="H39" s="16">
        <f>IF((1.75-(($A39+5)/($A39+10))*(INDEX('Stat Boosts'!$D$2:$D$192,H$1-9)-10)/((INDEX('Stat Boosts'!$D$2:$D$192,(D39/2+22)-9)-10)))&lt;0.5,POWER(1.1,1.75-(($A39+5)/($A39+10))*(INDEX('Stat Boosts'!$D$2:$D$192,H$1-9)-10)/((INDEX('Stat Boosts'!$D$2:$D$192,(D39/2+22)-9)-10))-0.5)*0.5,(1.75-(($A39+5)/($A39+10))*(INDEX('Stat Boosts'!$D$2:$D$192,H$1-9)-10)/((INDEX('Stat Boosts'!$D$2:$D$192,(D39/2+22)-9)-10))))</f>
        <v>0.64338235294117641</v>
      </c>
      <c r="I39" s="16">
        <f>IF((1.75-(($A39+5)/($A39+10))*(INDEX('Stat Boosts'!$D$2:$D$192,I$1-9)-10)/((INDEX('Stat Boosts'!$D$2:$D$192,(E39/2+22)-9)-10)))&lt;0.5,POWER(1.1,1.75-(($A39+5)/($A39+10))*(INDEX('Stat Boosts'!$D$2:$D$192,I$1-9)-10)/((INDEX('Stat Boosts'!$D$2:$D$192,(E39/2+22)-9)-10))-0.5)*0.5,(1.75-(($A39+5)/($A39+10))*(INDEX('Stat Boosts'!$D$2:$D$192,I$1-9)-10)/((INDEX('Stat Boosts'!$D$2:$D$192,(E39/2+22)-9)-10))))</f>
        <v>0.491832917382798</v>
      </c>
      <c r="J39" s="16">
        <f>IF((1.75-(($A39+5)/($A39+10))*(INDEX('Stat Boosts'!$D$2:$D$192,J$1-9)-10)/((INDEX('Stat Boosts'!$D$2:$D$192,(F39/2+22)-9)-10)))&lt;0.5,POWER(1.1,1.75-(($A39+5)/($A39+10))*(INDEX('Stat Boosts'!$D$2:$D$192,J$1-9)-10)/((INDEX('Stat Boosts'!$D$2:$D$192,(F39/2+22)-9)-10))-0.5)*0.5,(1.75-(($A39+5)/($A39+10))*(INDEX('Stat Boosts'!$D$2:$D$192,J$1-9)-10)/((INDEX('Stat Boosts'!$D$2:$D$192,(F39/2+22)-9)-10))))</f>
        <v>0.47723270531390621</v>
      </c>
      <c r="K39" s="16">
        <f>IF((1.75-(($A39+5)/($A39+10))*(INDEX('Stat Boosts'!$D$2:$D$192,K$1-9)-10)/((INDEX('Stat Boosts'!$D$2:$D$192,(G39/2+22)-9)-10)))&lt;0.5,POWER(1.1,1.75-(($A39+5)/($A39+10))*(INDEX('Stat Boosts'!$D$2:$D$192,K$1-9)-10)/((INDEX('Stat Boosts'!$D$2:$D$192,(G39/2+22)-9)-10))-0.5)*0.5,(1.75-(($A39+5)/($A39+10))*(INDEX('Stat Boosts'!$D$2:$D$192,K$1-9)-10)/((INDEX('Stat Boosts'!$D$2:$D$192,(G39/2+22)-9)-10))))</f>
        <v>0.44482885193503102</v>
      </c>
      <c r="L39" s="16">
        <f>IF((1.75-(($A39+5)/($A39+10))*(INDEX('Stat Boosts'!$D$2:$D$192,L$1-9)-10)/((INDEX('Stat Boosts'!$D$2:$D$192,(H39/2+22)-9)-10)))&lt;0.5,POWER(1.1,1.75-(($A39+5)/($A39+10))*(INDEX('Stat Boosts'!$D$2:$D$192,L$1-9)-10)/((INDEX('Stat Boosts'!$D$2:$D$192,(H39/2+22)-9)-10))-0.5)*0.5,(1.75-(($A39+5)/($A39+10))*(INDEX('Stat Boosts'!$D$2:$D$192,L$1-9)-10)/((INDEX('Stat Boosts'!$D$2:$D$192,(H39/2+22)-9)-10))))</f>
        <v>0.43379724271107672</v>
      </c>
      <c r="M39" s="16">
        <f>IF((1.75-(($A39+5)/($A39+10))*(INDEX('Stat Boosts'!$D$2:$D$192,M$1-9)-10)/((INDEX('Stat Boosts'!$D$2:$D$192,(I39/2+22)-9)-10)))&lt;0.5,POWER(1.1,1.75-(($A39+5)/($A39+10))*(INDEX('Stat Boosts'!$D$2:$D$192,M$1-9)-10)/((INDEX('Stat Boosts'!$D$2:$D$192,(I39/2+22)-9)-10))-0.5)*0.5,(1.75-(($A39+5)/($A39+10))*(INDEX('Stat Boosts'!$D$2:$D$192,M$1-9)-10)/((INDEX('Stat Boosts'!$D$2:$D$192,(I39/2+22)-9)-10))))</f>
        <v>0.41881107919686411</v>
      </c>
      <c r="N39" s="16">
        <f>IF((1.75-(($A39+5)/($A39+10))*(INDEX('Stat Boosts'!$D$2:$D$192,N$1-9)-10)/((INDEX('Stat Boosts'!$D$2:$D$192,(J39/2+22)-9)-10)))&lt;0.5,POWER(1.1,1.75-(($A39+5)/($A39+10))*(INDEX('Stat Boosts'!$D$2:$D$192,N$1-9)-10)/((INDEX('Stat Boosts'!$D$2:$D$192,(J39/2+22)-9)-10))-0.5)*0.5,(1.75-(($A39+5)/($A39+10))*(INDEX('Stat Boosts'!$D$2:$D$192,N$1-9)-10)/((INDEX('Stat Boosts'!$D$2:$D$192,(J39/2+22)-9)-10))))</f>
        <v>0.40030136617829093</v>
      </c>
      <c r="O39" s="16">
        <f>IF((1.75-(($A39+5)/($A39+10))*(INDEX('Stat Boosts'!$D$2:$D$192,O$1-9)-10)/((INDEX('Stat Boosts'!$D$2:$D$192,(K39/2+22)-9)-10)))&lt;0.5,POWER(1.1,1.75-(($A39+5)/($A39+10))*(INDEX('Stat Boosts'!$D$2:$D$192,O$1-9)-10)/((INDEX('Stat Boosts'!$D$2:$D$192,(K39/2+22)-9)-10))-0.5)*0.5,(1.75-(($A39+5)/($A39+10))*(INDEX('Stat Boosts'!$D$2:$D$192,O$1-9)-10)/((INDEX('Stat Boosts'!$D$2:$D$192,(K39/2+22)-9)-10))))</f>
        <v>0.39037402395603116</v>
      </c>
      <c r="P39" s="16">
        <f>IF((1.75-(($A39+5)/($A39+10))*(INDEX('Stat Boosts'!$D$2:$D$192,P$1-9)-10)/((INDEX('Stat Boosts'!$D$2:$D$192,(L39/2+22)-9)-10)))&lt;0.5,POWER(1.1,1.75-(($A39+5)/($A39+10))*(INDEX('Stat Boosts'!$D$2:$D$192,P$1-9)-10)/((INDEX('Stat Boosts'!$D$2:$D$192,(L39/2+22)-9)-10))-0.5)*0.5,(1.75-(($A39+5)/($A39+10))*(INDEX('Stat Boosts'!$D$2:$D$192,P$1-9)-10)/((INDEX('Stat Boosts'!$D$2:$D$192,(L39/2+22)-9)-10))))</f>
        <v>0.37499981537807892</v>
      </c>
      <c r="Q39" s="16">
        <f>IF((1.75-(($A39+5)/($A39+10))*(INDEX('Stat Boosts'!$D$2:$D$192,Q$1-9)-10)/((INDEX('Stat Boosts'!$D$2:$D$192,(M39/2+22)-9)-10)))&lt;0.5,POWER(1.1,1.75-(($A39+5)/($A39+10))*(INDEX('Stat Boosts'!$D$2:$D$192,Q$1-9)-10)/((INDEX('Stat Boosts'!$D$2:$D$192,(M39/2+22)-9)-10))-0.5)*0.5,(1.75-(($A39+5)/($A39+10))*(INDEX('Stat Boosts'!$D$2:$D$192,Q$1-9)-10)/((INDEX('Stat Boosts'!$D$2:$D$192,(M39/2+22)-9)-10))))</f>
        <v>0.36023109352540383</v>
      </c>
      <c r="R39" s="16">
        <f>IF((1.75-(($A39+5)/($A39+10))*1.25*(INDEX('Stat Boosts'!$D$2:$D$192,R$1-9)-10)/((INDEX('Stat Boosts'!$D$2:$D$192,(N39/2+22)-9)-10)))&lt;0.5,POWER(1.1,1.75-(($A39+5)/($A39+10))*1.25*(INDEX('Stat Boosts'!$D$2:$D$192,R$1-9)-10)/((INDEX('Stat Boosts'!$D$2:$D$192,(N39/2+22)-9)-10))-0.5)*0.5,(1.75-(($A39+5)/($A39+10))*1.25*(INDEX('Stat Boosts'!$D$2:$D$192,R$1-9)-10)/((INDEX('Stat Boosts'!$D$2:$D$192,(N39/2+22)-9)-10))))</f>
        <v>0.3063631022217011</v>
      </c>
    </row>
    <row r="40" spans="1:18">
      <c r="A40" s="9">
        <v>39</v>
      </c>
      <c r="B40" s="16">
        <f t="shared" si="0"/>
        <v>37.6</v>
      </c>
      <c r="C40" s="16">
        <f t="shared" si="1"/>
        <v>1.4492753623188406E-2</v>
      </c>
      <c r="E40" s="16">
        <f>IF((1.75-(($A40+5)/($A40+10))*(INDEX('Stat Boosts'!$D$2:$D$192,E$1-9)-10)/((INDEX('Stat Boosts'!$D$2:$D$192,(A40/2+22)-9)-10)))&lt;0.5,POWER(1.1,1.75-(($A40+5)/($A40+10))*(INDEX('Stat Boosts'!$D$2:$D$192,E$1-9)-10)/((INDEX('Stat Boosts'!$D$2:$D$192,(A40/2+22)-9)-10))-0.5)*0.5,(1.75-(($A40+5)/($A40+10))*(INDEX('Stat Boosts'!$D$2:$D$192,E$1-9)-10)/((INDEX('Stat Boosts'!$D$2:$D$192,(A40/2+22)-9)-10))))</f>
        <v>1.75</v>
      </c>
      <c r="F40" s="16">
        <f>IF((1.75-(($A40+5)/($A40+10))*(INDEX('Stat Boosts'!$D$2:$D$192,F$1-9)-10)/((INDEX('Stat Boosts'!$D$2:$D$192,(B40/2+22)-9)-10)))&lt;0.5,POWER(1.1,1.75-(($A40+5)/($A40+10))*(INDEX('Stat Boosts'!$D$2:$D$192,F$1-9)-10)/((INDEX('Stat Boosts'!$D$2:$D$192,(B40/2+22)-9)-10))-0.5)*0.5,(1.75-(($A40+5)/($A40+10))*(INDEX('Stat Boosts'!$D$2:$D$192,F$1-9)-10)/((INDEX('Stat Boosts'!$D$2:$D$192,(B40/2+22)-9)-10))))</f>
        <v>1.592857142857143</v>
      </c>
      <c r="G40" s="16">
        <f>IF((1.75-(($A40+5)/($A40+10))*(INDEX('Stat Boosts'!$D$2:$D$192,G$1-9)-10)/((INDEX('Stat Boosts'!$D$2:$D$192,(C40/2+22)-9)-10)))&lt;0.5,POWER(1.1,1.75-(($A40+5)/($A40+10))*(INDEX('Stat Boosts'!$D$2:$D$192,G$1-9)-10)/((INDEX('Stat Boosts'!$D$2:$D$192,(C40/2+22)-9)-10))-0.5)*0.5,(1.75-(($A40+5)/($A40+10))*(INDEX('Stat Boosts'!$D$2:$D$192,G$1-9)-10)/((INDEX('Stat Boosts'!$D$2:$D$192,(C40/2+22)-9)-10))))</f>
        <v>1.0105042016806722</v>
      </c>
      <c r="H40" s="16">
        <f>IF((1.75-(($A40+5)/($A40+10))*(INDEX('Stat Boosts'!$D$2:$D$192,H$1-9)-10)/((INDEX('Stat Boosts'!$D$2:$D$192,(D40/2+22)-9)-10)))&lt;0.5,POWER(1.1,1.75-(($A40+5)/($A40+10))*(INDEX('Stat Boosts'!$D$2:$D$192,H$1-9)-10)/((INDEX('Stat Boosts'!$D$2:$D$192,(D40/2+22)-9)-10))-0.5)*0.5,(1.75-(($A40+5)/($A40+10))*(INDEX('Stat Boosts'!$D$2:$D$192,H$1-9)-10)/((INDEX('Stat Boosts'!$D$2:$D$192,(D40/2+22)-9)-10))))</f>
        <v>0.64075630252100835</v>
      </c>
      <c r="I40" s="16">
        <f>IF((1.75-(($A40+5)/($A40+10))*(INDEX('Stat Boosts'!$D$2:$D$192,I$1-9)-10)/((INDEX('Stat Boosts'!$D$2:$D$192,(E40/2+22)-9)-10)))&lt;0.5,POWER(1.1,1.75-(($A40+5)/($A40+10))*(INDEX('Stat Boosts'!$D$2:$D$192,I$1-9)-10)/((INDEX('Stat Boosts'!$D$2:$D$192,(E40/2+22)-9)-10))-0.5)*0.5,(1.75-(($A40+5)/($A40+10))*(INDEX('Stat Boosts'!$D$2:$D$192,I$1-9)-10)/((INDEX('Stat Boosts'!$D$2:$D$192,(E40/2+22)-9)-10))))</f>
        <v>0.49167467072945986</v>
      </c>
      <c r="J40" s="16">
        <f>IF((1.75-(($A40+5)/($A40+10))*(INDEX('Stat Boosts'!$D$2:$D$192,J$1-9)-10)/((INDEX('Stat Boosts'!$D$2:$D$192,(F40/2+22)-9)-10)))&lt;0.5,POWER(1.1,1.75-(($A40+5)/($A40+10))*(INDEX('Stat Boosts'!$D$2:$D$192,J$1-9)-10)/((INDEX('Stat Boosts'!$D$2:$D$192,(F40/2+22)-9)-10))-0.5)*0.5,(1.75-(($A40+5)/($A40+10))*(INDEX('Stat Boosts'!$D$2:$D$192,J$1-9)-10)/((INDEX('Stat Boosts'!$D$2:$D$192,(F40/2+22)-9)-10))))</f>
        <v>0.47704504095944777</v>
      </c>
      <c r="K40" s="16">
        <f>IF((1.75-(($A40+5)/($A40+10))*(INDEX('Stat Boosts'!$D$2:$D$192,K$1-9)-10)/((INDEX('Stat Boosts'!$D$2:$D$192,(G40/2+22)-9)-10)))&lt;0.5,POWER(1.1,1.75-(($A40+5)/($A40+10))*(INDEX('Stat Boosts'!$D$2:$D$192,K$1-9)-10)/((INDEX('Stat Boosts'!$D$2:$D$192,(G40/2+22)-9)-10))-0.5)*0.5,(1.75-(($A40+5)/($A40+10))*(INDEX('Stat Boosts'!$D$2:$D$192,K$1-9)-10)/((INDEX('Stat Boosts'!$D$2:$D$192,(G40/2+22)-9)-10))))</f>
        <v>0.44457974132427802</v>
      </c>
      <c r="L40" s="16">
        <f>IF((1.75-(($A40+5)/($A40+10))*(INDEX('Stat Boosts'!$D$2:$D$192,L$1-9)-10)/((INDEX('Stat Boosts'!$D$2:$D$192,(H40/2+22)-9)-10)))&lt;0.5,POWER(1.1,1.75-(($A40+5)/($A40+10))*(INDEX('Stat Boosts'!$D$2:$D$192,L$1-9)-10)/((INDEX('Stat Boosts'!$D$2:$D$192,(H40/2+22)-9)-10))-0.5)*0.5,(1.75-(($A40+5)/($A40+10))*(INDEX('Stat Boosts'!$D$2:$D$192,L$1-9)-10)/((INDEX('Stat Boosts'!$D$2:$D$192,(H40/2+22)-9)-10))))</f>
        <v>0.4335284740596691</v>
      </c>
      <c r="M40" s="16">
        <f>IF((1.75-(($A40+5)/($A40+10))*(INDEX('Stat Boosts'!$D$2:$D$192,M$1-9)-10)/((INDEX('Stat Boosts'!$D$2:$D$192,(I40/2+22)-9)-10)))&lt;0.5,POWER(1.1,1.75-(($A40+5)/($A40+10))*(INDEX('Stat Boosts'!$D$2:$D$192,M$1-9)-10)/((INDEX('Stat Boosts'!$D$2:$D$192,(I40/2+22)-9)-10))-0.5)*0.5,(1.75-(($A40+5)/($A40+10))*(INDEX('Stat Boosts'!$D$2:$D$192,M$1-9)-10)/((INDEX('Stat Boosts'!$D$2:$D$192,(I40/2+22)-9)-10))))</f>
        <v>0.41851667734307235</v>
      </c>
      <c r="N40" s="16">
        <f>IF((1.75-(($A40+5)/($A40+10))*(INDEX('Stat Boosts'!$D$2:$D$192,N$1-9)-10)/((INDEX('Stat Boosts'!$D$2:$D$192,(J40/2+22)-9)-10)))&lt;0.5,POWER(1.1,1.75-(($A40+5)/($A40+10))*(INDEX('Stat Boosts'!$D$2:$D$192,N$1-9)-10)/((INDEX('Stat Boosts'!$D$2:$D$192,(J40/2+22)-9)-10))-0.5)*0.5,(1.75-(($A40+5)/($A40+10))*(INDEX('Stat Boosts'!$D$2:$D$192,N$1-9)-10)/((INDEX('Stat Boosts'!$D$2:$D$192,(J40/2+22)-9)-10))))</f>
        <v>0.39997706908057423</v>
      </c>
      <c r="O40" s="16">
        <f>IF((1.75-(($A40+5)/($A40+10))*(INDEX('Stat Boosts'!$D$2:$D$192,O$1-9)-10)/((INDEX('Stat Boosts'!$D$2:$D$192,(K40/2+22)-9)-10)))&lt;0.5,POWER(1.1,1.75-(($A40+5)/($A40+10))*(INDEX('Stat Boosts'!$D$2:$D$192,O$1-9)-10)/((INDEX('Stat Boosts'!$D$2:$D$192,(K40/2+22)-9)-10))-0.5)*0.5,(1.75-(($A40+5)/($A40+10))*(INDEX('Stat Boosts'!$D$2:$D$192,O$1-9)-10)/((INDEX('Stat Boosts'!$D$2:$D$192,(K40/2+22)-9)-10))))</f>
        <v>0.39003452541684885</v>
      </c>
      <c r="P40" s="16">
        <f>IF((1.75-(($A40+5)/($A40+10))*(INDEX('Stat Boosts'!$D$2:$D$192,P$1-9)-10)/((INDEX('Stat Boosts'!$D$2:$D$192,(L40/2+22)-9)-10)))&lt;0.5,POWER(1.1,1.75-(($A40+5)/($A40+10))*(INDEX('Stat Boosts'!$D$2:$D$192,P$1-9)-10)/((INDEX('Stat Boosts'!$D$2:$D$192,(L40/2+22)-9)-10))-0.5)*0.5,(1.75-(($A40+5)/($A40+10))*(INDEX('Stat Boosts'!$D$2:$D$192,P$1-9)-10)/((INDEX('Stat Boosts'!$D$2:$D$192,(L40/2+22)-9)-10))))</f>
        <v>0.37463796460089616</v>
      </c>
      <c r="Q40" s="16">
        <f>IF((1.75-(($A40+5)/($A40+10))*(INDEX('Stat Boosts'!$D$2:$D$192,Q$1-9)-10)/((INDEX('Stat Boosts'!$D$2:$D$192,(M40/2+22)-9)-10)))&lt;0.5,POWER(1.1,1.75-(($A40+5)/($A40+10))*(INDEX('Stat Boosts'!$D$2:$D$192,Q$1-9)-10)/((INDEX('Stat Boosts'!$D$2:$D$192,(M40/2+22)-9)-10))-0.5)*0.5,(1.75-(($A40+5)/($A40+10))*(INDEX('Stat Boosts'!$D$2:$D$192,Q$1-9)-10)/((INDEX('Stat Boosts'!$D$2:$D$192,(M40/2+22)-9)-10))))</f>
        <v>0.3598491809675044</v>
      </c>
      <c r="R40" s="16">
        <f>IF((1.75-(($A40+5)/($A40+10))*1.25*(INDEX('Stat Boosts'!$D$2:$D$192,R$1-9)-10)/((INDEX('Stat Boosts'!$D$2:$D$192,(N40/2+22)-9)-10)))&lt;0.5,POWER(1.1,1.75-(($A40+5)/($A40+10))*1.25*(INDEX('Stat Boosts'!$D$2:$D$192,R$1-9)-10)/((INDEX('Stat Boosts'!$D$2:$D$192,(N40/2+22)-9)-10))-0.5)*0.5,(1.75-(($A40+5)/($A40+10))*1.25*(INDEX('Stat Boosts'!$D$2:$D$192,R$1-9)-10)/((INDEX('Stat Boosts'!$D$2:$D$192,(N40/2+22)-9)-10))))</f>
        <v>0.30592068961532065</v>
      </c>
    </row>
    <row r="41" spans="1:18">
      <c r="A41" s="9">
        <v>40</v>
      </c>
      <c r="B41" s="16">
        <f t="shared" si="0"/>
        <v>38</v>
      </c>
      <c r="C41" s="16">
        <f t="shared" si="1"/>
        <v>1.4285714285714287E-2</v>
      </c>
      <c r="E41" s="16">
        <f>IF((1.75-(($A41+5)/($A41+10))*(INDEX('Stat Boosts'!$D$2:$D$192,E$1-9)-10)/((INDEX('Stat Boosts'!$D$2:$D$192,(A41/2+22)-9)-10)))&lt;0.5,POWER(1.1,1.75-(($A41+5)/($A41+10))*(INDEX('Stat Boosts'!$D$2:$D$192,E$1-9)-10)/((INDEX('Stat Boosts'!$D$2:$D$192,(A41/2+22)-9)-10))-0.5)*0.5,(1.75-(($A41+5)/($A41+10))*(INDEX('Stat Boosts'!$D$2:$D$192,E$1-9)-10)/((INDEX('Stat Boosts'!$D$2:$D$192,(A41/2+22)-9)-10))))</f>
        <v>1.75</v>
      </c>
      <c r="F41" s="16">
        <f>IF((1.75-(($A41+5)/($A41+10))*(INDEX('Stat Boosts'!$D$2:$D$192,F$1-9)-10)/((INDEX('Stat Boosts'!$D$2:$D$192,(B41/2+22)-9)-10)))&lt;0.5,POWER(1.1,1.75-(($A41+5)/($A41+10))*(INDEX('Stat Boosts'!$D$2:$D$192,F$1-9)-10)/((INDEX('Stat Boosts'!$D$2:$D$192,(B41/2+22)-9)-10))-0.5)*0.5,(1.75-(($A41+5)/($A41+10))*(INDEX('Stat Boosts'!$D$2:$D$192,F$1-9)-10)/((INDEX('Stat Boosts'!$D$2:$D$192,(B41/2+22)-9)-10))))</f>
        <v>1.5963414634146342</v>
      </c>
      <c r="G41" s="16">
        <f>IF((1.75-(($A41+5)/($A41+10))*(INDEX('Stat Boosts'!$D$2:$D$192,G$1-9)-10)/((INDEX('Stat Boosts'!$D$2:$D$192,(C41/2+22)-9)-10)))&lt;0.5,POWER(1.1,1.75-(($A41+5)/($A41+10))*(INDEX('Stat Boosts'!$D$2:$D$192,G$1-9)-10)/((INDEX('Stat Boosts'!$D$2:$D$192,(C41/2+22)-9)-10))-0.5)*0.5,(1.75-(($A41+5)/($A41+10))*(INDEX('Stat Boosts'!$D$2:$D$192,G$1-9)-10)/((INDEX('Stat Boosts'!$D$2:$D$192,(C41/2+22)-9)-10))))</f>
        <v>1.0088235294117647</v>
      </c>
      <c r="H41" s="16">
        <f>IF((1.75-(($A41+5)/($A41+10))*(INDEX('Stat Boosts'!$D$2:$D$192,H$1-9)-10)/((INDEX('Stat Boosts'!$D$2:$D$192,(D41/2+22)-9)-10)))&lt;0.5,POWER(1.1,1.75-(($A41+5)/($A41+10))*(INDEX('Stat Boosts'!$D$2:$D$192,H$1-9)-10)/((INDEX('Stat Boosts'!$D$2:$D$192,(D41/2+22)-9)-10))-0.5)*0.5,(1.75-(($A41+5)/($A41+10))*(INDEX('Stat Boosts'!$D$2:$D$192,H$1-9)-10)/((INDEX('Stat Boosts'!$D$2:$D$192,(D41/2+22)-9)-10))))</f>
        <v>0.63823529411764701</v>
      </c>
      <c r="I41" s="16">
        <f>IF((1.75-(($A41+5)/($A41+10))*(INDEX('Stat Boosts'!$D$2:$D$192,I$1-9)-10)/((INDEX('Stat Boosts'!$D$2:$D$192,(E41/2+22)-9)-10)))&lt;0.5,POWER(1.1,1.75-(($A41+5)/($A41+10))*(INDEX('Stat Boosts'!$D$2:$D$192,I$1-9)-10)/((INDEX('Stat Boosts'!$D$2:$D$192,(E41/2+22)-9)-10))-0.5)*0.5,(1.75-(($A41+5)/($A41+10))*(INDEX('Stat Boosts'!$D$2:$D$192,I$1-9)-10)/((INDEX('Stat Boosts'!$D$2:$D$192,(E41/2+22)-9)-10))))</f>
        <v>0.4915228018439245</v>
      </c>
      <c r="J41" s="16">
        <f>IF((1.75-(($A41+5)/($A41+10))*(INDEX('Stat Boosts'!$D$2:$D$192,J$1-9)-10)/((INDEX('Stat Boosts'!$D$2:$D$192,(F41/2+22)-9)-10)))&lt;0.5,POWER(1.1,1.75-(($A41+5)/($A41+10))*(INDEX('Stat Boosts'!$D$2:$D$192,J$1-9)-10)/((INDEX('Stat Boosts'!$D$2:$D$192,(F41/2+22)-9)-10))-0.5)*0.5,(1.75-(($A41+5)/($A41+10))*(INDEX('Stat Boosts'!$D$2:$D$192,J$1-9)-10)/((INDEX('Stat Boosts'!$D$2:$D$192,(F41/2+22)-9)-10))))</f>
        <v>0.47686495260689771</v>
      </c>
      <c r="K41" s="16">
        <f>IF((1.75-(($A41+5)/($A41+10))*(INDEX('Stat Boosts'!$D$2:$D$192,K$1-9)-10)/((INDEX('Stat Boosts'!$D$2:$D$192,(G41/2+22)-9)-10)))&lt;0.5,POWER(1.1,1.75-(($A41+5)/($A41+10))*(INDEX('Stat Boosts'!$D$2:$D$192,K$1-9)-10)/((INDEX('Stat Boosts'!$D$2:$D$192,(G41/2+22)-9)-10))-0.5)*0.5,(1.75-(($A41+5)/($A41+10))*(INDEX('Stat Boosts'!$D$2:$D$192,K$1-9)-10)/((INDEX('Stat Boosts'!$D$2:$D$192,(G41/2+22)-9)-10))))</f>
        <v>0.4443407263857625</v>
      </c>
      <c r="L41" s="16">
        <f>IF((1.75-(($A41+5)/($A41+10))*(INDEX('Stat Boosts'!$D$2:$D$192,L$1-9)-10)/((INDEX('Stat Boosts'!$D$2:$D$192,(H41/2+22)-9)-10)))&lt;0.5,POWER(1.1,1.75-(($A41+5)/($A41+10))*(INDEX('Stat Boosts'!$D$2:$D$192,L$1-9)-10)/((INDEX('Stat Boosts'!$D$2:$D$192,(H41/2+22)-9)-10))-0.5)*0.5,(1.75-(($A41+5)/($A41+10))*(INDEX('Stat Boosts'!$D$2:$D$192,L$1-9)-10)/((INDEX('Stat Boosts'!$D$2:$D$192,(H41/2+22)-9)-10))))</f>
        <v>0.43327061281908369</v>
      </c>
      <c r="M41" s="16">
        <f>IF((1.75-(($A41+5)/($A41+10))*(INDEX('Stat Boosts'!$D$2:$D$192,M$1-9)-10)/((INDEX('Stat Boosts'!$D$2:$D$192,(I41/2+22)-9)-10)))&lt;0.5,POWER(1.1,1.75-(($A41+5)/($A41+10))*(INDEX('Stat Boosts'!$D$2:$D$192,M$1-9)-10)/((INDEX('Stat Boosts'!$D$2:$D$192,(I41/2+22)-9)-10))-0.5)*0.5,(1.75-(($A41+5)/($A41+10))*(INDEX('Stat Boosts'!$D$2:$D$192,M$1-9)-10)/((INDEX('Stat Boosts'!$D$2:$D$192,(I41/2+22)-9)-10))))</f>
        <v>0.41823424626269134</v>
      </c>
      <c r="N41" s="16">
        <f>IF((1.75-(($A41+5)/($A41+10))*(INDEX('Stat Boosts'!$D$2:$D$192,N$1-9)-10)/((INDEX('Stat Boosts'!$D$2:$D$192,(J41/2+22)-9)-10)))&lt;0.5,POWER(1.1,1.75-(($A41+5)/($A41+10))*(INDEX('Stat Boosts'!$D$2:$D$192,N$1-9)-10)/((INDEX('Stat Boosts'!$D$2:$D$192,(J41/2+22)-9)-10))-0.5)*0.5,(1.75-(($A41+5)/($A41+10))*(INDEX('Stat Boosts'!$D$2:$D$192,N$1-9)-10)/((INDEX('Stat Boosts'!$D$2:$D$192,(J41/2+22)-9)-10))))</f>
        <v>0.39966599103977962</v>
      </c>
      <c r="O41" s="16">
        <f>IF((1.75-(($A41+5)/($A41+10))*(INDEX('Stat Boosts'!$D$2:$D$192,O$1-9)-10)/((INDEX('Stat Boosts'!$D$2:$D$192,(K41/2+22)-9)-10)))&lt;0.5,POWER(1.1,1.75-(($A41+5)/($A41+10))*(INDEX('Stat Boosts'!$D$2:$D$192,O$1-9)-10)/((INDEX('Stat Boosts'!$D$2:$D$192,(K41/2+22)-9)-10))-0.5)*0.5,(1.75-(($A41+5)/($A41+10))*(INDEX('Stat Boosts'!$D$2:$D$192,O$1-9)-10)/((INDEX('Stat Boosts'!$D$2:$D$192,(K41/2+22)-9)-10))))</f>
        <v>0.38970888459685477</v>
      </c>
      <c r="P41" s="16">
        <f>IF((1.75-(($A41+5)/($A41+10))*(INDEX('Stat Boosts'!$D$2:$D$192,P$1-9)-10)/((INDEX('Stat Boosts'!$D$2:$D$192,(L41/2+22)-9)-10)))&lt;0.5,POWER(1.1,1.75-(($A41+5)/($A41+10))*(INDEX('Stat Boosts'!$D$2:$D$192,P$1-9)-10)/((INDEX('Stat Boosts'!$D$2:$D$192,(L41/2+22)-9)-10))-0.5)*0.5,(1.75-(($A41+5)/($A41+10))*(INDEX('Stat Boosts'!$D$2:$D$192,P$1-9)-10)/((INDEX('Stat Boosts'!$D$2:$D$192,(L41/2+22)-9)-10))))</f>
        <v>0.37429091635138884</v>
      </c>
      <c r="Q41" s="16">
        <f>IF((1.75-(($A41+5)/($A41+10))*(INDEX('Stat Boosts'!$D$2:$D$192,Q$1-9)-10)/((INDEX('Stat Boosts'!$D$2:$D$192,(M41/2+22)-9)-10)))&lt;0.5,POWER(1.1,1.75-(($A41+5)/($A41+10))*(INDEX('Stat Boosts'!$D$2:$D$192,Q$1-9)-10)/((INDEX('Stat Boosts'!$D$2:$D$192,(M41/2+22)-9)-10))-0.5)*0.5,(1.75-(($A41+5)/($A41+10))*(INDEX('Stat Boosts'!$D$2:$D$192,Q$1-9)-10)/((INDEX('Stat Boosts'!$D$2:$D$192,(M41/2+22)-9)-10))))</f>
        <v>0.3594829258462664</v>
      </c>
      <c r="R41" s="16">
        <f>IF((1.75-(($A41+5)/($A41+10))*1.25*(INDEX('Stat Boosts'!$D$2:$D$192,R$1-9)-10)/((INDEX('Stat Boosts'!$D$2:$D$192,(N41/2+22)-9)-10)))&lt;0.5,POWER(1.1,1.75-(($A41+5)/($A41+10))*1.25*(INDEX('Stat Boosts'!$D$2:$D$192,R$1-9)-10)/((INDEX('Stat Boosts'!$D$2:$D$192,(N41/2+22)-9)-10))-0.5)*0.5,(1.75-(($A41+5)/($A41+10))*1.25*(INDEX('Stat Boosts'!$D$2:$D$192,R$1-9)-10)/((INDEX('Stat Boosts'!$D$2:$D$192,(N41/2+22)-9)-10))))</f>
        <v>0.30549657458201884</v>
      </c>
    </row>
    <row r="42" spans="1:18">
      <c r="A42" s="9">
        <v>41</v>
      </c>
      <c r="B42" s="16">
        <f t="shared" si="0"/>
        <v>38.4</v>
      </c>
      <c r="C42" s="16">
        <f t="shared" si="1"/>
        <v>1.4084507042253523E-2</v>
      </c>
      <c r="E42" s="16">
        <f>IF((1.75-(($A42+5)/($A42+10))*(INDEX('Stat Boosts'!$D$2:$D$192,E$1-9)-10)/((INDEX('Stat Boosts'!$D$2:$D$192,(A42/2+22)-9)-10)))&lt;0.5,POWER(1.1,1.75-(($A42+5)/($A42+10))*(INDEX('Stat Boosts'!$D$2:$D$192,E$1-9)-10)/((INDEX('Stat Boosts'!$D$2:$D$192,(A42/2+22)-9)-10))-0.5)*0.5,(1.75-(($A42+5)/($A42+10))*(INDEX('Stat Boosts'!$D$2:$D$192,E$1-9)-10)/((INDEX('Stat Boosts'!$D$2:$D$192,(A42/2+22)-9)-10))))</f>
        <v>1.75</v>
      </c>
      <c r="F42" s="16">
        <f>IF((1.75-(($A42+5)/($A42+10))*(INDEX('Stat Boosts'!$D$2:$D$192,F$1-9)-10)/((INDEX('Stat Boosts'!$D$2:$D$192,(B42/2+22)-9)-10)))&lt;0.5,POWER(1.1,1.75-(($A42+5)/($A42+10))*(INDEX('Stat Boosts'!$D$2:$D$192,F$1-9)-10)/((INDEX('Stat Boosts'!$D$2:$D$192,(B42/2+22)-9)-10))-0.5)*0.5,(1.75-(($A42+5)/($A42+10))*(INDEX('Stat Boosts'!$D$2:$D$192,F$1-9)-10)/((INDEX('Stat Boosts'!$D$2:$D$192,(B42/2+22)-9)-10))))</f>
        <v>1.5960066953610712</v>
      </c>
      <c r="G42" s="16">
        <f>IF((1.75-(($A42+5)/($A42+10))*(INDEX('Stat Boosts'!$D$2:$D$192,G$1-9)-10)/((INDEX('Stat Boosts'!$D$2:$D$192,(C42/2+22)-9)-10)))&lt;0.5,POWER(1.1,1.75-(($A42+5)/($A42+10))*(INDEX('Stat Boosts'!$D$2:$D$192,G$1-9)-10)/((INDEX('Stat Boosts'!$D$2:$D$192,(C42/2+22)-9)-10))-0.5)*0.5,(1.75-(($A42+5)/($A42+10))*(INDEX('Stat Boosts'!$D$2:$D$192,G$1-9)-10)/((INDEX('Stat Boosts'!$D$2:$D$192,(C42/2+22)-9)-10))))</f>
        <v>1.0072087658592848</v>
      </c>
      <c r="H42" s="16">
        <f>IF((1.75-(($A42+5)/($A42+10))*(INDEX('Stat Boosts'!$D$2:$D$192,H$1-9)-10)/((INDEX('Stat Boosts'!$D$2:$D$192,(D42/2+22)-9)-10)))&lt;0.5,POWER(1.1,1.75-(($A42+5)/($A42+10))*(INDEX('Stat Boosts'!$D$2:$D$192,H$1-9)-10)/((INDEX('Stat Boosts'!$D$2:$D$192,(D42/2+22)-9)-10))-0.5)*0.5,(1.75-(($A42+5)/($A42+10))*(INDEX('Stat Boosts'!$D$2:$D$192,H$1-9)-10)/((INDEX('Stat Boosts'!$D$2:$D$192,(D42/2+22)-9)-10))))</f>
        <v>0.63581314878892736</v>
      </c>
      <c r="I42" s="16">
        <f>IF((1.75-(($A42+5)/($A42+10))*(INDEX('Stat Boosts'!$D$2:$D$192,I$1-9)-10)/((INDEX('Stat Boosts'!$D$2:$D$192,(E42/2+22)-9)-10)))&lt;0.5,POWER(1.1,1.75-(($A42+5)/($A42+10))*(INDEX('Stat Boosts'!$D$2:$D$192,I$1-9)-10)/((INDEX('Stat Boosts'!$D$2:$D$192,(E42/2+22)-9)-10))-0.5)*0.5,(1.75-(($A42+5)/($A42+10))*(INDEX('Stat Boosts'!$D$2:$D$192,I$1-9)-10)/((INDEX('Stat Boosts'!$D$2:$D$192,(E42/2+22)-9)-10))))</f>
        <v>0.49137693278722094</v>
      </c>
      <c r="J42" s="16">
        <f>IF((1.75-(($A42+5)/($A42+10))*(INDEX('Stat Boosts'!$D$2:$D$192,J$1-9)-10)/((INDEX('Stat Boosts'!$D$2:$D$192,(F42/2+22)-9)-10)))&lt;0.5,POWER(1.1,1.75-(($A42+5)/($A42+10))*(INDEX('Stat Boosts'!$D$2:$D$192,J$1-9)-10)/((INDEX('Stat Boosts'!$D$2:$D$192,(F42/2+22)-9)-10))-0.5)*0.5,(1.75-(($A42+5)/($A42+10))*(INDEX('Stat Boosts'!$D$2:$D$192,J$1-9)-10)/((INDEX('Stat Boosts'!$D$2:$D$192,(F42/2+22)-9)-10))))</f>
        <v>0.47669199058097483</v>
      </c>
      <c r="K42" s="16">
        <f>IF((1.75-(($A42+5)/($A42+10))*(INDEX('Stat Boosts'!$D$2:$D$192,K$1-9)-10)/((INDEX('Stat Boosts'!$D$2:$D$192,(G42/2+22)-9)-10)))&lt;0.5,POWER(1.1,1.75-(($A42+5)/($A42+10))*(INDEX('Stat Boosts'!$D$2:$D$192,K$1-9)-10)/((INDEX('Stat Boosts'!$D$2:$D$192,(G42/2+22)-9)-10))-0.5)*0.5,(1.75-(($A42+5)/($A42+10))*(INDEX('Stat Boosts'!$D$2:$D$192,K$1-9)-10)/((INDEX('Stat Boosts'!$D$2:$D$192,(G42/2+22)-9)-10))))</f>
        <v>0.44411120562217193</v>
      </c>
      <c r="L42" s="16">
        <f>IF((1.75-(($A42+5)/($A42+10))*(INDEX('Stat Boosts'!$D$2:$D$192,L$1-9)-10)/((INDEX('Stat Boosts'!$D$2:$D$192,(H42/2+22)-9)-10)))&lt;0.5,POWER(1.1,1.75-(($A42+5)/($A42+10))*(INDEX('Stat Boosts'!$D$2:$D$192,L$1-9)-10)/((INDEX('Stat Boosts'!$D$2:$D$192,(H42/2+22)-9)-10))-0.5)*0.5,(1.75-(($A42+5)/($A42+10))*(INDEX('Stat Boosts'!$D$2:$D$192,L$1-9)-10)/((INDEX('Stat Boosts'!$D$2:$D$192,(H42/2+22)-9)-10))))</f>
        <v>0.43302300825598911</v>
      </c>
      <c r="M42" s="16">
        <f>IF((1.75-(($A42+5)/($A42+10))*(INDEX('Stat Boosts'!$D$2:$D$192,M$1-9)-10)/((INDEX('Stat Boosts'!$D$2:$D$192,(I42/2+22)-9)-10)))&lt;0.5,POWER(1.1,1.75-(($A42+5)/($A42+10))*(INDEX('Stat Boosts'!$D$2:$D$192,M$1-9)-10)/((INDEX('Stat Boosts'!$D$2:$D$192,(I42/2+22)-9)-10))-0.5)*0.5,(1.75-(($A42+5)/($A42+10))*(INDEX('Stat Boosts'!$D$2:$D$192,M$1-9)-10)/((INDEX('Stat Boosts'!$D$2:$D$192,(I42/2+22)-9)-10))))</f>
        <v>0.41796307044291164</v>
      </c>
      <c r="N42" s="16">
        <f>IF((1.75-(($A42+5)/($A42+10))*(INDEX('Stat Boosts'!$D$2:$D$192,N$1-9)-10)/((INDEX('Stat Boosts'!$D$2:$D$192,(J42/2+22)-9)-10)))&lt;0.5,POWER(1.1,1.75-(($A42+5)/($A42+10))*(INDEX('Stat Boosts'!$D$2:$D$192,N$1-9)-10)/((INDEX('Stat Boosts'!$D$2:$D$192,(J42/2+22)-9)-10))-0.5)*0.5,(1.75-(($A42+5)/($A42+10))*(INDEX('Stat Boosts'!$D$2:$D$192,N$1-9)-10)/((INDEX('Stat Boosts'!$D$2:$D$192,(J42/2+22)-9)-10))))</f>
        <v>0.39936734003229812</v>
      </c>
      <c r="O42" s="16">
        <f>IF((1.75-(($A42+5)/($A42+10))*(INDEX('Stat Boosts'!$D$2:$D$192,O$1-9)-10)/((INDEX('Stat Boosts'!$D$2:$D$192,(K42/2+22)-9)-10)))&lt;0.5,POWER(1.1,1.75-(($A42+5)/($A42+10))*(INDEX('Stat Boosts'!$D$2:$D$192,O$1-9)-10)/((INDEX('Stat Boosts'!$D$2:$D$192,(K42/2+22)-9)-10))-0.5)*0.5,(1.75-(($A42+5)/($A42+10))*(INDEX('Stat Boosts'!$D$2:$D$192,O$1-9)-10)/((INDEX('Stat Boosts'!$D$2:$D$192,(K42/2+22)-9)-10))))</f>
        <v>0.38939627010245514</v>
      </c>
      <c r="P42" s="16">
        <f>IF((1.75-(($A42+5)/($A42+10))*(INDEX('Stat Boosts'!$D$2:$D$192,P$1-9)-10)/((INDEX('Stat Boosts'!$D$2:$D$192,(L42/2+22)-9)-10)))&lt;0.5,POWER(1.1,1.75-(($A42+5)/($A42+10))*(INDEX('Stat Boosts'!$D$2:$D$192,P$1-9)-10)/((INDEX('Stat Boosts'!$D$2:$D$192,(L42/2+22)-9)-10))-0.5)*0.5,(1.75-(($A42+5)/($A42+10))*(INDEX('Stat Boosts'!$D$2:$D$192,P$1-9)-10)/((INDEX('Stat Boosts'!$D$2:$D$192,(L42/2+22)-9)-10))))</f>
        <v>0.37395778066717511</v>
      </c>
      <c r="Q42" s="16">
        <f>IF((1.75-(($A42+5)/($A42+10))*(INDEX('Stat Boosts'!$D$2:$D$192,Q$1-9)-10)/((INDEX('Stat Boosts'!$D$2:$D$192,(M42/2+22)-9)-10)))&lt;0.5,POWER(1.1,1.75-(($A42+5)/($A42+10))*(INDEX('Stat Boosts'!$D$2:$D$192,Q$1-9)-10)/((INDEX('Stat Boosts'!$D$2:$D$192,(M42/2+22)-9)-10))-0.5)*0.5,(1.75-(($A42+5)/($A42+10))*(INDEX('Stat Boosts'!$D$2:$D$192,Q$1-9)-10)/((INDEX('Stat Boosts'!$D$2:$D$192,(M42/2+22)-9)-10))))</f>
        <v>0.35913138480942353</v>
      </c>
      <c r="R42" s="16">
        <f>IF((1.75-(($A42+5)/($A42+10))*1.25*(INDEX('Stat Boosts'!$D$2:$D$192,R$1-9)-10)/((INDEX('Stat Boosts'!$D$2:$D$192,(N42/2+22)-9)-10)))&lt;0.5,POWER(1.1,1.75-(($A42+5)/($A42+10))*1.25*(INDEX('Stat Boosts'!$D$2:$D$192,R$1-9)-10)/((INDEX('Stat Boosts'!$D$2:$D$192,(N42/2+22)-9)-10))-0.5)*0.5,(1.75-(($A42+5)/($A42+10))*1.25*(INDEX('Stat Boosts'!$D$2:$D$192,R$1-9)-10)/((INDEX('Stat Boosts'!$D$2:$D$192,(N42/2+22)-9)-10))))</f>
        <v>0.30508964536071737</v>
      </c>
    </row>
    <row r="43" spans="1:18">
      <c r="A43" s="9">
        <v>42</v>
      </c>
      <c r="B43" s="16">
        <f t="shared" si="0"/>
        <v>38.799999999999997</v>
      </c>
      <c r="C43" s="16">
        <f t="shared" si="1"/>
        <v>1.3888888888888892E-2</v>
      </c>
      <c r="E43" s="16">
        <f>IF((1.75-(($A43+5)/($A43+10))*(INDEX('Stat Boosts'!$D$2:$D$192,E$1-9)-10)/((INDEX('Stat Boosts'!$D$2:$D$192,(A43/2+22)-9)-10)))&lt;0.5,POWER(1.1,1.75-(($A43+5)/($A43+10))*(INDEX('Stat Boosts'!$D$2:$D$192,E$1-9)-10)/((INDEX('Stat Boosts'!$D$2:$D$192,(A43/2+22)-9)-10))-0.5)*0.5,(1.75-(($A43+5)/($A43+10))*(INDEX('Stat Boosts'!$D$2:$D$192,E$1-9)-10)/((INDEX('Stat Boosts'!$D$2:$D$192,(A43/2+22)-9)-10))))</f>
        <v>1.75</v>
      </c>
      <c r="F43" s="16">
        <f>IF((1.75-(($A43+5)/($A43+10))*(INDEX('Stat Boosts'!$D$2:$D$192,F$1-9)-10)/((INDEX('Stat Boosts'!$D$2:$D$192,(B43/2+22)-9)-10)))&lt;0.5,POWER(1.1,1.75-(($A43+5)/($A43+10))*(INDEX('Stat Boosts'!$D$2:$D$192,F$1-9)-10)/((INDEX('Stat Boosts'!$D$2:$D$192,(B43/2+22)-9)-10))-0.5)*0.5,(1.75-(($A43+5)/($A43+10))*(INDEX('Stat Boosts'!$D$2:$D$192,F$1-9)-10)/((INDEX('Stat Boosts'!$D$2:$D$192,(B43/2+22)-9)-10))))</f>
        <v>1.5956848030018762</v>
      </c>
      <c r="G43" s="16">
        <f>IF((1.75-(($A43+5)/($A43+10))*(INDEX('Stat Boosts'!$D$2:$D$192,G$1-9)-10)/((INDEX('Stat Boosts'!$D$2:$D$192,(C43/2+22)-9)-10)))&lt;0.5,POWER(1.1,1.75-(($A43+5)/($A43+10))*(INDEX('Stat Boosts'!$D$2:$D$192,G$1-9)-10)/((INDEX('Stat Boosts'!$D$2:$D$192,(C43/2+22)-9)-10))-0.5)*0.5,(1.75-(($A43+5)/($A43+10))*(INDEX('Stat Boosts'!$D$2:$D$192,G$1-9)-10)/((INDEX('Stat Boosts'!$D$2:$D$192,(C43/2+22)-9)-10))))</f>
        <v>1.005656108597285</v>
      </c>
      <c r="H43" s="16">
        <f>IF((1.75-(($A43+5)/($A43+10))*(INDEX('Stat Boosts'!$D$2:$D$192,H$1-9)-10)/((INDEX('Stat Boosts'!$D$2:$D$192,(D43/2+22)-9)-10)))&lt;0.5,POWER(1.1,1.75-(($A43+5)/($A43+10))*(INDEX('Stat Boosts'!$D$2:$D$192,H$1-9)-10)/((INDEX('Stat Boosts'!$D$2:$D$192,(D43/2+22)-9)-10))-0.5)*0.5,(1.75-(($A43+5)/($A43+10))*(INDEX('Stat Boosts'!$D$2:$D$192,H$1-9)-10)/((INDEX('Stat Boosts'!$D$2:$D$192,(D43/2+22)-9)-10))))</f>
        <v>0.63348416289592757</v>
      </c>
      <c r="I43" s="16">
        <f>IF((1.75-(($A43+5)/($A43+10))*(INDEX('Stat Boosts'!$D$2:$D$192,I$1-9)-10)/((INDEX('Stat Boosts'!$D$2:$D$192,(E43/2+22)-9)-10)))&lt;0.5,POWER(1.1,1.75-(($A43+5)/($A43+10))*(INDEX('Stat Boosts'!$D$2:$D$192,I$1-9)-10)/((INDEX('Stat Boosts'!$D$2:$D$192,(E43/2+22)-9)-10))-0.5)*0.5,(1.75-(($A43+5)/($A43+10))*(INDEX('Stat Boosts'!$D$2:$D$192,I$1-9)-10)/((INDEX('Stat Boosts'!$D$2:$D$192,(E43/2+22)-9)-10))))</f>
        <v>0.49123671490306559</v>
      </c>
      <c r="J43" s="16">
        <f>IF((1.75-(($A43+5)/($A43+10))*(INDEX('Stat Boosts'!$D$2:$D$192,J$1-9)-10)/((INDEX('Stat Boosts'!$D$2:$D$192,(F43/2+22)-9)-10)))&lt;0.5,POWER(1.1,1.75-(($A43+5)/($A43+10))*(INDEX('Stat Boosts'!$D$2:$D$192,J$1-9)-10)/((INDEX('Stat Boosts'!$D$2:$D$192,(F43/2+22)-9)-10))-0.5)*0.5,(1.75-(($A43+5)/($A43+10))*(INDEX('Stat Boosts'!$D$2:$D$192,J$1-9)-10)/((INDEX('Stat Boosts'!$D$2:$D$192,(F43/2+22)-9)-10))))</f>
        <v>0.47652574010249932</v>
      </c>
      <c r="K43" s="16">
        <f>IF((1.75-(($A43+5)/($A43+10))*(INDEX('Stat Boosts'!$D$2:$D$192,K$1-9)-10)/((INDEX('Stat Boosts'!$D$2:$D$192,(G43/2+22)-9)-10)))&lt;0.5,POWER(1.1,1.75-(($A43+5)/($A43+10))*(INDEX('Stat Boosts'!$D$2:$D$192,K$1-9)-10)/((INDEX('Stat Boosts'!$D$2:$D$192,(G43/2+22)-9)-10))-0.5)*0.5,(1.75-(($A43+5)/($A43+10))*(INDEX('Stat Boosts'!$D$2:$D$192,K$1-9)-10)/((INDEX('Stat Boosts'!$D$2:$D$192,(G43/2+22)-9)-10))))</f>
        <v>0.44389062438602594</v>
      </c>
      <c r="L43" s="16">
        <f>IF((1.75-(($A43+5)/($A43+10))*(INDEX('Stat Boosts'!$D$2:$D$192,L$1-9)-10)/((INDEX('Stat Boosts'!$D$2:$D$192,(H43/2+22)-9)-10)))&lt;0.5,POWER(1.1,1.75-(($A43+5)/($A43+10))*(INDEX('Stat Boosts'!$D$2:$D$192,L$1-9)-10)/((INDEX('Stat Boosts'!$D$2:$D$192,(H43/2+22)-9)-10))-0.5)*0.5,(1.75-(($A43+5)/($A43+10))*(INDEX('Stat Boosts'!$D$2:$D$192,L$1-9)-10)/((INDEX('Stat Boosts'!$D$2:$D$192,(H43/2+22)-9)-10))))</f>
        <v>0.43278506038799347</v>
      </c>
      <c r="M43" s="16">
        <f>IF((1.75-(($A43+5)/($A43+10))*(INDEX('Stat Boosts'!$D$2:$D$192,M$1-9)-10)/((INDEX('Stat Boosts'!$D$2:$D$192,(I43/2+22)-9)-10)))&lt;0.5,POWER(1.1,1.75-(($A43+5)/($A43+10))*(INDEX('Stat Boosts'!$D$2:$D$192,M$1-9)-10)/((INDEX('Stat Boosts'!$D$2:$D$192,(I43/2+22)-9)-10))-0.5)*0.5,(1.75-(($A43+5)/($A43+10))*(INDEX('Stat Boosts'!$D$2:$D$192,M$1-9)-10)/((INDEX('Stat Boosts'!$D$2:$D$192,(I43/2+22)-9)-10))))</f>
        <v>0.41770249027568235</v>
      </c>
      <c r="N43" s="16">
        <f>IF((1.75-(($A43+5)/($A43+10))*(INDEX('Stat Boosts'!$D$2:$D$192,N$1-9)-10)/((INDEX('Stat Boosts'!$D$2:$D$192,(J43/2+22)-9)-10)))&lt;0.5,POWER(1.1,1.75-(($A43+5)/($A43+10))*(INDEX('Stat Boosts'!$D$2:$D$192,N$1-9)-10)/((INDEX('Stat Boosts'!$D$2:$D$192,(J43/2+22)-9)-10))-0.5)*0.5,(1.75-(($A43+5)/($A43+10))*(INDEX('Stat Boosts'!$D$2:$D$192,N$1-9)-10)/((INDEX('Stat Boosts'!$D$2:$D$192,(J43/2+22)-9)-10))))</f>
        <v>0.39908038606147628</v>
      </c>
      <c r="O43" s="16">
        <f>IF((1.75-(($A43+5)/($A43+10))*(INDEX('Stat Boosts'!$D$2:$D$192,O$1-9)-10)/((INDEX('Stat Boosts'!$D$2:$D$192,(K43/2+22)-9)-10)))&lt;0.5,POWER(1.1,1.75-(($A43+5)/($A43+10))*(INDEX('Stat Boosts'!$D$2:$D$192,O$1-9)-10)/((INDEX('Stat Boosts'!$D$2:$D$192,(K43/2+22)-9)-10))-0.5)*0.5,(1.75-(($A43+5)/($A43+10))*(INDEX('Stat Boosts'!$D$2:$D$192,O$1-9)-10)/((INDEX('Stat Boosts'!$D$2:$D$192,(K43/2+22)-9)-10))))</f>
        <v>0.3890959157341396</v>
      </c>
      <c r="P43" s="16">
        <f>IF((1.75-(($A43+5)/($A43+10))*(INDEX('Stat Boosts'!$D$2:$D$192,P$1-9)-10)/((INDEX('Stat Boosts'!$D$2:$D$192,(L43/2+22)-9)-10)))&lt;0.5,POWER(1.1,1.75-(($A43+5)/($A43+10))*(INDEX('Stat Boosts'!$D$2:$D$192,P$1-9)-10)/((INDEX('Stat Boosts'!$D$2:$D$192,(L43/2+22)-9)-10))-0.5)*0.5,(1.75-(($A43+5)/($A43+10))*(INDEX('Stat Boosts'!$D$2:$D$192,P$1-9)-10)/((INDEX('Stat Boosts'!$D$2:$D$192,(L43/2+22)-9)-10))))</f>
        <v>0.37363773751597962</v>
      </c>
      <c r="Q43" s="16">
        <f>IF((1.75-(($A43+5)/($A43+10))*(INDEX('Stat Boosts'!$D$2:$D$192,Q$1-9)-10)/((INDEX('Stat Boosts'!$D$2:$D$192,(M43/2+22)-9)-10)))&lt;0.5,POWER(1.1,1.75-(($A43+5)/($A43+10))*(INDEX('Stat Boosts'!$D$2:$D$192,Q$1-9)-10)/((INDEX('Stat Boosts'!$D$2:$D$192,(M43/2+22)-9)-10))-0.5)*0.5,(1.75-(($A43+5)/($A43+10))*(INDEX('Stat Boosts'!$D$2:$D$192,Q$1-9)-10)/((INDEX('Stat Boosts'!$D$2:$D$192,(M43/2+22)-9)-10))))</f>
        <v>0.35879368878148071</v>
      </c>
      <c r="R43" s="16">
        <f>IF((1.75-(($A43+5)/($A43+10))*1.25*(INDEX('Stat Boosts'!$D$2:$D$192,R$1-9)-10)/((INDEX('Stat Boosts'!$D$2:$D$192,(N43/2+22)-9)-10)))&lt;0.5,POWER(1.1,1.75-(($A43+5)/($A43+10))*1.25*(INDEX('Stat Boosts'!$D$2:$D$192,R$1-9)-10)/((INDEX('Stat Boosts'!$D$2:$D$192,(N43/2+22)-9)-10))-0.5)*0.5,(1.75-(($A43+5)/($A43+10))*1.25*(INDEX('Stat Boosts'!$D$2:$D$192,R$1-9)-10)/((INDEX('Stat Boosts'!$D$2:$D$192,(N43/2+22)-9)-10))))</f>
        <v>0.30469887844150922</v>
      </c>
    </row>
    <row r="44" spans="1:18">
      <c r="A44" s="9">
        <v>43</v>
      </c>
      <c r="B44" s="16">
        <f t="shared" si="0"/>
        <v>39.200000000000003</v>
      </c>
      <c r="C44" s="16">
        <f t="shared" si="1"/>
        <v>1.3698630136986301E-2</v>
      </c>
      <c r="E44" s="16">
        <f>IF((1.75-(($A44+5)/($A44+10))*(INDEX('Stat Boosts'!$D$2:$D$192,E$1-9)-10)/((INDEX('Stat Boosts'!$D$2:$D$192,(A44/2+22)-9)-10)))&lt;0.5,POWER(1.1,1.75-(($A44+5)/($A44+10))*(INDEX('Stat Boosts'!$D$2:$D$192,E$1-9)-10)/((INDEX('Stat Boosts'!$D$2:$D$192,(A44/2+22)-9)-10))-0.5)*0.5,(1.75-(($A44+5)/($A44+10))*(INDEX('Stat Boosts'!$D$2:$D$192,E$1-9)-10)/((INDEX('Stat Boosts'!$D$2:$D$192,(A44/2+22)-9)-10))))</f>
        <v>1.75</v>
      </c>
      <c r="F44" s="16">
        <f>IF((1.75-(($A44+5)/($A44+10))*(INDEX('Stat Boosts'!$D$2:$D$192,F$1-9)-10)/((INDEX('Stat Boosts'!$D$2:$D$192,(B44/2+22)-9)-10)))&lt;0.5,POWER(1.1,1.75-(($A44+5)/($A44+10))*(INDEX('Stat Boosts'!$D$2:$D$192,F$1-9)-10)/((INDEX('Stat Boosts'!$D$2:$D$192,(B44/2+22)-9)-10))-0.5)*0.5,(1.75-(($A44+5)/($A44+10))*(INDEX('Stat Boosts'!$D$2:$D$192,F$1-9)-10)/((INDEX('Stat Boosts'!$D$2:$D$192,(B44/2+22)-9)-10))))</f>
        <v>1.5953750575241601</v>
      </c>
      <c r="G44" s="16">
        <f>IF((1.75-(($A44+5)/($A44+10))*(INDEX('Stat Boosts'!$D$2:$D$192,G$1-9)-10)/((INDEX('Stat Boosts'!$D$2:$D$192,(C44/2+22)-9)-10)))&lt;0.5,POWER(1.1,1.75-(($A44+5)/($A44+10))*(INDEX('Stat Boosts'!$D$2:$D$192,G$1-9)-10)/((INDEX('Stat Boosts'!$D$2:$D$192,(C44/2+22)-9)-10))-0.5)*0.5,(1.75-(($A44+5)/($A44+10))*(INDEX('Stat Boosts'!$D$2:$D$192,G$1-9)-10)/((INDEX('Stat Boosts'!$D$2:$D$192,(C44/2+22)-9)-10))))</f>
        <v>1.0041620421753605</v>
      </c>
      <c r="H44" s="16">
        <f>IF((1.75-(($A44+5)/($A44+10))*(INDEX('Stat Boosts'!$D$2:$D$192,H$1-9)-10)/((INDEX('Stat Boosts'!$D$2:$D$192,(D44/2+22)-9)-10)))&lt;0.5,POWER(1.1,1.75-(($A44+5)/($A44+10))*(INDEX('Stat Boosts'!$D$2:$D$192,H$1-9)-10)/((INDEX('Stat Boosts'!$D$2:$D$192,(D44/2+22)-9)-10))-0.5)*0.5,(1.75-(($A44+5)/($A44+10))*(INDEX('Stat Boosts'!$D$2:$D$192,H$1-9)-10)/((INDEX('Stat Boosts'!$D$2:$D$192,(D44/2+22)-9)-10))))</f>
        <v>0.63124306326304103</v>
      </c>
      <c r="I44" s="16">
        <f>IF((1.75-(($A44+5)/($A44+10))*(INDEX('Stat Boosts'!$D$2:$D$192,I$1-9)-10)/((INDEX('Stat Boosts'!$D$2:$D$192,(E44/2+22)-9)-10)))&lt;0.5,POWER(1.1,1.75-(($A44+5)/($A44+10))*(INDEX('Stat Boosts'!$D$2:$D$192,I$1-9)-10)/((INDEX('Stat Boosts'!$D$2:$D$192,(E44/2+22)-9)-10))-0.5)*0.5,(1.75-(($A44+5)/($A44+10))*(INDEX('Stat Boosts'!$D$2:$D$192,I$1-9)-10)/((INDEX('Stat Boosts'!$D$2:$D$192,(E44/2+22)-9)-10))))</f>
        <v>0.49110182603577157</v>
      </c>
      <c r="J44" s="16">
        <f>IF((1.75-(($A44+5)/($A44+10))*(INDEX('Stat Boosts'!$D$2:$D$192,J$1-9)-10)/((INDEX('Stat Boosts'!$D$2:$D$192,(F44/2+22)-9)-10)))&lt;0.5,POWER(1.1,1.75-(($A44+5)/($A44+10))*(INDEX('Stat Boosts'!$D$2:$D$192,J$1-9)-10)/((INDEX('Stat Boosts'!$D$2:$D$192,(F44/2+22)-9)-10))-0.5)*0.5,(1.75-(($A44+5)/($A44+10))*(INDEX('Stat Boosts'!$D$2:$D$192,J$1-9)-10)/((INDEX('Stat Boosts'!$D$2:$D$192,(F44/2+22)-9)-10))))</f>
        <v>0.47636581796784794</v>
      </c>
      <c r="K44" s="16">
        <f>IF((1.75-(($A44+5)/($A44+10))*(INDEX('Stat Boosts'!$D$2:$D$192,K$1-9)-10)/((INDEX('Stat Boosts'!$D$2:$D$192,(G44/2+22)-9)-10)))&lt;0.5,POWER(1.1,1.75-(($A44+5)/($A44+10))*(INDEX('Stat Boosts'!$D$2:$D$192,K$1-9)-10)/((INDEX('Stat Boosts'!$D$2:$D$192,(G44/2+22)-9)-10))-0.5)*0.5,(1.75-(($A44+5)/($A44+10))*(INDEX('Stat Boosts'!$D$2:$D$192,K$1-9)-10)/((INDEX('Stat Boosts'!$D$2:$D$192,(G44/2+22)-9)-10))))</f>
        <v>0.44367847040567787</v>
      </c>
      <c r="L44" s="16">
        <f>IF((1.75-(($A44+5)/($A44+10))*(INDEX('Stat Boosts'!$D$2:$D$192,L$1-9)-10)/((INDEX('Stat Boosts'!$D$2:$D$192,(H44/2+22)-9)-10)))&lt;0.5,POWER(1.1,1.75-(($A44+5)/($A44+10))*(INDEX('Stat Boosts'!$D$2:$D$192,L$1-9)-10)/((INDEX('Stat Boosts'!$D$2:$D$192,(H44/2+22)-9)-10))-0.5)*0.5,(1.75-(($A44+5)/($A44+10))*(INDEX('Stat Boosts'!$D$2:$D$192,L$1-9)-10)/((INDEX('Stat Boosts'!$D$2:$D$192,(H44/2+22)-9)-10))))</f>
        <v>0.43255621513094816</v>
      </c>
      <c r="M44" s="16">
        <f>IF((1.75-(($A44+5)/($A44+10))*(INDEX('Stat Boosts'!$D$2:$D$192,M$1-9)-10)/((INDEX('Stat Boosts'!$D$2:$D$192,(I44/2+22)-9)-10)))&lt;0.5,POWER(1.1,1.75-(($A44+5)/($A44+10))*(INDEX('Stat Boosts'!$D$2:$D$192,M$1-9)-10)/((INDEX('Stat Boosts'!$D$2:$D$192,(I44/2+22)-9)-10))-0.5)*0.5,(1.75-(($A44+5)/($A44+10))*(INDEX('Stat Boosts'!$D$2:$D$192,M$1-9)-10)/((INDEX('Stat Boosts'!$D$2:$D$192,(I44/2+22)-9)-10))))</f>
        <v>0.41745189670275551</v>
      </c>
      <c r="N44" s="16">
        <f>IF((1.75-(($A44+5)/($A44+10))*(INDEX('Stat Boosts'!$D$2:$D$192,N$1-9)-10)/((INDEX('Stat Boosts'!$D$2:$D$192,(J44/2+22)-9)-10)))&lt;0.5,POWER(1.1,1.75-(($A44+5)/($A44+10))*(INDEX('Stat Boosts'!$D$2:$D$192,N$1-9)-10)/((INDEX('Stat Boosts'!$D$2:$D$192,(J44/2+22)-9)-10))-0.5)*0.5,(1.75-(($A44+5)/($A44+10))*(INDEX('Stat Boosts'!$D$2:$D$192,N$1-9)-10)/((INDEX('Stat Boosts'!$D$2:$D$192,(J44/2+22)-9)-10))))</f>
        <v>0.39880445520279556</v>
      </c>
      <c r="O44" s="16">
        <f>IF((1.75-(($A44+5)/($A44+10))*(INDEX('Stat Boosts'!$D$2:$D$192,O$1-9)-10)/((INDEX('Stat Boosts'!$D$2:$D$192,(K44/2+22)-9)-10)))&lt;0.5,POWER(1.1,1.75-(($A44+5)/($A44+10))*(INDEX('Stat Boosts'!$D$2:$D$192,O$1-9)-10)/((INDEX('Stat Boosts'!$D$2:$D$192,(K44/2+22)-9)-10))-0.5)*0.5,(1.75-(($A44+5)/($A44+10))*(INDEX('Stat Boosts'!$D$2:$D$192,O$1-9)-10)/((INDEX('Stat Boosts'!$D$2:$D$192,(K44/2+22)-9)-10))))</f>
        <v>0.38880711421978764</v>
      </c>
      <c r="P44" s="16">
        <f>IF((1.75-(($A44+5)/($A44+10))*(INDEX('Stat Boosts'!$D$2:$D$192,P$1-9)-10)/((INDEX('Stat Boosts'!$D$2:$D$192,(L44/2+22)-9)-10)))&lt;0.5,POWER(1.1,1.75-(($A44+5)/($A44+10))*(INDEX('Stat Boosts'!$D$2:$D$192,P$1-9)-10)/((INDEX('Stat Boosts'!$D$2:$D$192,(L44/2+22)-9)-10))-0.5)*0.5,(1.75-(($A44+5)/($A44+10))*(INDEX('Stat Boosts'!$D$2:$D$192,P$1-9)-10)/((INDEX('Stat Boosts'!$D$2:$D$192,(L44/2+22)-9)-10))))</f>
        <v>0.37333003006032678</v>
      </c>
      <c r="Q44" s="16">
        <f>IF((1.75-(($A44+5)/($A44+10))*(INDEX('Stat Boosts'!$D$2:$D$192,Q$1-9)-10)/((INDEX('Stat Boosts'!$D$2:$D$192,(M44/2+22)-9)-10)))&lt;0.5,POWER(1.1,1.75-(($A44+5)/($A44+10))*(INDEX('Stat Boosts'!$D$2:$D$192,Q$1-9)-10)/((INDEX('Stat Boosts'!$D$2:$D$192,(M44/2+22)-9)-10))-0.5)*0.5,(1.75-(($A44+5)/($A44+10))*(INDEX('Stat Boosts'!$D$2:$D$192,Q$1-9)-10)/((INDEX('Stat Boosts'!$D$2:$D$192,(M44/2+22)-9)-10))))</f>
        <v>0.35846903579561934</v>
      </c>
      <c r="R44" s="16">
        <f>IF((1.75-(($A44+5)/($A44+10))*1.25*(INDEX('Stat Boosts'!$D$2:$D$192,R$1-9)-10)/((INDEX('Stat Boosts'!$D$2:$D$192,(N44/2+22)-9)-10)))&lt;0.5,POWER(1.1,1.75-(($A44+5)/($A44+10))*1.25*(INDEX('Stat Boosts'!$D$2:$D$192,R$1-9)-10)/((INDEX('Stat Boosts'!$D$2:$D$192,(N44/2+22)-9)-10))-0.5)*0.5,(1.75-(($A44+5)/($A44+10))*1.25*(INDEX('Stat Boosts'!$D$2:$D$192,R$1-9)-10)/((INDEX('Stat Boosts'!$D$2:$D$192,(N44/2+22)-9)-10))))</f>
        <v>0.30432332998194894</v>
      </c>
    </row>
    <row r="45" spans="1:18">
      <c r="A45" s="9">
        <v>44</v>
      </c>
      <c r="B45" s="16">
        <f t="shared" si="0"/>
        <v>39.6</v>
      </c>
      <c r="C45" s="16">
        <f t="shared" si="1"/>
        <v>1.3513513513513514E-2</v>
      </c>
      <c r="E45" s="16">
        <f>IF((1.75-(($A45+5)/($A45+10))*(INDEX('Stat Boosts'!$D$2:$D$192,E$1-9)-10)/((INDEX('Stat Boosts'!$D$2:$D$192,(A45/2+22)-9)-10)))&lt;0.5,POWER(1.1,1.75-(($A45+5)/($A45+10))*(INDEX('Stat Boosts'!$D$2:$D$192,E$1-9)-10)/((INDEX('Stat Boosts'!$D$2:$D$192,(A45/2+22)-9)-10))-0.5)*0.5,(1.75-(($A45+5)/($A45+10))*(INDEX('Stat Boosts'!$D$2:$D$192,E$1-9)-10)/((INDEX('Stat Boosts'!$D$2:$D$192,(A45/2+22)-9)-10))))</f>
        <v>1.75</v>
      </c>
      <c r="F45" s="16">
        <f>IF((1.75-(($A45+5)/($A45+10))*(INDEX('Stat Boosts'!$D$2:$D$192,F$1-9)-10)/((INDEX('Stat Boosts'!$D$2:$D$192,(B45/2+22)-9)-10)))&lt;0.5,POWER(1.1,1.75-(($A45+5)/($A45+10))*(INDEX('Stat Boosts'!$D$2:$D$192,F$1-9)-10)/((INDEX('Stat Boosts'!$D$2:$D$192,(B45/2+22)-9)-10))-0.5)*0.5,(1.75-(($A45+5)/($A45+10))*(INDEX('Stat Boosts'!$D$2:$D$192,F$1-9)-10)/((INDEX('Stat Boosts'!$D$2:$D$192,(B45/2+22)-9)-10))))</f>
        <v>1.5950767841011744</v>
      </c>
      <c r="G45" s="16">
        <f>IF((1.75-(($A45+5)/($A45+10))*(INDEX('Stat Boosts'!$D$2:$D$192,G$1-9)-10)/((INDEX('Stat Boosts'!$D$2:$D$192,(C45/2+22)-9)-10)))&lt;0.5,POWER(1.1,1.75-(($A45+5)/($A45+10))*(INDEX('Stat Boosts'!$D$2:$D$192,G$1-9)-10)/((INDEX('Stat Boosts'!$D$2:$D$192,(C45/2+22)-9)-10))-0.5)*0.5,(1.75-(($A45+5)/($A45+10))*(INDEX('Stat Boosts'!$D$2:$D$192,G$1-9)-10)/((INDEX('Stat Boosts'!$D$2:$D$192,(C45/2+22)-9)-10))))</f>
        <v>1.0027233115468408</v>
      </c>
      <c r="H45" s="16">
        <f>IF((1.75-(($A45+5)/($A45+10))*(INDEX('Stat Boosts'!$D$2:$D$192,H$1-9)-10)/((INDEX('Stat Boosts'!$D$2:$D$192,(D45/2+22)-9)-10)))&lt;0.5,POWER(1.1,1.75-(($A45+5)/($A45+10))*(INDEX('Stat Boosts'!$D$2:$D$192,H$1-9)-10)/((INDEX('Stat Boosts'!$D$2:$D$192,(D45/2+22)-9)-10))-0.5)*0.5,(1.75-(($A45+5)/($A45+10))*(INDEX('Stat Boosts'!$D$2:$D$192,H$1-9)-10)/((INDEX('Stat Boosts'!$D$2:$D$192,(D45/2+22)-9)-10))))</f>
        <v>0.62908496732026142</v>
      </c>
      <c r="I45" s="16">
        <f>IF((1.75-(($A45+5)/($A45+10))*(INDEX('Stat Boosts'!$D$2:$D$192,I$1-9)-10)/((INDEX('Stat Boosts'!$D$2:$D$192,(E45/2+22)-9)-10)))&lt;0.5,POWER(1.1,1.75-(($A45+5)/($A45+10))*(INDEX('Stat Boosts'!$D$2:$D$192,I$1-9)-10)/((INDEX('Stat Boosts'!$D$2:$D$192,(E45/2+22)-9)-10))-0.5)*0.5,(1.75-(($A45+5)/($A45+10))*(INDEX('Stat Boosts'!$D$2:$D$192,I$1-9)-10)/((INDEX('Stat Boosts'!$D$2:$D$192,(E45/2+22)-9)-10))))</f>
        <v>0.49097196805942478</v>
      </c>
      <c r="J45" s="16">
        <f>IF((1.75-(($A45+5)/($A45+10))*(INDEX('Stat Boosts'!$D$2:$D$192,J$1-9)-10)/((INDEX('Stat Boosts'!$D$2:$D$192,(F45/2+22)-9)-10)))&lt;0.5,POWER(1.1,1.75-(($A45+5)/($A45+10))*(INDEX('Stat Boosts'!$D$2:$D$192,J$1-9)-10)/((INDEX('Stat Boosts'!$D$2:$D$192,(F45/2+22)-9)-10))-0.5)*0.5,(1.75-(($A45+5)/($A45+10))*(INDEX('Stat Boosts'!$D$2:$D$192,J$1-9)-10)/((INDEX('Stat Boosts'!$D$2:$D$192,(F45/2+22)-9)-10))))</f>
        <v>0.47621186960048106</v>
      </c>
      <c r="K45" s="16">
        <f>IF((1.75-(($A45+5)/($A45+10))*(INDEX('Stat Boosts'!$D$2:$D$192,K$1-9)-10)/((INDEX('Stat Boosts'!$D$2:$D$192,(G45/2+22)-9)-10)))&lt;0.5,POWER(1.1,1.75-(($A45+5)/($A45+10))*(INDEX('Stat Boosts'!$D$2:$D$192,K$1-9)-10)/((INDEX('Stat Boosts'!$D$2:$D$192,(G45/2+22)-9)-10))-0.5)*0.5,(1.75-(($A45+5)/($A45+10))*(INDEX('Stat Boosts'!$D$2:$D$192,K$1-9)-10)/((INDEX('Stat Boosts'!$D$2:$D$192,(G45/2+22)-9)-10))))</f>
        <v>0.44347426981438642</v>
      </c>
      <c r="L45" s="16">
        <f>IF((1.75-(($A45+5)/($A45+10))*(INDEX('Stat Boosts'!$D$2:$D$192,L$1-9)-10)/((INDEX('Stat Boosts'!$D$2:$D$192,(H45/2+22)-9)-10)))&lt;0.5,POWER(1.1,1.75-(($A45+5)/($A45+10))*(INDEX('Stat Boosts'!$D$2:$D$192,L$1-9)-10)/((INDEX('Stat Boosts'!$D$2:$D$192,(H45/2+22)-9)-10))-0.5)*0.5,(1.75-(($A45+5)/($A45+10))*(INDEX('Stat Boosts'!$D$2:$D$192,L$1-9)-10)/((INDEX('Stat Boosts'!$D$2:$D$192,(H45/2+22)-9)-10))))</f>
        <v>0.43233595999257829</v>
      </c>
      <c r="M45" s="16">
        <f>IF((1.75-(($A45+5)/($A45+10))*(INDEX('Stat Boosts'!$D$2:$D$192,M$1-9)-10)/((INDEX('Stat Boosts'!$D$2:$D$192,(I45/2+22)-9)-10)))&lt;0.5,POWER(1.1,1.75-(($A45+5)/($A45+10))*(INDEX('Stat Boosts'!$D$2:$D$192,M$1-9)-10)/((INDEX('Stat Boosts'!$D$2:$D$192,(I45/2+22)-9)-10))-0.5)*0.5,(1.75-(($A45+5)/($A45+10))*(INDEX('Stat Boosts'!$D$2:$D$192,M$1-9)-10)/((INDEX('Stat Boosts'!$D$2:$D$192,(I45/2+22)-9)-10))))</f>
        <v>0.41721072646464086</v>
      </c>
      <c r="N45" s="16">
        <f>IF((1.75-(($A45+5)/($A45+10))*(INDEX('Stat Boosts'!$D$2:$D$192,N$1-9)-10)/((INDEX('Stat Boosts'!$D$2:$D$192,(J45/2+22)-9)-10)))&lt;0.5,POWER(1.1,1.75-(($A45+5)/($A45+10))*(INDEX('Stat Boosts'!$D$2:$D$192,N$1-9)-10)/((INDEX('Stat Boosts'!$D$2:$D$192,(J45/2+22)-9)-10))-0.5)*0.5,(1.75-(($A45+5)/($A45+10))*(INDEX('Stat Boosts'!$D$2:$D$192,N$1-9)-10)/((INDEX('Stat Boosts'!$D$2:$D$192,(J45/2+22)-9)-10))))</f>
        <v>0.39853892432208637</v>
      </c>
      <c r="O45" s="16">
        <f>IF((1.75-(($A45+5)/($A45+10))*(INDEX('Stat Boosts'!$D$2:$D$192,O$1-9)-10)/((INDEX('Stat Boosts'!$D$2:$D$192,(K45/2+22)-9)-10)))&lt;0.5,POWER(1.1,1.75-(($A45+5)/($A45+10))*(INDEX('Stat Boosts'!$D$2:$D$192,O$1-9)-10)/((INDEX('Stat Boosts'!$D$2:$D$192,(K45/2+22)-9)-10))-0.5)*0.5,(1.75-(($A45+5)/($A45+10))*(INDEX('Stat Boosts'!$D$2:$D$192,O$1-9)-10)/((INDEX('Stat Boosts'!$D$2:$D$192,(K45/2+22)-9)-10))))</f>
        <v>0.38852921165711607</v>
      </c>
      <c r="P45" s="16">
        <f>IF((1.75-(($A45+5)/($A45+10))*(INDEX('Stat Boosts'!$D$2:$D$192,P$1-9)-10)/((INDEX('Stat Boosts'!$D$2:$D$192,(L45/2+22)-9)-10)))&lt;0.5,POWER(1.1,1.75-(($A45+5)/($A45+10))*(INDEX('Stat Boosts'!$D$2:$D$192,P$1-9)-10)/((INDEX('Stat Boosts'!$D$2:$D$192,(L45/2+22)-9)-10))-0.5)*0.5,(1.75-(($A45+5)/($A45+10))*(INDEX('Stat Boosts'!$D$2:$D$192,P$1-9)-10)/((INDEX('Stat Boosts'!$D$2:$D$192,(L45/2+22)-9)-10))))</f>
        <v>0.37303395868587241</v>
      </c>
      <c r="Q45" s="16">
        <f>IF((1.75-(($A45+5)/($A45+10))*(INDEX('Stat Boosts'!$D$2:$D$192,Q$1-9)-10)/((INDEX('Stat Boosts'!$D$2:$D$192,(M45/2+22)-9)-10)))&lt;0.5,POWER(1.1,1.75-(($A45+5)/($A45+10))*(INDEX('Stat Boosts'!$D$2:$D$192,Q$1-9)-10)/((INDEX('Stat Boosts'!$D$2:$D$192,(M45/2+22)-9)-10))-0.5)*0.5,(1.75-(($A45+5)/($A45+10))*(INDEX('Stat Boosts'!$D$2:$D$192,Q$1-9)-10)/((INDEX('Stat Boosts'!$D$2:$D$192,(M45/2+22)-9)-10))))</f>
        <v>0.35815668463986516</v>
      </c>
      <c r="R45" s="16">
        <f>IF((1.75-(($A45+5)/($A45+10))*1.25*(INDEX('Stat Boosts'!$D$2:$D$192,R$1-9)-10)/((INDEX('Stat Boosts'!$D$2:$D$192,(N45/2+22)-9)-10)))&lt;0.5,POWER(1.1,1.75-(($A45+5)/($A45+10))*1.25*(INDEX('Stat Boosts'!$D$2:$D$192,R$1-9)-10)/((INDEX('Stat Boosts'!$D$2:$D$192,(N45/2+22)-9)-10))-0.5)*0.5,(1.75-(($A45+5)/($A45+10))*1.25*(INDEX('Stat Boosts'!$D$2:$D$192,R$1-9)-10)/((INDEX('Stat Boosts'!$D$2:$D$192,(N45/2+22)-9)-10))))</f>
        <v>0.30396212820581819</v>
      </c>
    </row>
    <row r="46" spans="1:18">
      <c r="A46" s="9">
        <v>45</v>
      </c>
      <c r="B46" s="16">
        <f t="shared" si="0"/>
        <v>40</v>
      </c>
      <c r="C46" s="16">
        <f t="shared" si="1"/>
        <v>1.3333333333333334E-2</v>
      </c>
      <c r="E46" s="16">
        <f>IF((1.75-(($A46+5)/($A46+10))*(INDEX('Stat Boosts'!$D$2:$D$192,E$1-9)-10)/((INDEX('Stat Boosts'!$D$2:$D$192,(A46/2+22)-9)-10)))&lt;0.5,POWER(1.1,1.75-(($A46+5)/($A46+10))*(INDEX('Stat Boosts'!$D$2:$D$192,E$1-9)-10)/((INDEX('Stat Boosts'!$D$2:$D$192,(A46/2+22)-9)-10))-0.5)*0.5,(1.75-(($A46+5)/($A46+10))*(INDEX('Stat Boosts'!$D$2:$D$192,E$1-9)-10)/((INDEX('Stat Boosts'!$D$2:$D$192,(A46/2+22)-9)-10))))</f>
        <v>1.75</v>
      </c>
      <c r="F46" s="16">
        <f>IF((1.75-(($A46+5)/($A46+10))*(INDEX('Stat Boosts'!$D$2:$D$192,F$1-9)-10)/((INDEX('Stat Boosts'!$D$2:$D$192,(B46/2+22)-9)-10)))&lt;0.5,POWER(1.1,1.75-(($A46+5)/($A46+10))*(INDEX('Stat Boosts'!$D$2:$D$192,F$1-9)-10)/((INDEX('Stat Boosts'!$D$2:$D$192,(B46/2+22)-9)-10))-0.5)*0.5,(1.75-(($A46+5)/($A46+10))*(INDEX('Stat Boosts'!$D$2:$D$192,F$1-9)-10)/((INDEX('Stat Boosts'!$D$2:$D$192,(B46/2+22)-9)-10))))</f>
        <v>1.5984848484848484</v>
      </c>
      <c r="G46" s="16">
        <f>IF((1.75-(($A46+5)/($A46+10))*(INDEX('Stat Boosts'!$D$2:$D$192,G$1-9)-10)/((INDEX('Stat Boosts'!$D$2:$D$192,(C46/2+22)-9)-10)))&lt;0.5,POWER(1.1,1.75-(($A46+5)/($A46+10))*(INDEX('Stat Boosts'!$D$2:$D$192,G$1-9)-10)/((INDEX('Stat Boosts'!$D$2:$D$192,(C46/2+22)-9)-10))-0.5)*0.5,(1.75-(($A46+5)/($A46+10))*(INDEX('Stat Boosts'!$D$2:$D$192,G$1-9)-10)/((INDEX('Stat Boosts'!$D$2:$D$192,(C46/2+22)-9)-10))))</f>
        <v>1.001336898395722</v>
      </c>
      <c r="H46" s="16">
        <f>IF((1.75-(($A46+5)/($A46+10))*(INDEX('Stat Boosts'!$D$2:$D$192,H$1-9)-10)/((INDEX('Stat Boosts'!$D$2:$D$192,(D46/2+22)-9)-10)))&lt;0.5,POWER(1.1,1.75-(($A46+5)/($A46+10))*(INDEX('Stat Boosts'!$D$2:$D$192,H$1-9)-10)/((INDEX('Stat Boosts'!$D$2:$D$192,(D46/2+22)-9)-10))-0.5)*0.5,(1.75-(($A46+5)/($A46+10))*(INDEX('Stat Boosts'!$D$2:$D$192,H$1-9)-10)/((INDEX('Stat Boosts'!$D$2:$D$192,(D46/2+22)-9)-10))))</f>
        <v>0.62700534759358284</v>
      </c>
      <c r="I46" s="16">
        <f>IF((1.75-(($A46+5)/($A46+10))*(INDEX('Stat Boosts'!$D$2:$D$192,I$1-9)-10)/((INDEX('Stat Boosts'!$D$2:$D$192,(E46/2+22)-9)-10)))&lt;0.5,POWER(1.1,1.75-(($A46+5)/($A46+10))*(INDEX('Stat Boosts'!$D$2:$D$192,I$1-9)-10)/((INDEX('Stat Boosts'!$D$2:$D$192,(E46/2+22)-9)-10))-0.5)*0.5,(1.75-(($A46+5)/($A46+10))*(INDEX('Stat Boosts'!$D$2:$D$192,I$1-9)-10)/((INDEX('Stat Boosts'!$D$2:$D$192,(E46/2+22)-9)-10))))</f>
        <v>0.49084686467843935</v>
      </c>
      <c r="J46" s="16">
        <f>IF((1.75-(($A46+5)/($A46+10))*(INDEX('Stat Boosts'!$D$2:$D$192,J$1-9)-10)/((INDEX('Stat Boosts'!$D$2:$D$192,(F46/2+22)-9)-10)))&lt;0.5,POWER(1.1,1.75-(($A46+5)/($A46+10))*(INDEX('Stat Boosts'!$D$2:$D$192,J$1-9)-10)/((INDEX('Stat Boosts'!$D$2:$D$192,(F46/2+22)-9)-10))-0.5)*0.5,(1.75-(($A46+5)/($A46+10))*(INDEX('Stat Boosts'!$D$2:$D$192,J$1-9)-10)/((INDEX('Stat Boosts'!$D$2:$D$192,(F46/2+22)-9)-10))))</f>
        <v>0.47606356642679282</v>
      </c>
      <c r="K46" s="16">
        <f>IF((1.75-(($A46+5)/($A46+10))*(INDEX('Stat Boosts'!$D$2:$D$192,K$1-9)-10)/((INDEX('Stat Boosts'!$D$2:$D$192,(G46/2+22)-9)-10)))&lt;0.5,POWER(1.1,1.75-(($A46+5)/($A46+10))*(INDEX('Stat Boosts'!$D$2:$D$192,K$1-9)-10)/((INDEX('Stat Boosts'!$D$2:$D$192,(G46/2+22)-9)-10))-0.5)*0.5,(1.75-(($A46+5)/($A46+10))*(INDEX('Stat Boosts'!$D$2:$D$192,K$1-9)-10)/((INDEX('Stat Boosts'!$D$2:$D$192,(G46/2+22)-9)-10))))</f>
        <v>0.44327758361767899</v>
      </c>
      <c r="L46" s="16">
        <f>IF((1.75-(($A46+5)/($A46+10))*(INDEX('Stat Boosts'!$D$2:$D$192,L$1-9)-10)/((INDEX('Stat Boosts'!$D$2:$D$192,(H46/2+22)-9)-10)))&lt;0.5,POWER(1.1,1.75-(($A46+5)/($A46+10))*(INDEX('Stat Boosts'!$D$2:$D$192,L$1-9)-10)/((INDEX('Stat Boosts'!$D$2:$D$192,(H46/2+22)-9)-10))-0.5)*0.5,(1.75-(($A46+5)/($A46+10))*(INDEX('Stat Boosts'!$D$2:$D$192,L$1-9)-10)/((INDEX('Stat Boosts'!$D$2:$D$192,(H46/2+22)-9)-10))))</f>
        <v>0.43212382024200596</v>
      </c>
      <c r="M46" s="16">
        <f>IF((1.75-(($A46+5)/($A46+10))*(INDEX('Stat Boosts'!$D$2:$D$192,M$1-9)-10)/((INDEX('Stat Boosts'!$D$2:$D$192,(I46/2+22)-9)-10)))&lt;0.5,POWER(1.1,1.75-(($A46+5)/($A46+10))*(INDEX('Stat Boosts'!$D$2:$D$192,M$1-9)-10)/((INDEX('Stat Boosts'!$D$2:$D$192,(I46/2+22)-9)-10))-0.5)*0.5,(1.75-(($A46+5)/($A46+10))*(INDEX('Stat Boosts'!$D$2:$D$192,M$1-9)-10)/((INDEX('Stat Boosts'!$D$2:$D$192,(I46/2+22)-9)-10))))</f>
        <v>0.41697845787548243</v>
      </c>
      <c r="N46" s="16">
        <f>IF((1.75-(($A46+5)/($A46+10))*(INDEX('Stat Boosts'!$D$2:$D$192,N$1-9)-10)/((INDEX('Stat Boosts'!$D$2:$D$192,(J46/2+22)-9)-10)))&lt;0.5,POWER(1.1,1.75-(($A46+5)/($A46+10))*(INDEX('Stat Boosts'!$D$2:$D$192,N$1-9)-10)/((INDEX('Stat Boosts'!$D$2:$D$192,(J46/2+22)-9)-10))-0.5)*0.5,(1.75-(($A46+5)/($A46+10))*(INDEX('Stat Boosts'!$D$2:$D$192,N$1-9)-10)/((INDEX('Stat Boosts'!$D$2:$D$192,(J46/2+22)-9)-10))))</f>
        <v>0.3982832163796779</v>
      </c>
      <c r="O46" s="16">
        <f>IF((1.75-(($A46+5)/($A46+10))*(INDEX('Stat Boosts'!$D$2:$D$192,O$1-9)-10)/((INDEX('Stat Boosts'!$D$2:$D$192,(K46/2+22)-9)-10)))&lt;0.5,POWER(1.1,1.75-(($A46+5)/($A46+10))*(INDEX('Stat Boosts'!$D$2:$D$192,O$1-9)-10)/((INDEX('Stat Boosts'!$D$2:$D$192,(K46/2+22)-9)-10))-0.5)*0.5,(1.75-(($A46+5)/($A46+10))*(INDEX('Stat Boosts'!$D$2:$D$192,O$1-9)-10)/((INDEX('Stat Boosts'!$D$2:$D$192,(K46/2+22)-9)-10))))</f>
        <v>0.38826160257338982</v>
      </c>
      <c r="P46" s="16">
        <f>IF((1.75-(($A46+5)/($A46+10))*(INDEX('Stat Boosts'!$D$2:$D$192,P$1-9)-10)/((INDEX('Stat Boosts'!$D$2:$D$192,(L46/2+22)-9)-10)))&lt;0.5,POWER(1.1,1.75-(($A46+5)/($A46+10))*(INDEX('Stat Boosts'!$D$2:$D$192,P$1-9)-10)/((INDEX('Stat Boosts'!$D$2:$D$192,(L46/2+22)-9)-10))-0.5)*0.5,(1.75-(($A46+5)/($A46+10))*(INDEX('Stat Boosts'!$D$2:$D$192,P$1-9)-10)/((INDEX('Stat Boosts'!$D$2:$D$192,(L46/2+22)-9)-10))))</f>
        <v>0.37274887569425108</v>
      </c>
      <c r="Q46" s="16">
        <f>IF((1.75-(($A46+5)/($A46+10))*(INDEX('Stat Boosts'!$D$2:$D$192,Q$1-9)-10)/((INDEX('Stat Boosts'!$D$2:$D$192,(M46/2+22)-9)-10)))&lt;0.5,POWER(1.1,1.75-(($A46+5)/($A46+10))*(INDEX('Stat Boosts'!$D$2:$D$192,Q$1-9)-10)/((INDEX('Stat Boosts'!$D$2:$D$192,(M46/2+22)-9)-10))-0.5)*0.5,(1.75-(($A46+5)/($A46+10))*(INDEX('Stat Boosts'!$D$2:$D$192,Q$1-9)-10)/((INDEX('Stat Boosts'!$D$2:$D$192,(M46/2+22)-9)-10))))</f>
        <v>0.35785594921162794</v>
      </c>
      <c r="R46" s="16">
        <f>IF((1.75-(($A46+5)/($A46+10))*1.25*(INDEX('Stat Boosts'!$D$2:$D$192,R$1-9)-10)/((INDEX('Stat Boosts'!$D$2:$D$192,(N46/2+22)-9)-10)))&lt;0.5,POWER(1.1,1.75-(($A46+5)/($A46+10))*1.25*(INDEX('Stat Boosts'!$D$2:$D$192,R$1-9)-10)/((INDEX('Stat Boosts'!$D$2:$D$192,(N46/2+22)-9)-10))-0.5)*0.5,(1.75-(($A46+5)/($A46+10))*1.25*(INDEX('Stat Boosts'!$D$2:$D$192,R$1-9)-10)/((INDEX('Stat Boosts'!$D$2:$D$192,(N46/2+22)-9)-10))))</f>
        <v>0.30361446665566277</v>
      </c>
    </row>
    <row r="47" spans="1:18">
      <c r="A47" s="9">
        <v>46</v>
      </c>
      <c r="B47" s="16">
        <f t="shared" si="0"/>
        <v>40.4</v>
      </c>
      <c r="C47" s="16">
        <f t="shared" si="1"/>
        <v>1.3157894736842106E-2</v>
      </c>
      <c r="E47" s="16">
        <f>IF((1.75-(($A47+5)/($A47+10))*(INDEX('Stat Boosts'!$D$2:$D$192,E$1-9)-10)/((INDEX('Stat Boosts'!$D$2:$D$192,(A47/2+22)-9)-10)))&lt;0.5,POWER(1.1,1.75-(($A47+5)/($A47+10))*(INDEX('Stat Boosts'!$D$2:$D$192,E$1-9)-10)/((INDEX('Stat Boosts'!$D$2:$D$192,(A47/2+22)-9)-10))-0.5)*0.5,(1.75-(($A47+5)/($A47+10))*(INDEX('Stat Boosts'!$D$2:$D$192,E$1-9)-10)/((INDEX('Stat Boosts'!$D$2:$D$192,(A47/2+22)-9)-10))))</f>
        <v>1.75</v>
      </c>
      <c r="F47" s="16">
        <f>IF((1.75-(($A47+5)/($A47+10))*(INDEX('Stat Boosts'!$D$2:$D$192,F$1-9)-10)/((INDEX('Stat Boosts'!$D$2:$D$192,(B47/2+22)-9)-10)))&lt;0.5,POWER(1.1,1.75-(($A47+5)/($A47+10))*(INDEX('Stat Boosts'!$D$2:$D$192,F$1-9)-10)/((INDEX('Stat Boosts'!$D$2:$D$192,(B47/2+22)-9)-10))-0.5)*0.5,(1.75-(($A47+5)/($A47+10))*(INDEX('Stat Boosts'!$D$2:$D$192,F$1-9)-10)/((INDEX('Stat Boosts'!$D$2:$D$192,(B47/2+22)-9)-10))))</f>
        <v>1.5982142857142858</v>
      </c>
      <c r="G47" s="16">
        <f>IF((1.75-(($A47+5)/($A47+10))*(INDEX('Stat Boosts'!$D$2:$D$192,G$1-9)-10)/((INDEX('Stat Boosts'!$D$2:$D$192,(C47/2+22)-9)-10)))&lt;0.5,POWER(1.1,1.75-(($A47+5)/($A47+10))*(INDEX('Stat Boosts'!$D$2:$D$192,G$1-9)-10)/((INDEX('Stat Boosts'!$D$2:$D$192,(C47/2+22)-9)-10))-0.5)*0.5,(1.75-(($A47+5)/($A47+10))*(INDEX('Stat Boosts'!$D$2:$D$192,G$1-9)-10)/((INDEX('Stat Boosts'!$D$2:$D$192,(C47/2+22)-9)-10))))</f>
        <v>1</v>
      </c>
      <c r="H47" s="16">
        <f>IF((1.75-(($A47+5)/($A47+10))*(INDEX('Stat Boosts'!$D$2:$D$192,H$1-9)-10)/((INDEX('Stat Boosts'!$D$2:$D$192,(D47/2+22)-9)-10)))&lt;0.5,POWER(1.1,1.75-(($A47+5)/($A47+10))*(INDEX('Stat Boosts'!$D$2:$D$192,H$1-9)-10)/((INDEX('Stat Boosts'!$D$2:$D$192,(D47/2+22)-9)-10))-0.5)*0.5,(1.75-(($A47+5)/($A47+10))*(INDEX('Stat Boosts'!$D$2:$D$192,H$1-9)-10)/((INDEX('Stat Boosts'!$D$2:$D$192,(D47/2+22)-9)-10))))</f>
        <v>0.625</v>
      </c>
      <c r="I47" s="16">
        <f>IF((1.75-(($A47+5)/($A47+10))*(INDEX('Stat Boosts'!$D$2:$D$192,I$1-9)-10)/((INDEX('Stat Boosts'!$D$2:$D$192,(E47/2+22)-9)-10)))&lt;0.5,POWER(1.1,1.75-(($A47+5)/($A47+10))*(INDEX('Stat Boosts'!$D$2:$D$192,I$1-9)-10)/((INDEX('Stat Boosts'!$D$2:$D$192,(E47/2+22)-9)-10))-0.5)*0.5,(1.75-(($A47+5)/($A47+10))*(INDEX('Stat Boosts'!$D$2:$D$192,I$1-9)-10)/((INDEX('Stat Boosts'!$D$2:$D$192,(E47/2+22)-9)-10))))</f>
        <v>0.49072625946534609</v>
      </c>
      <c r="J47" s="16">
        <f>IF((1.75-(($A47+5)/($A47+10))*(INDEX('Stat Boosts'!$D$2:$D$192,J$1-9)-10)/((INDEX('Stat Boosts'!$D$2:$D$192,(F47/2+22)-9)-10)))&lt;0.5,POWER(1.1,1.75-(($A47+5)/($A47+10))*(INDEX('Stat Boosts'!$D$2:$D$192,J$1-9)-10)/((INDEX('Stat Boosts'!$D$2:$D$192,(F47/2+22)-9)-10))-0.5)*0.5,(1.75-(($A47+5)/($A47+10))*(INDEX('Stat Boosts'!$D$2:$D$192,J$1-9)-10)/((INDEX('Stat Boosts'!$D$2:$D$192,(F47/2+22)-9)-10))))</f>
        <v>0.47592060353541488</v>
      </c>
      <c r="K47" s="16">
        <f>IF((1.75-(($A47+5)/($A47+10))*(INDEX('Stat Boosts'!$D$2:$D$192,K$1-9)-10)/((INDEX('Stat Boosts'!$D$2:$D$192,(G47/2+22)-9)-10)))&lt;0.5,POWER(1.1,1.75-(($A47+5)/($A47+10))*(INDEX('Stat Boosts'!$D$2:$D$192,K$1-9)-10)/((INDEX('Stat Boosts'!$D$2:$D$192,(G47/2+22)-9)-10))-0.5)*0.5,(1.75-(($A47+5)/($A47+10))*(INDEX('Stat Boosts'!$D$2:$D$192,K$1-9)-10)/((INDEX('Stat Boosts'!$D$2:$D$192,(G47/2+22)-9)-10))))</f>
        <v>0.44308800454359026</v>
      </c>
      <c r="L47" s="16">
        <f>IF((1.75-(($A47+5)/($A47+10))*(INDEX('Stat Boosts'!$D$2:$D$192,L$1-9)-10)/((INDEX('Stat Boosts'!$D$2:$D$192,(H47/2+22)-9)-10)))&lt;0.5,POWER(1.1,1.75-(($A47+5)/($A47+10))*(INDEX('Stat Boosts'!$D$2:$D$192,L$1-9)-10)/((INDEX('Stat Boosts'!$D$2:$D$192,(H47/2+22)-9)-10))-0.5)*0.5,(1.75-(($A47+5)/($A47+10))*(INDEX('Stat Boosts'!$D$2:$D$192,L$1-9)-10)/((INDEX('Stat Boosts'!$D$2:$D$192,(H47/2+22)-9)-10))))</f>
        <v>0.43191935549492555</v>
      </c>
      <c r="M47" s="16">
        <f>IF((1.75-(($A47+5)/($A47+10))*(INDEX('Stat Boosts'!$D$2:$D$192,M$1-9)-10)/((INDEX('Stat Boosts'!$D$2:$D$192,(I47/2+22)-9)-10)))&lt;0.5,POWER(1.1,1.75-(($A47+5)/($A47+10))*(INDEX('Stat Boosts'!$D$2:$D$192,M$1-9)-10)/((INDEX('Stat Boosts'!$D$2:$D$192,(I47/2+22)-9)-10))-0.5)*0.5,(1.75-(($A47+5)/($A47+10))*(INDEX('Stat Boosts'!$D$2:$D$192,M$1-9)-10)/((INDEX('Stat Boosts'!$D$2:$D$192,(I47/2+22)-9)-10))))</f>
        <v>0.41675460705717321</v>
      </c>
      <c r="N47" s="16">
        <f>IF((1.75-(($A47+5)/($A47+10))*(INDEX('Stat Boosts'!$D$2:$D$192,N$1-9)-10)/((INDEX('Stat Boosts'!$D$2:$D$192,(J47/2+22)-9)-10)))&lt;0.5,POWER(1.1,1.75-(($A47+5)/($A47+10))*(INDEX('Stat Boosts'!$D$2:$D$192,N$1-9)-10)/((INDEX('Stat Boosts'!$D$2:$D$192,(J47/2+22)-9)-10))-0.5)*0.5,(1.75-(($A47+5)/($A47+10))*(INDEX('Stat Boosts'!$D$2:$D$192,N$1-9)-10)/((INDEX('Stat Boosts'!$D$2:$D$192,(J47/2+22)-9)-10))))</f>
        <v>0.39803679624603328</v>
      </c>
      <c r="O47" s="16">
        <f>IF((1.75-(($A47+5)/($A47+10))*(INDEX('Stat Boosts'!$D$2:$D$192,O$1-9)-10)/((INDEX('Stat Boosts'!$D$2:$D$192,(K47/2+22)-9)-10)))&lt;0.5,POWER(1.1,1.75-(($A47+5)/($A47+10))*(INDEX('Stat Boosts'!$D$2:$D$192,O$1-9)-10)/((INDEX('Stat Boosts'!$D$2:$D$192,(K47/2+22)-9)-10))-0.5)*0.5,(1.75-(($A47+5)/($A47+10))*(INDEX('Stat Boosts'!$D$2:$D$192,O$1-9)-10)/((INDEX('Stat Boosts'!$D$2:$D$192,(K47/2+22)-9)-10))))</f>
        <v>0.38800372552387269</v>
      </c>
      <c r="P47" s="16">
        <f>IF((1.75-(($A47+5)/($A47+10))*(INDEX('Stat Boosts'!$D$2:$D$192,P$1-9)-10)/((INDEX('Stat Boosts'!$D$2:$D$192,(L47/2+22)-9)-10)))&lt;0.5,POWER(1.1,1.75-(($A47+5)/($A47+10))*(INDEX('Stat Boosts'!$D$2:$D$192,P$1-9)-10)/((INDEX('Stat Boosts'!$D$2:$D$192,(L47/2+22)-9)-10))-0.5)*0.5,(1.75-(($A47+5)/($A47+10))*(INDEX('Stat Boosts'!$D$2:$D$192,P$1-9)-10)/((INDEX('Stat Boosts'!$D$2:$D$192,(L47/2+22)-9)-10))))</f>
        <v>0.37247418057574866</v>
      </c>
      <c r="Q47" s="16">
        <f>IF((1.75-(($A47+5)/($A47+10))*(INDEX('Stat Boosts'!$D$2:$D$192,Q$1-9)-10)/((INDEX('Stat Boosts'!$D$2:$D$192,(M47/2+22)-9)-10)))&lt;0.5,POWER(1.1,1.75-(($A47+5)/($A47+10))*(INDEX('Stat Boosts'!$D$2:$D$192,Q$1-9)-10)/((INDEX('Stat Boosts'!$D$2:$D$192,(M47/2+22)-9)-10))-0.5)*0.5,(1.75-(($A47+5)/($A47+10))*(INDEX('Stat Boosts'!$D$2:$D$192,Q$1-9)-10)/((INDEX('Stat Boosts'!$D$2:$D$192,(M47/2+22)-9)-10))))</f>
        <v>0.35756619349016883</v>
      </c>
      <c r="R47" s="16">
        <f>IF((1.75-(($A47+5)/($A47+10))*1.25*(INDEX('Stat Boosts'!$D$2:$D$192,R$1-9)-10)/((INDEX('Stat Boosts'!$D$2:$D$192,(N47/2+22)-9)-10)))&lt;0.5,POWER(1.1,1.75-(($A47+5)/($A47+10))*1.25*(INDEX('Stat Boosts'!$D$2:$D$192,R$1-9)-10)/((INDEX('Stat Boosts'!$D$2:$D$192,(N47/2+22)-9)-10))-0.5)*0.5,(1.75-(($A47+5)/($A47+10))*1.25*(INDEX('Stat Boosts'!$D$2:$D$192,R$1-9)-10)/((INDEX('Stat Boosts'!$D$2:$D$192,(N47/2+22)-9)-10))))</f>
        <v>0.30327959818930494</v>
      </c>
    </row>
    <row r="48" spans="1:18">
      <c r="A48" s="9">
        <v>47</v>
      </c>
      <c r="B48" s="16">
        <f t="shared" si="0"/>
        <v>40.799999999999997</v>
      </c>
      <c r="C48" s="16">
        <f t="shared" si="1"/>
        <v>1.298701298701299E-2</v>
      </c>
      <c r="E48" s="16">
        <f>IF((1.75-(($A48+5)/($A48+10))*(INDEX('Stat Boosts'!$D$2:$D$192,E$1-9)-10)/((INDEX('Stat Boosts'!$D$2:$D$192,(A48/2+22)-9)-10)))&lt;0.5,POWER(1.1,1.75-(($A48+5)/($A48+10))*(INDEX('Stat Boosts'!$D$2:$D$192,E$1-9)-10)/((INDEX('Stat Boosts'!$D$2:$D$192,(A48/2+22)-9)-10))-0.5)*0.5,(1.75-(($A48+5)/($A48+10))*(INDEX('Stat Boosts'!$D$2:$D$192,E$1-9)-10)/((INDEX('Stat Boosts'!$D$2:$D$192,(A48/2+22)-9)-10))))</f>
        <v>1.75</v>
      </c>
      <c r="F48" s="16">
        <f>IF((1.75-(($A48+5)/($A48+10))*(INDEX('Stat Boosts'!$D$2:$D$192,F$1-9)-10)/((INDEX('Stat Boosts'!$D$2:$D$192,(B48/2+22)-9)-10)))&lt;0.5,POWER(1.1,1.75-(($A48+5)/($A48+10))*(INDEX('Stat Boosts'!$D$2:$D$192,F$1-9)-10)/((INDEX('Stat Boosts'!$D$2:$D$192,(B48/2+22)-9)-10))-0.5)*0.5,(1.75-(($A48+5)/($A48+10))*(INDEX('Stat Boosts'!$D$2:$D$192,F$1-9)-10)/((INDEX('Stat Boosts'!$D$2:$D$192,(B48/2+22)-9)-10))))</f>
        <v>1.5979532163742691</v>
      </c>
      <c r="G48" s="16">
        <f>IF((1.75-(($A48+5)/($A48+10))*(INDEX('Stat Boosts'!$D$2:$D$192,G$1-9)-10)/((INDEX('Stat Boosts'!$D$2:$D$192,(C48/2+22)-9)-10)))&lt;0.5,POWER(1.1,1.75-(($A48+5)/($A48+10))*(INDEX('Stat Boosts'!$D$2:$D$192,G$1-9)-10)/((INDEX('Stat Boosts'!$D$2:$D$192,(C48/2+22)-9)-10))-0.5)*0.5,(1.75-(($A48+5)/($A48+10))*(INDEX('Stat Boosts'!$D$2:$D$192,G$1-9)-10)/((INDEX('Stat Boosts'!$D$2:$D$192,(C48/2+22)-9)-10))))</f>
        <v>0.99871001031991746</v>
      </c>
      <c r="H48" s="16">
        <f>IF((1.75-(($A48+5)/($A48+10))*(INDEX('Stat Boosts'!$D$2:$D$192,H$1-9)-10)/((INDEX('Stat Boosts'!$D$2:$D$192,(D48/2+22)-9)-10)))&lt;0.5,POWER(1.1,1.75-(($A48+5)/($A48+10))*(INDEX('Stat Boosts'!$D$2:$D$192,H$1-9)-10)/((INDEX('Stat Boosts'!$D$2:$D$192,(D48/2+22)-9)-10))-0.5)*0.5,(1.75-(($A48+5)/($A48+10))*(INDEX('Stat Boosts'!$D$2:$D$192,H$1-9)-10)/((INDEX('Stat Boosts'!$D$2:$D$192,(D48/2+22)-9)-10))))</f>
        <v>0.62306501547987625</v>
      </c>
      <c r="I48" s="16">
        <f>IF((1.75-(($A48+5)/($A48+10))*(INDEX('Stat Boosts'!$D$2:$D$192,I$1-9)-10)/((INDEX('Stat Boosts'!$D$2:$D$192,(E48/2+22)-9)-10)))&lt;0.5,POWER(1.1,1.75-(($A48+5)/($A48+10))*(INDEX('Stat Boosts'!$D$2:$D$192,I$1-9)-10)/((INDEX('Stat Boosts'!$D$2:$D$192,(E48/2+22)-9)-10))-0.5)*0.5,(1.75-(($A48+5)/($A48+10))*(INDEX('Stat Boosts'!$D$2:$D$192,I$1-9)-10)/((INDEX('Stat Boosts'!$D$2:$D$192,(E48/2+22)-9)-10))))</f>
        <v>0.49060991410648658</v>
      </c>
      <c r="J48" s="16">
        <f>IF((1.75-(($A48+5)/($A48+10))*(INDEX('Stat Boosts'!$D$2:$D$192,J$1-9)-10)/((INDEX('Stat Boosts'!$D$2:$D$192,(F48/2+22)-9)-10)))&lt;0.5,POWER(1.1,1.75-(($A48+5)/($A48+10))*(INDEX('Stat Boosts'!$D$2:$D$192,J$1-9)-10)/((INDEX('Stat Boosts'!$D$2:$D$192,(F48/2+22)-9)-10))-0.5)*0.5,(1.75-(($A48+5)/($A48+10))*(INDEX('Stat Boosts'!$D$2:$D$192,J$1-9)-10)/((INDEX('Stat Boosts'!$D$2:$D$192,(F48/2+22)-9)-10))))</f>
        <v>0.47578269758488567</v>
      </c>
      <c r="K48" s="16">
        <f>IF((1.75-(($A48+5)/($A48+10))*(INDEX('Stat Boosts'!$D$2:$D$192,K$1-9)-10)/((INDEX('Stat Boosts'!$D$2:$D$192,(G48/2+22)-9)-10)))&lt;0.5,POWER(1.1,1.75-(($A48+5)/($A48+10))*(INDEX('Stat Boosts'!$D$2:$D$192,K$1-9)-10)/((INDEX('Stat Boosts'!$D$2:$D$192,(G48/2+22)-9)-10))-0.5)*0.5,(1.75-(($A48+5)/($A48+10))*(INDEX('Stat Boosts'!$D$2:$D$192,K$1-9)-10)/((INDEX('Stat Boosts'!$D$2:$D$192,(G48/2+22)-9)-10))))</f>
        <v>0.44290515422822258</v>
      </c>
      <c r="L48" s="16">
        <f>IF((1.75-(($A48+5)/($A48+10))*(INDEX('Stat Boosts'!$D$2:$D$192,L$1-9)-10)/((INDEX('Stat Boosts'!$D$2:$D$192,(H48/2+22)-9)-10)))&lt;0.5,POWER(1.1,1.75-(($A48+5)/($A48+10))*(INDEX('Stat Boosts'!$D$2:$D$192,L$1-9)-10)/((INDEX('Stat Boosts'!$D$2:$D$192,(H48/2+22)-9)-10))-0.5)*0.5,(1.75-(($A48+5)/($A48+10))*(INDEX('Stat Boosts'!$D$2:$D$192,L$1-9)-10)/((INDEX('Stat Boosts'!$D$2:$D$192,(H48/2+22)-9)-10))))</f>
        <v>0.43172215666274649</v>
      </c>
      <c r="M48" s="16">
        <f>IF((1.75-(($A48+5)/($A48+10))*(INDEX('Stat Boosts'!$D$2:$D$192,M$1-9)-10)/((INDEX('Stat Boosts'!$D$2:$D$192,(I48/2+22)-9)-10)))&lt;0.5,POWER(1.1,1.75-(($A48+5)/($A48+10))*(INDEX('Stat Boosts'!$D$2:$D$192,M$1-9)-10)/((INDEX('Stat Boosts'!$D$2:$D$192,(I48/2+22)-9)-10))-0.5)*0.5,(1.75-(($A48+5)/($A48+10))*(INDEX('Stat Boosts'!$D$2:$D$192,M$1-9)-10)/((INDEX('Stat Boosts'!$D$2:$D$192,(I48/2+22)-9)-10))))</f>
        <v>0.41653872457551155</v>
      </c>
      <c r="N48" s="16">
        <f>IF((1.75-(($A48+5)/($A48+10))*(INDEX('Stat Boosts'!$D$2:$D$192,N$1-9)-10)/((INDEX('Stat Boosts'!$D$2:$D$192,(J48/2+22)-9)-10)))&lt;0.5,POWER(1.1,1.75-(($A48+5)/($A48+10))*(INDEX('Stat Boosts'!$D$2:$D$192,N$1-9)-10)/((INDEX('Stat Boosts'!$D$2:$D$192,(J48/2+22)-9)-10))-0.5)*0.5,(1.75-(($A48+5)/($A48+10))*(INDEX('Stat Boosts'!$D$2:$D$192,N$1-9)-10)/((INDEX('Stat Boosts'!$D$2:$D$192,(J48/2+22)-9)-10))))</f>
        <v>0.39779916696503648</v>
      </c>
      <c r="O48" s="16">
        <f>IF((1.75-(($A48+5)/($A48+10))*(INDEX('Stat Boosts'!$D$2:$D$192,O$1-9)-10)/((INDEX('Stat Boosts'!$D$2:$D$192,(K48/2+22)-9)-10)))&lt;0.5,POWER(1.1,1.75-(($A48+5)/($A48+10))*(INDEX('Stat Boosts'!$D$2:$D$192,O$1-9)-10)/((INDEX('Stat Boosts'!$D$2:$D$192,(K48/2+22)-9)-10))-0.5)*0.5,(1.75-(($A48+5)/($A48+10))*(INDEX('Stat Boosts'!$D$2:$D$192,O$1-9)-10)/((INDEX('Stat Boosts'!$D$2:$D$192,(K48/2+22)-9)-10))))</f>
        <v>0.38775505916170727</v>
      </c>
      <c r="P48" s="16">
        <f>IF((1.75-(($A48+5)/($A48+10))*(INDEX('Stat Boosts'!$D$2:$D$192,P$1-9)-10)/((INDEX('Stat Boosts'!$D$2:$D$192,(L48/2+22)-9)-10)))&lt;0.5,POWER(1.1,1.75-(($A48+5)/($A48+10))*(INDEX('Stat Boosts'!$D$2:$D$192,P$1-9)-10)/((INDEX('Stat Boosts'!$D$2:$D$192,(L48/2+22)-9)-10))-0.5)*0.5,(1.75-(($A48+5)/($A48+10))*(INDEX('Stat Boosts'!$D$2:$D$192,P$1-9)-10)/((INDEX('Stat Boosts'!$D$2:$D$192,(L48/2+22)-9)-10))))</f>
        <v>0.37220931578922456</v>
      </c>
      <c r="Q48" s="16">
        <f>IF((1.75-(($A48+5)/($A48+10))*(INDEX('Stat Boosts'!$D$2:$D$192,Q$1-9)-10)/((INDEX('Stat Boosts'!$D$2:$D$192,(M48/2+22)-9)-10)))&lt;0.5,POWER(1.1,1.75-(($A48+5)/($A48+10))*(INDEX('Stat Boosts'!$D$2:$D$192,Q$1-9)-10)/((INDEX('Stat Boosts'!$D$2:$D$192,(M48/2+22)-9)-10))-0.5)*0.5,(1.75-(($A48+5)/($A48+10))*(INDEX('Stat Boosts'!$D$2:$D$192,Q$1-9)-10)/((INDEX('Stat Boosts'!$D$2:$D$192,(M48/2+22)-9)-10))))</f>
        <v>0.35728682704951326</v>
      </c>
      <c r="R48" s="16">
        <f>IF((1.75-(($A48+5)/($A48+10))*1.25*(INDEX('Stat Boosts'!$D$2:$D$192,R$1-9)-10)/((INDEX('Stat Boosts'!$D$2:$D$192,(N48/2+22)-9)-10)))&lt;0.5,POWER(1.1,1.75-(($A48+5)/($A48+10))*1.25*(INDEX('Stat Boosts'!$D$2:$D$192,R$1-9)-10)/((INDEX('Stat Boosts'!$D$2:$D$192,(N48/2+22)-9)-10))-0.5)*0.5,(1.75-(($A48+5)/($A48+10))*1.25*(INDEX('Stat Boosts'!$D$2:$D$192,R$1-9)-10)/((INDEX('Stat Boosts'!$D$2:$D$192,(N48/2+22)-9)-10))))</f>
        <v>0.30295682962638176</v>
      </c>
    </row>
    <row r="49" spans="1:18">
      <c r="A49" s="9">
        <v>48</v>
      </c>
      <c r="B49" s="16">
        <f t="shared" si="0"/>
        <v>41.2</v>
      </c>
      <c r="C49" s="16">
        <f t="shared" si="1"/>
        <v>1.282051282051282E-2</v>
      </c>
      <c r="E49" s="16">
        <f>IF((1.75-(($A49+5)/($A49+10))*(INDEX('Stat Boosts'!$D$2:$D$192,E$1-9)-10)/((INDEX('Stat Boosts'!$D$2:$D$192,(A49/2+22)-9)-10)))&lt;0.5,POWER(1.1,1.75-(($A49+5)/($A49+10))*(INDEX('Stat Boosts'!$D$2:$D$192,E$1-9)-10)/((INDEX('Stat Boosts'!$D$2:$D$192,(A49/2+22)-9)-10))-0.5)*0.5,(1.75-(($A49+5)/($A49+10))*(INDEX('Stat Boosts'!$D$2:$D$192,E$1-9)-10)/((INDEX('Stat Boosts'!$D$2:$D$192,(A49/2+22)-9)-10))))</f>
        <v>1.75</v>
      </c>
      <c r="F49" s="16">
        <f>IF((1.75-(($A49+5)/($A49+10))*(INDEX('Stat Boosts'!$D$2:$D$192,F$1-9)-10)/((INDEX('Stat Boosts'!$D$2:$D$192,(B49/2+22)-9)-10)))&lt;0.5,POWER(1.1,1.75-(($A49+5)/($A49+10))*(INDEX('Stat Boosts'!$D$2:$D$192,F$1-9)-10)/((INDEX('Stat Boosts'!$D$2:$D$192,(B49/2+22)-9)-10))-0.5)*0.5,(1.75-(($A49+5)/($A49+10))*(INDEX('Stat Boosts'!$D$2:$D$192,F$1-9)-10)/((INDEX('Stat Boosts'!$D$2:$D$192,(B49/2+22)-9)-10))))</f>
        <v>1.5977011494252873</v>
      </c>
      <c r="G49" s="16">
        <f>IF((1.75-(($A49+5)/($A49+10))*(INDEX('Stat Boosts'!$D$2:$D$192,G$1-9)-10)/((INDEX('Stat Boosts'!$D$2:$D$192,(C49/2+22)-9)-10)))&lt;0.5,POWER(1.1,1.75-(($A49+5)/($A49+10))*(INDEX('Stat Boosts'!$D$2:$D$192,G$1-9)-10)/((INDEX('Stat Boosts'!$D$2:$D$192,(C49/2+22)-9)-10))-0.5)*0.5,(1.75-(($A49+5)/($A49+10))*(INDEX('Stat Boosts'!$D$2:$D$192,G$1-9)-10)/((INDEX('Stat Boosts'!$D$2:$D$192,(C49/2+22)-9)-10))))</f>
        <v>0.99746450304259626</v>
      </c>
      <c r="H49" s="16">
        <f>IF((1.75-(($A49+5)/($A49+10))*(INDEX('Stat Boosts'!$D$2:$D$192,H$1-9)-10)/((INDEX('Stat Boosts'!$D$2:$D$192,(D49/2+22)-9)-10)))&lt;0.5,POWER(1.1,1.75-(($A49+5)/($A49+10))*(INDEX('Stat Boosts'!$D$2:$D$192,H$1-9)-10)/((INDEX('Stat Boosts'!$D$2:$D$192,(D49/2+22)-9)-10))-0.5)*0.5,(1.75-(($A49+5)/($A49+10))*(INDEX('Stat Boosts'!$D$2:$D$192,H$1-9)-10)/((INDEX('Stat Boosts'!$D$2:$D$192,(D49/2+22)-9)-10))))</f>
        <v>0.62119675456389456</v>
      </c>
      <c r="I49" s="16">
        <f>IF((1.75-(($A49+5)/($A49+10))*(INDEX('Stat Boosts'!$D$2:$D$192,I$1-9)-10)/((INDEX('Stat Boosts'!$D$2:$D$192,(E49/2+22)-9)-10)))&lt;0.5,POWER(1.1,1.75-(($A49+5)/($A49+10))*(INDEX('Stat Boosts'!$D$2:$D$192,I$1-9)-10)/((INDEX('Stat Boosts'!$D$2:$D$192,(E49/2+22)-9)-10))-0.5)*0.5,(1.75-(($A49+5)/($A49+10))*(INDEX('Stat Boosts'!$D$2:$D$192,I$1-9)-10)/((INDEX('Stat Boosts'!$D$2:$D$192,(E49/2+22)-9)-10))))</f>
        <v>0.49049760683036092</v>
      </c>
      <c r="J49" s="16">
        <f>IF((1.75-(($A49+5)/($A49+10))*(INDEX('Stat Boosts'!$D$2:$D$192,J$1-9)-10)/((INDEX('Stat Boosts'!$D$2:$D$192,(F49/2+22)-9)-10)))&lt;0.5,POWER(1.1,1.75-(($A49+5)/($A49+10))*(INDEX('Stat Boosts'!$D$2:$D$192,J$1-9)-10)/((INDEX('Stat Boosts'!$D$2:$D$192,(F49/2+22)-9)-10))-0.5)*0.5,(1.75-(($A49+5)/($A49+10))*(INDEX('Stat Boosts'!$D$2:$D$192,J$1-9)-10)/((INDEX('Stat Boosts'!$D$2:$D$192,(F49/2+22)-9)-10))))</f>
        <v>0.47564958492947434</v>
      </c>
      <c r="K49" s="16">
        <f>IF((1.75-(($A49+5)/($A49+10))*(INDEX('Stat Boosts'!$D$2:$D$192,K$1-9)-10)/((INDEX('Stat Boosts'!$D$2:$D$192,(G49/2+22)-9)-10)))&lt;0.5,POWER(1.1,1.75-(($A49+5)/($A49+10))*(INDEX('Stat Boosts'!$D$2:$D$192,K$1-9)-10)/((INDEX('Stat Boosts'!$D$2:$D$192,(G49/2+22)-9)-10))-0.5)*0.5,(1.75-(($A49+5)/($A49+10))*(INDEX('Stat Boosts'!$D$2:$D$192,K$1-9)-10)/((INDEX('Stat Boosts'!$D$2:$D$192,(G49/2+22)-9)-10))))</f>
        <v>0.44272868069570948</v>
      </c>
      <c r="L49" s="16">
        <f>IF((1.75-(($A49+5)/($A49+10))*(INDEX('Stat Boosts'!$D$2:$D$192,L$1-9)-10)/((INDEX('Stat Boosts'!$D$2:$D$192,(H49/2+22)-9)-10)))&lt;0.5,POWER(1.1,1.75-(($A49+5)/($A49+10))*(INDEX('Stat Boosts'!$D$2:$D$192,L$1-9)-10)/((INDEX('Stat Boosts'!$D$2:$D$192,(H49/2+22)-9)-10))-0.5)*0.5,(1.75-(($A49+5)/($A49+10))*(INDEX('Stat Boosts'!$D$2:$D$192,L$1-9)-10)/((INDEX('Stat Boosts'!$D$2:$D$192,(H49/2+22)-9)-10))))</f>
        <v>0.431531843221238</v>
      </c>
      <c r="M49" s="16">
        <f>IF((1.75-(($A49+5)/($A49+10))*(INDEX('Stat Boosts'!$D$2:$D$192,M$1-9)-10)/((INDEX('Stat Boosts'!$D$2:$D$192,(I49/2+22)-9)-10)))&lt;0.5,POWER(1.1,1.75-(($A49+5)/($A49+10))*(INDEX('Stat Boosts'!$D$2:$D$192,M$1-9)-10)/((INDEX('Stat Boosts'!$D$2:$D$192,(I49/2+22)-9)-10))-0.5)*0.5,(1.75-(($A49+5)/($A49+10))*(INDEX('Stat Boosts'!$D$2:$D$192,M$1-9)-10)/((INDEX('Stat Boosts'!$D$2:$D$192,(I49/2+22)-9)-10))))</f>
        <v>0.41633039242920283</v>
      </c>
      <c r="N49" s="16">
        <f>IF((1.75-(($A49+5)/($A49+10))*(INDEX('Stat Boosts'!$D$2:$D$192,N$1-9)-10)/((INDEX('Stat Boosts'!$D$2:$D$192,(J49/2+22)-9)-10)))&lt;0.5,POWER(1.1,1.75-(($A49+5)/($A49+10))*(INDEX('Stat Boosts'!$D$2:$D$192,N$1-9)-10)/((INDEX('Stat Boosts'!$D$2:$D$192,(J49/2+22)-9)-10))-0.5)*0.5,(1.75-(($A49+5)/($A49+10))*(INDEX('Stat Boosts'!$D$2:$D$192,N$1-9)-10)/((INDEX('Stat Boosts'!$D$2:$D$192,(J49/2+22)-9)-10))))</f>
        <v>0.39756986641004077</v>
      </c>
      <c r="O49" s="16">
        <f>IF((1.75-(($A49+5)/($A49+10))*(INDEX('Stat Boosts'!$D$2:$D$192,O$1-9)-10)/((INDEX('Stat Boosts'!$D$2:$D$192,(K49/2+22)-9)-10)))&lt;0.5,POWER(1.1,1.75-(($A49+5)/($A49+10))*(INDEX('Stat Boosts'!$D$2:$D$192,O$1-9)-10)/((INDEX('Stat Boosts'!$D$2:$D$192,(K49/2+22)-9)-10))-0.5)*0.5,(1.75-(($A49+5)/($A49+10))*(INDEX('Stat Boosts'!$D$2:$D$192,O$1-9)-10)/((INDEX('Stat Boosts'!$D$2:$D$192,(K49/2+22)-9)-10))))</f>
        <v>0.38751511872135386</v>
      </c>
      <c r="P49" s="16">
        <f>IF((1.75-(($A49+5)/($A49+10))*(INDEX('Stat Boosts'!$D$2:$D$192,P$1-9)-10)/((INDEX('Stat Boosts'!$D$2:$D$192,(L49/2+22)-9)-10)))&lt;0.5,POWER(1.1,1.75-(($A49+5)/($A49+10))*(INDEX('Stat Boosts'!$D$2:$D$192,P$1-9)-10)/((INDEX('Stat Boosts'!$D$2:$D$192,(L49/2+22)-9)-10))-0.5)*0.5,(1.75-(($A49+5)/($A49+10))*(INDEX('Stat Boosts'!$D$2:$D$192,P$1-9)-10)/((INDEX('Stat Boosts'!$D$2:$D$192,(L49/2+22)-9)-10))))</f>
        <v>0.3719537629869063</v>
      </c>
      <c r="Q49" s="16">
        <f>IF((1.75-(($A49+5)/($A49+10))*(INDEX('Stat Boosts'!$D$2:$D$192,Q$1-9)-10)/((INDEX('Stat Boosts'!$D$2:$D$192,(M49/2+22)-9)-10)))&lt;0.5,POWER(1.1,1.75-(($A49+5)/($A49+10))*(INDEX('Stat Boosts'!$D$2:$D$192,Q$1-9)-10)/((INDEX('Stat Boosts'!$D$2:$D$192,(M49/2+22)-9)-10))-0.5)*0.5,(1.75-(($A49+5)/($A49+10))*(INDEX('Stat Boosts'!$D$2:$D$192,Q$1-9)-10)/((INDEX('Stat Boosts'!$D$2:$D$192,(M49/2+22)-9)-10))))</f>
        <v>0.35701730104523011</v>
      </c>
      <c r="R49" s="16">
        <f>IF((1.75-(($A49+5)/($A49+10))*1.25*(INDEX('Stat Boosts'!$D$2:$D$192,R$1-9)-10)/((INDEX('Stat Boosts'!$D$2:$D$192,(N49/2+22)-9)-10)))&lt;0.5,POWER(1.1,1.75-(($A49+5)/($A49+10))*1.25*(INDEX('Stat Boosts'!$D$2:$D$192,R$1-9)-10)/((INDEX('Stat Boosts'!$D$2:$D$192,(N49/2+22)-9)-10))-0.5)*0.5,(1.75-(($A49+5)/($A49+10))*1.25*(INDEX('Stat Boosts'!$D$2:$D$192,R$1-9)-10)/((INDEX('Stat Boosts'!$D$2:$D$192,(N49/2+22)-9)-10))))</f>
        <v>0.30264551696426856</v>
      </c>
    </row>
    <row r="50" spans="1:18">
      <c r="A50" s="9">
        <v>49</v>
      </c>
      <c r="B50" s="16">
        <f t="shared" si="0"/>
        <v>41.6</v>
      </c>
      <c r="C50" s="16">
        <f t="shared" si="1"/>
        <v>1.2658227848101266E-2</v>
      </c>
      <c r="E50" s="16">
        <f>IF((1.75-(($A50+5)/($A50+10))*(INDEX('Stat Boosts'!$D$2:$D$192,E$1-9)-10)/((INDEX('Stat Boosts'!$D$2:$D$192,(A50/2+22)-9)-10)))&lt;0.5,POWER(1.1,1.75-(($A50+5)/($A50+10))*(INDEX('Stat Boosts'!$D$2:$D$192,E$1-9)-10)/((INDEX('Stat Boosts'!$D$2:$D$192,(A50/2+22)-9)-10))-0.5)*0.5,(1.75-(($A50+5)/($A50+10))*(INDEX('Stat Boosts'!$D$2:$D$192,E$1-9)-10)/((INDEX('Stat Boosts'!$D$2:$D$192,(A50/2+22)-9)-10))))</f>
        <v>1.75</v>
      </c>
      <c r="F50" s="16">
        <f>IF((1.75-(($A50+5)/($A50+10))*(INDEX('Stat Boosts'!$D$2:$D$192,F$1-9)-10)/((INDEX('Stat Boosts'!$D$2:$D$192,(B50/2+22)-9)-10)))&lt;0.5,POWER(1.1,1.75-(($A50+5)/($A50+10))*(INDEX('Stat Boosts'!$D$2:$D$192,F$1-9)-10)/((INDEX('Stat Boosts'!$D$2:$D$192,(B50/2+22)-9)-10))-0.5)*0.5,(1.75-(($A50+5)/($A50+10))*(INDEX('Stat Boosts'!$D$2:$D$192,F$1-9)-10)/((INDEX('Stat Boosts'!$D$2:$D$192,(B50/2+22)-9)-10))))</f>
        <v>1.597457627118644</v>
      </c>
      <c r="G50" s="16">
        <f>IF((1.75-(($A50+5)/($A50+10))*(INDEX('Stat Boosts'!$D$2:$D$192,G$1-9)-10)/((INDEX('Stat Boosts'!$D$2:$D$192,(C50/2+22)-9)-10)))&lt;0.5,POWER(1.1,1.75-(($A50+5)/($A50+10))*(INDEX('Stat Boosts'!$D$2:$D$192,G$1-9)-10)/((INDEX('Stat Boosts'!$D$2:$D$192,(C50/2+22)-9)-10))-0.5)*0.5,(1.75-(($A50+5)/($A50+10))*(INDEX('Stat Boosts'!$D$2:$D$192,G$1-9)-10)/((INDEX('Stat Boosts'!$D$2:$D$192,(C50/2+22)-9)-10))))</f>
        <v>0.99626121635094722</v>
      </c>
      <c r="H50" s="16">
        <f>IF((1.75-(($A50+5)/($A50+10))*(INDEX('Stat Boosts'!$D$2:$D$192,H$1-9)-10)/((INDEX('Stat Boosts'!$D$2:$D$192,(D50/2+22)-9)-10)))&lt;0.5,POWER(1.1,1.75-(($A50+5)/($A50+10))*(INDEX('Stat Boosts'!$D$2:$D$192,H$1-9)-10)/((INDEX('Stat Boosts'!$D$2:$D$192,(D50/2+22)-9)-10))-0.5)*0.5,(1.75-(($A50+5)/($A50+10))*(INDEX('Stat Boosts'!$D$2:$D$192,H$1-9)-10)/((INDEX('Stat Boosts'!$D$2:$D$192,(D50/2+22)-9)-10))))</f>
        <v>0.61939182452642072</v>
      </c>
      <c r="I50" s="16">
        <f>IF((1.75-(($A50+5)/($A50+10))*(INDEX('Stat Boosts'!$D$2:$D$192,I$1-9)-10)/((INDEX('Stat Boosts'!$D$2:$D$192,(E50/2+22)-9)-10)))&lt;0.5,POWER(1.1,1.75-(($A50+5)/($A50+10))*(INDEX('Stat Boosts'!$D$2:$D$192,I$1-9)-10)/((INDEX('Stat Boosts'!$D$2:$D$192,(E50/2+22)-9)-10))-0.5)*0.5,(1.75-(($A50+5)/($A50+10))*(INDEX('Stat Boosts'!$D$2:$D$192,I$1-9)-10)/((INDEX('Stat Boosts'!$D$2:$D$192,(E50/2+22)-9)-10))))</f>
        <v>0.49038913099682019</v>
      </c>
      <c r="J50" s="16">
        <f>IF((1.75-(($A50+5)/($A50+10))*(INDEX('Stat Boosts'!$D$2:$D$192,J$1-9)-10)/((INDEX('Stat Boosts'!$D$2:$D$192,(F50/2+22)-9)-10)))&lt;0.5,POWER(1.1,1.75-(($A50+5)/($A50+10))*(INDEX('Stat Boosts'!$D$2:$D$192,J$1-9)-10)/((INDEX('Stat Boosts'!$D$2:$D$192,(F50/2+22)-9)-10))-0.5)*0.5,(1.75-(($A50+5)/($A50+10))*(INDEX('Stat Boosts'!$D$2:$D$192,J$1-9)-10)/((INDEX('Stat Boosts'!$D$2:$D$192,(F50/2+22)-9)-10))))</f>
        <v>0.47552101993707502</v>
      </c>
      <c r="K50" s="16">
        <f>IF((1.75-(($A50+5)/($A50+10))*(INDEX('Stat Boosts'!$D$2:$D$192,K$1-9)-10)/((INDEX('Stat Boosts'!$D$2:$D$192,(G50/2+22)-9)-10)))&lt;0.5,POWER(1.1,1.75-(($A50+5)/($A50+10))*(INDEX('Stat Boosts'!$D$2:$D$192,K$1-9)-10)/((INDEX('Stat Boosts'!$D$2:$D$192,(G50/2+22)-9)-10))-0.5)*0.5,(1.75-(($A50+5)/($A50+10))*(INDEX('Stat Boosts'!$D$2:$D$192,K$1-9)-10)/((INDEX('Stat Boosts'!$D$2:$D$192,(G50/2+22)-9)-10))))</f>
        <v>0.44255825609726995</v>
      </c>
      <c r="L50" s="16">
        <f>IF((1.75-(($A50+5)/($A50+10))*(INDEX('Stat Boosts'!$D$2:$D$192,L$1-9)-10)/((INDEX('Stat Boosts'!$D$2:$D$192,(H50/2+22)-9)-10)))&lt;0.5,POWER(1.1,1.75-(($A50+5)/($A50+10))*(INDEX('Stat Boosts'!$D$2:$D$192,L$1-9)-10)/((INDEX('Stat Boosts'!$D$2:$D$192,(H50/2+22)-9)-10))-0.5)*0.5,(1.75-(($A50+5)/($A50+10))*(INDEX('Stat Boosts'!$D$2:$D$192,L$1-9)-10)/((INDEX('Stat Boosts'!$D$2:$D$192,(H50/2+22)-9)-10))))</f>
        <v>0.43134806076030907</v>
      </c>
      <c r="M50" s="16">
        <f>IF((1.75-(($A50+5)/($A50+10))*(INDEX('Stat Boosts'!$D$2:$D$192,M$1-9)-10)/((INDEX('Stat Boosts'!$D$2:$D$192,(I50/2+22)-9)-10)))&lt;0.5,POWER(1.1,1.75-(($A50+5)/($A50+10))*(INDEX('Stat Boosts'!$D$2:$D$192,M$1-9)-10)/((INDEX('Stat Boosts'!$D$2:$D$192,(I50/2+22)-9)-10))-0.5)*0.5,(1.75-(($A50+5)/($A50+10))*(INDEX('Stat Boosts'!$D$2:$D$192,M$1-9)-10)/((INDEX('Stat Boosts'!$D$2:$D$192,(I50/2+22)-9)-10))))</f>
        <v>0.41612922134927238</v>
      </c>
      <c r="N50" s="16">
        <f>IF((1.75-(($A50+5)/($A50+10))*(INDEX('Stat Boosts'!$D$2:$D$192,N$1-9)-10)/((INDEX('Stat Boosts'!$D$2:$D$192,(J50/2+22)-9)-10)))&lt;0.5,POWER(1.1,1.75-(($A50+5)/($A50+10))*(INDEX('Stat Boosts'!$D$2:$D$192,N$1-9)-10)/((INDEX('Stat Boosts'!$D$2:$D$192,(J50/2+22)-9)-10))-0.5)*0.5,(1.75-(($A50+5)/($A50+10))*(INDEX('Stat Boosts'!$D$2:$D$192,N$1-9)-10)/((INDEX('Stat Boosts'!$D$2:$D$192,(J50/2+22)-9)-10))))</f>
        <v>0.39734846428534987</v>
      </c>
      <c r="O50" s="16">
        <f>IF((1.75-(($A50+5)/($A50+10))*(INDEX('Stat Boosts'!$D$2:$D$192,O$1-9)-10)/((INDEX('Stat Boosts'!$D$2:$D$192,(K50/2+22)-9)-10)))&lt;0.5,POWER(1.1,1.75-(($A50+5)/($A50+10))*(INDEX('Stat Boosts'!$D$2:$D$192,O$1-9)-10)/((INDEX('Stat Boosts'!$D$2:$D$192,(K50/2+22)-9)-10))-0.5)*0.5,(1.75-(($A50+5)/($A50+10))*(INDEX('Stat Boosts'!$D$2:$D$192,O$1-9)-10)/((INDEX('Stat Boosts'!$D$2:$D$192,(K50/2+22)-9)-10))))</f>
        <v>0.3872834528656981</v>
      </c>
      <c r="P50" s="16">
        <f>IF((1.75-(($A50+5)/($A50+10))*(INDEX('Stat Boosts'!$D$2:$D$192,P$1-9)-10)/((INDEX('Stat Boosts'!$D$2:$D$192,(L50/2+22)-9)-10)))&lt;0.5,POWER(1.1,1.75-(($A50+5)/($A50+10))*(INDEX('Stat Boosts'!$D$2:$D$192,P$1-9)-10)/((INDEX('Stat Boosts'!$D$2:$D$192,(L50/2+22)-9)-10))-0.5)*0.5,(1.75-(($A50+5)/($A50+10))*(INDEX('Stat Boosts'!$D$2:$D$192,P$1-9)-10)/((INDEX('Stat Boosts'!$D$2:$D$192,(L50/2+22)-9)-10))))</f>
        <v>0.3717070396302935</v>
      </c>
      <c r="Q50" s="16">
        <f>IF((1.75-(($A50+5)/($A50+10))*(INDEX('Stat Boosts'!$D$2:$D$192,Q$1-9)-10)/((INDEX('Stat Boosts'!$D$2:$D$192,(M50/2+22)-9)-10)))&lt;0.5,POWER(1.1,1.75-(($A50+5)/($A50+10))*(INDEX('Stat Boosts'!$D$2:$D$192,Q$1-9)-10)/((INDEX('Stat Boosts'!$D$2:$D$192,(M50/2+22)-9)-10))-0.5)*0.5,(1.75-(($A50+5)/($A50+10))*(INDEX('Stat Boosts'!$D$2:$D$192,Q$1-9)-10)/((INDEX('Stat Boosts'!$D$2:$D$192,(M50/2+22)-9)-10))))</f>
        <v>0.3567571046177121</v>
      </c>
      <c r="R50" s="16">
        <f>IF((1.75-(($A50+5)/($A50+10))*1.25*(INDEX('Stat Boosts'!$D$2:$D$192,R$1-9)-10)/((INDEX('Stat Boosts'!$D$2:$D$192,(N50/2+22)-9)-10)))&lt;0.5,POWER(1.1,1.75-(($A50+5)/($A50+10))*1.25*(INDEX('Stat Boosts'!$D$2:$D$192,R$1-9)-10)/((INDEX('Stat Boosts'!$D$2:$D$192,(N50/2+22)-9)-10))-0.5)*0.5,(1.75-(($A50+5)/($A50+10))*1.25*(INDEX('Stat Boosts'!$D$2:$D$192,R$1-9)-10)/((INDEX('Stat Boosts'!$D$2:$D$192,(N50/2+22)-9)-10))))</f>
        <v>0.30234506109398579</v>
      </c>
    </row>
    <row r="51" spans="1:18">
      <c r="A51" s="9">
        <v>50</v>
      </c>
      <c r="B51" s="16">
        <f t="shared" si="0"/>
        <v>42</v>
      </c>
      <c r="C51" s="16">
        <f t="shared" si="1"/>
        <v>1.2500000000000001E-2</v>
      </c>
      <c r="E51" s="16">
        <f>IF((1.75-(($A51+5)/($A51+10))*(INDEX('Stat Boosts'!$D$2:$D$192,E$1-9)-10)/((INDEX('Stat Boosts'!$D$2:$D$192,(A51/2+22)-9)-10)))&lt;0.5,POWER(1.1,1.75-(($A51+5)/($A51+10))*(INDEX('Stat Boosts'!$D$2:$D$192,E$1-9)-10)/((INDEX('Stat Boosts'!$D$2:$D$192,(A51/2+22)-9)-10))-0.5)*0.5,(1.75-(($A51+5)/($A51+10))*(INDEX('Stat Boosts'!$D$2:$D$192,E$1-9)-10)/((INDEX('Stat Boosts'!$D$2:$D$192,(A51/2+22)-9)-10))))</f>
        <v>1.75</v>
      </c>
      <c r="F51" s="16">
        <f>IF((1.75-(($A51+5)/($A51+10))*(INDEX('Stat Boosts'!$D$2:$D$192,F$1-9)-10)/((INDEX('Stat Boosts'!$D$2:$D$192,(B51/2+22)-9)-10)))&lt;0.5,POWER(1.1,1.75-(($A51+5)/($A51+10))*(INDEX('Stat Boosts'!$D$2:$D$192,F$1-9)-10)/((INDEX('Stat Boosts'!$D$2:$D$192,(B51/2+22)-9)-10))-0.5)*0.5,(1.75-(($A51+5)/($A51+10))*(INDEX('Stat Boosts'!$D$2:$D$192,F$1-9)-10)/((INDEX('Stat Boosts'!$D$2:$D$192,(B51/2+22)-9)-10))))</f>
        <v>1.6007751937984496</v>
      </c>
      <c r="G51" s="16">
        <f>IF((1.75-(($A51+5)/($A51+10))*(INDEX('Stat Boosts'!$D$2:$D$192,G$1-9)-10)/((INDEX('Stat Boosts'!$D$2:$D$192,(C51/2+22)-9)-10)))&lt;0.5,POWER(1.1,1.75-(($A51+5)/($A51+10))*(INDEX('Stat Boosts'!$D$2:$D$192,G$1-9)-10)/((INDEX('Stat Boosts'!$D$2:$D$192,(C51/2+22)-9)-10))-0.5)*0.5,(1.75-(($A51+5)/($A51+10))*(INDEX('Stat Boosts'!$D$2:$D$192,G$1-9)-10)/((INDEX('Stat Boosts'!$D$2:$D$192,(C51/2+22)-9)-10))))</f>
        <v>0.99509803921568629</v>
      </c>
      <c r="H51" s="16">
        <f>IF((1.75-(($A51+5)/($A51+10))*(INDEX('Stat Boosts'!$D$2:$D$192,H$1-9)-10)/((INDEX('Stat Boosts'!$D$2:$D$192,(D51/2+22)-9)-10)))&lt;0.5,POWER(1.1,1.75-(($A51+5)/($A51+10))*(INDEX('Stat Boosts'!$D$2:$D$192,H$1-9)-10)/((INDEX('Stat Boosts'!$D$2:$D$192,(D51/2+22)-9)-10))-0.5)*0.5,(1.75-(($A51+5)/($A51+10))*(INDEX('Stat Boosts'!$D$2:$D$192,H$1-9)-10)/((INDEX('Stat Boosts'!$D$2:$D$192,(D51/2+22)-9)-10))))</f>
        <v>0.61764705882352944</v>
      </c>
      <c r="I51" s="16">
        <f>IF((1.75-(($A51+5)/($A51+10))*(INDEX('Stat Boosts'!$D$2:$D$192,I$1-9)-10)/((INDEX('Stat Boosts'!$D$2:$D$192,(E51/2+22)-9)-10)))&lt;0.5,POWER(1.1,1.75-(($A51+5)/($A51+10))*(INDEX('Stat Boosts'!$D$2:$D$192,I$1-9)-10)/((INDEX('Stat Boosts'!$D$2:$D$192,(E51/2+22)-9)-10))-0.5)*0.5,(1.75-(($A51+5)/($A51+10))*(INDEX('Stat Boosts'!$D$2:$D$192,I$1-9)-10)/((INDEX('Stat Boosts'!$D$2:$D$192,(E51/2+22)-9)-10))))</f>
        <v>0.49028429382822097</v>
      </c>
      <c r="J51" s="16">
        <f>IF((1.75-(($A51+5)/($A51+10))*(INDEX('Stat Boosts'!$D$2:$D$192,J$1-9)-10)/((INDEX('Stat Boosts'!$D$2:$D$192,(F51/2+22)-9)-10)))&lt;0.5,POWER(1.1,1.75-(($A51+5)/($A51+10))*(INDEX('Stat Boosts'!$D$2:$D$192,J$1-9)-10)/((INDEX('Stat Boosts'!$D$2:$D$192,(F51/2+22)-9)-10))-0.5)*0.5,(1.75-(($A51+5)/($A51+10))*(INDEX('Stat Boosts'!$D$2:$D$192,J$1-9)-10)/((INDEX('Stat Boosts'!$D$2:$D$192,(F51/2+22)-9)-10))))</f>
        <v>0.4753967734765952</v>
      </c>
      <c r="K51" s="16">
        <f>IF((1.75-(($A51+5)/($A51+10))*(INDEX('Stat Boosts'!$D$2:$D$192,K$1-9)-10)/((INDEX('Stat Boosts'!$D$2:$D$192,(G51/2+22)-9)-10)))&lt;0.5,POWER(1.1,1.75-(($A51+5)/($A51+10))*(INDEX('Stat Boosts'!$D$2:$D$192,K$1-9)-10)/((INDEX('Stat Boosts'!$D$2:$D$192,(G51/2+22)-9)-10))-0.5)*0.5,(1.75-(($A51+5)/($A51+10))*(INDEX('Stat Boosts'!$D$2:$D$192,K$1-9)-10)/((INDEX('Stat Boosts'!$D$2:$D$192,(G51/2+22)-9)-10))))</f>
        <v>0.44239357467880108</v>
      </c>
      <c r="L51" s="16">
        <f>IF((1.75-(($A51+5)/($A51+10))*(INDEX('Stat Boosts'!$D$2:$D$192,L$1-9)-10)/((INDEX('Stat Boosts'!$D$2:$D$192,(H51/2+22)-9)-10)))&lt;0.5,POWER(1.1,1.75-(($A51+5)/($A51+10))*(INDEX('Stat Boosts'!$D$2:$D$192,L$1-9)-10)/((INDEX('Stat Boosts'!$D$2:$D$192,(H51/2+22)-9)-10))-0.5)*0.5,(1.75-(($A51+5)/($A51+10))*(INDEX('Stat Boosts'!$D$2:$D$192,L$1-9)-10)/((INDEX('Stat Boosts'!$D$2:$D$192,(H51/2+22)-9)-10))))</f>
        <v>0.43117047878173681</v>
      </c>
      <c r="M51" s="16">
        <f>IF((1.75-(($A51+5)/($A51+10))*(INDEX('Stat Boosts'!$D$2:$D$192,M$1-9)-10)/((INDEX('Stat Boosts'!$D$2:$D$192,(I51/2+22)-9)-10)))&lt;0.5,POWER(1.1,1.75-(($A51+5)/($A51+10))*(INDEX('Stat Boosts'!$D$2:$D$192,M$1-9)-10)/((INDEX('Stat Boosts'!$D$2:$D$192,(I51/2+22)-9)-10))-0.5)*0.5,(1.75-(($A51+5)/($A51+10))*(INDEX('Stat Boosts'!$D$2:$D$192,M$1-9)-10)/((INDEX('Stat Boosts'!$D$2:$D$192,(I51/2+22)-9)-10))))</f>
        <v>0.41593484837218581</v>
      </c>
      <c r="N51" s="16">
        <f>IF((1.75-(($A51+5)/($A51+10))*(INDEX('Stat Boosts'!$D$2:$D$192,N$1-9)-10)/((INDEX('Stat Boosts'!$D$2:$D$192,(J51/2+22)-9)-10)))&lt;0.5,POWER(1.1,1.75-(($A51+5)/($A51+10))*(INDEX('Stat Boosts'!$D$2:$D$192,N$1-9)-10)/((INDEX('Stat Boosts'!$D$2:$D$192,(J51/2+22)-9)-10))-0.5)*0.5,(1.75-(($A51+5)/($A51+10))*(INDEX('Stat Boosts'!$D$2:$D$192,N$1-9)-10)/((INDEX('Stat Boosts'!$D$2:$D$192,(J51/2+22)-9)-10))))</f>
        <v>0.39713455943220771</v>
      </c>
      <c r="O51" s="16">
        <f>IF((1.75-(($A51+5)/($A51+10))*(INDEX('Stat Boosts'!$D$2:$D$192,O$1-9)-10)/((INDEX('Stat Boosts'!$D$2:$D$192,(K51/2+22)-9)-10)))&lt;0.5,POWER(1.1,1.75-(($A51+5)/($A51+10))*(INDEX('Stat Boosts'!$D$2:$D$192,O$1-9)-10)/((INDEX('Stat Boosts'!$D$2:$D$192,(K51/2+22)-9)-10))-0.5)*0.5,(1.75-(($A51+5)/($A51+10))*(INDEX('Stat Boosts'!$D$2:$D$192,O$1-9)-10)/((INDEX('Stat Boosts'!$D$2:$D$192,(K51/2+22)-9)-10))))</f>
        <v>0.38705964085369521</v>
      </c>
      <c r="P51" s="16">
        <f>IF((1.75-(($A51+5)/($A51+10))*(INDEX('Stat Boosts'!$D$2:$D$192,P$1-9)-10)/((INDEX('Stat Boosts'!$D$2:$D$192,(L51/2+22)-9)-10)))&lt;0.5,POWER(1.1,1.75-(($A51+5)/($A51+10))*(INDEX('Stat Boosts'!$D$2:$D$192,P$1-9)-10)/((INDEX('Stat Boosts'!$D$2:$D$192,(L51/2+22)-9)-10))-0.5)*0.5,(1.75-(($A51+5)/($A51+10))*(INDEX('Stat Boosts'!$D$2:$D$192,P$1-9)-10)/((INDEX('Stat Boosts'!$D$2:$D$192,(L51/2+22)-9)-10))))</f>
        <v>0.37146869595070592</v>
      </c>
      <c r="Q51" s="16">
        <f>IF((1.75-(($A51+5)/($A51+10))*(INDEX('Stat Boosts'!$D$2:$D$192,Q$1-9)-10)/((INDEX('Stat Boosts'!$D$2:$D$192,(M51/2+22)-9)-10)))&lt;0.5,POWER(1.1,1.75-(($A51+5)/($A51+10))*(INDEX('Stat Boosts'!$D$2:$D$192,Q$1-9)-10)/((INDEX('Stat Boosts'!$D$2:$D$192,(M51/2+22)-9)-10))-0.5)*0.5,(1.75-(($A51+5)/($A51+10))*(INDEX('Stat Boosts'!$D$2:$D$192,Q$1-9)-10)/((INDEX('Stat Boosts'!$D$2:$D$192,(M51/2+22)-9)-10))))</f>
        <v>0.35650576166239073</v>
      </c>
      <c r="R51" s="16">
        <f>IF((1.75-(($A51+5)/($A51+10))*1.25*(INDEX('Stat Boosts'!$D$2:$D$192,R$1-9)-10)/((INDEX('Stat Boosts'!$D$2:$D$192,(N51/2+22)-9)-10)))&lt;0.5,POWER(1.1,1.75-(($A51+5)/($A51+10))*1.25*(INDEX('Stat Boosts'!$D$2:$D$192,R$1-9)-10)/((INDEX('Stat Boosts'!$D$2:$D$192,(N51/2+22)-9)-10))-0.5)*0.5,(1.75-(($A51+5)/($A51+10))*1.25*(INDEX('Stat Boosts'!$D$2:$D$192,R$1-9)-10)/((INDEX('Stat Boosts'!$D$2:$D$192,(N51/2+22)-9)-10))))</f>
        <v>0.30205490395618212</v>
      </c>
    </row>
    <row r="52" spans="1:18">
      <c r="A52" s="9">
        <v>51</v>
      </c>
      <c r="B52" s="16">
        <f t="shared" si="0"/>
        <v>42.4</v>
      </c>
      <c r="C52" s="16">
        <f t="shared" si="1"/>
        <v>1.234567901234568E-2</v>
      </c>
      <c r="E52" s="16">
        <f>IF((1.75-(($A52+5)/($A52+10))*(INDEX('Stat Boosts'!$D$2:$D$192,E$1-9)-10)/((INDEX('Stat Boosts'!$D$2:$D$192,(A52/2+22)-9)-10)))&lt;0.5,POWER(1.1,1.75-(($A52+5)/($A52+10))*(INDEX('Stat Boosts'!$D$2:$D$192,E$1-9)-10)/((INDEX('Stat Boosts'!$D$2:$D$192,(A52/2+22)-9)-10))-0.5)*0.5,(1.75-(($A52+5)/($A52+10))*(INDEX('Stat Boosts'!$D$2:$D$192,E$1-9)-10)/((INDEX('Stat Boosts'!$D$2:$D$192,(A52/2+22)-9)-10))))</f>
        <v>1.75</v>
      </c>
      <c r="F52" s="16">
        <f>IF((1.75-(($A52+5)/($A52+10))*(INDEX('Stat Boosts'!$D$2:$D$192,F$1-9)-10)/((INDEX('Stat Boosts'!$D$2:$D$192,(B52/2+22)-9)-10)))&lt;0.5,POWER(1.1,1.75-(($A52+5)/($A52+10))*(INDEX('Stat Boosts'!$D$2:$D$192,F$1-9)-10)/((INDEX('Stat Boosts'!$D$2:$D$192,(B52/2+22)-9)-10))-0.5)*0.5,(1.75-(($A52+5)/($A52+10))*(INDEX('Stat Boosts'!$D$2:$D$192,F$1-9)-10)/((INDEX('Stat Boosts'!$D$2:$D$192,(B52/2+22)-9)-10))))</f>
        <v>1.60055280213496</v>
      </c>
      <c r="G52" s="16">
        <f>IF((1.75-(($A52+5)/($A52+10))*(INDEX('Stat Boosts'!$D$2:$D$192,G$1-9)-10)/((INDEX('Stat Boosts'!$D$2:$D$192,(C52/2+22)-9)-10)))&lt;0.5,POWER(1.1,1.75-(($A52+5)/($A52+10))*(INDEX('Stat Boosts'!$D$2:$D$192,G$1-9)-10)/((INDEX('Stat Boosts'!$D$2:$D$192,(C52/2+22)-9)-10))-0.5)*0.5,(1.75-(($A52+5)/($A52+10))*(INDEX('Stat Boosts'!$D$2:$D$192,G$1-9)-10)/((INDEX('Stat Boosts'!$D$2:$D$192,(C52/2+22)-9)-10))))</f>
        <v>0.99397299903567982</v>
      </c>
      <c r="H52" s="16">
        <f>IF((1.75-(($A52+5)/($A52+10))*(INDEX('Stat Boosts'!$D$2:$D$192,H$1-9)-10)/((INDEX('Stat Boosts'!$D$2:$D$192,(D52/2+22)-9)-10)))&lt;0.5,POWER(1.1,1.75-(($A52+5)/($A52+10))*(INDEX('Stat Boosts'!$D$2:$D$192,H$1-9)-10)/((INDEX('Stat Boosts'!$D$2:$D$192,(D52/2+22)-9)-10))-0.5)*0.5,(1.75-(($A52+5)/($A52+10))*(INDEX('Stat Boosts'!$D$2:$D$192,H$1-9)-10)/((INDEX('Stat Boosts'!$D$2:$D$192,(D52/2+22)-9)-10))))</f>
        <v>0.61595949855351972</v>
      </c>
      <c r="I52" s="16">
        <f>IF((1.75-(($A52+5)/($A52+10))*(INDEX('Stat Boosts'!$D$2:$D$192,I$1-9)-10)/((INDEX('Stat Boosts'!$D$2:$D$192,(E52/2+22)-9)-10)))&lt;0.5,POWER(1.1,1.75-(($A52+5)/($A52+10))*(INDEX('Stat Boosts'!$D$2:$D$192,I$1-9)-10)/((INDEX('Stat Boosts'!$D$2:$D$192,(E52/2+22)-9)-10))-0.5)*0.5,(1.75-(($A52+5)/($A52+10))*(INDEX('Stat Boosts'!$D$2:$D$192,I$1-9)-10)/((INDEX('Stat Boosts'!$D$2:$D$192,(E52/2+22)-9)-10))))</f>
        <v>0.49018291526615232</v>
      </c>
      <c r="J52" s="16">
        <f>IF((1.75-(($A52+5)/($A52+10))*(INDEX('Stat Boosts'!$D$2:$D$192,J$1-9)-10)/((INDEX('Stat Boosts'!$D$2:$D$192,(F52/2+22)-9)-10)))&lt;0.5,POWER(1.1,1.75-(($A52+5)/($A52+10))*(INDEX('Stat Boosts'!$D$2:$D$192,J$1-9)-10)/((INDEX('Stat Boosts'!$D$2:$D$192,(F52/2+22)-9)-10))-0.5)*0.5,(1.75-(($A52+5)/($A52+10))*(INDEX('Stat Boosts'!$D$2:$D$192,J$1-9)-10)/((INDEX('Stat Boosts'!$D$2:$D$192,(F52/2+22)-9)-10))))</f>
        <v>0.47527663155524141</v>
      </c>
      <c r="K52" s="16">
        <f>IF((1.75-(($A52+5)/($A52+10))*(INDEX('Stat Boosts'!$D$2:$D$192,K$1-9)-10)/((INDEX('Stat Boosts'!$D$2:$D$192,(G52/2+22)-9)-10)))&lt;0.5,POWER(1.1,1.75-(($A52+5)/($A52+10))*(INDEX('Stat Boosts'!$D$2:$D$192,K$1-9)-10)/((INDEX('Stat Boosts'!$D$2:$D$192,(G52/2+22)-9)-10))-0.5)*0.5,(1.75-(($A52+5)/($A52+10))*(INDEX('Stat Boosts'!$D$2:$D$192,K$1-9)-10)/((INDEX('Stat Boosts'!$D$2:$D$192,(G52/2+22)-9)-10))))</f>
        <v>0.44223435095050495</v>
      </c>
      <c r="L52" s="16">
        <f>IF((1.75-(($A52+5)/($A52+10))*(INDEX('Stat Boosts'!$D$2:$D$192,L$1-9)-10)/((INDEX('Stat Boosts'!$D$2:$D$192,(H52/2+22)-9)-10)))&lt;0.5,POWER(1.1,1.75-(($A52+5)/($A52+10))*(INDEX('Stat Boosts'!$D$2:$D$192,L$1-9)-10)/((INDEX('Stat Boosts'!$D$2:$D$192,(H52/2+22)-9)-10))-0.5)*0.5,(1.75-(($A52+5)/($A52+10))*(INDEX('Stat Boosts'!$D$2:$D$192,L$1-9)-10)/((INDEX('Stat Boosts'!$D$2:$D$192,(H52/2+22)-9)-10))))</f>
        <v>0.4309987887160554</v>
      </c>
      <c r="M52" s="16">
        <f>IF((1.75-(($A52+5)/($A52+10))*(INDEX('Stat Boosts'!$D$2:$D$192,M$1-9)-10)/((INDEX('Stat Boosts'!$D$2:$D$192,(I52/2+22)-9)-10)))&lt;0.5,POWER(1.1,1.75-(($A52+5)/($A52+10))*(INDEX('Stat Boosts'!$D$2:$D$192,M$1-9)-10)/((INDEX('Stat Boosts'!$D$2:$D$192,(I52/2+22)-9)-10))-0.5)*0.5,(1.75-(($A52+5)/($A52+10))*(INDEX('Stat Boosts'!$D$2:$D$192,M$1-9)-10)/((INDEX('Stat Boosts'!$D$2:$D$192,(I52/2+22)-9)-10))))</f>
        <v>0.41574693465485413</v>
      </c>
      <c r="N52" s="16">
        <f>IF((1.75-(($A52+5)/($A52+10))*(INDEX('Stat Boosts'!$D$2:$D$192,N$1-9)-10)/((INDEX('Stat Boosts'!$D$2:$D$192,(J52/2+22)-9)-10)))&lt;0.5,POWER(1.1,1.75-(($A52+5)/($A52+10))*(INDEX('Stat Boosts'!$D$2:$D$192,N$1-9)-10)/((INDEX('Stat Boosts'!$D$2:$D$192,(J52/2+22)-9)-10))-0.5)*0.5,(1.75-(($A52+5)/($A52+10))*(INDEX('Stat Boosts'!$D$2:$D$192,N$1-9)-10)/((INDEX('Stat Boosts'!$D$2:$D$192,(J52/2+22)-9)-10))))</f>
        <v>0.39692777740382268</v>
      </c>
      <c r="O52" s="16">
        <f>IF((1.75-(($A52+5)/($A52+10))*(INDEX('Stat Boosts'!$D$2:$D$192,O$1-9)-10)/((INDEX('Stat Boosts'!$D$2:$D$192,(K52/2+22)-9)-10)))&lt;0.5,POWER(1.1,1.75-(($A52+5)/($A52+10))*(INDEX('Stat Boosts'!$D$2:$D$192,O$1-9)-10)/((INDEX('Stat Boosts'!$D$2:$D$192,(K52/2+22)-9)-10))-0.5)*0.5,(1.75-(($A52+5)/($A52+10))*(INDEX('Stat Boosts'!$D$2:$D$192,O$1-9)-10)/((INDEX('Stat Boosts'!$D$2:$D$192,(K52/2+22)-9)-10))))</f>
        <v>0.38684328999117135</v>
      </c>
      <c r="P52" s="16">
        <f>IF((1.75-(($A52+5)/($A52+10))*(INDEX('Stat Boosts'!$D$2:$D$192,P$1-9)-10)/((INDEX('Stat Boosts'!$D$2:$D$192,(L52/2+22)-9)-10)))&lt;0.5,POWER(1.1,1.75-(($A52+5)/($A52+10))*(INDEX('Stat Boosts'!$D$2:$D$192,P$1-9)-10)/((INDEX('Stat Boosts'!$D$2:$D$192,(L52/2+22)-9)-10))-0.5)*0.5,(1.75-(($A52+5)/($A52+10))*(INDEX('Stat Boosts'!$D$2:$D$192,P$1-9)-10)/((INDEX('Stat Boosts'!$D$2:$D$192,(L52/2+22)-9)-10))))</f>
        <v>0.37123831221421455</v>
      </c>
      <c r="Q52" s="16">
        <f>IF((1.75-(($A52+5)/($A52+10))*(INDEX('Stat Boosts'!$D$2:$D$192,Q$1-9)-10)/((INDEX('Stat Boosts'!$D$2:$D$192,(M52/2+22)-9)-10)))&lt;0.5,POWER(1.1,1.75-(($A52+5)/($A52+10))*(INDEX('Stat Boosts'!$D$2:$D$192,Q$1-9)-10)/((INDEX('Stat Boosts'!$D$2:$D$192,(M52/2+22)-9)-10))-0.5)*0.5,(1.75-(($A52+5)/($A52+10))*(INDEX('Stat Boosts'!$D$2:$D$192,Q$1-9)-10)/((INDEX('Stat Boosts'!$D$2:$D$192,(M52/2+22)-9)-10))))</f>
        <v>0.35626282792394803</v>
      </c>
      <c r="R52" s="16">
        <f>IF((1.75-(($A52+5)/($A52+10))*1.25*(INDEX('Stat Boosts'!$D$2:$D$192,R$1-9)-10)/((INDEX('Stat Boosts'!$D$2:$D$192,(N52/2+22)-9)-10)))&lt;0.5,POWER(1.1,1.75-(($A52+5)/($A52+10))*1.25*(INDEX('Stat Boosts'!$D$2:$D$192,R$1-9)-10)/((INDEX('Stat Boosts'!$D$2:$D$192,(N52/2+22)-9)-10))-0.5)*0.5,(1.75-(($A52+5)/($A52+10))*1.25*(INDEX('Stat Boosts'!$D$2:$D$192,R$1-9)-10)/((INDEX('Stat Boosts'!$D$2:$D$192,(N52/2+22)-9)-10))))</f>
        <v>0.30177452508535357</v>
      </c>
    </row>
    <row r="53" spans="1:18">
      <c r="A53" s="9">
        <v>52</v>
      </c>
      <c r="B53" s="16">
        <f t="shared" si="0"/>
        <v>42.8</v>
      </c>
      <c r="C53" s="16">
        <f t="shared" si="1"/>
        <v>1.2195121951219514E-2</v>
      </c>
      <c r="E53" s="16">
        <f>IF((1.75-(($A53+5)/($A53+10))*(INDEX('Stat Boosts'!$D$2:$D$192,E$1-9)-10)/((INDEX('Stat Boosts'!$D$2:$D$192,(A53/2+22)-9)-10)))&lt;0.5,POWER(1.1,1.75-(($A53+5)/($A53+10))*(INDEX('Stat Boosts'!$D$2:$D$192,E$1-9)-10)/((INDEX('Stat Boosts'!$D$2:$D$192,(A53/2+22)-9)-10))-0.5)*0.5,(1.75-(($A53+5)/($A53+10))*(INDEX('Stat Boosts'!$D$2:$D$192,E$1-9)-10)/((INDEX('Stat Boosts'!$D$2:$D$192,(A53/2+22)-9)-10))))</f>
        <v>1.75</v>
      </c>
      <c r="F53" s="16">
        <f>IF((1.75-(($A53+5)/($A53+10))*(INDEX('Stat Boosts'!$D$2:$D$192,F$1-9)-10)/((INDEX('Stat Boosts'!$D$2:$D$192,(B53/2+22)-9)-10)))&lt;0.5,POWER(1.1,1.75-(($A53+5)/($A53+10))*(INDEX('Stat Boosts'!$D$2:$D$192,F$1-9)-10)/((INDEX('Stat Boosts'!$D$2:$D$192,(B53/2+22)-9)-10))-0.5)*0.5,(1.75-(($A53+5)/($A53+10))*(INDEX('Stat Boosts'!$D$2:$D$192,F$1-9)-10)/((INDEX('Stat Boosts'!$D$2:$D$192,(B53/2+22)-9)-10))))</f>
        <v>1.600337584396099</v>
      </c>
      <c r="G53" s="16">
        <f>IF((1.75-(($A53+5)/($A53+10))*(INDEX('Stat Boosts'!$D$2:$D$192,G$1-9)-10)/((INDEX('Stat Boosts'!$D$2:$D$192,(C53/2+22)-9)-10)))&lt;0.5,POWER(1.1,1.75-(($A53+5)/($A53+10))*(INDEX('Stat Boosts'!$D$2:$D$192,G$1-9)-10)/((INDEX('Stat Boosts'!$D$2:$D$192,(C53/2+22)-9)-10))-0.5)*0.5,(1.75-(($A53+5)/($A53+10))*(INDEX('Stat Boosts'!$D$2:$D$192,G$1-9)-10)/((INDEX('Stat Boosts'!$D$2:$D$192,(C53/2+22)-9)-10))))</f>
        <v>0.99288425047438333</v>
      </c>
      <c r="H53" s="16">
        <f>IF((1.75-(($A53+5)/($A53+10))*(INDEX('Stat Boosts'!$D$2:$D$192,H$1-9)-10)/((INDEX('Stat Boosts'!$D$2:$D$192,(D53/2+22)-9)-10)))&lt;0.5,POWER(1.1,1.75-(($A53+5)/($A53+10))*(INDEX('Stat Boosts'!$D$2:$D$192,H$1-9)-10)/((INDEX('Stat Boosts'!$D$2:$D$192,(D53/2+22)-9)-10))-0.5)*0.5,(1.75-(($A53+5)/($A53+10))*(INDEX('Stat Boosts'!$D$2:$D$192,H$1-9)-10)/((INDEX('Stat Boosts'!$D$2:$D$192,(D53/2+22)-9)-10))))</f>
        <v>0.61432637571157511</v>
      </c>
      <c r="I53" s="16">
        <f>IF((1.75-(($A53+5)/($A53+10))*(INDEX('Stat Boosts'!$D$2:$D$192,I$1-9)-10)/((INDEX('Stat Boosts'!$D$2:$D$192,(E53/2+22)-9)-10)))&lt;0.5,POWER(1.1,1.75-(($A53+5)/($A53+10))*(INDEX('Stat Boosts'!$D$2:$D$192,I$1-9)-10)/((INDEX('Stat Boosts'!$D$2:$D$192,(E53/2+22)-9)-10))-0.5)*0.5,(1.75-(($A53+5)/($A53+10))*(INDEX('Stat Boosts'!$D$2:$D$192,I$1-9)-10)/((INDEX('Stat Boosts'!$D$2:$D$192,(E53/2+22)-9)-10))))</f>
        <v>0.49008482693947086</v>
      </c>
      <c r="J53" s="16">
        <f>IF((1.75-(($A53+5)/($A53+10))*(INDEX('Stat Boosts'!$D$2:$D$192,J$1-9)-10)/((INDEX('Stat Boosts'!$D$2:$D$192,(F53/2+22)-9)-10)))&lt;0.5,POWER(1.1,1.75-(($A53+5)/($A53+10))*(INDEX('Stat Boosts'!$D$2:$D$192,J$1-9)-10)/((INDEX('Stat Boosts'!$D$2:$D$192,(F53/2+22)-9)-10))-0.5)*0.5,(1.75-(($A53+5)/($A53+10))*(INDEX('Stat Boosts'!$D$2:$D$192,J$1-9)-10)/((INDEX('Stat Boosts'!$D$2:$D$192,(F53/2+22)-9)-10))))</f>
        <v>0.47516039408865351</v>
      </c>
      <c r="K53" s="16">
        <f>IF((1.75-(($A53+5)/($A53+10))*(INDEX('Stat Boosts'!$D$2:$D$192,K$1-9)-10)/((INDEX('Stat Boosts'!$D$2:$D$192,(G53/2+22)-9)-10)))&lt;0.5,POWER(1.1,1.75-(($A53+5)/($A53+10))*(INDEX('Stat Boosts'!$D$2:$D$192,K$1-9)-10)/((INDEX('Stat Boosts'!$D$2:$D$192,(G53/2+22)-9)-10))-0.5)*0.5,(1.75-(($A53+5)/($A53+10))*(INDEX('Stat Boosts'!$D$2:$D$192,K$1-9)-10)/((INDEX('Stat Boosts'!$D$2:$D$192,(G53/2+22)-9)-10))))</f>
        <v>0.44208031803550285</v>
      </c>
      <c r="L53" s="16">
        <f>IF((1.75-(($A53+5)/($A53+10))*(INDEX('Stat Boosts'!$D$2:$D$192,L$1-9)-10)/((INDEX('Stat Boosts'!$D$2:$D$192,(H53/2+22)-9)-10)))&lt;0.5,POWER(1.1,1.75-(($A53+5)/($A53+10))*(INDEX('Stat Boosts'!$D$2:$D$192,L$1-9)-10)/((INDEX('Stat Boosts'!$D$2:$D$192,(H53/2+22)-9)-10))-0.5)*0.5,(1.75-(($A53+5)/($A53+10))*(INDEX('Stat Boosts'!$D$2:$D$192,L$1-9)-10)/((INDEX('Stat Boosts'!$D$2:$D$192,(H53/2+22)-9)-10))))</f>
        <v>0.43083270213357777</v>
      </c>
      <c r="M53" s="16">
        <f>IF((1.75-(($A53+5)/($A53+10))*(INDEX('Stat Boosts'!$D$2:$D$192,M$1-9)-10)/((INDEX('Stat Boosts'!$D$2:$D$192,(I53/2+22)-9)-10)))&lt;0.5,POWER(1.1,1.75-(($A53+5)/($A53+10))*(INDEX('Stat Boosts'!$D$2:$D$192,M$1-9)-10)/((INDEX('Stat Boosts'!$D$2:$D$192,(I53/2+22)-9)-10))-0.5)*0.5,(1.75-(($A53+5)/($A53+10))*(INDEX('Stat Boosts'!$D$2:$D$192,M$1-9)-10)/((INDEX('Stat Boosts'!$D$2:$D$192,(I53/2+22)-9)-10))))</f>
        <v>0.41556516350385664</v>
      </c>
      <c r="N53" s="16">
        <f>IF((1.75-(($A53+5)/($A53+10))*(INDEX('Stat Boosts'!$D$2:$D$192,N$1-9)-10)/((INDEX('Stat Boosts'!$D$2:$D$192,(J53/2+22)-9)-10)))&lt;0.5,POWER(1.1,1.75-(($A53+5)/($A53+10))*(INDEX('Stat Boosts'!$D$2:$D$192,N$1-9)-10)/((INDEX('Stat Boosts'!$D$2:$D$192,(J53/2+22)-9)-10))-0.5)*0.5,(1.75-(($A53+5)/($A53+10))*(INDEX('Stat Boosts'!$D$2:$D$192,N$1-9)-10)/((INDEX('Stat Boosts'!$D$2:$D$192,(J53/2+22)-9)-10))))</f>
        <v>0.39672776827859701</v>
      </c>
      <c r="O53" s="16">
        <f>IF((1.75-(($A53+5)/($A53+10))*(INDEX('Stat Boosts'!$D$2:$D$192,O$1-9)-10)/((INDEX('Stat Boosts'!$D$2:$D$192,(K53/2+22)-9)-10)))&lt;0.5,POWER(1.1,1.75-(($A53+5)/($A53+10))*(INDEX('Stat Boosts'!$D$2:$D$192,O$1-9)-10)/((INDEX('Stat Boosts'!$D$2:$D$192,(K53/2+22)-9)-10))-0.5)*0.5,(1.75-(($A53+5)/($A53+10))*(INDEX('Stat Boosts'!$D$2:$D$192,O$1-9)-10)/((INDEX('Stat Boosts'!$D$2:$D$192,(K53/2+22)-9)-10))))</f>
        <v>0.38663403333229873</v>
      </c>
      <c r="P53" s="16">
        <f>IF((1.75-(($A53+5)/($A53+10))*(INDEX('Stat Boosts'!$D$2:$D$192,P$1-9)-10)/((INDEX('Stat Boosts'!$D$2:$D$192,(L53/2+22)-9)-10)))&lt;0.5,POWER(1.1,1.75-(($A53+5)/($A53+10))*(INDEX('Stat Boosts'!$D$2:$D$192,P$1-9)-10)/((INDEX('Stat Boosts'!$D$2:$D$192,(L53/2+22)-9)-10))-0.5)*0.5,(1.75-(($A53+5)/($A53+10))*(INDEX('Stat Boosts'!$D$2:$D$192,P$1-9)-10)/((INDEX('Stat Boosts'!$D$2:$D$192,(L53/2+22)-9)-10))))</f>
        <v>0.37101549625598046</v>
      </c>
      <c r="Q53" s="16">
        <f>IF((1.75-(($A53+5)/($A53+10))*(INDEX('Stat Boosts'!$D$2:$D$192,Q$1-9)-10)/((INDEX('Stat Boosts'!$D$2:$D$192,(M53/2+22)-9)-10)))&lt;0.5,POWER(1.1,1.75-(($A53+5)/($A53+10))*(INDEX('Stat Boosts'!$D$2:$D$192,Q$1-9)-10)/((INDEX('Stat Boosts'!$D$2:$D$192,(M53/2+22)-9)-10))-0.5)*0.5,(1.75-(($A53+5)/($A53+10))*(INDEX('Stat Boosts'!$D$2:$D$192,Q$1-9)-10)/((INDEX('Stat Boosts'!$D$2:$D$192,(M53/2+22)-9)-10))))</f>
        <v>0.35602788837723415</v>
      </c>
      <c r="R53" s="16">
        <f>IF((1.75-(($A53+5)/($A53+10))*1.25*(INDEX('Stat Boosts'!$D$2:$D$192,R$1-9)-10)/((INDEX('Stat Boosts'!$D$2:$D$192,(N53/2+22)-9)-10)))&lt;0.5,POWER(1.1,1.75-(($A53+5)/($A53+10))*1.25*(INDEX('Stat Boosts'!$D$2:$D$192,R$1-9)-10)/((INDEX('Stat Boosts'!$D$2:$D$192,(N53/2+22)-9)-10))-0.5)*0.5,(1.75-(($A53+5)/($A53+10))*1.25*(INDEX('Stat Boosts'!$D$2:$D$192,R$1-9)-10)/((INDEX('Stat Boosts'!$D$2:$D$192,(N53/2+22)-9)-10))))</f>
        <v>0.3015034384973182</v>
      </c>
    </row>
    <row r="54" spans="1:18">
      <c r="A54" s="9">
        <v>53</v>
      </c>
      <c r="B54" s="16">
        <f t="shared" si="0"/>
        <v>43.2</v>
      </c>
      <c r="C54" s="16">
        <f t="shared" si="1"/>
        <v>1.2048192771084336E-2</v>
      </c>
      <c r="E54" s="16">
        <f>IF((1.75-(($A54+5)/($A54+10))*(INDEX('Stat Boosts'!$D$2:$D$192,E$1-9)-10)/((INDEX('Stat Boosts'!$D$2:$D$192,(A54/2+22)-9)-10)))&lt;0.5,POWER(1.1,1.75-(($A54+5)/($A54+10))*(INDEX('Stat Boosts'!$D$2:$D$192,E$1-9)-10)/((INDEX('Stat Boosts'!$D$2:$D$192,(A54/2+22)-9)-10))-0.5)*0.5,(1.75-(($A54+5)/($A54+10))*(INDEX('Stat Boosts'!$D$2:$D$192,E$1-9)-10)/((INDEX('Stat Boosts'!$D$2:$D$192,(A54/2+22)-9)-10))))</f>
        <v>1.75</v>
      </c>
      <c r="F54" s="16">
        <f>IF((1.75-(($A54+5)/($A54+10))*(INDEX('Stat Boosts'!$D$2:$D$192,F$1-9)-10)/((INDEX('Stat Boosts'!$D$2:$D$192,(B54/2+22)-9)-10)))&lt;0.5,POWER(1.1,1.75-(($A54+5)/($A54+10))*(INDEX('Stat Boosts'!$D$2:$D$192,F$1-9)-10)/((INDEX('Stat Boosts'!$D$2:$D$192,(B54/2+22)-9)-10))-0.5)*0.5,(1.75-(($A54+5)/($A54+10))*(INDEX('Stat Boosts'!$D$2:$D$192,F$1-9)-10)/((INDEX('Stat Boosts'!$D$2:$D$192,(B54/2+22)-9)-10))))</f>
        <v>1.6001291989664084</v>
      </c>
      <c r="G54" s="16">
        <f>IF((1.75-(($A54+5)/($A54+10))*(INDEX('Stat Boosts'!$D$2:$D$192,G$1-9)-10)/((INDEX('Stat Boosts'!$D$2:$D$192,(C54/2+22)-9)-10)))&lt;0.5,POWER(1.1,1.75-(($A54+5)/($A54+10))*(INDEX('Stat Boosts'!$D$2:$D$192,G$1-9)-10)/((INDEX('Stat Boosts'!$D$2:$D$192,(C54/2+22)-9)-10))-0.5)*0.5,(1.75-(($A54+5)/($A54+10))*(INDEX('Stat Boosts'!$D$2:$D$192,G$1-9)-10)/((INDEX('Stat Boosts'!$D$2:$D$192,(C54/2+22)-9)-10))))</f>
        <v>0.99183006535947715</v>
      </c>
      <c r="H54" s="16">
        <f>IF((1.75-(($A54+5)/($A54+10))*(INDEX('Stat Boosts'!$D$2:$D$192,H$1-9)-10)/((INDEX('Stat Boosts'!$D$2:$D$192,(D54/2+22)-9)-10)))&lt;0.5,POWER(1.1,1.75-(($A54+5)/($A54+10))*(INDEX('Stat Boosts'!$D$2:$D$192,H$1-9)-10)/((INDEX('Stat Boosts'!$D$2:$D$192,(D54/2+22)-9)-10))-0.5)*0.5,(1.75-(($A54+5)/($A54+10))*(INDEX('Stat Boosts'!$D$2:$D$192,H$1-9)-10)/((INDEX('Stat Boosts'!$D$2:$D$192,(D54/2+22)-9)-10))))</f>
        <v>0.61274509803921573</v>
      </c>
      <c r="I54" s="16">
        <f>IF((1.75-(($A54+5)/($A54+10))*(INDEX('Stat Boosts'!$D$2:$D$192,I$1-9)-10)/((INDEX('Stat Boosts'!$D$2:$D$192,(E54/2+22)-9)-10)))&lt;0.5,POWER(1.1,1.75-(($A54+5)/($A54+10))*(INDEX('Stat Boosts'!$D$2:$D$192,I$1-9)-10)/((INDEX('Stat Boosts'!$D$2:$D$192,(E54/2+22)-9)-10))-0.5)*0.5,(1.75-(($A54+5)/($A54+10))*(INDEX('Stat Boosts'!$D$2:$D$192,I$1-9)-10)/((INDEX('Stat Boosts'!$D$2:$D$192,(E54/2+22)-9)-10))))</f>
        <v>0.4899898712312043</v>
      </c>
      <c r="J54" s="16">
        <f>IF((1.75-(($A54+5)/($A54+10))*(INDEX('Stat Boosts'!$D$2:$D$192,J$1-9)-10)/((INDEX('Stat Boosts'!$D$2:$D$192,(F54/2+22)-9)-10)))&lt;0.5,POWER(1.1,1.75-(($A54+5)/($A54+10))*(INDEX('Stat Boosts'!$D$2:$D$192,J$1-9)-10)/((INDEX('Stat Boosts'!$D$2:$D$192,(F54/2+22)-9)-10))-0.5)*0.5,(1.75-(($A54+5)/($A54+10))*(INDEX('Stat Boosts'!$D$2:$D$192,J$1-9)-10)/((INDEX('Stat Boosts'!$D$2:$D$192,(F54/2+22)-9)-10))))</f>
        <v>0.47504787378901991</v>
      </c>
      <c r="K54" s="16">
        <f>IF((1.75-(($A54+5)/($A54+10))*(INDEX('Stat Boosts'!$D$2:$D$192,K$1-9)-10)/((INDEX('Stat Boosts'!$D$2:$D$192,(G54/2+22)-9)-10)))&lt;0.5,POWER(1.1,1.75-(($A54+5)/($A54+10))*(INDEX('Stat Boosts'!$D$2:$D$192,K$1-9)-10)/((INDEX('Stat Boosts'!$D$2:$D$192,(G54/2+22)-9)-10))-0.5)*0.5,(1.75-(($A54+5)/($A54+10))*(INDEX('Stat Boosts'!$D$2:$D$192,K$1-9)-10)/((INDEX('Stat Boosts'!$D$2:$D$192,(G54/2+22)-9)-10))))</f>
        <v>0.44193122617734459</v>
      </c>
      <c r="L54" s="16">
        <f>IF((1.75-(($A54+5)/($A54+10))*(INDEX('Stat Boosts'!$D$2:$D$192,L$1-9)-10)/((INDEX('Stat Boosts'!$D$2:$D$192,(H54/2+22)-9)-10)))&lt;0.5,POWER(1.1,1.75-(($A54+5)/($A54+10))*(INDEX('Stat Boosts'!$D$2:$D$192,L$1-9)-10)/((INDEX('Stat Boosts'!$D$2:$D$192,(H54/2+22)-9)-10))-0.5)*0.5,(1.75-(($A54+5)/($A54+10))*(INDEX('Stat Boosts'!$D$2:$D$192,L$1-9)-10)/((INDEX('Stat Boosts'!$D$2:$D$192,(H54/2+22)-9)-10))))</f>
        <v>0.4306719491277356</v>
      </c>
      <c r="M54" s="16">
        <f>IF((1.75-(($A54+5)/($A54+10))*(INDEX('Stat Boosts'!$D$2:$D$192,M$1-9)-10)/((INDEX('Stat Boosts'!$D$2:$D$192,(I54/2+22)-9)-10)))&lt;0.5,POWER(1.1,1.75-(($A54+5)/($A54+10))*(INDEX('Stat Boosts'!$D$2:$D$192,M$1-9)-10)/((INDEX('Stat Boosts'!$D$2:$D$192,(I54/2+22)-9)-10))-0.5)*0.5,(1.75-(($A54+5)/($A54+10))*(INDEX('Stat Boosts'!$D$2:$D$192,M$1-9)-10)/((INDEX('Stat Boosts'!$D$2:$D$192,(I54/2+22)-9)-10))))</f>
        <v>0.41538923859477617</v>
      </c>
      <c r="N54" s="16">
        <f>IF((1.75-(($A54+5)/($A54+10))*(INDEX('Stat Boosts'!$D$2:$D$192,N$1-9)-10)/((INDEX('Stat Boosts'!$D$2:$D$192,(J54/2+22)-9)-10)))&lt;0.5,POWER(1.1,1.75-(($A54+5)/($A54+10))*(INDEX('Stat Boosts'!$D$2:$D$192,N$1-9)-10)/((INDEX('Stat Boosts'!$D$2:$D$192,(J54/2+22)-9)-10))-0.5)*0.5,(1.75-(($A54+5)/($A54+10))*(INDEX('Stat Boosts'!$D$2:$D$192,N$1-9)-10)/((INDEX('Stat Boosts'!$D$2:$D$192,(J54/2+22)-9)-10))))</f>
        <v>0.39653420468470424</v>
      </c>
      <c r="O54" s="16">
        <f>IF((1.75-(($A54+5)/($A54+10))*(INDEX('Stat Boosts'!$D$2:$D$192,O$1-9)-10)/((INDEX('Stat Boosts'!$D$2:$D$192,(K54/2+22)-9)-10)))&lt;0.5,POWER(1.1,1.75-(($A54+5)/($A54+10))*(INDEX('Stat Boosts'!$D$2:$D$192,O$1-9)-10)/((INDEX('Stat Boosts'!$D$2:$D$192,(K54/2+22)-9)-10))-0.5)*0.5,(1.75-(($A54+5)/($A54+10))*(INDEX('Stat Boosts'!$D$2:$D$192,O$1-9)-10)/((INDEX('Stat Boosts'!$D$2:$D$192,(K54/2+22)-9)-10))))</f>
        <v>0.38643152760345229</v>
      </c>
      <c r="P54" s="16">
        <f>IF((1.75-(($A54+5)/($A54+10))*(INDEX('Stat Boosts'!$D$2:$D$192,P$1-9)-10)/((INDEX('Stat Boosts'!$D$2:$D$192,(L54/2+22)-9)-10)))&lt;0.5,POWER(1.1,1.75-(($A54+5)/($A54+10))*(INDEX('Stat Boosts'!$D$2:$D$192,P$1-9)-10)/((INDEX('Stat Boosts'!$D$2:$D$192,(L54/2+22)-9)-10))-0.5)*0.5,(1.75-(($A54+5)/($A54+10))*(INDEX('Stat Boosts'!$D$2:$D$192,P$1-9)-10)/((INDEX('Stat Boosts'!$D$2:$D$192,(L54/2+22)-9)-10))))</f>
        <v>0.37079988125354457</v>
      </c>
      <c r="Q54" s="16">
        <f>IF((1.75-(($A54+5)/($A54+10))*(INDEX('Stat Boosts'!$D$2:$D$192,Q$1-9)-10)/((INDEX('Stat Boosts'!$D$2:$D$192,(M54/2+22)-9)-10)))&lt;0.5,POWER(1.1,1.75-(($A54+5)/($A54+10))*(INDEX('Stat Boosts'!$D$2:$D$192,Q$1-9)-10)/((INDEX('Stat Boosts'!$D$2:$D$192,(M54/2+22)-9)-10))-0.5)*0.5,(1.75-(($A54+5)/($A54+10))*(INDEX('Stat Boosts'!$D$2:$D$192,Q$1-9)-10)/((INDEX('Stat Boosts'!$D$2:$D$192,(M54/2+22)-9)-10))))</f>
        <v>0.35580055486242468</v>
      </c>
      <c r="R54" s="16">
        <f>IF((1.75-(($A54+5)/($A54+10))*1.25*(INDEX('Stat Boosts'!$D$2:$D$192,R$1-9)-10)/((INDEX('Stat Boosts'!$D$2:$D$192,(N54/2+22)-9)-10)))&lt;0.5,POWER(1.1,1.75-(($A54+5)/($A54+10))*1.25*(INDEX('Stat Boosts'!$D$2:$D$192,R$1-9)-10)/((INDEX('Stat Boosts'!$D$2:$D$192,(N54/2+22)-9)-10))-0.5)*0.5,(1.75-(($A54+5)/($A54+10))*1.25*(INDEX('Stat Boosts'!$D$2:$D$192,R$1-9)-10)/((INDEX('Stat Boosts'!$D$2:$D$192,(N54/2+22)-9)-10))))</f>
        <v>0.30124118988082638</v>
      </c>
    </row>
    <row r="55" spans="1:18">
      <c r="A55" s="9">
        <v>54</v>
      </c>
      <c r="B55" s="16">
        <f t="shared" si="0"/>
        <v>43.6</v>
      </c>
      <c r="C55" s="16">
        <f t="shared" si="1"/>
        <v>1.1904761904761904E-2</v>
      </c>
      <c r="E55" s="16">
        <f>IF((1.75-(($A55+5)/($A55+10))*(INDEX('Stat Boosts'!$D$2:$D$192,E$1-9)-10)/((INDEX('Stat Boosts'!$D$2:$D$192,(A55/2+22)-9)-10)))&lt;0.5,POWER(1.1,1.75-(($A55+5)/($A55+10))*(INDEX('Stat Boosts'!$D$2:$D$192,E$1-9)-10)/((INDEX('Stat Boosts'!$D$2:$D$192,(A55/2+22)-9)-10))-0.5)*0.5,(1.75-(($A55+5)/($A55+10))*(INDEX('Stat Boosts'!$D$2:$D$192,E$1-9)-10)/((INDEX('Stat Boosts'!$D$2:$D$192,(A55/2+22)-9)-10))))</f>
        <v>1.75</v>
      </c>
      <c r="F55" s="16">
        <f>IF((1.75-(($A55+5)/($A55+10))*(INDEX('Stat Boosts'!$D$2:$D$192,F$1-9)-10)/((INDEX('Stat Boosts'!$D$2:$D$192,(B55/2+22)-9)-10)))&lt;0.5,POWER(1.1,1.75-(($A55+5)/($A55+10))*(INDEX('Stat Boosts'!$D$2:$D$192,F$1-9)-10)/((INDEX('Stat Boosts'!$D$2:$D$192,(B55/2+22)-9)-10))-0.5)*0.5,(1.75-(($A55+5)/($A55+10))*(INDEX('Stat Boosts'!$D$2:$D$192,F$1-9)-10)/((INDEX('Stat Boosts'!$D$2:$D$192,(B55/2+22)-9)-10))))</f>
        <v>1.5999273255813953</v>
      </c>
      <c r="G55" s="16">
        <f>IF((1.75-(($A55+5)/($A55+10))*(INDEX('Stat Boosts'!$D$2:$D$192,G$1-9)-10)/((INDEX('Stat Boosts'!$D$2:$D$192,(C55/2+22)-9)-10)))&lt;0.5,POWER(1.1,1.75-(($A55+5)/($A55+10))*(INDEX('Stat Boosts'!$D$2:$D$192,G$1-9)-10)/((INDEX('Stat Boosts'!$D$2:$D$192,(C55/2+22)-9)-10))-0.5)*0.5,(1.75-(($A55+5)/($A55+10))*(INDEX('Stat Boosts'!$D$2:$D$192,G$1-9)-10)/((INDEX('Stat Boosts'!$D$2:$D$192,(C55/2+22)-9)-10))))</f>
        <v>0.9908088235294118</v>
      </c>
      <c r="H55" s="16">
        <f>IF((1.75-(($A55+5)/($A55+10))*(INDEX('Stat Boosts'!$D$2:$D$192,H$1-9)-10)/((INDEX('Stat Boosts'!$D$2:$D$192,(D55/2+22)-9)-10)))&lt;0.5,POWER(1.1,1.75-(($A55+5)/($A55+10))*(INDEX('Stat Boosts'!$D$2:$D$192,H$1-9)-10)/((INDEX('Stat Boosts'!$D$2:$D$192,(D55/2+22)-9)-10))-0.5)*0.5,(1.75-(($A55+5)/($A55+10))*(INDEX('Stat Boosts'!$D$2:$D$192,H$1-9)-10)/((INDEX('Stat Boosts'!$D$2:$D$192,(D55/2+22)-9)-10))))</f>
        <v>0.61121323529411775</v>
      </c>
      <c r="I55" s="16">
        <f>IF((1.75-(($A55+5)/($A55+10))*(INDEX('Stat Boosts'!$D$2:$D$192,I$1-9)-10)/((INDEX('Stat Boosts'!$D$2:$D$192,(E55/2+22)-9)-10)))&lt;0.5,POWER(1.1,1.75-(($A55+5)/($A55+10))*(INDEX('Stat Boosts'!$D$2:$D$192,I$1-9)-10)/((INDEX('Stat Boosts'!$D$2:$D$192,(E55/2+22)-9)-10))-0.5)*0.5,(1.75-(($A55+5)/($A55+10))*(INDEX('Stat Boosts'!$D$2:$D$192,I$1-9)-10)/((INDEX('Stat Boosts'!$D$2:$D$192,(E55/2+22)-9)-10))))</f>
        <v>0.48989790043344517</v>
      </c>
      <c r="J55" s="16">
        <f>IF((1.75-(($A55+5)/($A55+10))*(INDEX('Stat Boosts'!$D$2:$D$192,J$1-9)-10)/((INDEX('Stat Boosts'!$D$2:$D$192,(F55/2+22)-9)-10)))&lt;0.5,POWER(1.1,1.75-(($A55+5)/($A55+10))*(INDEX('Stat Boosts'!$D$2:$D$192,J$1-9)-10)/((INDEX('Stat Boosts'!$D$2:$D$192,(F55/2+22)-9)-10))-0.5)*0.5,(1.75-(($A55+5)/($A55+10))*(INDEX('Stat Boosts'!$D$2:$D$192,J$1-9)-10)/((INDEX('Stat Boosts'!$D$2:$D$192,(F55/2+22)-9)-10))))</f>
        <v>0.47493889515817783</v>
      </c>
      <c r="K55" s="16">
        <f>IF((1.75-(($A55+5)/($A55+10))*(INDEX('Stat Boosts'!$D$2:$D$192,K$1-9)-10)/((INDEX('Stat Boosts'!$D$2:$D$192,(G55/2+22)-9)-10)))&lt;0.5,POWER(1.1,1.75-(($A55+5)/($A55+10))*(INDEX('Stat Boosts'!$D$2:$D$192,K$1-9)-10)/((INDEX('Stat Boosts'!$D$2:$D$192,(G55/2+22)-9)-10))-0.5)*0.5,(1.75-(($A55+5)/($A55+10))*(INDEX('Stat Boosts'!$D$2:$D$192,K$1-9)-10)/((INDEX('Stat Boosts'!$D$2:$D$192,(G55/2+22)-9)-10))))</f>
        <v>0.44178684138885721</v>
      </c>
      <c r="L55" s="16">
        <f>IF((1.75-(($A55+5)/($A55+10))*(INDEX('Stat Boosts'!$D$2:$D$192,L$1-9)-10)/((INDEX('Stat Boosts'!$D$2:$D$192,(H55/2+22)-9)-10)))&lt;0.5,POWER(1.1,1.75-(($A55+5)/($A55+10))*(INDEX('Stat Boosts'!$D$2:$D$192,L$1-9)-10)/((INDEX('Stat Boosts'!$D$2:$D$192,(H55/2+22)-9)-10))-0.5)*0.5,(1.75-(($A55+5)/($A55+10))*(INDEX('Stat Boosts'!$D$2:$D$192,L$1-9)-10)/((INDEX('Stat Boosts'!$D$2:$D$192,(H55/2+22)-9)-10))))</f>
        <v>0.43051627685167898</v>
      </c>
      <c r="M55" s="16">
        <f>IF((1.75-(($A55+5)/($A55+10))*(INDEX('Stat Boosts'!$D$2:$D$192,M$1-9)-10)/((INDEX('Stat Boosts'!$D$2:$D$192,(I55/2+22)-9)-10)))&lt;0.5,POWER(1.1,1.75-(($A55+5)/($A55+10))*(INDEX('Stat Boosts'!$D$2:$D$192,M$1-9)-10)/((INDEX('Stat Boosts'!$D$2:$D$192,(I55/2+22)-9)-10))-0.5)*0.5,(1.75-(($A55+5)/($A55+10))*(INDEX('Stat Boosts'!$D$2:$D$192,M$1-9)-10)/((INDEX('Stat Boosts'!$D$2:$D$192,(I55/2+22)-9)-10))))</f>
        <v>0.41521888236058851</v>
      </c>
      <c r="N55" s="16">
        <f>IF((1.75-(($A55+5)/($A55+10))*(INDEX('Stat Boosts'!$D$2:$D$192,N$1-9)-10)/((INDEX('Stat Boosts'!$D$2:$D$192,(J55/2+22)-9)-10)))&lt;0.5,POWER(1.1,1.75-(($A55+5)/($A55+10))*(INDEX('Stat Boosts'!$D$2:$D$192,N$1-9)-10)/((INDEX('Stat Boosts'!$D$2:$D$192,(J55/2+22)-9)-10))-0.5)*0.5,(1.75-(($A55+5)/($A55+10))*(INDEX('Stat Boosts'!$D$2:$D$192,N$1-9)-10)/((INDEX('Stat Boosts'!$D$2:$D$192,(J55/2+22)-9)-10))))</f>
        <v>0.39634678001256296</v>
      </c>
      <c r="O55" s="16">
        <f>IF((1.75-(($A55+5)/($A55+10))*(INDEX('Stat Boosts'!$D$2:$D$192,O$1-9)-10)/((INDEX('Stat Boosts'!$D$2:$D$192,(K55/2+22)-9)-10)))&lt;0.5,POWER(1.1,1.75-(($A55+5)/($A55+10))*(INDEX('Stat Boosts'!$D$2:$D$192,O$1-9)-10)/((INDEX('Stat Boosts'!$D$2:$D$192,(K55/2+22)-9)-10))-0.5)*0.5,(1.75-(($A55+5)/($A55+10))*(INDEX('Stat Boosts'!$D$2:$D$192,O$1-9)-10)/((INDEX('Stat Boosts'!$D$2:$D$192,(K55/2+22)-9)-10))))</f>
        <v>0.38623545132474779</v>
      </c>
      <c r="P55" s="16">
        <f>IF((1.75-(($A55+5)/($A55+10))*(INDEX('Stat Boosts'!$D$2:$D$192,P$1-9)-10)/((INDEX('Stat Boosts'!$D$2:$D$192,(L55/2+22)-9)-10)))&lt;0.5,POWER(1.1,1.75-(($A55+5)/($A55+10))*(INDEX('Stat Boosts'!$D$2:$D$192,P$1-9)-10)/((INDEX('Stat Boosts'!$D$2:$D$192,(L55/2+22)-9)-10))-0.5)*0.5,(1.75-(($A55+5)/($A55+10))*(INDEX('Stat Boosts'!$D$2:$D$192,P$1-9)-10)/((INDEX('Stat Boosts'!$D$2:$D$192,(L55/2+22)-9)-10))))</f>
        <v>0.37059112371248282</v>
      </c>
      <c r="Q55" s="16">
        <f>IF((1.75-(($A55+5)/($A55+10))*(INDEX('Stat Boosts'!$D$2:$D$192,Q$1-9)-10)/((INDEX('Stat Boosts'!$D$2:$D$192,(M55/2+22)-9)-10)))&lt;0.5,POWER(1.1,1.75-(($A55+5)/($A55+10))*(INDEX('Stat Boosts'!$D$2:$D$192,Q$1-9)-10)/((INDEX('Stat Boosts'!$D$2:$D$192,(M55/2+22)-9)-10))-0.5)*0.5,(1.75-(($A55+5)/($A55+10))*(INDEX('Stat Boosts'!$D$2:$D$192,Q$1-9)-10)/((INDEX('Stat Boosts'!$D$2:$D$192,(M55/2+22)-9)-10))))</f>
        <v>0.35558046394608872</v>
      </c>
      <c r="R55" s="16">
        <f>IF((1.75-(($A55+5)/($A55+10))*1.25*(INDEX('Stat Boosts'!$D$2:$D$192,R$1-9)-10)/((INDEX('Stat Boosts'!$D$2:$D$192,(N55/2+22)-9)-10)))&lt;0.5,POWER(1.1,1.75-(($A55+5)/($A55+10))*1.25*(INDEX('Stat Boosts'!$D$2:$D$192,R$1-9)-10)/((INDEX('Stat Boosts'!$D$2:$D$192,(N55/2+22)-9)-10))-0.5)*0.5,(1.75-(($A55+5)/($A55+10))*1.25*(INDEX('Stat Boosts'!$D$2:$D$192,R$1-9)-10)/((INDEX('Stat Boosts'!$D$2:$D$192,(N55/2+22)-9)-10))))</f>
        <v>0.30098735405919663</v>
      </c>
    </row>
    <row r="56" spans="1:18">
      <c r="A56" s="9">
        <v>55</v>
      </c>
      <c r="B56" s="16">
        <f t="shared" si="0"/>
        <v>44</v>
      </c>
      <c r="C56" s="16">
        <f t="shared" si="1"/>
        <v>1.1764705882352941E-2</v>
      </c>
      <c r="E56" s="16">
        <f>IF((1.75-(($A56+5)/($A56+10))*(INDEX('Stat Boosts'!$D$2:$D$192,E$1-9)-10)/((INDEX('Stat Boosts'!$D$2:$D$192,(A56/2+22)-9)-10)))&lt;0.5,POWER(1.1,1.75-(($A56+5)/($A56+10))*(INDEX('Stat Boosts'!$D$2:$D$192,E$1-9)-10)/((INDEX('Stat Boosts'!$D$2:$D$192,(A56/2+22)-9)-10))-0.5)*0.5,(1.75-(($A56+5)/($A56+10))*(INDEX('Stat Boosts'!$D$2:$D$192,E$1-9)-10)/((INDEX('Stat Boosts'!$D$2:$D$192,(A56/2+22)-9)-10))))</f>
        <v>1.75</v>
      </c>
      <c r="F56" s="16">
        <f>IF((1.75-(($A56+5)/($A56+10))*(INDEX('Stat Boosts'!$D$2:$D$192,F$1-9)-10)/((INDEX('Stat Boosts'!$D$2:$D$192,(B56/2+22)-9)-10)))&lt;0.5,POWER(1.1,1.75-(($A56+5)/($A56+10))*(INDEX('Stat Boosts'!$D$2:$D$192,F$1-9)-10)/((INDEX('Stat Boosts'!$D$2:$D$192,(B56/2+22)-9)-10))-0.5)*0.5,(1.75-(($A56+5)/($A56+10))*(INDEX('Stat Boosts'!$D$2:$D$192,F$1-9)-10)/((INDEX('Stat Boosts'!$D$2:$D$192,(B56/2+22)-9)-10))))</f>
        <v>1.6031468531468531</v>
      </c>
      <c r="G56" s="16">
        <f>IF((1.75-(($A56+5)/($A56+10))*(INDEX('Stat Boosts'!$D$2:$D$192,G$1-9)-10)/((INDEX('Stat Boosts'!$D$2:$D$192,(C56/2+22)-9)-10)))&lt;0.5,POWER(1.1,1.75-(($A56+5)/($A56+10))*(INDEX('Stat Boosts'!$D$2:$D$192,G$1-9)-10)/((INDEX('Stat Boosts'!$D$2:$D$192,(C56/2+22)-9)-10))-0.5)*0.5,(1.75-(($A56+5)/($A56+10))*(INDEX('Stat Boosts'!$D$2:$D$192,G$1-9)-10)/((INDEX('Stat Boosts'!$D$2:$D$192,(C56/2+22)-9)-10))))</f>
        <v>0.98981900452488691</v>
      </c>
      <c r="H56" s="16">
        <f>IF((1.75-(($A56+5)/($A56+10))*(INDEX('Stat Boosts'!$D$2:$D$192,H$1-9)-10)/((INDEX('Stat Boosts'!$D$2:$D$192,(D56/2+22)-9)-10)))&lt;0.5,POWER(1.1,1.75-(($A56+5)/($A56+10))*(INDEX('Stat Boosts'!$D$2:$D$192,H$1-9)-10)/((INDEX('Stat Boosts'!$D$2:$D$192,(D56/2+22)-9)-10))-0.5)*0.5,(1.75-(($A56+5)/($A56+10))*(INDEX('Stat Boosts'!$D$2:$D$192,H$1-9)-10)/((INDEX('Stat Boosts'!$D$2:$D$192,(D56/2+22)-9)-10))))</f>
        <v>0.60972850678733015</v>
      </c>
      <c r="I56" s="16">
        <f>IF((1.75-(($A56+5)/($A56+10))*(INDEX('Stat Boosts'!$D$2:$D$192,I$1-9)-10)/((INDEX('Stat Boosts'!$D$2:$D$192,(E56/2+22)-9)-10)))&lt;0.5,POWER(1.1,1.75-(($A56+5)/($A56+10))*(INDEX('Stat Boosts'!$D$2:$D$192,I$1-9)-10)/((INDEX('Stat Boosts'!$D$2:$D$192,(E56/2+22)-9)-10))-0.5)*0.5,(1.75-(($A56+5)/($A56+10))*(INDEX('Stat Boosts'!$D$2:$D$192,I$1-9)-10)/((INDEX('Stat Boosts'!$D$2:$D$192,(E56/2+22)-9)-10))))</f>
        <v>0.48980877598070449</v>
      </c>
      <c r="J56" s="16">
        <f>IF((1.75-(($A56+5)/($A56+10))*(INDEX('Stat Boosts'!$D$2:$D$192,J$1-9)-10)/((INDEX('Stat Boosts'!$D$2:$D$192,(F56/2+22)-9)-10)))&lt;0.5,POWER(1.1,1.75-(($A56+5)/($A56+10))*(INDEX('Stat Boosts'!$D$2:$D$192,J$1-9)-10)/((INDEX('Stat Boosts'!$D$2:$D$192,(F56/2+22)-9)-10))-0.5)*0.5,(1.75-(($A56+5)/($A56+10))*(INDEX('Stat Boosts'!$D$2:$D$192,J$1-9)-10)/((INDEX('Stat Boosts'!$D$2:$D$192,(F56/2+22)-9)-10))))</f>
        <v>0.47483329357431292</v>
      </c>
      <c r="K56" s="16">
        <f>IF((1.75-(($A56+5)/($A56+10))*(INDEX('Stat Boosts'!$D$2:$D$192,K$1-9)-10)/((INDEX('Stat Boosts'!$D$2:$D$192,(G56/2+22)-9)-10)))&lt;0.5,POWER(1.1,1.75-(($A56+5)/($A56+10))*(INDEX('Stat Boosts'!$D$2:$D$192,K$1-9)-10)/((INDEX('Stat Boosts'!$D$2:$D$192,(G56/2+22)-9)-10))-0.5)*0.5,(1.75-(($A56+5)/($A56+10))*(INDEX('Stat Boosts'!$D$2:$D$192,K$1-9)-10)/((INDEX('Stat Boosts'!$D$2:$D$192,(G56/2+22)-9)-10))))</f>
        <v>0.44164694422696255</v>
      </c>
      <c r="L56" s="16">
        <f>IF((1.75-(($A56+5)/($A56+10))*(INDEX('Stat Boosts'!$D$2:$D$192,L$1-9)-10)/((INDEX('Stat Boosts'!$D$2:$D$192,(H56/2+22)-9)-10)))&lt;0.5,POWER(1.1,1.75-(($A56+5)/($A56+10))*(INDEX('Stat Boosts'!$D$2:$D$192,L$1-9)-10)/((INDEX('Stat Boosts'!$D$2:$D$192,(H56/2+22)-9)-10))-0.5)*0.5,(1.75-(($A56+5)/($A56+10))*(INDEX('Stat Boosts'!$D$2:$D$192,L$1-9)-10)/((INDEX('Stat Boosts'!$D$2:$D$192,(H56/2+22)-9)-10))))</f>
        <v>0.43036544819144995</v>
      </c>
      <c r="M56" s="16">
        <f>IF((1.75-(($A56+5)/($A56+10))*(INDEX('Stat Boosts'!$D$2:$D$192,M$1-9)-10)/((INDEX('Stat Boosts'!$D$2:$D$192,(I56/2+22)-9)-10)))&lt;0.5,POWER(1.1,1.75-(($A56+5)/($A56+10))*(INDEX('Stat Boosts'!$D$2:$D$192,M$1-9)-10)/((INDEX('Stat Boosts'!$D$2:$D$192,(I56/2+22)-9)-10))-0.5)*0.5,(1.75-(($A56+5)/($A56+10))*(INDEX('Stat Boosts'!$D$2:$D$192,M$1-9)-10)/((INDEX('Stat Boosts'!$D$2:$D$192,(I56/2+22)-9)-10))))</f>
        <v>0.41505383453067546</v>
      </c>
      <c r="N56" s="16">
        <f>IF((1.75-(($A56+5)/($A56+10))*(INDEX('Stat Boosts'!$D$2:$D$192,N$1-9)-10)/((INDEX('Stat Boosts'!$D$2:$D$192,(J56/2+22)-9)-10)))&lt;0.5,POWER(1.1,1.75-(($A56+5)/($A56+10))*(INDEX('Stat Boosts'!$D$2:$D$192,N$1-9)-10)/((INDEX('Stat Boosts'!$D$2:$D$192,(J56/2+22)-9)-10))-0.5)*0.5,(1.75-(($A56+5)/($A56+10))*(INDEX('Stat Boosts'!$D$2:$D$192,N$1-9)-10)/((INDEX('Stat Boosts'!$D$2:$D$192,(J56/2+22)-9)-10))))</f>
        <v>0.39616520679468303</v>
      </c>
      <c r="O56" s="16">
        <f>IF((1.75-(($A56+5)/($A56+10))*(INDEX('Stat Boosts'!$D$2:$D$192,O$1-9)-10)/((INDEX('Stat Boosts'!$D$2:$D$192,(K56/2+22)-9)-10)))&lt;0.5,POWER(1.1,1.75-(($A56+5)/($A56+10))*(INDEX('Stat Boosts'!$D$2:$D$192,O$1-9)-10)/((INDEX('Stat Boosts'!$D$2:$D$192,(K56/2+22)-9)-10))-0.5)*0.5,(1.75-(($A56+5)/($A56+10))*(INDEX('Stat Boosts'!$D$2:$D$192,O$1-9)-10)/((INDEX('Stat Boosts'!$D$2:$D$192,(K56/2+22)-9)-10))))</f>
        <v>0.38604550310764596</v>
      </c>
      <c r="P56" s="16">
        <f>IF((1.75-(($A56+5)/($A56+10))*(INDEX('Stat Boosts'!$D$2:$D$192,P$1-9)-10)/((INDEX('Stat Boosts'!$D$2:$D$192,(L56/2+22)-9)-10)))&lt;0.5,POWER(1.1,1.75-(($A56+5)/($A56+10))*(INDEX('Stat Boosts'!$D$2:$D$192,P$1-9)-10)/((INDEX('Stat Boosts'!$D$2:$D$192,(L56/2+22)-9)-10))-0.5)*0.5,(1.75-(($A56+5)/($A56+10))*(INDEX('Stat Boosts'!$D$2:$D$192,P$1-9)-10)/((INDEX('Stat Boosts'!$D$2:$D$192,(L56/2+22)-9)-10))))</f>
        <v>0.3703889016411715</v>
      </c>
      <c r="Q56" s="16">
        <f>IF((1.75-(($A56+5)/($A56+10))*(INDEX('Stat Boosts'!$D$2:$D$192,Q$1-9)-10)/((INDEX('Stat Boosts'!$D$2:$D$192,(M56/2+22)-9)-10)))&lt;0.5,POWER(1.1,1.75-(($A56+5)/($A56+10))*(INDEX('Stat Boosts'!$D$2:$D$192,Q$1-9)-10)/((INDEX('Stat Boosts'!$D$2:$D$192,(M56/2+22)-9)-10))-0.5)*0.5,(1.75-(($A56+5)/($A56+10))*(INDEX('Stat Boosts'!$D$2:$D$192,Q$1-9)-10)/((INDEX('Stat Boosts'!$D$2:$D$192,(M56/2+22)-9)-10))))</f>
        <v>0.35536727498338333</v>
      </c>
      <c r="R56" s="16">
        <f>IF((1.75-(($A56+5)/($A56+10))*1.25*(INDEX('Stat Boosts'!$D$2:$D$192,R$1-9)-10)/((INDEX('Stat Boosts'!$D$2:$D$192,(N56/2+22)-9)-10)))&lt;0.5,POWER(1.1,1.75-(($A56+5)/($A56+10))*1.25*(INDEX('Stat Boosts'!$D$2:$D$192,R$1-9)-10)/((INDEX('Stat Boosts'!$D$2:$D$192,(N56/2+22)-9)-10))-0.5)*0.5,(1.75-(($A56+5)/($A56+10))*1.25*(INDEX('Stat Boosts'!$D$2:$D$192,R$1-9)-10)/((INDEX('Stat Boosts'!$D$2:$D$192,(N56/2+22)-9)-10))))</f>
        <v>0.30074153269217146</v>
      </c>
    </row>
    <row r="57" spans="1:18">
      <c r="A57" s="9">
        <v>56</v>
      </c>
      <c r="B57" s="16">
        <f t="shared" si="0"/>
        <v>44.4</v>
      </c>
      <c r="C57" s="16">
        <f t="shared" si="1"/>
        <v>1.1627906976744188E-2</v>
      </c>
      <c r="E57" s="16">
        <f>IF((1.75-(($A57+5)/($A57+10))*(INDEX('Stat Boosts'!$D$2:$D$192,E$1-9)-10)/((INDEX('Stat Boosts'!$D$2:$D$192,(A57/2+22)-9)-10)))&lt;0.5,POWER(1.1,1.75-(($A57+5)/($A57+10))*(INDEX('Stat Boosts'!$D$2:$D$192,E$1-9)-10)/((INDEX('Stat Boosts'!$D$2:$D$192,(A57/2+22)-9)-10))-0.5)*0.5,(1.75-(($A57+5)/($A57+10))*(INDEX('Stat Boosts'!$D$2:$D$192,E$1-9)-10)/((INDEX('Stat Boosts'!$D$2:$D$192,(A57/2+22)-9)-10))))</f>
        <v>1.75</v>
      </c>
      <c r="F57" s="16">
        <f>IF((1.75-(($A57+5)/($A57+10))*(INDEX('Stat Boosts'!$D$2:$D$192,F$1-9)-10)/((INDEX('Stat Boosts'!$D$2:$D$192,(B57/2+22)-9)-10)))&lt;0.5,POWER(1.1,1.75-(($A57+5)/($A57+10))*(INDEX('Stat Boosts'!$D$2:$D$192,F$1-9)-10)/((INDEX('Stat Boosts'!$D$2:$D$192,(B57/2+22)-9)-10))-0.5)*0.5,(1.75-(($A57+5)/($A57+10))*(INDEX('Stat Boosts'!$D$2:$D$192,F$1-9)-10)/((INDEX('Stat Boosts'!$D$2:$D$192,(B57/2+22)-9)-10))))</f>
        <v>1.6029614325068871</v>
      </c>
      <c r="G57" s="16">
        <f>IF((1.75-(($A57+5)/($A57+10))*(INDEX('Stat Boosts'!$D$2:$D$192,G$1-9)-10)/((INDEX('Stat Boosts'!$D$2:$D$192,(C57/2+22)-9)-10)))&lt;0.5,POWER(1.1,1.75-(($A57+5)/($A57+10))*(INDEX('Stat Boosts'!$D$2:$D$192,G$1-9)-10)/((INDEX('Stat Boosts'!$D$2:$D$192,(C57/2+22)-9)-10))-0.5)*0.5,(1.75-(($A57+5)/($A57+10))*(INDEX('Stat Boosts'!$D$2:$D$192,G$1-9)-10)/((INDEX('Stat Boosts'!$D$2:$D$192,(C57/2+22)-9)-10))))</f>
        <v>0.98885918003565065</v>
      </c>
      <c r="H57" s="16">
        <f>IF((1.75-(($A57+5)/($A57+10))*(INDEX('Stat Boosts'!$D$2:$D$192,H$1-9)-10)/((INDEX('Stat Boosts'!$D$2:$D$192,(D57/2+22)-9)-10)))&lt;0.5,POWER(1.1,1.75-(($A57+5)/($A57+10))*(INDEX('Stat Boosts'!$D$2:$D$192,H$1-9)-10)/((INDEX('Stat Boosts'!$D$2:$D$192,(D57/2+22)-9)-10))-0.5)*0.5,(1.75-(($A57+5)/($A57+10))*(INDEX('Stat Boosts'!$D$2:$D$192,H$1-9)-10)/((INDEX('Stat Boosts'!$D$2:$D$192,(D57/2+22)-9)-10))))</f>
        <v>0.60828877005347604</v>
      </c>
      <c r="I57" s="16">
        <f>IF((1.75-(($A57+5)/($A57+10))*(INDEX('Stat Boosts'!$D$2:$D$192,I$1-9)-10)/((INDEX('Stat Boosts'!$D$2:$D$192,(E57/2+22)-9)-10)))&lt;0.5,POWER(1.1,1.75-(($A57+5)/($A57+10))*(INDEX('Stat Boosts'!$D$2:$D$192,I$1-9)-10)/((INDEX('Stat Boosts'!$D$2:$D$192,(E57/2+22)-9)-10))-0.5)*0.5,(1.75-(($A57+5)/($A57+10))*(INDEX('Stat Boosts'!$D$2:$D$192,I$1-9)-10)/((INDEX('Stat Boosts'!$D$2:$D$192,(E57/2+22)-9)-10))))</f>
        <v>0.48972236775335781</v>
      </c>
      <c r="J57" s="16">
        <f>IF((1.75-(($A57+5)/($A57+10))*(INDEX('Stat Boosts'!$D$2:$D$192,J$1-9)-10)/((INDEX('Stat Boosts'!$D$2:$D$192,(F57/2+22)-9)-10)))&lt;0.5,POWER(1.1,1.75-(($A57+5)/($A57+10))*(INDEX('Stat Boosts'!$D$2:$D$192,J$1-9)-10)/((INDEX('Stat Boosts'!$D$2:$D$192,(F57/2+22)-9)-10))-0.5)*0.5,(1.75-(($A57+5)/($A57+10))*(INDEX('Stat Boosts'!$D$2:$D$192,J$1-9)-10)/((INDEX('Stat Boosts'!$D$2:$D$192,(F57/2+22)-9)-10))))</f>
        <v>0.47473091446226195</v>
      </c>
      <c r="K57" s="16">
        <f>IF((1.75-(($A57+5)/($A57+10))*(INDEX('Stat Boosts'!$D$2:$D$192,K$1-9)-10)/((INDEX('Stat Boosts'!$D$2:$D$192,(G57/2+22)-9)-10)))&lt;0.5,POWER(1.1,1.75-(($A57+5)/($A57+10))*(INDEX('Stat Boosts'!$D$2:$D$192,K$1-9)-10)/((INDEX('Stat Boosts'!$D$2:$D$192,(G57/2+22)-9)-10))-0.5)*0.5,(1.75-(($A57+5)/($A57+10))*(INDEX('Stat Boosts'!$D$2:$D$192,K$1-9)-10)/((INDEX('Stat Boosts'!$D$2:$D$192,(G57/2+22)-9)-10))))</f>
        <v>0.44151132867997001</v>
      </c>
      <c r="L57" s="16">
        <f>IF((1.75-(($A57+5)/($A57+10))*(INDEX('Stat Boosts'!$D$2:$D$192,L$1-9)-10)/((INDEX('Stat Boosts'!$D$2:$D$192,(H57/2+22)-9)-10)))&lt;0.5,POWER(1.1,1.75-(($A57+5)/($A57+10))*(INDEX('Stat Boosts'!$D$2:$D$192,L$1-9)-10)/((INDEX('Stat Boosts'!$D$2:$D$192,(H57/2+22)-9)-10))-0.5)*0.5,(1.75-(($A57+5)/($A57+10))*(INDEX('Stat Boosts'!$D$2:$D$192,L$1-9)-10)/((INDEX('Stat Boosts'!$D$2:$D$192,(H57/2+22)-9)-10))))</f>
        <v>0.43021924056108868</v>
      </c>
      <c r="M57" s="16">
        <f>IF((1.75-(($A57+5)/($A57+10))*(INDEX('Stat Boosts'!$D$2:$D$192,M$1-9)-10)/((INDEX('Stat Boosts'!$D$2:$D$192,(I57/2+22)-9)-10)))&lt;0.5,POWER(1.1,1.75-(($A57+5)/($A57+10))*(INDEX('Stat Boosts'!$D$2:$D$192,M$1-9)-10)/((INDEX('Stat Boosts'!$D$2:$D$192,(I57/2+22)-9)-10))-0.5)*0.5,(1.75-(($A57+5)/($A57+10))*(INDEX('Stat Boosts'!$D$2:$D$192,M$1-9)-10)/((INDEX('Stat Boosts'!$D$2:$D$192,(I57/2+22)-9)-10))))</f>
        <v>0.41489385080428975</v>
      </c>
      <c r="N57" s="16">
        <f>IF((1.75-(($A57+5)/($A57+10))*(INDEX('Stat Boosts'!$D$2:$D$192,N$1-9)-10)/((INDEX('Stat Boosts'!$D$2:$D$192,(J57/2+22)-9)-10)))&lt;0.5,POWER(1.1,1.75-(($A57+5)/($A57+10))*(INDEX('Stat Boosts'!$D$2:$D$192,N$1-9)-10)/((INDEX('Stat Boosts'!$D$2:$D$192,(J57/2+22)-9)-10))-0.5)*0.5,(1.75-(($A57+5)/($A57+10))*(INDEX('Stat Boosts'!$D$2:$D$192,N$1-9)-10)/((INDEX('Stat Boosts'!$D$2:$D$192,(J57/2+22)-9)-10))))</f>
        <v>0.39598921523488295</v>
      </c>
      <c r="O57" s="16">
        <f>IF((1.75-(($A57+5)/($A57+10))*(INDEX('Stat Boosts'!$D$2:$D$192,O$1-9)-10)/((INDEX('Stat Boosts'!$D$2:$D$192,(K57/2+22)-9)-10)))&lt;0.5,POWER(1.1,1.75-(($A57+5)/($A57+10))*(INDEX('Stat Boosts'!$D$2:$D$192,O$1-9)-10)/((INDEX('Stat Boosts'!$D$2:$D$192,(K57/2+22)-9)-10))-0.5)*0.5,(1.75-(($A57+5)/($A57+10))*(INDEX('Stat Boosts'!$D$2:$D$192,O$1-9)-10)/((INDEX('Stat Boosts'!$D$2:$D$192,(K57/2+22)-9)-10))))</f>
        <v>0.38586140010966752</v>
      </c>
      <c r="P57" s="16">
        <f>IF((1.75-(($A57+5)/($A57+10))*(INDEX('Stat Boosts'!$D$2:$D$192,P$1-9)-10)/((INDEX('Stat Boosts'!$D$2:$D$192,(L57/2+22)-9)-10)))&lt;0.5,POWER(1.1,1.75-(($A57+5)/($A57+10))*(INDEX('Stat Boosts'!$D$2:$D$192,P$1-9)-10)/((INDEX('Stat Boosts'!$D$2:$D$192,(L57/2+22)-9)-10))-0.5)*0.5,(1.75-(($A57+5)/($A57+10))*(INDEX('Stat Boosts'!$D$2:$D$192,P$1-9)-10)/((INDEX('Stat Boosts'!$D$2:$D$192,(L57/2+22)-9)-10))))</f>
        <v>0.37019291289426742</v>
      </c>
      <c r="Q57" s="16">
        <f>IF((1.75-(($A57+5)/($A57+10))*(INDEX('Stat Boosts'!$D$2:$D$192,Q$1-9)-10)/((INDEX('Stat Boosts'!$D$2:$D$192,(M57/2+22)-9)-10)))&lt;0.5,POWER(1.1,1.75-(($A57+5)/($A57+10))*(INDEX('Stat Boosts'!$D$2:$D$192,Q$1-9)-10)/((INDEX('Stat Boosts'!$D$2:$D$192,(M57/2+22)-9)-10))-0.5)*0.5,(1.75-(($A57+5)/($A57+10))*(INDEX('Stat Boosts'!$D$2:$D$192,Q$1-9)-10)/((INDEX('Stat Boosts'!$D$2:$D$192,(M57/2+22)-9)-10))))</f>
        <v>0.35516066835965732</v>
      </c>
      <c r="R57" s="16">
        <f>IF((1.75-(($A57+5)/($A57+10))*1.25*(INDEX('Stat Boosts'!$D$2:$D$192,R$1-9)-10)/((INDEX('Stat Boosts'!$D$2:$D$192,(N57/2+22)-9)-10)))&lt;0.5,POWER(1.1,1.75-(($A57+5)/($A57+10))*1.25*(INDEX('Stat Boosts'!$D$2:$D$192,R$1-9)-10)/((INDEX('Stat Boosts'!$D$2:$D$192,(N57/2+22)-9)-10))-0.5)*0.5,(1.75-(($A57+5)/($A57+10))*1.25*(INDEX('Stat Boosts'!$D$2:$D$192,R$1-9)-10)/((INDEX('Stat Boosts'!$D$2:$D$192,(N57/2+22)-9)-10))))</f>
        <v>0.30050335219188656</v>
      </c>
    </row>
    <row r="58" spans="1:18">
      <c r="A58" s="9">
        <v>57</v>
      </c>
      <c r="B58" s="16">
        <f t="shared" si="0"/>
        <v>44.8</v>
      </c>
      <c r="C58" s="16">
        <f t="shared" si="1"/>
        <v>1.149425287356322E-2</v>
      </c>
      <c r="E58" s="16">
        <f>IF((1.75-(($A58+5)/($A58+10))*(INDEX('Stat Boosts'!$D$2:$D$192,E$1-9)-10)/((INDEX('Stat Boosts'!$D$2:$D$192,(A58/2+22)-9)-10)))&lt;0.5,POWER(1.1,1.75-(($A58+5)/($A58+10))*(INDEX('Stat Boosts'!$D$2:$D$192,E$1-9)-10)/((INDEX('Stat Boosts'!$D$2:$D$192,(A58/2+22)-9)-10))-0.5)*0.5,(1.75-(($A58+5)/($A58+10))*(INDEX('Stat Boosts'!$D$2:$D$192,E$1-9)-10)/((INDEX('Stat Boosts'!$D$2:$D$192,(A58/2+22)-9)-10))))</f>
        <v>1.75</v>
      </c>
      <c r="F58" s="16">
        <f>IF((1.75-(($A58+5)/($A58+10))*(INDEX('Stat Boosts'!$D$2:$D$192,F$1-9)-10)/((INDEX('Stat Boosts'!$D$2:$D$192,(B58/2+22)-9)-10)))&lt;0.5,POWER(1.1,1.75-(($A58+5)/($A58+10))*(INDEX('Stat Boosts'!$D$2:$D$192,F$1-9)-10)/((INDEX('Stat Boosts'!$D$2:$D$192,(B58/2+22)-9)-10))-0.5)*0.5,(1.75-(($A58+5)/($A58+10))*(INDEX('Stat Boosts'!$D$2:$D$192,F$1-9)-10)/((INDEX('Stat Boosts'!$D$2:$D$192,(B58/2+22)-9)-10))))</f>
        <v>1.6027815468113975</v>
      </c>
      <c r="G58" s="16">
        <f>IF((1.75-(($A58+5)/($A58+10))*(INDEX('Stat Boosts'!$D$2:$D$192,G$1-9)-10)/((INDEX('Stat Boosts'!$D$2:$D$192,(C58/2+22)-9)-10)))&lt;0.5,POWER(1.1,1.75-(($A58+5)/($A58+10))*(INDEX('Stat Boosts'!$D$2:$D$192,G$1-9)-10)/((INDEX('Stat Boosts'!$D$2:$D$192,(C58/2+22)-9)-10))-0.5)*0.5,(1.75-(($A58+5)/($A58+10))*(INDEX('Stat Boosts'!$D$2:$D$192,G$1-9)-10)/((INDEX('Stat Boosts'!$D$2:$D$192,(C58/2+22)-9)-10))))</f>
        <v>0.98792800702370509</v>
      </c>
      <c r="H58" s="16">
        <f>IF((1.75-(($A58+5)/($A58+10))*(INDEX('Stat Boosts'!$D$2:$D$192,H$1-9)-10)/((INDEX('Stat Boosts'!$D$2:$D$192,(D58/2+22)-9)-10)))&lt;0.5,POWER(1.1,1.75-(($A58+5)/($A58+10))*(INDEX('Stat Boosts'!$D$2:$D$192,H$1-9)-10)/((INDEX('Stat Boosts'!$D$2:$D$192,(D58/2+22)-9)-10))-0.5)*0.5,(1.75-(($A58+5)/($A58+10))*(INDEX('Stat Boosts'!$D$2:$D$192,H$1-9)-10)/((INDEX('Stat Boosts'!$D$2:$D$192,(D58/2+22)-9)-10))))</f>
        <v>0.60689201053555752</v>
      </c>
      <c r="I58" s="16">
        <f>IF((1.75-(($A58+5)/($A58+10))*(INDEX('Stat Boosts'!$D$2:$D$192,I$1-9)-10)/((INDEX('Stat Boosts'!$D$2:$D$192,(E58/2+22)-9)-10)))&lt;0.5,POWER(1.1,1.75-(($A58+5)/($A58+10))*(INDEX('Stat Boosts'!$D$2:$D$192,I$1-9)-10)/((INDEX('Stat Boosts'!$D$2:$D$192,(E58/2+22)-9)-10))-0.5)*0.5,(1.75-(($A58+5)/($A58+10))*(INDEX('Stat Boosts'!$D$2:$D$192,I$1-9)-10)/((INDEX('Stat Boosts'!$D$2:$D$192,(E58/2+22)-9)-10))))</f>
        <v>0.48963855344381763</v>
      </c>
      <c r="J58" s="16">
        <f>IF((1.75-(($A58+5)/($A58+10))*(INDEX('Stat Boosts'!$D$2:$D$192,J$1-9)-10)/((INDEX('Stat Boosts'!$D$2:$D$192,(F58/2+22)-9)-10)))&lt;0.5,POWER(1.1,1.75-(($A58+5)/($A58+10))*(INDEX('Stat Boosts'!$D$2:$D$192,J$1-9)-10)/((INDEX('Stat Boosts'!$D$2:$D$192,(F58/2+22)-9)-10))-0.5)*0.5,(1.75-(($A58+5)/($A58+10))*(INDEX('Stat Boosts'!$D$2:$D$192,J$1-9)-10)/((INDEX('Stat Boosts'!$D$2:$D$192,(F58/2+22)-9)-10))))</f>
        <v>0.47463161253862507</v>
      </c>
      <c r="K58" s="16">
        <f>IF((1.75-(($A58+5)/($A58+10))*(INDEX('Stat Boosts'!$D$2:$D$192,K$1-9)-10)/((INDEX('Stat Boosts'!$D$2:$D$192,(G58/2+22)-9)-10)))&lt;0.5,POWER(1.1,1.75-(($A58+5)/($A58+10))*(INDEX('Stat Boosts'!$D$2:$D$192,K$1-9)-10)/((INDEX('Stat Boosts'!$D$2:$D$192,(G58/2+22)-9)-10))-0.5)*0.5,(1.75-(($A58+5)/($A58+10))*(INDEX('Stat Boosts'!$D$2:$D$192,K$1-9)-10)/((INDEX('Stat Boosts'!$D$2:$D$192,(G58/2+22)-9)-10))))</f>
        <v>0.44137980115548153</v>
      </c>
      <c r="L58" s="16">
        <f>IF((1.75-(($A58+5)/($A58+10))*(INDEX('Stat Boosts'!$D$2:$D$192,L$1-9)-10)/((INDEX('Stat Boosts'!$D$2:$D$192,(H58/2+22)-9)-10)))&lt;0.5,POWER(1.1,1.75-(($A58+5)/($A58+10))*(INDEX('Stat Boosts'!$D$2:$D$192,L$1-9)-10)/((INDEX('Stat Boosts'!$D$2:$D$192,(H58/2+22)-9)-10))-0.5)*0.5,(1.75-(($A58+5)/($A58+10))*(INDEX('Stat Boosts'!$D$2:$D$192,L$1-9)-10)/((INDEX('Stat Boosts'!$D$2:$D$192,(H58/2+22)-9)-10))))</f>
        <v>0.43007744480679533</v>
      </c>
      <c r="M58" s="16">
        <f>IF((1.75-(($A58+5)/($A58+10))*(INDEX('Stat Boosts'!$D$2:$D$192,M$1-9)-10)/((INDEX('Stat Boosts'!$D$2:$D$192,(I58/2+22)-9)-10)))&lt;0.5,POWER(1.1,1.75-(($A58+5)/($A58+10))*(INDEX('Stat Boosts'!$D$2:$D$192,M$1-9)-10)/((INDEX('Stat Boosts'!$D$2:$D$192,(I58/2+22)-9)-10))-0.5)*0.5,(1.75-(($A58+5)/($A58+10))*(INDEX('Stat Boosts'!$D$2:$D$192,M$1-9)-10)/((INDEX('Stat Boosts'!$D$2:$D$192,(I58/2+22)-9)-10))))</f>
        <v>0.41473870164425458</v>
      </c>
      <c r="N58" s="16">
        <f>IF((1.75-(($A58+5)/($A58+10))*(INDEX('Stat Boosts'!$D$2:$D$192,N$1-9)-10)/((INDEX('Stat Boosts'!$D$2:$D$192,(J58/2+22)-9)-10)))&lt;0.5,POWER(1.1,1.75-(($A58+5)/($A58+10))*(INDEX('Stat Boosts'!$D$2:$D$192,N$1-9)-10)/((INDEX('Stat Boosts'!$D$2:$D$192,(J58/2+22)-9)-10))-0.5)*0.5,(1.75-(($A58+5)/($A58+10))*(INDEX('Stat Boosts'!$D$2:$D$192,N$1-9)-10)/((INDEX('Stat Boosts'!$D$2:$D$192,(J58/2+22)-9)-10))))</f>
        <v>0.39581855187105502</v>
      </c>
      <c r="O58" s="16">
        <f>IF((1.75-(($A58+5)/($A58+10))*(INDEX('Stat Boosts'!$D$2:$D$192,O$1-9)-10)/((INDEX('Stat Boosts'!$D$2:$D$192,(K58/2+22)-9)-10)))&lt;0.5,POWER(1.1,1.75-(($A58+5)/($A58+10))*(INDEX('Stat Boosts'!$D$2:$D$192,O$1-9)-10)/((INDEX('Stat Boosts'!$D$2:$D$192,(K58/2+22)-9)-10))-0.5)*0.5,(1.75-(($A58+5)/($A58+10))*(INDEX('Stat Boosts'!$D$2:$D$192,O$1-9)-10)/((INDEX('Stat Boosts'!$D$2:$D$192,(K58/2+22)-9)-10))))</f>
        <v>0.38568287662956008</v>
      </c>
      <c r="P58" s="16">
        <f>IF((1.75-(($A58+5)/($A58+10))*(INDEX('Stat Boosts'!$D$2:$D$192,P$1-9)-10)/((INDEX('Stat Boosts'!$D$2:$D$192,(L58/2+22)-9)-10)))&lt;0.5,POWER(1.1,1.75-(($A58+5)/($A58+10))*(INDEX('Stat Boosts'!$D$2:$D$192,P$1-9)-10)/((INDEX('Stat Boosts'!$D$2:$D$192,(L58/2+22)-9)-10))-0.5)*0.5,(1.75-(($A58+5)/($A58+10))*(INDEX('Stat Boosts'!$D$2:$D$192,P$1-9)-10)/((INDEX('Stat Boosts'!$D$2:$D$192,(L58/2+22)-9)-10))))</f>
        <v>0.37000287366698953</v>
      </c>
      <c r="Q58" s="16">
        <f>IF((1.75-(($A58+5)/($A58+10))*(INDEX('Stat Boosts'!$D$2:$D$192,Q$1-9)-10)/((INDEX('Stat Boosts'!$D$2:$D$192,(M58/2+22)-9)-10)))&lt;0.5,POWER(1.1,1.75-(($A58+5)/($A58+10))*(INDEX('Stat Boosts'!$D$2:$D$192,Q$1-9)-10)/((INDEX('Stat Boosts'!$D$2:$D$192,(M58/2+22)-9)-10))-0.5)*0.5,(1.75-(($A58+5)/($A58+10))*(INDEX('Stat Boosts'!$D$2:$D$192,Q$1-9)-10)/((INDEX('Stat Boosts'!$D$2:$D$192,(M58/2+22)-9)-10))))</f>
        <v>0.35496034389237791</v>
      </c>
      <c r="R58" s="16">
        <f>IF((1.75-(($A58+5)/($A58+10))*1.25*(INDEX('Stat Boosts'!$D$2:$D$192,R$1-9)-10)/((INDEX('Stat Boosts'!$D$2:$D$192,(N58/2+22)-9)-10)))&lt;0.5,POWER(1.1,1.75-(($A58+5)/($A58+10))*1.25*(INDEX('Stat Boosts'!$D$2:$D$192,R$1-9)-10)/((INDEX('Stat Boosts'!$D$2:$D$192,(N58/2+22)-9)-10))-0.5)*0.5,(1.75-(($A58+5)/($A58+10))*1.25*(INDEX('Stat Boosts'!$D$2:$D$192,R$1-9)-10)/((INDEX('Stat Boosts'!$D$2:$D$192,(N58/2+22)-9)-10))))</f>
        <v>0.30027246183004164</v>
      </c>
    </row>
    <row r="59" spans="1:18">
      <c r="A59" s="9">
        <v>58</v>
      </c>
      <c r="B59" s="16">
        <f t="shared" si="0"/>
        <v>45.2</v>
      </c>
      <c r="C59" s="16">
        <f t="shared" si="1"/>
        <v>1.1363636363636364E-2</v>
      </c>
      <c r="E59" s="16">
        <f>IF((1.75-(($A59+5)/($A59+10))*(INDEX('Stat Boosts'!$D$2:$D$192,E$1-9)-10)/((INDEX('Stat Boosts'!$D$2:$D$192,(A59/2+22)-9)-10)))&lt;0.5,POWER(1.1,1.75-(($A59+5)/($A59+10))*(INDEX('Stat Boosts'!$D$2:$D$192,E$1-9)-10)/((INDEX('Stat Boosts'!$D$2:$D$192,(A59/2+22)-9)-10))-0.5)*0.5,(1.75-(($A59+5)/($A59+10))*(INDEX('Stat Boosts'!$D$2:$D$192,E$1-9)-10)/((INDEX('Stat Boosts'!$D$2:$D$192,(A59/2+22)-9)-10))))</f>
        <v>1.75</v>
      </c>
      <c r="F59" s="16">
        <f>IF((1.75-(($A59+5)/($A59+10))*(INDEX('Stat Boosts'!$D$2:$D$192,F$1-9)-10)/((INDEX('Stat Boosts'!$D$2:$D$192,(B59/2+22)-9)-10)))&lt;0.5,POWER(1.1,1.75-(($A59+5)/($A59+10))*(INDEX('Stat Boosts'!$D$2:$D$192,F$1-9)-10)/((INDEX('Stat Boosts'!$D$2:$D$192,(B59/2+22)-9)-10))-0.5)*0.5,(1.75-(($A59+5)/($A59+10))*(INDEX('Stat Boosts'!$D$2:$D$192,F$1-9)-10)/((INDEX('Stat Boosts'!$D$2:$D$192,(B59/2+22)-9)-10))))</f>
        <v>1.6026069518716577</v>
      </c>
      <c r="G59" s="16">
        <f>IF((1.75-(($A59+5)/($A59+10))*(INDEX('Stat Boosts'!$D$2:$D$192,G$1-9)-10)/((INDEX('Stat Boosts'!$D$2:$D$192,(C59/2+22)-9)-10)))&lt;0.5,POWER(1.1,1.75-(($A59+5)/($A59+10))*(INDEX('Stat Boosts'!$D$2:$D$192,G$1-9)-10)/((INDEX('Stat Boosts'!$D$2:$D$192,(C59/2+22)-9)-10))-0.5)*0.5,(1.75-(($A59+5)/($A59+10))*(INDEX('Stat Boosts'!$D$2:$D$192,G$1-9)-10)/((INDEX('Stat Boosts'!$D$2:$D$192,(C59/2+22)-9)-10))))</f>
        <v>0.98702422145328716</v>
      </c>
      <c r="H59" s="16">
        <f>IF((1.75-(($A59+5)/($A59+10))*(INDEX('Stat Boosts'!$D$2:$D$192,H$1-9)-10)/((INDEX('Stat Boosts'!$D$2:$D$192,(D59/2+22)-9)-10)))&lt;0.5,POWER(1.1,1.75-(($A59+5)/($A59+10))*(INDEX('Stat Boosts'!$D$2:$D$192,H$1-9)-10)/((INDEX('Stat Boosts'!$D$2:$D$192,(D59/2+22)-9)-10))-0.5)*0.5,(1.75-(($A59+5)/($A59+10))*(INDEX('Stat Boosts'!$D$2:$D$192,H$1-9)-10)/((INDEX('Stat Boosts'!$D$2:$D$192,(D59/2+22)-9)-10))))</f>
        <v>0.60553633217993075</v>
      </c>
      <c r="I59" s="16">
        <f>IF((1.75-(($A59+5)/($A59+10))*(INDEX('Stat Boosts'!$D$2:$D$192,I$1-9)-10)/((INDEX('Stat Boosts'!$D$2:$D$192,(E59/2+22)-9)-10)))&lt;0.5,POWER(1.1,1.75-(($A59+5)/($A59+10))*(INDEX('Stat Boosts'!$D$2:$D$192,I$1-9)-10)/((INDEX('Stat Boosts'!$D$2:$D$192,(E59/2+22)-9)-10))-0.5)*0.5,(1.75-(($A59+5)/($A59+10))*(INDEX('Stat Boosts'!$D$2:$D$192,I$1-9)-10)/((INDEX('Stat Boosts'!$D$2:$D$192,(E59/2+22)-9)-10))))</f>
        <v>0.48955721797894169</v>
      </c>
      <c r="J59" s="16">
        <f>IF((1.75-(($A59+5)/($A59+10))*(INDEX('Stat Boosts'!$D$2:$D$192,J$1-9)-10)/((INDEX('Stat Boosts'!$D$2:$D$192,(F59/2+22)-9)-10)))&lt;0.5,POWER(1.1,1.75-(($A59+5)/($A59+10))*(INDEX('Stat Boosts'!$D$2:$D$192,J$1-9)-10)/((INDEX('Stat Boosts'!$D$2:$D$192,(F59/2+22)-9)-10))-0.5)*0.5,(1.75-(($A59+5)/($A59+10))*(INDEX('Stat Boosts'!$D$2:$D$192,J$1-9)-10)/((INDEX('Stat Boosts'!$D$2:$D$192,(F59/2+22)-9)-10))))</f>
        <v>0.47453525112393397</v>
      </c>
      <c r="K59" s="16">
        <f>IF((1.75-(($A59+5)/($A59+10))*(INDEX('Stat Boosts'!$D$2:$D$192,K$1-9)-10)/((INDEX('Stat Boosts'!$D$2:$D$192,(G59/2+22)-9)-10)))&lt;0.5,POWER(1.1,1.75-(($A59+5)/($A59+10))*(INDEX('Stat Boosts'!$D$2:$D$192,K$1-9)-10)/((INDEX('Stat Boosts'!$D$2:$D$192,(G59/2+22)-9)-10))-0.5)*0.5,(1.75-(($A59+5)/($A59+10))*(INDEX('Stat Boosts'!$D$2:$D$192,K$1-9)-10)/((INDEX('Stat Boosts'!$D$2:$D$192,(G59/2+22)-9)-10))))</f>
        <v>0.44125217955845236</v>
      </c>
      <c r="L59" s="16">
        <f>IF((1.75-(($A59+5)/($A59+10))*(INDEX('Stat Boosts'!$D$2:$D$192,L$1-9)-10)/((INDEX('Stat Boosts'!$D$2:$D$192,(H59/2+22)-9)-10)))&lt;0.5,POWER(1.1,1.75-(($A59+5)/($A59+10))*(INDEX('Stat Boosts'!$D$2:$D$192,L$1-9)-10)/((INDEX('Stat Boosts'!$D$2:$D$192,(H59/2+22)-9)-10))-0.5)*0.5,(1.75-(($A59+5)/($A59+10))*(INDEX('Stat Boosts'!$D$2:$D$192,L$1-9)-10)/((INDEX('Stat Boosts'!$D$2:$D$192,(H59/2+22)-9)-10))))</f>
        <v>0.42993986420880526</v>
      </c>
      <c r="M59" s="16">
        <f>IF((1.75-(($A59+5)/($A59+10))*(INDEX('Stat Boosts'!$D$2:$D$192,M$1-9)-10)/((INDEX('Stat Boosts'!$D$2:$D$192,(I59/2+22)-9)-10)))&lt;0.5,POWER(1.1,1.75-(($A59+5)/($A59+10))*(INDEX('Stat Boosts'!$D$2:$D$192,M$1-9)-10)/((INDEX('Stat Boosts'!$D$2:$D$192,(I59/2+22)-9)-10))-0.5)*0.5,(1.75-(($A59+5)/($A59+10))*(INDEX('Stat Boosts'!$D$2:$D$192,M$1-9)-10)/((INDEX('Stat Boosts'!$D$2:$D$192,(I59/2+22)-9)-10))))</f>
        <v>0.4145881711783746</v>
      </c>
      <c r="N59" s="16">
        <f>IF((1.75-(($A59+5)/($A59+10))*(INDEX('Stat Boosts'!$D$2:$D$192,N$1-9)-10)/((INDEX('Stat Boosts'!$D$2:$D$192,(J59/2+22)-9)-10)))&lt;0.5,POWER(1.1,1.75-(($A59+5)/($A59+10))*(INDEX('Stat Boosts'!$D$2:$D$192,N$1-9)-10)/((INDEX('Stat Boosts'!$D$2:$D$192,(J59/2+22)-9)-10))-0.5)*0.5,(1.75-(($A59+5)/($A59+10))*(INDEX('Stat Boosts'!$D$2:$D$192,N$1-9)-10)/((INDEX('Stat Boosts'!$D$2:$D$192,(J59/2+22)-9)-10))))</f>
        <v>0.39565297835754393</v>
      </c>
      <c r="O59" s="16">
        <f>IF((1.75-(($A59+5)/($A59+10))*(INDEX('Stat Boosts'!$D$2:$D$192,O$1-9)-10)/((INDEX('Stat Boosts'!$D$2:$D$192,(K59/2+22)-9)-10)))&lt;0.5,POWER(1.1,1.75-(($A59+5)/($A59+10))*(INDEX('Stat Boosts'!$D$2:$D$192,O$1-9)-10)/((INDEX('Stat Boosts'!$D$2:$D$192,(K59/2+22)-9)-10))-0.5)*0.5,(1.75-(($A59+5)/($A59+10))*(INDEX('Stat Boosts'!$D$2:$D$192,O$1-9)-10)/((INDEX('Stat Boosts'!$D$2:$D$192,(K59/2+22)-9)-10))))</f>
        <v>0.38550968282824738</v>
      </c>
      <c r="P59" s="16">
        <f>IF((1.75-(($A59+5)/($A59+10))*(INDEX('Stat Boosts'!$D$2:$D$192,P$1-9)-10)/((INDEX('Stat Boosts'!$D$2:$D$192,(L59/2+22)-9)-10)))&lt;0.5,POWER(1.1,1.75-(($A59+5)/($A59+10))*(INDEX('Stat Boosts'!$D$2:$D$192,P$1-9)-10)/((INDEX('Stat Boosts'!$D$2:$D$192,(L59/2+22)-9)-10))-0.5)*0.5,(1.75-(($A59+5)/($A59+10))*(INDEX('Stat Boosts'!$D$2:$D$192,P$1-9)-10)/((INDEX('Stat Boosts'!$D$2:$D$192,(L59/2+22)-9)-10))))</f>
        <v>0.36981851712442404</v>
      </c>
      <c r="Q59" s="16">
        <f>IF((1.75-(($A59+5)/($A59+10))*(INDEX('Stat Boosts'!$D$2:$D$192,Q$1-9)-10)/((INDEX('Stat Boosts'!$D$2:$D$192,(M59/2+22)-9)-10)))&lt;0.5,POWER(1.1,1.75-(($A59+5)/($A59+10))*(INDEX('Stat Boosts'!$D$2:$D$192,Q$1-9)-10)/((INDEX('Stat Boosts'!$D$2:$D$192,(M59/2+22)-9)-10))-0.5)*0.5,(1.75-(($A59+5)/($A59+10))*(INDEX('Stat Boosts'!$D$2:$D$192,Q$1-9)-10)/((INDEX('Stat Boosts'!$D$2:$D$192,(M59/2+22)-9)-10))))</f>
        <v>0.35476601937658703</v>
      </c>
      <c r="R59" s="16">
        <f>IF((1.75-(($A59+5)/($A59+10))*1.25*(INDEX('Stat Boosts'!$D$2:$D$192,R$1-9)-10)/((INDEX('Stat Boosts'!$D$2:$D$192,(N59/2+22)-9)-10)))&lt;0.5,POWER(1.1,1.75-(($A59+5)/($A59+10))*1.25*(INDEX('Stat Boosts'!$D$2:$D$192,R$1-9)-10)/((INDEX('Stat Boosts'!$D$2:$D$192,(N59/2+22)-9)-10))-0.5)*0.5,(1.75-(($A59+5)/($A59+10))*1.25*(INDEX('Stat Boosts'!$D$2:$D$192,R$1-9)-10)/((INDEX('Stat Boosts'!$D$2:$D$192,(N59/2+22)-9)-10))))</f>
        <v>0.30004853201611759</v>
      </c>
    </row>
    <row r="60" spans="1:18">
      <c r="A60" s="9">
        <v>59</v>
      </c>
      <c r="B60" s="16">
        <f t="shared" si="0"/>
        <v>45.6</v>
      </c>
      <c r="C60" s="16">
        <f t="shared" si="1"/>
        <v>1.1235955056179775E-2</v>
      </c>
      <c r="E60" s="16">
        <f>IF((1.75-(($A60+5)/($A60+10))*(INDEX('Stat Boosts'!$D$2:$D$192,E$1-9)-10)/((INDEX('Stat Boosts'!$D$2:$D$192,(A60/2+22)-9)-10)))&lt;0.5,POWER(1.1,1.75-(($A60+5)/($A60+10))*(INDEX('Stat Boosts'!$D$2:$D$192,E$1-9)-10)/((INDEX('Stat Boosts'!$D$2:$D$192,(A60/2+22)-9)-10))-0.5)*0.5,(1.75-(($A60+5)/($A60+10))*(INDEX('Stat Boosts'!$D$2:$D$192,E$1-9)-10)/((INDEX('Stat Boosts'!$D$2:$D$192,(A60/2+22)-9)-10))))</f>
        <v>1.75</v>
      </c>
      <c r="F60" s="16">
        <f>IF((1.75-(($A60+5)/($A60+10))*(INDEX('Stat Boosts'!$D$2:$D$192,F$1-9)-10)/((INDEX('Stat Boosts'!$D$2:$D$192,(B60/2+22)-9)-10)))&lt;0.5,POWER(1.1,1.75-(($A60+5)/($A60+10))*(INDEX('Stat Boosts'!$D$2:$D$192,F$1-9)-10)/((INDEX('Stat Boosts'!$D$2:$D$192,(B60/2+22)-9)-10))-0.5)*0.5,(1.75-(($A60+5)/($A60+10))*(INDEX('Stat Boosts'!$D$2:$D$192,F$1-9)-10)/((INDEX('Stat Boosts'!$D$2:$D$192,(B60/2+22)-9)-10))))</f>
        <v>1.6024374176548091</v>
      </c>
      <c r="G60" s="16">
        <f>IF((1.75-(($A60+5)/($A60+10))*(INDEX('Stat Boosts'!$D$2:$D$192,G$1-9)-10)/((INDEX('Stat Boosts'!$D$2:$D$192,(C60/2+22)-9)-10)))&lt;0.5,POWER(1.1,1.75-(($A60+5)/($A60+10))*(INDEX('Stat Boosts'!$D$2:$D$192,G$1-9)-10)/((INDEX('Stat Boosts'!$D$2:$D$192,(C60/2+22)-9)-10))-0.5)*0.5,(1.75-(($A60+5)/($A60+10))*(INDEX('Stat Boosts'!$D$2:$D$192,G$1-9)-10)/((INDEX('Stat Boosts'!$D$2:$D$192,(C60/2+22)-9)-10))))</f>
        <v>0.98614663256606983</v>
      </c>
      <c r="H60" s="16">
        <f>IF((1.75-(($A60+5)/($A60+10))*(INDEX('Stat Boosts'!$D$2:$D$192,H$1-9)-10)/((INDEX('Stat Boosts'!$D$2:$D$192,(D60/2+22)-9)-10)))&lt;0.5,POWER(1.1,1.75-(($A60+5)/($A60+10))*(INDEX('Stat Boosts'!$D$2:$D$192,H$1-9)-10)/((INDEX('Stat Boosts'!$D$2:$D$192,(D60/2+22)-9)-10))-0.5)*0.5,(1.75-(($A60+5)/($A60+10))*(INDEX('Stat Boosts'!$D$2:$D$192,H$1-9)-10)/((INDEX('Stat Boosts'!$D$2:$D$192,(D60/2+22)-9)-10))))</f>
        <v>0.60421994884910468</v>
      </c>
      <c r="I60" s="16">
        <f>IF((1.75-(($A60+5)/($A60+10))*(INDEX('Stat Boosts'!$D$2:$D$192,I$1-9)-10)/((INDEX('Stat Boosts'!$D$2:$D$192,(E60/2+22)-9)-10)))&lt;0.5,POWER(1.1,1.75-(($A60+5)/($A60+10))*(INDEX('Stat Boosts'!$D$2:$D$192,I$1-9)-10)/((INDEX('Stat Boosts'!$D$2:$D$192,(E60/2+22)-9)-10))-0.5)*0.5,(1.75-(($A60+5)/($A60+10))*(INDEX('Stat Boosts'!$D$2:$D$192,I$1-9)-10)/((INDEX('Stat Boosts'!$D$2:$D$192,(E60/2+22)-9)-10))))</f>
        <v>0.4894782529929389</v>
      </c>
      <c r="J60" s="16">
        <f>IF((1.75-(($A60+5)/($A60+10))*(INDEX('Stat Boosts'!$D$2:$D$192,J$1-9)-10)/((INDEX('Stat Boosts'!$D$2:$D$192,(F60/2+22)-9)-10)))&lt;0.5,POWER(1.1,1.75-(($A60+5)/($A60+10))*(INDEX('Stat Boosts'!$D$2:$D$192,J$1-9)-10)/((INDEX('Stat Boosts'!$D$2:$D$192,(F60/2+22)-9)-10))-0.5)*0.5,(1.75-(($A60+5)/($A60+10))*(INDEX('Stat Boosts'!$D$2:$D$192,J$1-9)-10)/((INDEX('Stat Boosts'!$D$2:$D$192,(F60/2+22)-9)-10))))</f>
        <v>0.47444170151502901</v>
      </c>
      <c r="K60" s="16">
        <f>IF((1.75-(($A60+5)/($A60+10))*(INDEX('Stat Boosts'!$D$2:$D$192,K$1-9)-10)/((INDEX('Stat Boosts'!$D$2:$D$192,(G60/2+22)-9)-10)))&lt;0.5,POWER(1.1,1.75-(($A60+5)/($A60+10))*(INDEX('Stat Boosts'!$D$2:$D$192,K$1-9)-10)/((INDEX('Stat Boosts'!$D$2:$D$192,(G60/2+22)-9)-10))-0.5)*0.5,(1.75-(($A60+5)/($A60+10))*(INDEX('Stat Boosts'!$D$2:$D$192,K$1-9)-10)/((INDEX('Stat Boosts'!$D$2:$D$192,(G60/2+22)-9)-10))))</f>
        <v>0.44112829245017521</v>
      </c>
      <c r="L60" s="16">
        <f>IF((1.75-(($A60+5)/($A60+10))*(INDEX('Stat Boosts'!$D$2:$D$192,L$1-9)-10)/((INDEX('Stat Boosts'!$D$2:$D$192,(H60/2+22)-9)-10)))&lt;0.5,POWER(1.1,1.75-(($A60+5)/($A60+10))*(INDEX('Stat Boosts'!$D$2:$D$192,L$1-9)-10)/((INDEX('Stat Boosts'!$D$2:$D$192,(H60/2+22)-9)-10))-0.5)*0.5,(1.75-(($A60+5)/($A60+10))*(INDEX('Stat Boosts'!$D$2:$D$192,L$1-9)-10)/((INDEX('Stat Boosts'!$D$2:$D$192,(H60/2+22)-9)-10))))</f>
        <v>0.42980631357096044</v>
      </c>
      <c r="M60" s="16">
        <f>IF((1.75-(($A60+5)/($A60+10))*(INDEX('Stat Boosts'!$D$2:$D$192,M$1-9)-10)/((INDEX('Stat Boosts'!$D$2:$D$192,(I60/2+22)-9)-10)))&lt;0.5,POWER(1.1,1.75-(($A60+5)/($A60+10))*(INDEX('Stat Boosts'!$D$2:$D$192,M$1-9)-10)/((INDEX('Stat Boosts'!$D$2:$D$192,(I60/2+22)-9)-10))-0.5)*0.5,(1.75-(($A60+5)/($A60+10))*(INDEX('Stat Boosts'!$D$2:$D$192,M$1-9)-10)/((INDEX('Stat Boosts'!$D$2:$D$192,(I60/2+22)-9)-10))))</f>
        <v>0.41444205619750096</v>
      </c>
      <c r="N60" s="16">
        <f>IF((1.75-(($A60+5)/($A60+10))*(INDEX('Stat Boosts'!$D$2:$D$192,N$1-9)-10)/((INDEX('Stat Boosts'!$D$2:$D$192,(J60/2+22)-9)-10)))&lt;0.5,POWER(1.1,1.75-(($A60+5)/($A60+10))*(INDEX('Stat Boosts'!$D$2:$D$192,N$1-9)-10)/((INDEX('Stat Boosts'!$D$2:$D$192,(J60/2+22)-9)-10))-0.5)*0.5,(1.75-(($A60+5)/($A60+10))*(INDEX('Stat Boosts'!$D$2:$D$192,N$1-9)-10)/((INDEX('Stat Boosts'!$D$2:$D$192,(J60/2+22)-9)-10))))</f>
        <v>0.39549227035483941</v>
      </c>
      <c r="O60" s="16">
        <f>IF((1.75-(($A60+5)/($A60+10))*(INDEX('Stat Boosts'!$D$2:$D$192,O$1-9)-10)/((INDEX('Stat Boosts'!$D$2:$D$192,(K60/2+22)-9)-10)))&lt;0.5,POWER(1.1,1.75-(($A60+5)/($A60+10))*(INDEX('Stat Boosts'!$D$2:$D$192,O$1-9)-10)/((INDEX('Stat Boosts'!$D$2:$D$192,(K60/2+22)-9)-10))-0.5)*0.5,(1.75-(($A60+5)/($A60+10))*(INDEX('Stat Boosts'!$D$2:$D$192,O$1-9)-10)/((INDEX('Stat Boosts'!$D$2:$D$192,(K60/2+22)-9)-10))))</f>
        <v>0.38534158356261572</v>
      </c>
      <c r="P60" s="16">
        <f>IF((1.75-(($A60+5)/($A60+10))*(INDEX('Stat Boosts'!$D$2:$D$192,P$1-9)-10)/((INDEX('Stat Boosts'!$D$2:$D$192,(L60/2+22)-9)-10)))&lt;0.5,POWER(1.1,1.75-(($A60+5)/($A60+10))*(INDEX('Stat Boosts'!$D$2:$D$192,P$1-9)-10)/((INDEX('Stat Boosts'!$D$2:$D$192,(L60/2+22)-9)-10))-0.5)*0.5,(1.75-(($A60+5)/($A60+10))*(INDEX('Stat Boosts'!$D$2:$D$192,P$1-9)-10)/((INDEX('Stat Boosts'!$D$2:$D$192,(L60/2+22)-9)-10))))</f>
        <v>0.36963959215193731</v>
      </c>
      <c r="Q60" s="16">
        <f>IF((1.75-(($A60+5)/($A60+10))*(INDEX('Stat Boosts'!$D$2:$D$192,Q$1-9)-10)/((INDEX('Stat Boosts'!$D$2:$D$192,(M60/2+22)-9)-10)))&lt;0.5,POWER(1.1,1.75-(($A60+5)/($A60+10))*(INDEX('Stat Boosts'!$D$2:$D$192,Q$1-9)-10)/((INDEX('Stat Boosts'!$D$2:$D$192,(M60/2+22)-9)-10))-0.5)*0.5,(1.75-(($A60+5)/($A60+10))*(INDEX('Stat Boosts'!$D$2:$D$192,Q$1-9)-10)/((INDEX('Stat Boosts'!$D$2:$D$192,(M60/2+22)-9)-10))))</f>
        <v>0.35457742925906788</v>
      </c>
      <c r="R60" s="16">
        <f>IF((1.75-(($A60+5)/($A60+10))*1.25*(INDEX('Stat Boosts'!$D$2:$D$192,R$1-9)-10)/((INDEX('Stat Boosts'!$D$2:$D$192,(N60/2+22)-9)-10)))&lt;0.5,POWER(1.1,1.75-(($A60+5)/($A60+10))*1.25*(INDEX('Stat Boosts'!$D$2:$D$192,R$1-9)-10)/((INDEX('Stat Boosts'!$D$2:$D$192,(N60/2+22)-9)-10))-0.5)*0.5,(1.75-(($A60+5)/($A60+10))*1.25*(INDEX('Stat Boosts'!$D$2:$D$192,R$1-9)-10)/((INDEX('Stat Boosts'!$D$2:$D$192,(N60/2+22)-9)-10))))</f>
        <v>0.29983125272887889</v>
      </c>
    </row>
    <row r="61" spans="1:18">
      <c r="A61" s="9">
        <v>60</v>
      </c>
      <c r="B61" s="16">
        <f t="shared" si="0"/>
        <v>46</v>
      </c>
      <c r="C61" s="16">
        <f t="shared" si="1"/>
        <v>1.1111111111111112E-2</v>
      </c>
      <c r="E61" s="16">
        <f>IF((1.75-(($A61+5)/($A61+10))*(INDEX('Stat Boosts'!$D$2:$D$192,E$1-9)-10)/((INDEX('Stat Boosts'!$D$2:$D$192,(A61/2+22)-9)-10)))&lt;0.5,POWER(1.1,1.75-(($A61+5)/($A61+10))*(INDEX('Stat Boosts'!$D$2:$D$192,E$1-9)-10)/((INDEX('Stat Boosts'!$D$2:$D$192,(A61/2+22)-9)-10))-0.5)*0.5,(1.75-(($A61+5)/($A61+10))*(INDEX('Stat Boosts'!$D$2:$D$192,E$1-9)-10)/((INDEX('Stat Boosts'!$D$2:$D$192,(A61/2+22)-9)-10))))</f>
        <v>1.75</v>
      </c>
      <c r="F61" s="16">
        <f>IF((1.75-(($A61+5)/($A61+10))*(INDEX('Stat Boosts'!$D$2:$D$192,F$1-9)-10)/((INDEX('Stat Boosts'!$D$2:$D$192,(B61/2+22)-9)-10)))&lt;0.5,POWER(1.1,1.75-(($A61+5)/($A61+10))*(INDEX('Stat Boosts'!$D$2:$D$192,F$1-9)-10)/((INDEX('Stat Boosts'!$D$2:$D$192,(B61/2+22)-9)-10))-0.5)*0.5,(1.75-(($A61+5)/($A61+10))*(INDEX('Stat Boosts'!$D$2:$D$192,F$1-9)-10)/((INDEX('Stat Boosts'!$D$2:$D$192,(B61/2+22)-9)-10))))</f>
        <v>1.6117021276595744</v>
      </c>
      <c r="G61" s="16">
        <f>IF((1.75-(($A61+5)/($A61+10))*(INDEX('Stat Boosts'!$D$2:$D$192,G$1-9)-10)/((INDEX('Stat Boosts'!$D$2:$D$192,(C61/2+22)-9)-10)))&lt;0.5,POWER(1.1,1.75-(($A61+5)/($A61+10))*(INDEX('Stat Boosts'!$D$2:$D$192,G$1-9)-10)/((INDEX('Stat Boosts'!$D$2:$D$192,(C61/2+22)-9)-10))-0.5)*0.5,(1.75-(($A61+5)/($A61+10))*(INDEX('Stat Boosts'!$D$2:$D$192,G$1-9)-10)/((INDEX('Stat Boosts'!$D$2:$D$192,(C61/2+22)-9)-10))))</f>
        <v>0.98529411764705888</v>
      </c>
      <c r="H61" s="16">
        <f>IF((1.75-(($A61+5)/($A61+10))*(INDEX('Stat Boosts'!$D$2:$D$192,H$1-9)-10)/((INDEX('Stat Boosts'!$D$2:$D$192,(D61/2+22)-9)-10)))&lt;0.5,POWER(1.1,1.75-(($A61+5)/($A61+10))*(INDEX('Stat Boosts'!$D$2:$D$192,H$1-9)-10)/((INDEX('Stat Boosts'!$D$2:$D$192,(D61/2+22)-9)-10))-0.5)*0.5,(1.75-(($A61+5)/($A61+10))*(INDEX('Stat Boosts'!$D$2:$D$192,H$1-9)-10)/((INDEX('Stat Boosts'!$D$2:$D$192,(D61/2+22)-9)-10))))</f>
        <v>0.60294117647058831</v>
      </c>
      <c r="I61" s="16">
        <f>IF((1.75-(($A61+5)/($A61+10))*(INDEX('Stat Boosts'!$D$2:$D$192,I$1-9)-10)/((INDEX('Stat Boosts'!$D$2:$D$192,(E61/2+22)-9)-10)))&lt;0.5,POWER(1.1,1.75-(($A61+5)/($A61+10))*(INDEX('Stat Boosts'!$D$2:$D$192,I$1-9)-10)/((INDEX('Stat Boosts'!$D$2:$D$192,(E61/2+22)-9)-10))-0.5)*0.5,(1.75-(($A61+5)/($A61+10))*(INDEX('Stat Boosts'!$D$2:$D$192,I$1-9)-10)/((INDEX('Stat Boosts'!$D$2:$D$192,(E61/2+22)-9)-10))))</f>
        <v>0.48940155634569776</v>
      </c>
      <c r="J61" s="16">
        <f>IF((1.75-(($A61+5)/($A61+10))*(INDEX('Stat Boosts'!$D$2:$D$192,J$1-9)-10)/((INDEX('Stat Boosts'!$D$2:$D$192,(F61/2+22)-9)-10)))&lt;0.5,POWER(1.1,1.75-(($A61+5)/($A61+10))*(INDEX('Stat Boosts'!$D$2:$D$192,J$1-9)-10)/((INDEX('Stat Boosts'!$D$2:$D$192,(F61/2+22)-9)-10))-0.5)*0.5,(1.75-(($A61+5)/($A61+10))*(INDEX('Stat Boosts'!$D$2:$D$192,J$1-9)-10)/((INDEX('Stat Boosts'!$D$2:$D$192,(F61/2+22)-9)-10))))</f>
        <v>0.47435084241158509</v>
      </c>
      <c r="K61" s="16">
        <f>IF((1.75-(($A61+5)/($A61+10))*(INDEX('Stat Boosts'!$D$2:$D$192,K$1-9)-10)/((INDEX('Stat Boosts'!$D$2:$D$192,(G61/2+22)-9)-10)))&lt;0.5,POWER(1.1,1.75-(($A61+5)/($A61+10))*(INDEX('Stat Boosts'!$D$2:$D$192,K$1-9)-10)/((INDEX('Stat Boosts'!$D$2:$D$192,(G61/2+22)-9)-10))-0.5)*0.5,(1.75-(($A61+5)/($A61+10))*(INDEX('Stat Boosts'!$D$2:$D$192,K$1-9)-10)/((INDEX('Stat Boosts'!$D$2:$D$192,(G61/2+22)-9)-10))))</f>
        <v>0.44100797828002136</v>
      </c>
      <c r="L61" s="16">
        <f>IF((1.75-(($A61+5)/($A61+10))*(INDEX('Stat Boosts'!$D$2:$D$192,L$1-9)-10)/((INDEX('Stat Boosts'!$D$2:$D$192,(H61/2+22)-9)-10)))&lt;0.5,POWER(1.1,1.75-(($A61+5)/($A61+10))*(INDEX('Stat Boosts'!$D$2:$D$192,L$1-9)-10)/((INDEX('Stat Boosts'!$D$2:$D$192,(H61/2+22)-9)-10))-0.5)*0.5,(1.75-(($A61+5)/($A61+10))*(INDEX('Stat Boosts'!$D$2:$D$192,L$1-9)-10)/((INDEX('Stat Boosts'!$D$2:$D$192,(H61/2+22)-9)-10))))</f>
        <v>0.42967661838911814</v>
      </c>
      <c r="M61" s="16">
        <f>IF((1.75-(($A61+5)/($A61+10))*(INDEX('Stat Boosts'!$D$2:$D$192,M$1-9)-10)/((INDEX('Stat Boosts'!$D$2:$D$192,(I61/2+22)-9)-10)))&lt;0.5,POWER(1.1,1.75-(($A61+5)/($A61+10))*(INDEX('Stat Boosts'!$D$2:$D$192,M$1-9)-10)/((INDEX('Stat Boosts'!$D$2:$D$192,(I61/2+22)-9)-10))-0.5)*0.5,(1.75-(($A61+5)/($A61+10))*(INDEX('Stat Boosts'!$D$2:$D$192,M$1-9)-10)/((INDEX('Stat Boosts'!$D$2:$D$192,(I61/2+22)-9)-10))))</f>
        <v>0.41430016524047603</v>
      </c>
      <c r="N61" s="16">
        <f>IF((1.75-(($A61+5)/($A61+10))*(INDEX('Stat Boosts'!$D$2:$D$192,N$1-9)-10)/((INDEX('Stat Boosts'!$D$2:$D$192,(J61/2+22)-9)-10)))&lt;0.5,POWER(1.1,1.75-(($A61+5)/($A61+10))*(INDEX('Stat Boosts'!$D$2:$D$192,N$1-9)-10)/((INDEX('Stat Boosts'!$D$2:$D$192,(J61/2+22)-9)-10))-0.5)*0.5,(1.75-(($A61+5)/($A61+10))*(INDEX('Stat Boosts'!$D$2:$D$192,N$1-9)-10)/((INDEX('Stat Boosts'!$D$2:$D$192,(J61/2+22)-9)-10))))</f>
        <v>0.3953362165157096</v>
      </c>
      <c r="O61" s="16">
        <f>IF((1.75-(($A61+5)/($A61+10))*(INDEX('Stat Boosts'!$D$2:$D$192,O$1-9)-10)/((INDEX('Stat Boosts'!$D$2:$D$192,(K61/2+22)-9)-10)))&lt;0.5,POWER(1.1,1.75-(($A61+5)/($A61+10))*(INDEX('Stat Boosts'!$D$2:$D$192,O$1-9)-10)/((INDEX('Stat Boosts'!$D$2:$D$192,(K61/2+22)-9)-10))-0.5)*0.5,(1.75-(($A61+5)/($A61+10))*(INDEX('Stat Boosts'!$D$2:$D$192,O$1-9)-10)/((INDEX('Stat Boosts'!$D$2:$D$192,(K61/2+22)-9)-10))))</f>
        <v>0.38517835732069267</v>
      </c>
      <c r="P61" s="16">
        <f>IF((1.75-(($A61+5)/($A61+10))*(INDEX('Stat Boosts'!$D$2:$D$192,P$1-9)-10)/((INDEX('Stat Boosts'!$D$2:$D$192,(L61/2+22)-9)-10)))&lt;0.5,POWER(1.1,1.75-(($A61+5)/($A61+10))*(INDEX('Stat Boosts'!$D$2:$D$192,P$1-9)-10)/((INDEX('Stat Boosts'!$D$2:$D$192,(L61/2+22)-9)-10))-0.5)*0.5,(1.75-(($A61+5)/($A61+10))*(INDEX('Stat Boosts'!$D$2:$D$192,P$1-9)-10)/((INDEX('Stat Boosts'!$D$2:$D$192,(L61/2+22)-9)-10))))</f>
        <v>0.36946586221439426</v>
      </c>
      <c r="Q61" s="16">
        <f>IF((1.75-(($A61+5)/($A61+10))*(INDEX('Stat Boosts'!$D$2:$D$192,Q$1-9)-10)/((INDEX('Stat Boosts'!$D$2:$D$192,(M61/2+22)-9)-10)))&lt;0.5,POWER(1.1,1.75-(($A61+5)/($A61+10))*(INDEX('Stat Boosts'!$D$2:$D$192,Q$1-9)-10)/((INDEX('Stat Boosts'!$D$2:$D$192,(M61/2+22)-9)-10))-0.5)*0.5,(1.75-(($A61+5)/($A61+10))*(INDEX('Stat Boosts'!$D$2:$D$192,Q$1-9)-10)/((INDEX('Stat Boosts'!$D$2:$D$192,(M61/2+22)-9)-10))))</f>
        <v>0.35439432342813099</v>
      </c>
      <c r="R61" s="16">
        <f>IF((1.75-(($A61+5)/($A61+10))*1.25*(INDEX('Stat Boosts'!$D$2:$D$192,R$1-9)-10)/((INDEX('Stat Boosts'!$D$2:$D$192,(N61/2+22)-9)-10)))&lt;0.5,POWER(1.1,1.75-(($A61+5)/($A61+10))*1.25*(INDEX('Stat Boosts'!$D$2:$D$192,R$1-9)-10)/((INDEX('Stat Boosts'!$D$2:$D$192,(N61/2+22)-9)-10))-0.5)*0.5,(1.75-(($A61+5)/($A61+10))*1.25*(INDEX('Stat Boosts'!$D$2:$D$192,R$1-9)-10)/((INDEX('Stat Boosts'!$D$2:$D$192,(N61/2+22)-9)-10))))</f>
        <v>0.29962033208547512</v>
      </c>
    </row>
    <row r="62" spans="1:18">
      <c r="A62" s="9">
        <v>61</v>
      </c>
      <c r="B62" s="16">
        <f t="shared" si="0"/>
        <v>46.4</v>
      </c>
      <c r="C62" s="16">
        <f t="shared" si="1"/>
        <v>1.098901098901099E-2</v>
      </c>
      <c r="E62" s="16">
        <f>IF((1.75-(($A62+5)/($A62+10))*(INDEX('Stat Boosts'!$D$2:$D$192,E$1-9)-10)/((INDEX('Stat Boosts'!$D$2:$D$192,(A62/2+22)-9)-10)))&lt;0.5,POWER(1.1,1.75-(($A62+5)/($A62+10))*(INDEX('Stat Boosts'!$D$2:$D$192,E$1-9)-10)/((INDEX('Stat Boosts'!$D$2:$D$192,(A62/2+22)-9)-10))-0.5)*0.5,(1.75-(($A62+5)/($A62+10))*(INDEX('Stat Boosts'!$D$2:$D$192,E$1-9)-10)/((INDEX('Stat Boosts'!$D$2:$D$192,(A62/2+22)-9)-10))))</f>
        <v>1.75</v>
      </c>
      <c r="F62" s="16">
        <f>IF((1.75-(($A62+5)/($A62+10))*(INDEX('Stat Boosts'!$D$2:$D$192,F$1-9)-10)/((INDEX('Stat Boosts'!$D$2:$D$192,(B62/2+22)-9)-10)))&lt;0.5,POWER(1.1,1.75-(($A62+5)/($A62+10))*(INDEX('Stat Boosts'!$D$2:$D$192,F$1-9)-10)/((INDEX('Stat Boosts'!$D$2:$D$192,(B62/2+22)-9)-10))-0.5)*0.5,(1.75-(($A62+5)/($A62+10))*(INDEX('Stat Boosts'!$D$2:$D$192,F$1-9)-10)/((INDEX('Stat Boosts'!$D$2:$D$192,(B62/2+22)-9)-10))))</f>
        <v>1.6115522924782739</v>
      </c>
      <c r="G62" s="16">
        <f>IF((1.75-(($A62+5)/($A62+10))*(INDEX('Stat Boosts'!$D$2:$D$192,G$1-9)-10)/((INDEX('Stat Boosts'!$D$2:$D$192,(C62/2+22)-9)-10)))&lt;0.5,POWER(1.1,1.75-(($A62+5)/($A62+10))*(INDEX('Stat Boosts'!$D$2:$D$192,G$1-9)-10)/((INDEX('Stat Boosts'!$D$2:$D$192,(C62/2+22)-9)-10))-0.5)*0.5,(1.75-(($A62+5)/($A62+10))*(INDEX('Stat Boosts'!$D$2:$D$192,G$1-9)-10)/((INDEX('Stat Boosts'!$D$2:$D$192,(C62/2+22)-9)-10))))</f>
        <v>0.98446561723280857</v>
      </c>
      <c r="H62" s="16">
        <f>IF((1.75-(($A62+5)/($A62+10))*(INDEX('Stat Boosts'!$D$2:$D$192,H$1-9)-10)/((INDEX('Stat Boosts'!$D$2:$D$192,(D62/2+22)-9)-10)))&lt;0.5,POWER(1.1,1.75-(($A62+5)/($A62+10))*(INDEX('Stat Boosts'!$D$2:$D$192,H$1-9)-10)/((INDEX('Stat Boosts'!$D$2:$D$192,(D62/2+22)-9)-10))-0.5)*0.5,(1.75-(($A62+5)/($A62+10))*(INDEX('Stat Boosts'!$D$2:$D$192,H$1-9)-10)/((INDEX('Stat Boosts'!$D$2:$D$192,(D62/2+22)-9)-10))))</f>
        <v>0.60169842584921285</v>
      </c>
      <c r="I62" s="16">
        <f>IF((1.75-(($A62+5)/($A62+10))*(INDEX('Stat Boosts'!$D$2:$D$192,I$1-9)-10)/((INDEX('Stat Boosts'!$D$2:$D$192,(E62/2+22)-9)-10)))&lt;0.5,POWER(1.1,1.75-(($A62+5)/($A62+10))*(INDEX('Stat Boosts'!$D$2:$D$192,I$1-9)-10)/((INDEX('Stat Boosts'!$D$2:$D$192,(E62/2+22)-9)-10))-0.5)*0.5,(1.75-(($A62+5)/($A62+10))*(INDEX('Stat Boosts'!$D$2:$D$192,I$1-9)-10)/((INDEX('Stat Boosts'!$D$2:$D$192,(E62/2+22)-9)-10))))</f>
        <v>0.48932703168203479</v>
      </c>
      <c r="J62" s="16">
        <f>IF((1.75-(($A62+5)/($A62+10))*(INDEX('Stat Boosts'!$D$2:$D$192,J$1-9)-10)/((INDEX('Stat Boosts'!$D$2:$D$192,(F62/2+22)-9)-10)))&lt;0.5,POWER(1.1,1.75-(($A62+5)/($A62+10))*(INDEX('Stat Boosts'!$D$2:$D$192,J$1-9)-10)/((INDEX('Stat Boosts'!$D$2:$D$192,(F62/2+22)-9)-10))-0.5)*0.5,(1.75-(($A62+5)/($A62+10))*(INDEX('Stat Boosts'!$D$2:$D$192,J$1-9)-10)/((INDEX('Stat Boosts'!$D$2:$D$192,(F62/2+22)-9)-10))))</f>
        <v>0.47426255939141176</v>
      </c>
      <c r="K62" s="16">
        <f>IF((1.75-(($A62+5)/($A62+10))*(INDEX('Stat Boosts'!$D$2:$D$192,K$1-9)-10)/((INDEX('Stat Boosts'!$D$2:$D$192,(G62/2+22)-9)-10)))&lt;0.5,POWER(1.1,1.75-(($A62+5)/($A62+10))*(INDEX('Stat Boosts'!$D$2:$D$192,K$1-9)-10)/((INDEX('Stat Boosts'!$D$2:$D$192,(G62/2+22)-9)-10))-0.5)*0.5,(1.75-(($A62+5)/($A62+10))*(INDEX('Stat Boosts'!$D$2:$D$192,K$1-9)-10)/((INDEX('Stat Boosts'!$D$2:$D$192,(G62/2+22)-9)-10))))</f>
        <v>0.44089108468269939</v>
      </c>
      <c r="L62" s="16">
        <f>IF((1.75-(($A62+5)/($A62+10))*(INDEX('Stat Boosts'!$D$2:$D$192,L$1-9)-10)/((INDEX('Stat Boosts'!$D$2:$D$192,(H62/2+22)-9)-10)))&lt;0.5,POWER(1.1,1.75-(($A62+5)/($A62+10))*(INDEX('Stat Boosts'!$D$2:$D$192,L$1-9)-10)/((INDEX('Stat Boosts'!$D$2:$D$192,(H62/2+22)-9)-10))-0.5)*0.5,(1.75-(($A62+5)/($A62+10))*(INDEX('Stat Boosts'!$D$2:$D$192,L$1-9)-10)/((INDEX('Stat Boosts'!$D$2:$D$192,(H62/2+22)-9)-10))))</f>
        <v>0.42955061409054635</v>
      </c>
      <c r="M62" s="16">
        <f>IF((1.75-(($A62+5)/($A62+10))*(INDEX('Stat Boosts'!$D$2:$D$192,M$1-9)-10)/((INDEX('Stat Boosts'!$D$2:$D$192,(I62/2+22)-9)-10)))&lt;0.5,POWER(1.1,1.75-(($A62+5)/($A62+10))*(INDEX('Stat Boosts'!$D$2:$D$192,M$1-9)-10)/((INDEX('Stat Boosts'!$D$2:$D$192,(I62/2+22)-9)-10))-0.5)*0.5,(1.75-(($A62+5)/($A62+10))*(INDEX('Stat Boosts'!$D$2:$D$192,M$1-9)-10)/((INDEX('Stat Boosts'!$D$2:$D$192,(I62/2+22)-9)-10))))</f>
        <v>0.41416231775729073</v>
      </c>
      <c r="N62" s="16">
        <f>IF((1.75-(($A62+5)/($A62+10))*(INDEX('Stat Boosts'!$D$2:$D$192,N$1-9)-10)/((INDEX('Stat Boosts'!$D$2:$D$192,(J62/2+22)-9)-10)))&lt;0.5,POWER(1.1,1.75-(($A62+5)/($A62+10))*(INDEX('Stat Boosts'!$D$2:$D$192,N$1-9)-10)/((INDEX('Stat Boosts'!$D$2:$D$192,(J62/2+22)-9)-10))-0.5)*0.5,(1.75-(($A62+5)/($A62+10))*(INDEX('Stat Boosts'!$D$2:$D$192,N$1-9)-10)/((INDEX('Stat Boosts'!$D$2:$D$192,(J62/2+22)-9)-10))))</f>
        <v>0.39518461755814221</v>
      </c>
      <c r="O62" s="16">
        <f>IF((1.75-(($A62+5)/($A62+10))*(INDEX('Stat Boosts'!$D$2:$D$192,O$1-9)-10)/((INDEX('Stat Boosts'!$D$2:$D$192,(K62/2+22)-9)-10)))&lt;0.5,POWER(1.1,1.75-(($A62+5)/($A62+10))*(INDEX('Stat Boosts'!$D$2:$D$192,O$1-9)-10)/((INDEX('Stat Boosts'!$D$2:$D$192,(K62/2+22)-9)-10))-0.5)*0.5,(1.75-(($A62+5)/($A62+10))*(INDEX('Stat Boosts'!$D$2:$D$192,O$1-9)-10)/((INDEX('Stat Boosts'!$D$2:$D$192,(K62/2+22)-9)-10))))</f>
        <v>0.385019795248082</v>
      </c>
      <c r="P62" s="16">
        <f>IF((1.75-(($A62+5)/($A62+10))*(INDEX('Stat Boosts'!$D$2:$D$192,P$1-9)-10)/((INDEX('Stat Boosts'!$D$2:$D$192,(L62/2+22)-9)-10)))&lt;0.5,POWER(1.1,1.75-(($A62+5)/($A62+10))*(INDEX('Stat Boosts'!$D$2:$D$192,P$1-9)-10)/((INDEX('Stat Boosts'!$D$2:$D$192,(L62/2+22)-9)-10))-0.5)*0.5,(1.75-(($A62+5)/($A62+10))*(INDEX('Stat Boosts'!$D$2:$D$192,P$1-9)-10)/((INDEX('Stat Boosts'!$D$2:$D$192,(L62/2+22)-9)-10))))</f>
        <v>0.36929710431328849</v>
      </c>
      <c r="Q62" s="16">
        <f>IF((1.75-(($A62+5)/($A62+10))*(INDEX('Stat Boosts'!$D$2:$D$192,Q$1-9)-10)/((INDEX('Stat Boosts'!$D$2:$D$192,(M62/2+22)-9)-10)))&lt;0.5,POWER(1.1,1.75-(($A62+5)/($A62+10))*(INDEX('Stat Boosts'!$D$2:$D$192,Q$1-9)-10)/((INDEX('Stat Boosts'!$D$2:$D$192,(M62/2+22)-9)-10))-0.5)*0.5,(1.75-(($A62+5)/($A62+10))*(INDEX('Stat Boosts'!$D$2:$D$192,Q$1-9)-10)/((INDEX('Stat Boosts'!$D$2:$D$192,(M62/2+22)-9)-10))))</f>
        <v>0.3542164661074248</v>
      </c>
      <c r="R62" s="16">
        <f>IF((1.75-(($A62+5)/($A62+10))*1.25*(INDEX('Stat Boosts'!$D$2:$D$192,R$1-9)-10)/((INDEX('Stat Boosts'!$D$2:$D$192,(N62/2+22)-9)-10)))&lt;0.5,POWER(1.1,1.75-(($A62+5)/($A62+10))*1.25*(INDEX('Stat Boosts'!$D$2:$D$192,R$1-9)-10)/((INDEX('Stat Boosts'!$D$2:$D$192,(N62/2+22)-9)-10))-0.5)*0.5,(1.75-(($A62+5)/($A62+10))*1.25*(INDEX('Stat Boosts'!$D$2:$D$192,R$1-9)-10)/((INDEX('Stat Boosts'!$D$2:$D$192,(N62/2+22)-9)-10))))</f>
        <v>0.29941549503426435</v>
      </c>
    </row>
    <row r="63" spans="1:18">
      <c r="A63" s="9">
        <v>62</v>
      </c>
      <c r="B63" s="16">
        <f t="shared" si="0"/>
        <v>46.8</v>
      </c>
      <c r="C63" s="16">
        <f t="shared" si="1"/>
        <v>1.0869565217391306E-2</v>
      </c>
      <c r="E63" s="16">
        <f>IF((1.75-(($A63+5)/($A63+10))*(INDEX('Stat Boosts'!$D$2:$D$192,E$1-9)-10)/((INDEX('Stat Boosts'!$D$2:$D$192,(A63/2+22)-9)-10)))&lt;0.5,POWER(1.1,1.75-(($A63+5)/($A63+10))*(INDEX('Stat Boosts'!$D$2:$D$192,E$1-9)-10)/((INDEX('Stat Boosts'!$D$2:$D$192,(A63/2+22)-9)-10))-0.5)*0.5,(1.75-(($A63+5)/($A63+10))*(INDEX('Stat Boosts'!$D$2:$D$192,E$1-9)-10)/((INDEX('Stat Boosts'!$D$2:$D$192,(A63/2+22)-9)-10))))</f>
        <v>1.75</v>
      </c>
      <c r="F63" s="16">
        <f>IF((1.75-(($A63+5)/($A63+10))*(INDEX('Stat Boosts'!$D$2:$D$192,F$1-9)-10)/((INDEX('Stat Boosts'!$D$2:$D$192,(B63/2+22)-9)-10)))&lt;0.5,POWER(1.1,1.75-(($A63+5)/($A63+10))*(INDEX('Stat Boosts'!$D$2:$D$192,F$1-9)-10)/((INDEX('Stat Boosts'!$D$2:$D$192,(B63/2+22)-9)-10))-0.5)*0.5,(1.75-(($A63+5)/($A63+10))*(INDEX('Stat Boosts'!$D$2:$D$192,F$1-9)-10)/((INDEX('Stat Boosts'!$D$2:$D$192,(B63/2+22)-9)-10))))</f>
        <v>1.6114066193853427</v>
      </c>
      <c r="G63" s="16">
        <f>IF((1.75-(($A63+5)/($A63+10))*(INDEX('Stat Boosts'!$D$2:$D$192,G$1-9)-10)/((INDEX('Stat Boosts'!$D$2:$D$192,(C63/2+22)-9)-10)))&lt;0.5,POWER(1.1,1.75-(($A63+5)/($A63+10))*(INDEX('Stat Boosts'!$D$2:$D$192,G$1-9)-10)/((INDEX('Stat Boosts'!$D$2:$D$192,(C63/2+22)-9)-10))-0.5)*0.5,(1.75-(($A63+5)/($A63+10))*(INDEX('Stat Boosts'!$D$2:$D$192,G$1-9)-10)/((INDEX('Stat Boosts'!$D$2:$D$192,(C63/2+22)-9)-10))))</f>
        <v>0.9836601307189542</v>
      </c>
      <c r="H63" s="16">
        <f>IF((1.75-(($A63+5)/($A63+10))*(INDEX('Stat Boosts'!$D$2:$D$192,H$1-9)-10)/((INDEX('Stat Boosts'!$D$2:$D$192,(D63/2+22)-9)-10)))&lt;0.5,POWER(1.1,1.75-(($A63+5)/($A63+10))*(INDEX('Stat Boosts'!$D$2:$D$192,H$1-9)-10)/((INDEX('Stat Boosts'!$D$2:$D$192,(D63/2+22)-9)-10))-0.5)*0.5,(1.75-(($A63+5)/($A63+10))*(INDEX('Stat Boosts'!$D$2:$D$192,H$1-9)-10)/((INDEX('Stat Boosts'!$D$2:$D$192,(D63/2+22)-9)-10))))</f>
        <v>0.60049019607843124</v>
      </c>
      <c r="I63" s="16">
        <f>IF((1.75-(($A63+5)/($A63+10))*(INDEX('Stat Boosts'!$D$2:$D$192,I$1-9)-10)/((INDEX('Stat Boosts'!$D$2:$D$192,(E63/2+22)-9)-10)))&lt;0.5,POWER(1.1,1.75-(($A63+5)/($A63+10))*(INDEX('Stat Boosts'!$D$2:$D$192,I$1-9)-10)/((INDEX('Stat Boosts'!$D$2:$D$192,(E63/2+22)-9)-10))-0.5)*0.5,(1.75-(($A63+5)/($A63+10))*(INDEX('Stat Boosts'!$D$2:$D$192,I$1-9)-10)/((INDEX('Stat Boosts'!$D$2:$D$192,(E63/2+22)-9)-10))))</f>
        <v>0.4892545880278632</v>
      </c>
      <c r="J63" s="16">
        <f>IF((1.75-(($A63+5)/($A63+10))*(INDEX('Stat Boosts'!$D$2:$D$192,J$1-9)-10)/((INDEX('Stat Boosts'!$D$2:$D$192,(F63/2+22)-9)-10)))&lt;0.5,POWER(1.1,1.75-(($A63+5)/($A63+10))*(INDEX('Stat Boosts'!$D$2:$D$192,J$1-9)-10)/((INDEX('Stat Boosts'!$D$2:$D$192,(F63/2+22)-9)-10))-0.5)*0.5,(1.75-(($A63+5)/($A63+10))*(INDEX('Stat Boosts'!$D$2:$D$192,J$1-9)-10)/((INDEX('Stat Boosts'!$D$2:$D$192,(F63/2+22)-9)-10))))</f>
        <v>0.4741767444297581</v>
      </c>
      <c r="K63" s="16">
        <f>IF((1.75-(($A63+5)/($A63+10))*(INDEX('Stat Boosts'!$D$2:$D$192,K$1-9)-10)/((INDEX('Stat Boosts'!$D$2:$D$192,(G63/2+22)-9)-10)))&lt;0.5,POWER(1.1,1.75-(($A63+5)/($A63+10))*(INDEX('Stat Boosts'!$D$2:$D$192,K$1-9)-10)/((INDEX('Stat Boosts'!$D$2:$D$192,(G63/2+22)-9)-10))-0.5)*0.5,(1.75-(($A63+5)/($A63+10))*(INDEX('Stat Boosts'!$D$2:$D$192,K$1-9)-10)/((INDEX('Stat Boosts'!$D$2:$D$192,(G63/2+22)-9)-10))))</f>
        <v>0.44077746783460414</v>
      </c>
      <c r="L63" s="16">
        <f>IF((1.75-(($A63+5)/($A63+10))*(INDEX('Stat Boosts'!$D$2:$D$192,L$1-9)-10)/((INDEX('Stat Boosts'!$D$2:$D$192,(H63/2+22)-9)-10)))&lt;0.5,POWER(1.1,1.75-(($A63+5)/($A63+10))*(INDEX('Stat Boosts'!$D$2:$D$192,L$1-9)-10)/((INDEX('Stat Boosts'!$D$2:$D$192,(H63/2+22)-9)-10))-0.5)*0.5,(1.75-(($A63+5)/($A63+10))*(INDEX('Stat Boosts'!$D$2:$D$192,L$1-9)-10)/((INDEX('Stat Boosts'!$D$2:$D$192,(H63/2+22)-9)-10))))</f>
        <v>0.42942814533733503</v>
      </c>
      <c r="M63" s="16">
        <f>IF((1.75-(($A63+5)/($A63+10))*(INDEX('Stat Boosts'!$D$2:$D$192,M$1-9)-10)/((INDEX('Stat Boosts'!$D$2:$D$192,(I63/2+22)-9)-10)))&lt;0.5,POWER(1.1,1.75-(($A63+5)/($A63+10))*(INDEX('Stat Boosts'!$D$2:$D$192,M$1-9)-10)/((INDEX('Stat Boosts'!$D$2:$D$192,(I63/2+22)-9)-10))-0.5)*0.5,(1.75-(($A63+5)/($A63+10))*(INDEX('Stat Boosts'!$D$2:$D$192,M$1-9)-10)/((INDEX('Stat Boosts'!$D$2:$D$192,(I63/2+22)-9)-10))))</f>
        <v>0.41402834334276845</v>
      </c>
      <c r="N63" s="16">
        <f>IF((1.75-(($A63+5)/($A63+10))*(INDEX('Stat Boosts'!$D$2:$D$192,N$1-9)-10)/((INDEX('Stat Boosts'!$D$2:$D$192,(J63/2+22)-9)-10)))&lt;0.5,POWER(1.1,1.75-(($A63+5)/($A63+10))*(INDEX('Stat Boosts'!$D$2:$D$192,N$1-9)-10)/((INDEX('Stat Boosts'!$D$2:$D$192,(J63/2+22)-9)-10))-0.5)*0.5,(1.75-(($A63+5)/($A63+10))*(INDEX('Stat Boosts'!$D$2:$D$192,N$1-9)-10)/((INDEX('Stat Boosts'!$D$2:$D$192,(J63/2+22)-9)-10))))</f>
        <v>0.3950372854165437</v>
      </c>
      <c r="O63" s="16">
        <f>IF((1.75-(($A63+5)/($A63+10))*(INDEX('Stat Boosts'!$D$2:$D$192,O$1-9)-10)/((INDEX('Stat Boosts'!$D$2:$D$192,(K63/2+22)-9)-10)))&lt;0.5,POWER(1.1,1.75-(($A63+5)/($A63+10))*(INDEX('Stat Boosts'!$D$2:$D$192,O$1-9)-10)/((INDEX('Stat Boosts'!$D$2:$D$192,(K63/2+22)-9)-10))-0.5)*0.5,(1.75-(($A63+5)/($A63+10))*(INDEX('Stat Boosts'!$D$2:$D$192,O$1-9)-10)/((INDEX('Stat Boosts'!$D$2:$D$192,(K63/2+22)-9)-10))))</f>
        <v>0.38486570025665884</v>
      </c>
      <c r="P63" s="16">
        <f>IF((1.75-(($A63+5)/($A63+10))*(INDEX('Stat Boosts'!$D$2:$D$192,P$1-9)-10)/((INDEX('Stat Boosts'!$D$2:$D$192,(L63/2+22)-9)-10)))&lt;0.5,POWER(1.1,1.75-(($A63+5)/($A63+10))*(INDEX('Stat Boosts'!$D$2:$D$192,P$1-9)-10)/((INDEX('Stat Boosts'!$D$2:$D$192,(L63/2+22)-9)-10))-0.5)*0.5,(1.75-(($A63+5)/($A63+10))*(INDEX('Stat Boosts'!$D$2:$D$192,P$1-9)-10)/((INDEX('Stat Boosts'!$D$2:$D$192,(L63/2+22)-9)-10))))</f>
        <v>0.36913310803211868</v>
      </c>
      <c r="Q63" s="16">
        <f>IF((1.75-(($A63+5)/($A63+10))*(INDEX('Stat Boosts'!$D$2:$D$192,Q$1-9)-10)/((INDEX('Stat Boosts'!$D$2:$D$192,(M63/2+22)-9)-10)))&lt;0.5,POWER(1.1,1.75-(($A63+5)/($A63+10))*(INDEX('Stat Boosts'!$D$2:$D$192,Q$1-9)-10)/((INDEX('Stat Boosts'!$D$2:$D$192,(M63/2+22)-9)-10))-0.5)*0.5,(1.75-(($A63+5)/($A63+10))*(INDEX('Stat Boosts'!$D$2:$D$192,Q$1-9)-10)/((INDEX('Stat Boosts'!$D$2:$D$192,(M63/2+22)-9)-10))))</f>
        <v>0.35404363484348789</v>
      </c>
      <c r="R63" s="16">
        <f>IF((1.75-(($A63+5)/($A63+10))*1.25*(INDEX('Stat Boosts'!$D$2:$D$192,R$1-9)-10)/((INDEX('Stat Boosts'!$D$2:$D$192,(N63/2+22)-9)-10)))&lt;0.5,POWER(1.1,1.75-(($A63+5)/($A63+10))*1.25*(INDEX('Stat Boosts'!$D$2:$D$192,R$1-9)-10)/((INDEX('Stat Boosts'!$D$2:$D$192,(N63/2+22)-9)-10))-0.5)*0.5,(1.75-(($A63+5)/($A63+10))*1.25*(INDEX('Stat Boosts'!$D$2:$D$192,R$1-9)-10)/((INDEX('Stat Boosts'!$D$2:$D$192,(N63/2+22)-9)-10))))</f>
        <v>0.29921648215905672</v>
      </c>
    </row>
    <row r="64" spans="1:18">
      <c r="A64" s="9">
        <v>63</v>
      </c>
      <c r="B64" s="16">
        <f t="shared" si="0"/>
        <v>47.2</v>
      </c>
      <c r="C64" s="16">
        <f t="shared" si="1"/>
        <v>1.075268817204301E-2</v>
      </c>
      <c r="E64" s="16">
        <f>IF((1.75-(($A64+5)/($A64+10))*(INDEX('Stat Boosts'!$D$2:$D$192,E$1-9)-10)/((INDEX('Stat Boosts'!$D$2:$D$192,(A64/2+22)-9)-10)))&lt;0.5,POWER(1.1,1.75-(($A64+5)/($A64+10))*(INDEX('Stat Boosts'!$D$2:$D$192,E$1-9)-10)/((INDEX('Stat Boosts'!$D$2:$D$192,(A64/2+22)-9)-10))-0.5)*0.5,(1.75-(($A64+5)/($A64+10))*(INDEX('Stat Boosts'!$D$2:$D$192,E$1-9)-10)/((INDEX('Stat Boosts'!$D$2:$D$192,(A64/2+22)-9)-10))))</f>
        <v>1.75</v>
      </c>
      <c r="F64" s="16">
        <f>IF((1.75-(($A64+5)/($A64+10))*(INDEX('Stat Boosts'!$D$2:$D$192,F$1-9)-10)/((INDEX('Stat Boosts'!$D$2:$D$192,(B64/2+22)-9)-10)))&lt;0.5,POWER(1.1,1.75-(($A64+5)/($A64+10))*(INDEX('Stat Boosts'!$D$2:$D$192,F$1-9)-10)/((INDEX('Stat Boosts'!$D$2:$D$192,(B64/2+22)-9)-10))-0.5)*0.5,(1.75-(($A64+5)/($A64+10))*(INDEX('Stat Boosts'!$D$2:$D$192,F$1-9)-10)/((INDEX('Stat Boosts'!$D$2:$D$192,(B64/2+22)-9)-10))))</f>
        <v>1.6112649373360537</v>
      </c>
      <c r="G64" s="16">
        <f>IF((1.75-(($A64+5)/($A64+10))*(INDEX('Stat Boosts'!$D$2:$D$192,G$1-9)-10)/((INDEX('Stat Boosts'!$D$2:$D$192,(C64/2+22)-9)-10)))&lt;0.5,POWER(1.1,1.75-(($A64+5)/($A64+10))*(INDEX('Stat Boosts'!$D$2:$D$192,G$1-9)-10)/((INDEX('Stat Boosts'!$D$2:$D$192,(C64/2+22)-9)-10))-0.5)*0.5,(1.75-(($A64+5)/($A64+10))*(INDEX('Stat Boosts'!$D$2:$D$192,G$1-9)-10)/((INDEX('Stat Boosts'!$D$2:$D$192,(C64/2+22)-9)-10))))</f>
        <v>0.98287671232876717</v>
      </c>
      <c r="H64" s="16">
        <f>IF((1.75-(($A64+5)/($A64+10))*(INDEX('Stat Boosts'!$D$2:$D$192,H$1-9)-10)/((INDEX('Stat Boosts'!$D$2:$D$192,(D64/2+22)-9)-10)))&lt;0.5,POWER(1.1,1.75-(($A64+5)/($A64+10))*(INDEX('Stat Boosts'!$D$2:$D$192,H$1-9)-10)/((INDEX('Stat Boosts'!$D$2:$D$192,(D64/2+22)-9)-10))-0.5)*0.5,(1.75-(($A64+5)/($A64+10))*(INDEX('Stat Boosts'!$D$2:$D$192,H$1-9)-10)/((INDEX('Stat Boosts'!$D$2:$D$192,(D64/2+22)-9)-10))))</f>
        <v>0.59931506849315075</v>
      </c>
      <c r="I64" s="16">
        <f>IF((1.75-(($A64+5)/($A64+10))*(INDEX('Stat Boosts'!$D$2:$D$192,I$1-9)-10)/((INDEX('Stat Boosts'!$D$2:$D$192,(E64/2+22)-9)-10)))&lt;0.5,POWER(1.1,1.75-(($A64+5)/($A64+10))*(INDEX('Stat Boosts'!$D$2:$D$192,I$1-9)-10)/((INDEX('Stat Boosts'!$D$2:$D$192,(E64/2+22)-9)-10))-0.5)*0.5,(1.75-(($A64+5)/($A64+10))*(INDEX('Stat Boosts'!$D$2:$D$192,I$1-9)-10)/((INDEX('Stat Boosts'!$D$2:$D$192,(E64/2+22)-9)-10))))</f>
        <v>0.48918413941972499</v>
      </c>
      <c r="J64" s="16">
        <f>IF((1.75-(($A64+5)/($A64+10))*(INDEX('Stat Boosts'!$D$2:$D$192,J$1-9)-10)/((INDEX('Stat Boosts'!$D$2:$D$192,(F64/2+22)-9)-10)))&lt;0.5,POWER(1.1,1.75-(($A64+5)/($A64+10))*(INDEX('Stat Boosts'!$D$2:$D$192,J$1-9)-10)/((INDEX('Stat Boosts'!$D$2:$D$192,(F64/2+22)-9)-10))-0.5)*0.5,(1.75-(($A64+5)/($A64+10))*(INDEX('Stat Boosts'!$D$2:$D$192,J$1-9)-10)/((INDEX('Stat Boosts'!$D$2:$D$192,(F64/2+22)-9)-10))))</f>
        <v>0.47409329545837353</v>
      </c>
      <c r="K64" s="16">
        <f>IF((1.75-(($A64+5)/($A64+10))*(INDEX('Stat Boosts'!$D$2:$D$192,K$1-9)-10)/((INDEX('Stat Boosts'!$D$2:$D$192,(G64/2+22)-9)-10)))&lt;0.5,POWER(1.1,1.75-(($A64+5)/($A64+10))*(INDEX('Stat Boosts'!$D$2:$D$192,K$1-9)-10)/((INDEX('Stat Boosts'!$D$2:$D$192,(G64/2+22)-9)-10))-0.5)*0.5,(1.75-(($A64+5)/($A64+10))*(INDEX('Stat Boosts'!$D$2:$D$192,K$1-9)-10)/((INDEX('Stat Boosts'!$D$2:$D$192,(G64/2+22)-9)-10))))</f>
        <v>0.44066699186354114</v>
      </c>
      <c r="L64" s="16">
        <f>IF((1.75-(($A64+5)/($A64+10))*(INDEX('Stat Boosts'!$D$2:$D$192,L$1-9)-10)/((INDEX('Stat Boosts'!$D$2:$D$192,(H64/2+22)-9)-10)))&lt;0.5,POWER(1.1,1.75-(($A64+5)/($A64+10))*(INDEX('Stat Boosts'!$D$2:$D$192,L$1-9)-10)/((INDEX('Stat Boosts'!$D$2:$D$192,(H64/2+22)-9)-10))-0.5)*0.5,(1.75-(($A64+5)/($A64+10))*(INDEX('Stat Boosts'!$D$2:$D$192,L$1-9)-10)/((INDEX('Stat Boosts'!$D$2:$D$192,(H64/2+22)-9)-10))))</f>
        <v>0.42930906538762542</v>
      </c>
      <c r="M64" s="16">
        <f>IF((1.75-(($A64+5)/($A64+10))*(INDEX('Stat Boosts'!$D$2:$D$192,M$1-9)-10)/((INDEX('Stat Boosts'!$D$2:$D$192,(I64/2+22)-9)-10)))&lt;0.5,POWER(1.1,1.75-(($A64+5)/($A64+10))*(INDEX('Stat Boosts'!$D$2:$D$192,M$1-9)-10)/((INDEX('Stat Boosts'!$D$2:$D$192,(I64/2+22)-9)-10))-0.5)*0.5,(1.75-(($A64+5)/($A64+10))*(INDEX('Stat Boosts'!$D$2:$D$192,M$1-9)-10)/((INDEX('Stat Boosts'!$D$2:$D$192,(I64/2+22)-9)-10))))</f>
        <v>0.41389808103393549</v>
      </c>
      <c r="N64" s="16">
        <f>IF((1.75-(($A64+5)/($A64+10))*(INDEX('Stat Boosts'!$D$2:$D$192,N$1-9)-10)/((INDEX('Stat Boosts'!$D$2:$D$192,(J64/2+22)-9)-10)))&lt;0.5,POWER(1.1,1.75-(($A64+5)/($A64+10))*(INDEX('Stat Boosts'!$D$2:$D$192,N$1-9)-10)/((INDEX('Stat Boosts'!$D$2:$D$192,(J64/2+22)-9)-10))-0.5)*0.5,(1.75-(($A64+5)/($A64+10))*(INDEX('Stat Boosts'!$D$2:$D$192,N$1-9)-10)/((INDEX('Stat Boosts'!$D$2:$D$192,(J64/2+22)-9)-10))))</f>
        <v>0.39489404246359838</v>
      </c>
      <c r="O64" s="16">
        <f>IF((1.75-(($A64+5)/($A64+10))*(INDEX('Stat Boosts'!$D$2:$D$192,O$1-9)-10)/((INDEX('Stat Boosts'!$D$2:$D$192,(K64/2+22)-9)-10)))&lt;0.5,POWER(1.1,1.75-(($A64+5)/($A64+10))*(INDEX('Stat Boosts'!$D$2:$D$192,O$1-9)-10)/((INDEX('Stat Boosts'!$D$2:$D$192,(K64/2+22)-9)-10))-0.5)*0.5,(1.75-(($A64+5)/($A64+10))*(INDEX('Stat Boosts'!$D$2:$D$192,O$1-9)-10)/((INDEX('Stat Boosts'!$D$2:$D$192,(K64/2+22)-9)-10))))</f>
        <v>0.38471588620753006</v>
      </c>
      <c r="P64" s="16">
        <f>IF((1.75-(($A64+5)/($A64+10))*(INDEX('Stat Boosts'!$D$2:$D$192,P$1-9)-10)/((INDEX('Stat Boosts'!$D$2:$D$192,(L64/2+22)-9)-10)))&lt;0.5,POWER(1.1,1.75-(($A64+5)/($A64+10))*(INDEX('Stat Boosts'!$D$2:$D$192,P$1-9)-10)/((INDEX('Stat Boosts'!$D$2:$D$192,(L64/2+22)-9)-10))-0.5)*0.5,(1.75-(($A64+5)/($A64+10))*(INDEX('Stat Boosts'!$D$2:$D$192,P$1-9)-10)/((INDEX('Stat Boosts'!$D$2:$D$192,(L64/2+22)-9)-10))))</f>
        <v>0.36897367466142139</v>
      </c>
      <c r="Q64" s="16">
        <f>IF((1.75-(($A64+5)/($A64+10))*(INDEX('Stat Boosts'!$D$2:$D$192,Q$1-9)-10)/((INDEX('Stat Boosts'!$D$2:$D$192,(M64/2+22)-9)-10)))&lt;0.5,POWER(1.1,1.75-(($A64+5)/($A64+10))*(INDEX('Stat Boosts'!$D$2:$D$192,Q$1-9)-10)/((INDEX('Stat Boosts'!$D$2:$D$192,(M64/2+22)-9)-10))-0.5)*0.5,(1.75-(($A64+5)/($A64+10))*(INDEX('Stat Boosts'!$D$2:$D$192,Q$1-9)-10)/((INDEX('Stat Boosts'!$D$2:$D$192,(M64/2+22)-9)-10))))</f>
        <v>0.35387561957790498</v>
      </c>
      <c r="R64" s="16">
        <f>IF((1.75-(($A64+5)/($A64+10))*1.25*(INDEX('Stat Boosts'!$D$2:$D$192,R$1-9)-10)/((INDEX('Stat Boosts'!$D$2:$D$192,(N64/2+22)-9)-10)))&lt;0.5,POWER(1.1,1.75-(($A64+5)/($A64+10))*1.25*(INDEX('Stat Boosts'!$D$2:$D$192,R$1-9)-10)/((INDEX('Stat Boosts'!$D$2:$D$192,(N64/2+22)-9)-10))-0.5)*0.5,(1.75-(($A64+5)/($A64+10))*1.25*(INDEX('Stat Boosts'!$D$2:$D$192,R$1-9)-10)/((INDEX('Stat Boosts'!$D$2:$D$192,(N64/2+22)-9)-10))))</f>
        <v>0.29902304858385526</v>
      </c>
    </row>
    <row r="65" spans="1:18">
      <c r="A65" s="9">
        <v>64</v>
      </c>
      <c r="B65" s="16">
        <f t="shared" si="0"/>
        <v>47.6</v>
      </c>
      <c r="C65" s="16">
        <f t="shared" si="1"/>
        <v>1.0638297872340425E-2</v>
      </c>
      <c r="E65" s="16">
        <f>IF((1.75-(($A65+5)/($A65+10))*(INDEX('Stat Boosts'!$D$2:$D$192,E$1-9)-10)/((INDEX('Stat Boosts'!$D$2:$D$192,(A65/2+22)-9)-10)))&lt;0.5,POWER(1.1,1.75-(($A65+5)/($A65+10))*(INDEX('Stat Boosts'!$D$2:$D$192,E$1-9)-10)/((INDEX('Stat Boosts'!$D$2:$D$192,(A65/2+22)-9)-10))-0.5)*0.5,(1.75-(($A65+5)/($A65+10))*(INDEX('Stat Boosts'!$D$2:$D$192,E$1-9)-10)/((INDEX('Stat Boosts'!$D$2:$D$192,(A65/2+22)-9)-10))))</f>
        <v>1.75</v>
      </c>
      <c r="F65" s="16">
        <f>IF((1.75-(($A65+5)/($A65+10))*(INDEX('Stat Boosts'!$D$2:$D$192,F$1-9)-10)/((INDEX('Stat Boosts'!$D$2:$D$192,(B65/2+22)-9)-10)))&lt;0.5,POWER(1.1,1.75-(($A65+5)/($A65+10))*(INDEX('Stat Boosts'!$D$2:$D$192,F$1-9)-10)/((INDEX('Stat Boosts'!$D$2:$D$192,(B65/2+22)-9)-10))-0.5)*0.5,(1.75-(($A65+5)/($A65+10))*(INDEX('Stat Boosts'!$D$2:$D$192,F$1-9)-10)/((INDEX('Stat Boosts'!$D$2:$D$192,(B65/2+22)-9)-10))))</f>
        <v>1.6111270845313399</v>
      </c>
      <c r="G65" s="16">
        <f>IF((1.75-(($A65+5)/($A65+10))*(INDEX('Stat Boosts'!$D$2:$D$192,G$1-9)-10)/((INDEX('Stat Boosts'!$D$2:$D$192,(C65/2+22)-9)-10)))&lt;0.5,POWER(1.1,1.75-(($A65+5)/($A65+10))*(INDEX('Stat Boosts'!$D$2:$D$192,G$1-9)-10)/((INDEX('Stat Boosts'!$D$2:$D$192,(C65/2+22)-9)-10))-0.5)*0.5,(1.75-(($A65+5)/($A65+10))*(INDEX('Stat Boosts'!$D$2:$D$192,G$1-9)-10)/((INDEX('Stat Boosts'!$D$2:$D$192,(C65/2+22)-9)-10))))</f>
        <v>0.98211446740858499</v>
      </c>
      <c r="H65" s="16">
        <f>IF((1.75-(($A65+5)/($A65+10))*(INDEX('Stat Boosts'!$D$2:$D$192,H$1-9)-10)/((INDEX('Stat Boosts'!$D$2:$D$192,(D65/2+22)-9)-10)))&lt;0.5,POWER(1.1,1.75-(($A65+5)/($A65+10))*(INDEX('Stat Boosts'!$D$2:$D$192,H$1-9)-10)/((INDEX('Stat Boosts'!$D$2:$D$192,(D65/2+22)-9)-10))-0.5)*0.5,(1.75-(($A65+5)/($A65+10))*(INDEX('Stat Boosts'!$D$2:$D$192,H$1-9)-10)/((INDEX('Stat Boosts'!$D$2:$D$192,(D65/2+22)-9)-10))))</f>
        <v>0.59817170111287754</v>
      </c>
      <c r="I65" s="16">
        <f>IF((1.75-(($A65+5)/($A65+10))*(INDEX('Stat Boosts'!$D$2:$D$192,I$1-9)-10)/((INDEX('Stat Boosts'!$D$2:$D$192,(E65/2+22)-9)-10)))&lt;0.5,POWER(1.1,1.75-(($A65+5)/($A65+10))*(INDEX('Stat Boosts'!$D$2:$D$192,I$1-9)-10)/((INDEX('Stat Boosts'!$D$2:$D$192,(E65/2+22)-9)-10))-0.5)*0.5,(1.75-(($A65+5)/($A65+10))*(INDEX('Stat Boosts'!$D$2:$D$192,I$1-9)-10)/((INDEX('Stat Boosts'!$D$2:$D$192,(E65/2+22)-9)-10))))</f>
        <v>0.48911560456451275</v>
      </c>
      <c r="J65" s="16">
        <f>IF((1.75-(($A65+5)/($A65+10))*(INDEX('Stat Boosts'!$D$2:$D$192,J$1-9)-10)/((INDEX('Stat Boosts'!$D$2:$D$192,(F65/2+22)-9)-10)))&lt;0.5,POWER(1.1,1.75-(($A65+5)/($A65+10))*(INDEX('Stat Boosts'!$D$2:$D$192,J$1-9)-10)/((INDEX('Stat Boosts'!$D$2:$D$192,(F65/2+22)-9)-10))-0.5)*0.5,(1.75-(($A65+5)/($A65+10))*(INDEX('Stat Boosts'!$D$2:$D$192,J$1-9)-10)/((INDEX('Stat Boosts'!$D$2:$D$192,(F65/2+22)-9)-10))))</f>
        <v>0.47401211596054343</v>
      </c>
      <c r="K65" s="16">
        <f>IF((1.75-(($A65+5)/($A65+10))*(INDEX('Stat Boosts'!$D$2:$D$192,K$1-9)-10)/((INDEX('Stat Boosts'!$D$2:$D$192,(G65/2+22)-9)-10)))&lt;0.5,POWER(1.1,1.75-(($A65+5)/($A65+10))*(INDEX('Stat Boosts'!$D$2:$D$192,K$1-9)-10)/((INDEX('Stat Boosts'!$D$2:$D$192,(G65/2+22)-9)-10))-0.5)*0.5,(1.75-(($A65+5)/($A65+10))*(INDEX('Stat Boosts'!$D$2:$D$192,K$1-9)-10)/((INDEX('Stat Boosts'!$D$2:$D$192,(G65/2+22)-9)-10))))</f>
        <v>0.44055952830673045</v>
      </c>
      <c r="L65" s="16">
        <f>IF((1.75-(($A65+5)/($A65+10))*(INDEX('Stat Boosts'!$D$2:$D$192,L$1-9)-10)/((INDEX('Stat Boosts'!$D$2:$D$192,(H65/2+22)-9)-10)))&lt;0.5,POWER(1.1,1.75-(($A65+5)/($A65+10))*(INDEX('Stat Boosts'!$D$2:$D$192,L$1-9)-10)/((INDEX('Stat Boosts'!$D$2:$D$192,(H65/2+22)-9)-10))-0.5)*0.5,(1.75-(($A65+5)/($A65+10))*(INDEX('Stat Boosts'!$D$2:$D$192,L$1-9)-10)/((INDEX('Stat Boosts'!$D$2:$D$192,(H65/2+22)-9)-10))))</f>
        <v>0.42919323550913413</v>
      </c>
      <c r="M65" s="16">
        <f>IF((1.75-(($A65+5)/($A65+10))*(INDEX('Stat Boosts'!$D$2:$D$192,M$1-9)-10)/((INDEX('Stat Boosts'!$D$2:$D$192,(I65/2+22)-9)-10)))&lt;0.5,POWER(1.1,1.75-(($A65+5)/($A65+10))*(INDEX('Stat Boosts'!$D$2:$D$192,M$1-9)-10)/((INDEX('Stat Boosts'!$D$2:$D$192,(I65/2+22)-9)-10))-0.5)*0.5,(1.75-(($A65+5)/($A65+10))*(INDEX('Stat Boosts'!$D$2:$D$192,M$1-9)-10)/((INDEX('Stat Boosts'!$D$2:$D$192,(I65/2+22)-9)-10))))</f>
        <v>0.41377137866498809</v>
      </c>
      <c r="N65" s="16">
        <f>IF((1.75-(($A65+5)/($A65+10))*(INDEX('Stat Boosts'!$D$2:$D$192,N$1-9)-10)/((INDEX('Stat Boosts'!$D$2:$D$192,(J65/2+22)-9)-10)))&lt;0.5,POWER(1.1,1.75-(($A65+5)/($A65+10))*(INDEX('Stat Boosts'!$D$2:$D$192,N$1-9)-10)/((INDEX('Stat Boosts'!$D$2:$D$192,(J65/2+22)-9)-10))-0.5)*0.5,(1.75-(($A65+5)/($A65+10))*(INDEX('Stat Boosts'!$D$2:$D$192,N$1-9)-10)/((INDEX('Stat Boosts'!$D$2:$D$192,(J65/2+22)-9)-10))))</f>
        <v>0.3947547207960167</v>
      </c>
      <c r="O65" s="16">
        <f>IF((1.75-(($A65+5)/($A65+10))*(INDEX('Stat Boosts'!$D$2:$D$192,O$1-9)-10)/((INDEX('Stat Boosts'!$D$2:$D$192,(K65/2+22)-9)-10)))&lt;0.5,POWER(1.1,1.75-(($A65+5)/($A65+10))*(INDEX('Stat Boosts'!$D$2:$D$192,O$1-9)-10)/((INDEX('Stat Boosts'!$D$2:$D$192,(K65/2+22)-9)-10))-0.5)*0.5,(1.75-(($A65+5)/($A65+10))*(INDEX('Stat Boosts'!$D$2:$D$192,O$1-9)-10)/((INDEX('Stat Boosts'!$D$2:$D$192,(K65/2+22)-9)-10))))</f>
        <v>0.38457017716113928</v>
      </c>
      <c r="P65" s="16">
        <f>IF((1.75-(($A65+5)/($A65+10))*(INDEX('Stat Boosts'!$D$2:$D$192,P$1-9)-10)/((INDEX('Stat Boosts'!$D$2:$D$192,(L65/2+22)-9)-10)))&lt;0.5,POWER(1.1,1.75-(($A65+5)/($A65+10))*(INDEX('Stat Boosts'!$D$2:$D$192,P$1-9)-10)/((INDEX('Stat Boosts'!$D$2:$D$192,(L65/2+22)-9)-10))-0.5)*0.5,(1.75-(($A65+5)/($A65+10))*(INDEX('Stat Boosts'!$D$2:$D$192,P$1-9)-10)/((INDEX('Stat Boosts'!$D$2:$D$192,(L65/2+22)-9)-10))))</f>
        <v>0.36881861639581248</v>
      </c>
      <c r="Q65" s="16">
        <f>IF((1.75-(($A65+5)/($A65+10))*(INDEX('Stat Boosts'!$D$2:$D$192,Q$1-9)-10)/((INDEX('Stat Boosts'!$D$2:$D$192,(M65/2+22)-9)-10)))&lt;0.5,POWER(1.1,1.75-(($A65+5)/($A65+10))*(INDEX('Stat Boosts'!$D$2:$D$192,Q$1-9)-10)/((INDEX('Stat Boosts'!$D$2:$D$192,(M65/2+22)-9)-10))-0.5)*0.5,(1.75-(($A65+5)/($A65+10))*(INDEX('Stat Boosts'!$D$2:$D$192,Q$1-9)-10)/((INDEX('Stat Boosts'!$D$2:$D$192,(M65/2+22)-9)-10))))</f>
        <v>0.35371222179593131</v>
      </c>
      <c r="R65" s="16">
        <f>IF((1.75-(($A65+5)/($A65+10))*1.25*(INDEX('Stat Boosts'!$D$2:$D$192,R$1-9)-10)/((INDEX('Stat Boosts'!$D$2:$D$192,(N65/2+22)-9)-10)))&lt;0.5,POWER(1.1,1.75-(($A65+5)/($A65+10))*1.25*(INDEX('Stat Boosts'!$D$2:$D$192,R$1-9)-10)/((INDEX('Stat Boosts'!$D$2:$D$192,(N65/2+22)-9)-10))-0.5)*0.5,(1.75-(($A65+5)/($A65+10))*1.25*(INDEX('Stat Boosts'!$D$2:$D$192,R$1-9)-10)/((INDEX('Stat Boosts'!$D$2:$D$192,(N65/2+22)-9)-10))))</f>
        <v>0.29883496296837764</v>
      </c>
    </row>
    <row r="66" spans="1:18">
      <c r="A66" s="9">
        <v>65</v>
      </c>
      <c r="B66" s="16">
        <f t="shared" si="0"/>
        <v>48</v>
      </c>
      <c r="C66" s="16">
        <f t="shared" si="1"/>
        <v>1.0526315789473684E-2</v>
      </c>
      <c r="E66" s="16">
        <f>IF((1.75-(($A66+5)/($A66+10))*(INDEX('Stat Boosts'!$D$2:$D$192,E$1-9)-10)/((INDEX('Stat Boosts'!$D$2:$D$192,(A66/2+22)-9)-10)))&lt;0.5,POWER(1.1,1.75-(($A66+5)/($A66+10))*(INDEX('Stat Boosts'!$D$2:$D$192,E$1-9)-10)/((INDEX('Stat Boosts'!$D$2:$D$192,(A66/2+22)-9)-10))-0.5)*0.5,(1.75-(($A66+5)/($A66+10))*(INDEX('Stat Boosts'!$D$2:$D$192,E$1-9)-10)/((INDEX('Stat Boosts'!$D$2:$D$192,(A66/2+22)-9)-10))))</f>
        <v>1.75</v>
      </c>
      <c r="F66" s="16">
        <f>IF((1.75-(($A66+5)/($A66+10))*(INDEX('Stat Boosts'!$D$2:$D$192,F$1-9)-10)/((INDEX('Stat Boosts'!$D$2:$D$192,(B66/2+22)-9)-10)))&lt;0.5,POWER(1.1,1.75-(($A66+5)/($A66+10))*(INDEX('Stat Boosts'!$D$2:$D$192,F$1-9)-10)/((INDEX('Stat Boosts'!$D$2:$D$192,(B66/2+22)-9)-10))-0.5)*0.5,(1.75-(($A66+5)/($A66+10))*(INDEX('Stat Boosts'!$D$2:$D$192,F$1-9)-10)/((INDEX('Stat Boosts'!$D$2:$D$192,(B66/2+22)-9)-10))))</f>
        <v>1.6138888888888889</v>
      </c>
      <c r="G66" s="16">
        <f>IF((1.75-(($A66+5)/($A66+10))*(INDEX('Stat Boosts'!$D$2:$D$192,G$1-9)-10)/((INDEX('Stat Boosts'!$D$2:$D$192,(C66/2+22)-9)-10)))&lt;0.5,POWER(1.1,1.75-(($A66+5)/($A66+10))*(INDEX('Stat Boosts'!$D$2:$D$192,G$1-9)-10)/((INDEX('Stat Boosts'!$D$2:$D$192,(C66/2+22)-9)-10))-0.5)*0.5,(1.75-(($A66+5)/($A66+10))*(INDEX('Stat Boosts'!$D$2:$D$192,G$1-9)-10)/((INDEX('Stat Boosts'!$D$2:$D$192,(C66/2+22)-9)-10))))</f>
        <v>0.98137254901960791</v>
      </c>
      <c r="H66" s="16">
        <f>IF((1.75-(($A66+5)/($A66+10))*(INDEX('Stat Boosts'!$D$2:$D$192,H$1-9)-10)/((INDEX('Stat Boosts'!$D$2:$D$192,(D66/2+22)-9)-10)))&lt;0.5,POWER(1.1,1.75-(($A66+5)/($A66+10))*(INDEX('Stat Boosts'!$D$2:$D$192,H$1-9)-10)/((INDEX('Stat Boosts'!$D$2:$D$192,(D66/2+22)-9)-10))-0.5)*0.5,(1.75-(($A66+5)/($A66+10))*(INDEX('Stat Boosts'!$D$2:$D$192,H$1-9)-10)/((INDEX('Stat Boosts'!$D$2:$D$192,(D66/2+22)-9)-10))))</f>
        <v>0.59705882352941164</v>
      </c>
      <c r="I66" s="16">
        <f>IF((1.75-(($A66+5)/($A66+10))*(INDEX('Stat Boosts'!$D$2:$D$192,I$1-9)-10)/((INDEX('Stat Boosts'!$D$2:$D$192,(E66/2+22)-9)-10)))&lt;0.5,POWER(1.1,1.75-(($A66+5)/($A66+10))*(INDEX('Stat Boosts'!$D$2:$D$192,I$1-9)-10)/((INDEX('Stat Boosts'!$D$2:$D$192,(E66/2+22)-9)-10))-0.5)*0.5,(1.75-(($A66+5)/($A66+10))*(INDEX('Stat Boosts'!$D$2:$D$192,I$1-9)-10)/((INDEX('Stat Boosts'!$D$2:$D$192,(E66/2+22)-9)-10))))</f>
        <v>0.48904890652654992</v>
      </c>
      <c r="J66" s="16">
        <f>IF((1.75-(($A66+5)/($A66+10))*(INDEX('Stat Boosts'!$D$2:$D$192,J$1-9)-10)/((INDEX('Stat Boosts'!$D$2:$D$192,(F66/2+22)-9)-10)))&lt;0.5,POWER(1.1,1.75-(($A66+5)/($A66+10))*(INDEX('Stat Boosts'!$D$2:$D$192,J$1-9)-10)/((INDEX('Stat Boosts'!$D$2:$D$192,(F66/2+22)-9)-10))-0.5)*0.5,(1.75-(($A66+5)/($A66+10))*(INDEX('Stat Boosts'!$D$2:$D$192,J$1-9)-10)/((INDEX('Stat Boosts'!$D$2:$D$192,(F66/2+22)-9)-10))))</f>
        <v>0.47393311459871823</v>
      </c>
      <c r="K66" s="16">
        <f>IF((1.75-(($A66+5)/($A66+10))*(INDEX('Stat Boosts'!$D$2:$D$192,K$1-9)-10)/((INDEX('Stat Boosts'!$D$2:$D$192,(G66/2+22)-9)-10)))&lt;0.5,POWER(1.1,1.75-(($A66+5)/($A66+10))*(INDEX('Stat Boosts'!$D$2:$D$192,K$1-9)-10)/((INDEX('Stat Boosts'!$D$2:$D$192,(G66/2+22)-9)-10))-0.5)*0.5,(1.75-(($A66+5)/($A66+10))*(INDEX('Stat Boosts'!$D$2:$D$192,K$1-9)-10)/((INDEX('Stat Boosts'!$D$2:$D$192,(G66/2+22)-9)-10))))</f>
        <v>0.44045495561254716</v>
      </c>
      <c r="L66" s="16">
        <f>IF((1.75-(($A66+5)/($A66+10))*(INDEX('Stat Boosts'!$D$2:$D$192,L$1-9)-10)/((INDEX('Stat Boosts'!$D$2:$D$192,(H66/2+22)-9)-10)))&lt;0.5,POWER(1.1,1.75-(($A66+5)/($A66+10))*(INDEX('Stat Boosts'!$D$2:$D$192,L$1-9)-10)/((INDEX('Stat Boosts'!$D$2:$D$192,(H66/2+22)-9)-10))-0.5)*0.5,(1.75-(($A66+5)/($A66+10))*(INDEX('Stat Boosts'!$D$2:$D$192,L$1-9)-10)/((INDEX('Stat Boosts'!$D$2:$D$192,(H66/2+22)-9)-10))))</f>
        <v>0.42908052444004513</v>
      </c>
      <c r="M66" s="16">
        <f>IF((1.75-(($A66+5)/($A66+10))*(INDEX('Stat Boosts'!$D$2:$D$192,M$1-9)-10)/((INDEX('Stat Boosts'!$D$2:$D$192,(I66/2+22)-9)-10)))&lt;0.5,POWER(1.1,1.75-(($A66+5)/($A66+10))*(INDEX('Stat Boosts'!$D$2:$D$192,M$1-9)-10)/((INDEX('Stat Boosts'!$D$2:$D$192,(I66/2+22)-9)-10))-0.5)*0.5,(1.75-(($A66+5)/($A66+10))*(INDEX('Stat Boosts'!$D$2:$D$192,M$1-9)-10)/((INDEX('Stat Boosts'!$D$2:$D$192,(I66/2+22)-9)-10))))</f>
        <v>0.4136480922744224</v>
      </c>
      <c r="N66" s="16">
        <f>IF((1.75-(($A66+5)/($A66+10))*(INDEX('Stat Boosts'!$D$2:$D$192,N$1-9)-10)/((INDEX('Stat Boosts'!$D$2:$D$192,(J66/2+22)-9)-10)))&lt;0.5,POWER(1.1,1.75-(($A66+5)/($A66+10))*(INDEX('Stat Boosts'!$D$2:$D$192,N$1-9)-10)/((INDEX('Stat Boosts'!$D$2:$D$192,(J66/2+22)-9)-10))-0.5)*0.5,(1.75-(($A66+5)/($A66+10))*(INDEX('Stat Boosts'!$D$2:$D$192,N$1-9)-10)/((INDEX('Stat Boosts'!$D$2:$D$192,(J66/2+22)-9)-10))))</f>
        <v>0.39461916157813864</v>
      </c>
      <c r="O66" s="16">
        <f>IF((1.75-(($A66+5)/($A66+10))*(INDEX('Stat Boosts'!$D$2:$D$192,O$1-9)-10)/((INDEX('Stat Boosts'!$D$2:$D$192,(K66/2+22)-9)-10)))&lt;0.5,POWER(1.1,1.75-(($A66+5)/($A66+10))*(INDEX('Stat Boosts'!$D$2:$D$192,O$1-9)-10)/((INDEX('Stat Boosts'!$D$2:$D$192,(K66/2+22)-9)-10))-0.5)*0.5,(1.75-(($A66+5)/($A66+10))*(INDEX('Stat Boosts'!$D$2:$D$192,O$1-9)-10)/((INDEX('Stat Boosts'!$D$2:$D$192,(K66/2+22)-9)-10))))</f>
        <v>0.38442840668816664</v>
      </c>
      <c r="P66" s="16">
        <f>IF((1.75-(($A66+5)/($A66+10))*(INDEX('Stat Boosts'!$D$2:$D$192,P$1-9)-10)/((INDEX('Stat Boosts'!$D$2:$D$192,(L66/2+22)-9)-10)))&lt;0.5,POWER(1.1,1.75-(($A66+5)/($A66+10))*(INDEX('Stat Boosts'!$D$2:$D$192,P$1-9)-10)/((INDEX('Stat Boosts'!$D$2:$D$192,(L66/2+22)-9)-10))-0.5)*0.5,(1.75-(($A66+5)/($A66+10))*(INDEX('Stat Boosts'!$D$2:$D$192,P$1-9)-10)/((INDEX('Stat Boosts'!$D$2:$D$192,(L66/2+22)-9)-10))))</f>
        <v>0.36866775559621723</v>
      </c>
      <c r="Q66" s="16">
        <f>IF((1.75-(($A66+5)/($A66+10))*(INDEX('Stat Boosts'!$D$2:$D$192,Q$1-9)-10)/((INDEX('Stat Boosts'!$D$2:$D$192,(M66/2+22)-9)-10)))&lt;0.5,POWER(1.1,1.75-(($A66+5)/($A66+10))*(INDEX('Stat Boosts'!$D$2:$D$192,Q$1-9)-10)/((INDEX('Stat Boosts'!$D$2:$D$192,(M66/2+22)-9)-10))-0.5)*0.5,(1.75-(($A66+5)/($A66+10))*(INDEX('Stat Boosts'!$D$2:$D$192,Q$1-9)-10)/((INDEX('Stat Boosts'!$D$2:$D$192,(M66/2+22)-9)-10))))</f>
        <v>0.35355325374433594</v>
      </c>
      <c r="R66" s="16">
        <f>IF((1.75-(($A66+5)/($A66+10))*1.25*(INDEX('Stat Boosts'!$D$2:$D$192,R$1-9)-10)/((INDEX('Stat Boosts'!$D$2:$D$192,(N66/2+22)-9)-10)))&lt;0.5,POWER(1.1,1.75-(($A66+5)/($A66+10))*1.25*(INDEX('Stat Boosts'!$D$2:$D$192,R$1-9)-10)/((INDEX('Stat Boosts'!$D$2:$D$192,(N66/2+22)-9)-10))-0.5)*0.5,(1.75-(($A66+5)/($A66+10))*1.25*(INDEX('Stat Boosts'!$D$2:$D$192,R$1-9)-10)/((INDEX('Stat Boosts'!$D$2:$D$192,(N66/2+22)-9)-10))))</f>
        <v>0.29865200658570173</v>
      </c>
    </row>
    <row r="67" spans="1:18">
      <c r="A67" s="9">
        <v>66</v>
      </c>
      <c r="B67" s="16">
        <f t="shared" ref="B67:B130" si="2">22+A67/2.5</f>
        <v>48.4</v>
      </c>
      <c r="C67" s="16">
        <f t="shared" ref="C67:C130" si="3">0.4/(B67-10)</f>
        <v>1.0416666666666668E-2</v>
      </c>
      <c r="E67" s="16">
        <f>IF((1.75-(($A67+5)/($A67+10))*(INDEX('Stat Boosts'!$D$2:$D$192,E$1-9)-10)/((INDEX('Stat Boosts'!$D$2:$D$192,(A67/2+22)-9)-10)))&lt;0.5,POWER(1.1,1.75-(($A67+5)/($A67+10))*(INDEX('Stat Boosts'!$D$2:$D$192,E$1-9)-10)/((INDEX('Stat Boosts'!$D$2:$D$192,(A67/2+22)-9)-10))-0.5)*0.5,(1.75-(($A67+5)/($A67+10))*(INDEX('Stat Boosts'!$D$2:$D$192,E$1-9)-10)/((INDEX('Stat Boosts'!$D$2:$D$192,(A67/2+22)-9)-10))))</f>
        <v>1.75</v>
      </c>
      <c r="F67" s="16">
        <f>IF((1.75-(($A67+5)/($A67+10))*(INDEX('Stat Boosts'!$D$2:$D$192,F$1-9)-10)/((INDEX('Stat Boosts'!$D$2:$D$192,(B67/2+22)-9)-10)))&lt;0.5,POWER(1.1,1.75-(($A67+5)/($A67+10))*(INDEX('Stat Boosts'!$D$2:$D$192,F$1-9)-10)/((INDEX('Stat Boosts'!$D$2:$D$192,(B67/2+22)-9)-10))-0.5)*0.5,(1.75-(($A67+5)/($A67+10))*(INDEX('Stat Boosts'!$D$2:$D$192,F$1-9)-10)/((INDEX('Stat Boosts'!$D$2:$D$192,(B67/2+22)-9)-10))))</f>
        <v>1.6137609649122806</v>
      </c>
      <c r="G67" s="16">
        <f>IF((1.75-(($A67+5)/($A67+10))*(INDEX('Stat Boosts'!$D$2:$D$192,G$1-9)-10)/((INDEX('Stat Boosts'!$D$2:$D$192,(C67/2+22)-9)-10)))&lt;0.5,POWER(1.1,1.75-(($A67+5)/($A67+10))*(INDEX('Stat Boosts'!$D$2:$D$192,G$1-9)-10)/((INDEX('Stat Boosts'!$D$2:$D$192,(C67/2+22)-9)-10))-0.5)*0.5,(1.75-(($A67+5)/($A67+10))*(INDEX('Stat Boosts'!$D$2:$D$192,G$1-9)-10)/((INDEX('Stat Boosts'!$D$2:$D$192,(C67/2+22)-9)-10))))</f>
        <v>0.98065015479876161</v>
      </c>
      <c r="H67" s="16">
        <f>IF((1.75-(($A67+5)/($A67+10))*(INDEX('Stat Boosts'!$D$2:$D$192,H$1-9)-10)/((INDEX('Stat Boosts'!$D$2:$D$192,(D67/2+22)-9)-10)))&lt;0.5,POWER(1.1,1.75-(($A67+5)/($A67+10))*(INDEX('Stat Boosts'!$D$2:$D$192,H$1-9)-10)/((INDEX('Stat Boosts'!$D$2:$D$192,(D67/2+22)-9)-10))-0.5)*0.5,(1.75-(($A67+5)/($A67+10))*(INDEX('Stat Boosts'!$D$2:$D$192,H$1-9)-10)/((INDEX('Stat Boosts'!$D$2:$D$192,(D67/2+22)-9)-10))))</f>
        <v>0.59597523219814241</v>
      </c>
      <c r="I67" s="16">
        <f>IF((1.75-(($A67+5)/($A67+10))*(INDEX('Stat Boosts'!$D$2:$D$192,I$1-9)-10)/((INDEX('Stat Boosts'!$D$2:$D$192,(E67/2+22)-9)-10)))&lt;0.5,POWER(1.1,1.75-(($A67+5)/($A67+10))*(INDEX('Stat Boosts'!$D$2:$D$192,I$1-9)-10)/((INDEX('Stat Boosts'!$D$2:$D$192,(E67/2+22)-9)-10))-0.5)*0.5,(1.75-(($A67+5)/($A67+10))*(INDEX('Stat Boosts'!$D$2:$D$192,I$1-9)-10)/((INDEX('Stat Boosts'!$D$2:$D$192,(E67/2+22)-9)-10))))</f>
        <v>0.48898397243949832</v>
      </c>
      <c r="J67" s="16">
        <f>IF((1.75-(($A67+5)/($A67+10))*(INDEX('Stat Boosts'!$D$2:$D$192,J$1-9)-10)/((INDEX('Stat Boosts'!$D$2:$D$192,(F67/2+22)-9)-10)))&lt;0.5,POWER(1.1,1.75-(($A67+5)/($A67+10))*(INDEX('Stat Boosts'!$D$2:$D$192,J$1-9)-10)/((INDEX('Stat Boosts'!$D$2:$D$192,(F67/2+22)-9)-10))-0.5)*0.5,(1.75-(($A67+5)/($A67+10))*(INDEX('Stat Boosts'!$D$2:$D$192,J$1-9)-10)/((INDEX('Stat Boosts'!$D$2:$D$192,(F67/2+22)-9)-10))))</f>
        <v>0.47385620487171914</v>
      </c>
      <c r="K67" s="16">
        <f>IF((1.75-(($A67+5)/($A67+10))*(INDEX('Stat Boosts'!$D$2:$D$192,K$1-9)-10)/((INDEX('Stat Boosts'!$D$2:$D$192,(G67/2+22)-9)-10)))&lt;0.5,POWER(1.1,1.75-(($A67+5)/($A67+10))*(INDEX('Stat Boosts'!$D$2:$D$192,K$1-9)-10)/((INDEX('Stat Boosts'!$D$2:$D$192,(G67/2+22)-9)-10))-0.5)*0.5,(1.75-(($A67+5)/($A67+10))*(INDEX('Stat Boosts'!$D$2:$D$192,K$1-9)-10)/((INDEX('Stat Boosts'!$D$2:$D$192,(G67/2+22)-9)-10))))</f>
        <v>0.4403531586819352</v>
      </c>
      <c r="L67" s="16">
        <f>IF((1.75-(($A67+5)/($A67+10))*(INDEX('Stat Boosts'!$D$2:$D$192,L$1-9)-10)/((INDEX('Stat Boosts'!$D$2:$D$192,(H67/2+22)-9)-10)))&lt;0.5,POWER(1.1,1.75-(($A67+5)/($A67+10))*(INDEX('Stat Boosts'!$D$2:$D$192,L$1-9)-10)/((INDEX('Stat Boosts'!$D$2:$D$192,(H67/2+22)-9)-10))-0.5)*0.5,(1.75-(($A67+5)/($A67+10))*(INDEX('Stat Boosts'!$D$2:$D$192,L$1-9)-10)/((INDEX('Stat Boosts'!$D$2:$D$192,(H67/2+22)-9)-10))))</f>
        <v>0.42897080789286623</v>
      </c>
      <c r="M67" s="16">
        <f>IF((1.75-(($A67+5)/($A67+10))*(INDEX('Stat Boosts'!$D$2:$D$192,M$1-9)-10)/((INDEX('Stat Boosts'!$D$2:$D$192,(I67/2+22)-9)-10)))&lt;0.5,POWER(1.1,1.75-(($A67+5)/($A67+10))*(INDEX('Stat Boosts'!$D$2:$D$192,M$1-9)-10)/((INDEX('Stat Boosts'!$D$2:$D$192,(I67/2+22)-9)-10))-0.5)*0.5,(1.75-(($A67+5)/($A67+10))*(INDEX('Stat Boosts'!$D$2:$D$192,M$1-9)-10)/((INDEX('Stat Boosts'!$D$2:$D$192,(I67/2+22)-9)-10))))</f>
        <v>0.41352808555947196</v>
      </c>
      <c r="N67" s="16">
        <f>IF((1.75-(($A67+5)/($A67+10))*(INDEX('Stat Boosts'!$D$2:$D$192,N$1-9)-10)/((INDEX('Stat Boosts'!$D$2:$D$192,(J67/2+22)-9)-10)))&lt;0.5,POWER(1.1,1.75-(($A67+5)/($A67+10))*(INDEX('Stat Boosts'!$D$2:$D$192,N$1-9)-10)/((INDEX('Stat Boosts'!$D$2:$D$192,(J67/2+22)-9)-10))-0.5)*0.5,(1.75-(($A67+5)/($A67+10))*(INDEX('Stat Boosts'!$D$2:$D$192,N$1-9)-10)/((INDEX('Stat Boosts'!$D$2:$D$192,(J67/2+22)-9)-10))))</f>
        <v>0.394487214437995</v>
      </c>
      <c r="O67" s="16">
        <f>IF((1.75-(($A67+5)/($A67+10))*(INDEX('Stat Boosts'!$D$2:$D$192,O$1-9)-10)/((INDEX('Stat Boosts'!$D$2:$D$192,(K67/2+22)-9)-10)))&lt;0.5,POWER(1.1,1.75-(($A67+5)/($A67+10))*(INDEX('Stat Boosts'!$D$2:$D$192,O$1-9)-10)/((INDEX('Stat Boosts'!$D$2:$D$192,(K67/2+22)-9)-10))-0.5)*0.5,(1.75-(($A67+5)/($A67+10))*(INDEX('Stat Boosts'!$D$2:$D$192,O$1-9)-10)/((INDEX('Stat Boosts'!$D$2:$D$192,(K67/2+22)-9)-10))))</f>
        <v>0.38429041723554963</v>
      </c>
      <c r="P67" s="16">
        <f>IF((1.75-(($A67+5)/($A67+10))*(INDEX('Stat Boosts'!$D$2:$D$192,P$1-9)-10)/((INDEX('Stat Boosts'!$D$2:$D$192,(L67/2+22)-9)-10)))&lt;0.5,POWER(1.1,1.75-(($A67+5)/($A67+10))*(INDEX('Stat Boosts'!$D$2:$D$192,P$1-9)-10)/((INDEX('Stat Boosts'!$D$2:$D$192,(L67/2+22)-9)-10))-0.5)*0.5,(1.75-(($A67+5)/($A67+10))*(INDEX('Stat Boosts'!$D$2:$D$192,P$1-9)-10)/((INDEX('Stat Boosts'!$D$2:$D$192,(L67/2+22)-9)-10))))</f>
        <v>0.36852092411119752</v>
      </c>
      <c r="Q67" s="16">
        <f>IF((1.75-(($A67+5)/($A67+10))*(INDEX('Stat Boosts'!$D$2:$D$192,Q$1-9)-10)/((INDEX('Stat Boosts'!$D$2:$D$192,(M67/2+22)-9)-10)))&lt;0.5,POWER(1.1,1.75-(($A67+5)/($A67+10))*(INDEX('Stat Boosts'!$D$2:$D$192,Q$1-9)-10)/((INDEX('Stat Boosts'!$D$2:$D$192,(M67/2+22)-9)-10))-0.5)*0.5,(1.75-(($A67+5)/($A67+10))*(INDEX('Stat Boosts'!$D$2:$D$192,Q$1-9)-10)/((INDEX('Stat Boosts'!$D$2:$D$192,(M67/2+22)-9)-10))))</f>
        <v>0.35339853771198287</v>
      </c>
      <c r="R67" s="16">
        <f>IF((1.75-(($A67+5)/($A67+10))*1.25*(INDEX('Stat Boosts'!$D$2:$D$192,R$1-9)-10)/((INDEX('Stat Boosts'!$D$2:$D$192,(N67/2+22)-9)-10)))&lt;0.5,POWER(1.1,1.75-(($A67+5)/($A67+10))*1.25*(INDEX('Stat Boosts'!$D$2:$D$192,R$1-9)-10)/((INDEX('Stat Boosts'!$D$2:$D$192,(N67/2+22)-9)-10))-0.5)*0.5,(1.75-(($A67+5)/($A67+10))*1.25*(INDEX('Stat Boosts'!$D$2:$D$192,R$1-9)-10)/((INDEX('Stat Boosts'!$D$2:$D$192,(N67/2+22)-9)-10))))</f>
        <v>0.29847397247430679</v>
      </c>
    </row>
    <row r="68" spans="1:18">
      <c r="A68" s="9">
        <v>67</v>
      </c>
      <c r="B68" s="16">
        <f t="shared" si="2"/>
        <v>48.8</v>
      </c>
      <c r="C68" s="16">
        <f t="shared" si="3"/>
        <v>1.0309278350515465E-2</v>
      </c>
      <c r="E68" s="16">
        <f>IF((1.75-(($A68+5)/($A68+10))*(INDEX('Stat Boosts'!$D$2:$D$192,E$1-9)-10)/((INDEX('Stat Boosts'!$D$2:$D$192,(A68/2+22)-9)-10)))&lt;0.5,POWER(1.1,1.75-(($A68+5)/($A68+10))*(INDEX('Stat Boosts'!$D$2:$D$192,E$1-9)-10)/((INDEX('Stat Boosts'!$D$2:$D$192,(A68/2+22)-9)-10))-0.5)*0.5,(1.75-(($A68+5)/($A68+10))*(INDEX('Stat Boosts'!$D$2:$D$192,E$1-9)-10)/((INDEX('Stat Boosts'!$D$2:$D$192,(A68/2+22)-9)-10))))</f>
        <v>1.75</v>
      </c>
      <c r="F68" s="16">
        <f>IF((1.75-(($A68+5)/($A68+10))*(INDEX('Stat Boosts'!$D$2:$D$192,F$1-9)-10)/((INDEX('Stat Boosts'!$D$2:$D$192,(B68/2+22)-9)-10)))&lt;0.5,POWER(1.1,1.75-(($A68+5)/($A68+10))*(INDEX('Stat Boosts'!$D$2:$D$192,F$1-9)-10)/((INDEX('Stat Boosts'!$D$2:$D$192,(B68/2+22)-9)-10))-0.5)*0.5,(1.75-(($A68+5)/($A68+10))*(INDEX('Stat Boosts'!$D$2:$D$192,F$1-9)-10)/((INDEX('Stat Boosts'!$D$2:$D$192,(B68/2+22)-9)-10))))</f>
        <v>1.6136363636363638</v>
      </c>
      <c r="G68" s="16">
        <f>IF((1.75-(($A68+5)/($A68+10))*(INDEX('Stat Boosts'!$D$2:$D$192,G$1-9)-10)/((INDEX('Stat Boosts'!$D$2:$D$192,(C68/2+22)-9)-10)))&lt;0.5,POWER(1.1,1.75-(($A68+5)/($A68+10))*(INDEX('Stat Boosts'!$D$2:$D$192,G$1-9)-10)/((INDEX('Stat Boosts'!$D$2:$D$192,(C68/2+22)-9)-10))-0.5)*0.5,(1.75-(($A68+5)/($A68+10))*(INDEX('Stat Boosts'!$D$2:$D$192,G$1-9)-10)/((INDEX('Stat Boosts'!$D$2:$D$192,(C68/2+22)-9)-10))))</f>
        <v>0.97994652406417115</v>
      </c>
      <c r="H68" s="16">
        <f>IF((1.75-(($A68+5)/($A68+10))*(INDEX('Stat Boosts'!$D$2:$D$192,H$1-9)-10)/((INDEX('Stat Boosts'!$D$2:$D$192,(D68/2+22)-9)-10)))&lt;0.5,POWER(1.1,1.75-(($A68+5)/($A68+10))*(INDEX('Stat Boosts'!$D$2:$D$192,H$1-9)-10)/((INDEX('Stat Boosts'!$D$2:$D$192,(D68/2+22)-9)-10))-0.5)*0.5,(1.75-(($A68+5)/($A68+10))*(INDEX('Stat Boosts'!$D$2:$D$192,H$1-9)-10)/((INDEX('Stat Boosts'!$D$2:$D$192,(D68/2+22)-9)-10))))</f>
        <v>0.59491978609625673</v>
      </c>
      <c r="I68" s="16">
        <f>IF((1.75-(($A68+5)/($A68+10))*(INDEX('Stat Boosts'!$D$2:$D$192,I$1-9)-10)/((INDEX('Stat Boosts'!$D$2:$D$192,(E68/2+22)-9)-10)))&lt;0.5,POWER(1.1,1.75-(($A68+5)/($A68+10))*(INDEX('Stat Boosts'!$D$2:$D$192,I$1-9)-10)/((INDEX('Stat Boosts'!$D$2:$D$192,(E68/2+22)-9)-10))-0.5)*0.5,(1.75-(($A68+5)/($A68+10))*(INDEX('Stat Boosts'!$D$2:$D$192,I$1-9)-10)/((INDEX('Stat Boosts'!$D$2:$D$192,(E68/2+22)-9)-10))))</f>
        <v>0.48892073324082319</v>
      </c>
      <c r="J68" s="16">
        <f>IF((1.75-(($A68+5)/($A68+10))*(INDEX('Stat Boosts'!$D$2:$D$192,J$1-9)-10)/((INDEX('Stat Boosts'!$D$2:$D$192,(F68/2+22)-9)-10)))&lt;0.5,POWER(1.1,1.75-(($A68+5)/($A68+10))*(INDEX('Stat Boosts'!$D$2:$D$192,J$1-9)-10)/((INDEX('Stat Boosts'!$D$2:$D$192,(F68/2+22)-9)-10))-0.5)*0.5,(1.75-(($A68+5)/($A68+10))*(INDEX('Stat Boosts'!$D$2:$D$192,J$1-9)-10)/((INDEX('Stat Boosts'!$D$2:$D$192,(F68/2+22)-9)-10))))</f>
        <v>0.47378130479881336</v>
      </c>
      <c r="K68" s="16">
        <f>IF((1.75-(($A68+5)/($A68+10))*(INDEX('Stat Boosts'!$D$2:$D$192,K$1-9)-10)/((INDEX('Stat Boosts'!$D$2:$D$192,(G68/2+22)-9)-10)))&lt;0.5,POWER(1.1,1.75-(($A68+5)/($A68+10))*(INDEX('Stat Boosts'!$D$2:$D$192,K$1-9)-10)/((INDEX('Stat Boosts'!$D$2:$D$192,(G68/2+22)-9)-10))-0.5)*0.5,(1.75-(($A68+5)/($A68+10))*(INDEX('Stat Boosts'!$D$2:$D$192,K$1-9)-10)/((INDEX('Stat Boosts'!$D$2:$D$192,(G68/2+22)-9)-10))))</f>
        <v>0.44025402844585659</v>
      </c>
      <c r="L68" s="16">
        <f>IF((1.75-(($A68+5)/($A68+10))*(INDEX('Stat Boosts'!$D$2:$D$192,L$1-9)-10)/((INDEX('Stat Boosts'!$D$2:$D$192,(H68/2+22)-9)-10)))&lt;0.5,POWER(1.1,1.75-(($A68+5)/($A68+10))*(INDEX('Stat Boosts'!$D$2:$D$192,L$1-9)-10)/((INDEX('Stat Boosts'!$D$2:$D$192,(H68/2+22)-9)-10))-0.5)*0.5,(1.75-(($A68+5)/($A68+10))*(INDEX('Stat Boosts'!$D$2:$D$192,L$1-9)-10)/((INDEX('Stat Boosts'!$D$2:$D$192,(H68/2+22)-9)-10))))</f>
        <v>0.42886396809730609</v>
      </c>
      <c r="M68" s="16">
        <f>IF((1.75-(($A68+5)/($A68+10))*(INDEX('Stat Boosts'!$D$2:$D$192,M$1-9)-10)/((INDEX('Stat Boosts'!$D$2:$D$192,(I68/2+22)-9)-10)))&lt;0.5,POWER(1.1,1.75-(($A68+5)/($A68+10))*(INDEX('Stat Boosts'!$D$2:$D$192,M$1-9)-10)/((INDEX('Stat Boosts'!$D$2:$D$192,(I68/2+22)-9)-10))-0.5)*0.5,(1.75-(($A68+5)/($A68+10))*(INDEX('Stat Boosts'!$D$2:$D$192,M$1-9)-10)/((INDEX('Stat Boosts'!$D$2:$D$192,(I68/2+22)-9)-10))))</f>
        <v>0.41341122937350572</v>
      </c>
      <c r="N68" s="16">
        <f>IF((1.75-(($A68+5)/($A68+10))*(INDEX('Stat Boosts'!$D$2:$D$192,N$1-9)-10)/((INDEX('Stat Boosts'!$D$2:$D$192,(J68/2+22)-9)-10)))&lt;0.5,POWER(1.1,1.75-(($A68+5)/($A68+10))*(INDEX('Stat Boosts'!$D$2:$D$192,N$1-9)-10)/((INDEX('Stat Boosts'!$D$2:$D$192,(J68/2+22)-9)-10))-0.5)*0.5,(1.75-(($A68+5)/($A68+10))*(INDEX('Stat Boosts'!$D$2:$D$192,N$1-9)-10)/((INDEX('Stat Boosts'!$D$2:$D$192,(J68/2+22)-9)-10))))</f>
        <v>0.39435873691100215</v>
      </c>
      <c r="O68" s="16">
        <f>IF((1.75-(($A68+5)/($A68+10))*(INDEX('Stat Boosts'!$D$2:$D$192,O$1-9)-10)/((INDEX('Stat Boosts'!$D$2:$D$192,(K68/2+22)-9)-10)))&lt;0.5,POWER(1.1,1.75-(($A68+5)/($A68+10))*(INDEX('Stat Boosts'!$D$2:$D$192,O$1-9)-10)/((INDEX('Stat Boosts'!$D$2:$D$192,(K68/2+22)-9)-10))-0.5)*0.5,(1.75-(($A68+5)/($A68+10))*(INDEX('Stat Boosts'!$D$2:$D$192,O$1-9)-10)/((INDEX('Stat Boosts'!$D$2:$D$192,(K68/2+22)-9)-10))))</f>
        <v>0.38415605954254994</v>
      </c>
      <c r="P68" s="16">
        <f>IF((1.75-(($A68+5)/($A68+10))*(INDEX('Stat Boosts'!$D$2:$D$192,P$1-9)-10)/((INDEX('Stat Boosts'!$D$2:$D$192,(L68/2+22)-9)-10)))&lt;0.5,POWER(1.1,1.75-(($A68+5)/($A68+10))*(INDEX('Stat Boosts'!$D$2:$D$192,P$1-9)-10)/((INDEX('Stat Boosts'!$D$2:$D$192,(L68/2+22)-9)-10))-0.5)*0.5,(1.75-(($A68+5)/($A68+10))*(INDEX('Stat Boosts'!$D$2:$D$192,P$1-9)-10)/((INDEX('Stat Boosts'!$D$2:$D$192,(L68/2+22)-9)-10))))</f>
        <v>0.36837796265192713</v>
      </c>
      <c r="Q68" s="16">
        <f>IF((1.75-(($A68+5)/($A68+10))*(INDEX('Stat Boosts'!$D$2:$D$192,Q$1-9)-10)/((INDEX('Stat Boosts'!$D$2:$D$192,(M68/2+22)-9)-10)))&lt;0.5,POWER(1.1,1.75-(($A68+5)/($A68+10))*(INDEX('Stat Boosts'!$D$2:$D$192,Q$1-9)-10)/((INDEX('Stat Boosts'!$D$2:$D$192,(M68/2+22)-9)-10))-0.5)*0.5,(1.75-(($A68+5)/($A68+10))*(INDEX('Stat Boosts'!$D$2:$D$192,Q$1-9)-10)/((INDEX('Stat Boosts'!$D$2:$D$192,(M68/2+22)-9)-10))))</f>
        <v>0.35324790536736012</v>
      </c>
      <c r="R68" s="16">
        <f>IF((1.75-(($A68+5)/($A68+10))*1.25*(INDEX('Stat Boosts'!$D$2:$D$192,R$1-9)-10)/((INDEX('Stat Boosts'!$D$2:$D$192,(N68/2+22)-9)-10)))&lt;0.5,POWER(1.1,1.75-(($A68+5)/($A68+10))*1.25*(INDEX('Stat Boosts'!$D$2:$D$192,R$1-9)-10)/((INDEX('Stat Boosts'!$D$2:$D$192,(N68/2+22)-9)-10))-0.5)*0.5,(1.75-(($A68+5)/($A68+10))*1.25*(INDEX('Stat Boosts'!$D$2:$D$192,R$1-9)-10)/((INDEX('Stat Boosts'!$D$2:$D$192,(N68/2+22)-9)-10))))</f>
        <v>0.29830066465760496</v>
      </c>
    </row>
    <row r="69" spans="1:18">
      <c r="A69" s="9">
        <v>68</v>
      </c>
      <c r="B69" s="16">
        <f t="shared" si="2"/>
        <v>49.2</v>
      </c>
      <c r="C69" s="16">
        <f t="shared" si="3"/>
        <v>1.020408163265306E-2</v>
      </c>
      <c r="E69" s="16">
        <f>IF((1.75-(($A69+5)/($A69+10))*(INDEX('Stat Boosts'!$D$2:$D$192,E$1-9)-10)/((INDEX('Stat Boosts'!$D$2:$D$192,(A69/2+22)-9)-10)))&lt;0.5,POWER(1.1,1.75-(($A69+5)/($A69+10))*(INDEX('Stat Boosts'!$D$2:$D$192,E$1-9)-10)/((INDEX('Stat Boosts'!$D$2:$D$192,(A69/2+22)-9)-10))-0.5)*0.5,(1.75-(($A69+5)/($A69+10))*(INDEX('Stat Boosts'!$D$2:$D$192,E$1-9)-10)/((INDEX('Stat Boosts'!$D$2:$D$192,(A69/2+22)-9)-10))))</f>
        <v>1.75</v>
      </c>
      <c r="F69" s="16">
        <f>IF((1.75-(($A69+5)/($A69+10))*(INDEX('Stat Boosts'!$D$2:$D$192,F$1-9)-10)/((INDEX('Stat Boosts'!$D$2:$D$192,(B69/2+22)-9)-10)))&lt;0.5,POWER(1.1,1.75-(($A69+5)/($A69+10))*(INDEX('Stat Boosts'!$D$2:$D$192,F$1-9)-10)/((INDEX('Stat Boosts'!$D$2:$D$192,(B69/2+22)-9)-10))-0.5)*0.5,(1.75-(($A69+5)/($A69+10))*(INDEX('Stat Boosts'!$D$2:$D$192,F$1-9)-10)/((INDEX('Stat Boosts'!$D$2:$D$192,(B69/2+22)-9)-10))))</f>
        <v>1.6135149572649572</v>
      </c>
      <c r="G69" s="16">
        <f>IF((1.75-(($A69+5)/($A69+10))*(INDEX('Stat Boosts'!$D$2:$D$192,G$1-9)-10)/((INDEX('Stat Boosts'!$D$2:$D$192,(C69/2+22)-9)-10)))&lt;0.5,POWER(1.1,1.75-(($A69+5)/($A69+10))*(INDEX('Stat Boosts'!$D$2:$D$192,G$1-9)-10)/((INDEX('Stat Boosts'!$D$2:$D$192,(C69/2+22)-9)-10))-0.5)*0.5,(1.75-(($A69+5)/($A69+10))*(INDEX('Stat Boosts'!$D$2:$D$192,G$1-9)-10)/((INDEX('Stat Boosts'!$D$2:$D$192,(C69/2+22)-9)-10))))</f>
        <v>0.97926093514328816</v>
      </c>
      <c r="H69" s="16">
        <f>IF((1.75-(($A69+5)/($A69+10))*(INDEX('Stat Boosts'!$D$2:$D$192,H$1-9)-10)/((INDEX('Stat Boosts'!$D$2:$D$192,(D69/2+22)-9)-10)))&lt;0.5,POWER(1.1,1.75-(($A69+5)/($A69+10))*(INDEX('Stat Boosts'!$D$2:$D$192,H$1-9)-10)/((INDEX('Stat Boosts'!$D$2:$D$192,(D69/2+22)-9)-10))-0.5)*0.5,(1.75-(($A69+5)/($A69+10))*(INDEX('Stat Boosts'!$D$2:$D$192,H$1-9)-10)/((INDEX('Stat Boosts'!$D$2:$D$192,(D69/2+22)-9)-10))))</f>
        <v>0.59389140271493224</v>
      </c>
      <c r="I69" s="16">
        <f>IF((1.75-(($A69+5)/($A69+10))*(INDEX('Stat Boosts'!$D$2:$D$192,I$1-9)-10)/((INDEX('Stat Boosts'!$D$2:$D$192,(E69/2+22)-9)-10)))&lt;0.5,POWER(1.1,1.75-(($A69+5)/($A69+10))*(INDEX('Stat Boosts'!$D$2:$D$192,I$1-9)-10)/((INDEX('Stat Boosts'!$D$2:$D$192,(E69/2+22)-9)-10))-0.5)*0.5,(1.75-(($A69+5)/($A69+10))*(INDEX('Stat Boosts'!$D$2:$D$192,I$1-9)-10)/((INDEX('Stat Boosts'!$D$2:$D$192,(E69/2+22)-9)-10))))</f>
        <v>0.48885912342678262</v>
      </c>
      <c r="J69" s="16">
        <f>IF((1.75-(($A69+5)/($A69+10))*(INDEX('Stat Boosts'!$D$2:$D$192,J$1-9)-10)/((INDEX('Stat Boosts'!$D$2:$D$192,(F69/2+22)-9)-10)))&lt;0.5,POWER(1.1,1.75-(($A69+5)/($A69+10))*(INDEX('Stat Boosts'!$D$2:$D$192,J$1-9)-10)/((INDEX('Stat Boosts'!$D$2:$D$192,(F69/2+22)-9)-10))-0.5)*0.5,(1.75-(($A69+5)/($A69+10))*(INDEX('Stat Boosts'!$D$2:$D$192,J$1-9)-10)/((INDEX('Stat Boosts'!$D$2:$D$192,(F69/2+22)-9)-10))))</f>
        <v>0.47370833662823442</v>
      </c>
      <c r="K69" s="16">
        <f>IF((1.75-(($A69+5)/($A69+10))*(INDEX('Stat Boosts'!$D$2:$D$192,K$1-9)-10)/((INDEX('Stat Boosts'!$D$2:$D$192,(G69/2+22)-9)-10)))&lt;0.5,POWER(1.1,1.75-(($A69+5)/($A69+10))*(INDEX('Stat Boosts'!$D$2:$D$192,K$1-9)-10)/((INDEX('Stat Boosts'!$D$2:$D$192,(G69/2+22)-9)-10))-0.5)*0.5,(1.75-(($A69+5)/($A69+10))*(INDEX('Stat Boosts'!$D$2:$D$192,K$1-9)-10)/((INDEX('Stat Boosts'!$D$2:$D$192,(G69/2+22)-9)-10))))</f>
        <v>0.44015746147551632</v>
      </c>
      <c r="L69" s="16">
        <f>IF((1.75-(($A69+5)/($A69+10))*(INDEX('Stat Boosts'!$D$2:$D$192,L$1-9)-10)/((INDEX('Stat Boosts'!$D$2:$D$192,(H69/2+22)-9)-10)))&lt;0.5,POWER(1.1,1.75-(($A69+5)/($A69+10))*(INDEX('Stat Boosts'!$D$2:$D$192,L$1-9)-10)/((INDEX('Stat Boosts'!$D$2:$D$192,(H69/2+22)-9)-10))-0.5)*0.5,(1.75-(($A69+5)/($A69+10))*(INDEX('Stat Boosts'!$D$2:$D$192,L$1-9)-10)/((INDEX('Stat Boosts'!$D$2:$D$192,(H69/2+22)-9)-10))))</f>
        <v>0.42875989337863984</v>
      </c>
      <c r="M69" s="16">
        <f>IF((1.75-(($A69+5)/($A69+10))*(INDEX('Stat Boosts'!$D$2:$D$192,M$1-9)-10)/((INDEX('Stat Boosts'!$D$2:$D$192,(I69/2+22)-9)-10)))&lt;0.5,POWER(1.1,1.75-(($A69+5)/($A69+10))*(INDEX('Stat Boosts'!$D$2:$D$192,M$1-9)-10)/((INDEX('Stat Boosts'!$D$2:$D$192,(I69/2+22)-9)-10))-0.5)*0.5,(1.75-(($A69+5)/($A69+10))*(INDEX('Stat Boosts'!$D$2:$D$192,M$1-9)-10)/((INDEX('Stat Boosts'!$D$2:$D$192,(I69/2+22)-9)-10))))</f>
        <v>0.41329740126249193</v>
      </c>
      <c r="N69" s="16">
        <f>IF((1.75-(($A69+5)/($A69+10))*(INDEX('Stat Boosts'!$D$2:$D$192,N$1-9)-10)/((INDEX('Stat Boosts'!$D$2:$D$192,(J69/2+22)-9)-10)))&lt;0.5,POWER(1.1,1.75-(($A69+5)/($A69+10))*(INDEX('Stat Boosts'!$D$2:$D$192,N$1-9)-10)/((INDEX('Stat Boosts'!$D$2:$D$192,(J69/2+22)-9)-10))-0.5)*0.5,(1.75-(($A69+5)/($A69+10))*(INDEX('Stat Boosts'!$D$2:$D$192,N$1-9)-10)/((INDEX('Stat Boosts'!$D$2:$D$192,(J69/2+22)-9)-10))))</f>
        <v>0.39423359392696361</v>
      </c>
      <c r="O69" s="16">
        <f>IF((1.75-(($A69+5)/($A69+10))*(INDEX('Stat Boosts'!$D$2:$D$192,O$1-9)-10)/((INDEX('Stat Boosts'!$D$2:$D$192,(K69/2+22)-9)-10)))&lt;0.5,POWER(1.1,1.75-(($A69+5)/($A69+10))*(INDEX('Stat Boosts'!$D$2:$D$192,O$1-9)-10)/((INDEX('Stat Boosts'!$D$2:$D$192,(K69/2+22)-9)-10))-0.5)*0.5,(1.75-(($A69+5)/($A69+10))*(INDEX('Stat Boosts'!$D$2:$D$192,O$1-9)-10)/((INDEX('Stat Boosts'!$D$2:$D$192,(K69/2+22)-9)-10))))</f>
        <v>0.384025192102316</v>
      </c>
      <c r="P69" s="16">
        <f>IF((1.75-(($A69+5)/($A69+10))*(INDEX('Stat Boosts'!$D$2:$D$192,P$1-9)-10)/((INDEX('Stat Boosts'!$D$2:$D$192,(L69/2+22)-9)-10)))&lt;0.5,POWER(1.1,1.75-(($A69+5)/($A69+10))*(INDEX('Stat Boosts'!$D$2:$D$192,P$1-9)-10)/((INDEX('Stat Boosts'!$D$2:$D$192,(L69/2+22)-9)-10))-0.5)*0.5,(1.75-(($A69+5)/($A69+10))*(INDEX('Stat Boosts'!$D$2:$D$192,P$1-9)-10)/((INDEX('Stat Boosts'!$D$2:$D$192,(L69/2+22)-9)-10))))</f>
        <v>0.36823872021593085</v>
      </c>
      <c r="Q69" s="16">
        <f>IF((1.75-(($A69+5)/($A69+10))*(INDEX('Stat Boosts'!$D$2:$D$192,Q$1-9)-10)/((INDEX('Stat Boosts'!$D$2:$D$192,(M69/2+22)-9)-10)))&lt;0.5,POWER(1.1,1.75-(($A69+5)/($A69+10))*(INDEX('Stat Boosts'!$D$2:$D$192,Q$1-9)-10)/((INDEX('Stat Boosts'!$D$2:$D$192,(M69/2+22)-9)-10))-0.5)*0.5,(1.75-(($A69+5)/($A69+10))*(INDEX('Stat Boosts'!$D$2:$D$192,Q$1-9)-10)/((INDEX('Stat Boosts'!$D$2:$D$192,(M69/2+22)-9)-10))))</f>
        <v>0.35310119714786498</v>
      </c>
      <c r="R69" s="16">
        <f>IF((1.75-(($A69+5)/($A69+10))*1.25*(INDEX('Stat Boosts'!$D$2:$D$192,R$1-9)-10)/((INDEX('Stat Boosts'!$D$2:$D$192,(N69/2+22)-9)-10)))&lt;0.5,POWER(1.1,1.75-(($A69+5)/($A69+10))*1.25*(INDEX('Stat Boosts'!$D$2:$D$192,R$1-9)-10)/((INDEX('Stat Boosts'!$D$2:$D$192,(N69/2+22)-9)-10))-0.5)*0.5,(1.75-(($A69+5)/($A69+10))*1.25*(INDEX('Stat Boosts'!$D$2:$D$192,R$1-9)-10)/((INDEX('Stat Boosts'!$D$2:$D$192,(N69/2+22)-9)-10))))</f>
        <v>0.2981318974247778</v>
      </c>
    </row>
    <row r="70" spans="1:18">
      <c r="A70" s="9">
        <v>69</v>
      </c>
      <c r="B70" s="16">
        <f t="shared" si="2"/>
        <v>49.6</v>
      </c>
      <c r="C70" s="16">
        <f t="shared" si="3"/>
        <v>1.0101010101010102E-2</v>
      </c>
      <c r="E70" s="16">
        <f>IF((1.75-(($A70+5)/($A70+10))*(INDEX('Stat Boosts'!$D$2:$D$192,E$1-9)-10)/((INDEX('Stat Boosts'!$D$2:$D$192,(A70/2+22)-9)-10)))&lt;0.5,POWER(1.1,1.75-(($A70+5)/($A70+10))*(INDEX('Stat Boosts'!$D$2:$D$192,E$1-9)-10)/((INDEX('Stat Boosts'!$D$2:$D$192,(A70/2+22)-9)-10))-0.5)*0.5,(1.75-(($A70+5)/($A70+10))*(INDEX('Stat Boosts'!$D$2:$D$192,E$1-9)-10)/((INDEX('Stat Boosts'!$D$2:$D$192,(A70/2+22)-9)-10))))</f>
        <v>1.75</v>
      </c>
      <c r="F70" s="16">
        <f>IF((1.75-(($A70+5)/($A70+10))*(INDEX('Stat Boosts'!$D$2:$D$192,F$1-9)-10)/((INDEX('Stat Boosts'!$D$2:$D$192,(B70/2+22)-9)-10)))&lt;0.5,POWER(1.1,1.75-(($A70+5)/($A70+10))*(INDEX('Stat Boosts'!$D$2:$D$192,F$1-9)-10)/((INDEX('Stat Boosts'!$D$2:$D$192,(B70/2+22)-9)-10))-0.5)*0.5,(1.75-(($A70+5)/($A70+10))*(INDEX('Stat Boosts'!$D$2:$D$192,F$1-9)-10)/((INDEX('Stat Boosts'!$D$2:$D$192,(B70/2+22)-9)-10))))</f>
        <v>1.6133966244725739</v>
      </c>
      <c r="G70" s="16">
        <f>IF((1.75-(($A70+5)/($A70+10))*(INDEX('Stat Boosts'!$D$2:$D$192,G$1-9)-10)/((INDEX('Stat Boosts'!$D$2:$D$192,(C70/2+22)-9)-10)))&lt;0.5,POWER(1.1,1.75-(($A70+5)/($A70+10))*(INDEX('Stat Boosts'!$D$2:$D$192,G$1-9)-10)/((INDEX('Stat Boosts'!$D$2:$D$192,(C70/2+22)-9)-10))-0.5)*0.5,(1.75-(($A70+5)/($A70+10))*(INDEX('Stat Boosts'!$D$2:$D$192,G$1-9)-10)/((INDEX('Stat Boosts'!$D$2:$D$192,(C70/2+22)-9)-10))))</f>
        <v>0.9785927029039464</v>
      </c>
      <c r="H70" s="16">
        <f>IF((1.75-(($A70+5)/($A70+10))*(INDEX('Stat Boosts'!$D$2:$D$192,H$1-9)-10)/((INDEX('Stat Boosts'!$D$2:$D$192,(D70/2+22)-9)-10)))&lt;0.5,POWER(1.1,1.75-(($A70+5)/($A70+10))*(INDEX('Stat Boosts'!$D$2:$D$192,H$1-9)-10)/((INDEX('Stat Boosts'!$D$2:$D$192,(D70/2+22)-9)-10))-0.5)*0.5,(1.75-(($A70+5)/($A70+10))*(INDEX('Stat Boosts'!$D$2:$D$192,H$1-9)-10)/((INDEX('Stat Boosts'!$D$2:$D$192,(D70/2+22)-9)-10))))</f>
        <v>0.59288905435591976</v>
      </c>
      <c r="I70" s="16">
        <f>IF((1.75-(($A70+5)/($A70+10))*(INDEX('Stat Boosts'!$D$2:$D$192,I$1-9)-10)/((INDEX('Stat Boosts'!$D$2:$D$192,(E70/2+22)-9)-10)))&lt;0.5,POWER(1.1,1.75-(($A70+5)/($A70+10))*(INDEX('Stat Boosts'!$D$2:$D$192,I$1-9)-10)/((INDEX('Stat Boosts'!$D$2:$D$192,(E70/2+22)-9)-10))-0.5)*0.5,(1.75-(($A70+5)/($A70+10))*(INDEX('Stat Boosts'!$D$2:$D$192,I$1-9)-10)/((INDEX('Stat Boosts'!$D$2:$D$192,(E70/2+22)-9)-10))))</f>
        <v>0.48879908082611428</v>
      </c>
      <c r="J70" s="16">
        <f>IF((1.75-(($A70+5)/($A70+10))*(INDEX('Stat Boosts'!$D$2:$D$192,J$1-9)-10)/((INDEX('Stat Boosts'!$D$2:$D$192,(F70/2+22)-9)-10)))&lt;0.5,POWER(1.1,1.75-(($A70+5)/($A70+10))*(INDEX('Stat Boosts'!$D$2:$D$192,J$1-9)-10)/((INDEX('Stat Boosts'!$D$2:$D$192,(F70/2+22)-9)-10))-0.5)*0.5,(1.75-(($A70+5)/($A70+10))*(INDEX('Stat Boosts'!$D$2:$D$192,J$1-9)-10)/((INDEX('Stat Boosts'!$D$2:$D$192,(F70/2+22)-9)-10))))</f>
        <v>0.47363722656796819</v>
      </c>
      <c r="K70" s="16">
        <f>IF((1.75-(($A70+5)/($A70+10))*(INDEX('Stat Boosts'!$D$2:$D$192,K$1-9)-10)/((INDEX('Stat Boosts'!$D$2:$D$192,(G70/2+22)-9)-10)))&lt;0.5,POWER(1.1,1.75-(($A70+5)/($A70+10))*(INDEX('Stat Boosts'!$D$2:$D$192,K$1-9)-10)/((INDEX('Stat Boosts'!$D$2:$D$192,(G70/2+22)-9)-10))-0.5)*0.5,(1.75-(($A70+5)/($A70+10))*(INDEX('Stat Boosts'!$D$2:$D$192,K$1-9)-10)/((INDEX('Stat Boosts'!$D$2:$D$192,(G70/2+22)-9)-10))))</f>
        <v>0.44006335962243393</v>
      </c>
      <c r="L70" s="16">
        <f>IF((1.75-(($A70+5)/($A70+10))*(INDEX('Stat Boosts'!$D$2:$D$192,L$1-9)-10)/((INDEX('Stat Boosts'!$D$2:$D$192,(H70/2+22)-9)-10)))&lt;0.5,POWER(1.1,1.75-(($A70+5)/($A70+10))*(INDEX('Stat Boosts'!$D$2:$D$192,L$1-9)-10)/((INDEX('Stat Boosts'!$D$2:$D$192,(H70/2+22)-9)-10))-0.5)*0.5,(1.75-(($A70+5)/($A70+10))*(INDEX('Stat Boosts'!$D$2:$D$192,L$1-9)-10)/((INDEX('Stat Boosts'!$D$2:$D$192,(H70/2+22)-9)-10))))</f>
        <v>0.42865847776838856</v>
      </c>
      <c r="M70" s="16">
        <f>IF((1.75-(($A70+5)/($A70+10))*(INDEX('Stat Boosts'!$D$2:$D$192,M$1-9)-10)/((INDEX('Stat Boosts'!$D$2:$D$192,(I70/2+22)-9)-10)))&lt;0.5,POWER(1.1,1.75-(($A70+5)/($A70+10))*(INDEX('Stat Boosts'!$D$2:$D$192,M$1-9)-10)/((INDEX('Stat Boosts'!$D$2:$D$192,(I70/2+22)-9)-10))-0.5)*0.5,(1.75-(($A70+5)/($A70+10))*(INDEX('Stat Boosts'!$D$2:$D$192,M$1-9)-10)/((INDEX('Stat Boosts'!$D$2:$D$192,(I70/2+22)-9)-10))))</f>
        <v>0.41318648503703026</v>
      </c>
      <c r="N70" s="16">
        <f>IF((1.75-(($A70+5)/($A70+10))*(INDEX('Stat Boosts'!$D$2:$D$192,N$1-9)-10)/((INDEX('Stat Boosts'!$D$2:$D$192,(J70/2+22)-9)-10)))&lt;0.5,POWER(1.1,1.75-(($A70+5)/($A70+10))*(INDEX('Stat Boosts'!$D$2:$D$192,N$1-9)-10)/((INDEX('Stat Boosts'!$D$2:$D$192,(J70/2+22)-9)-10))-0.5)*0.5,(1.75-(($A70+5)/($A70+10))*(INDEX('Stat Boosts'!$D$2:$D$192,N$1-9)-10)/((INDEX('Stat Boosts'!$D$2:$D$192,(J70/2+22)-9)-10))))</f>
        <v>0.39411165733649522</v>
      </c>
      <c r="O70" s="16">
        <f>IF((1.75-(($A70+5)/($A70+10))*(INDEX('Stat Boosts'!$D$2:$D$192,O$1-9)-10)/((INDEX('Stat Boosts'!$D$2:$D$192,(K70/2+22)-9)-10)))&lt;0.5,POWER(1.1,1.75-(($A70+5)/($A70+10))*(INDEX('Stat Boosts'!$D$2:$D$192,O$1-9)-10)/((INDEX('Stat Boosts'!$D$2:$D$192,(K70/2+22)-9)-10))-0.5)*0.5,(1.75-(($A70+5)/($A70+10))*(INDEX('Stat Boosts'!$D$2:$D$192,O$1-9)-10)/((INDEX('Stat Boosts'!$D$2:$D$192,(K70/2+22)-9)-10))))</f>
        <v>0.38389768066486052</v>
      </c>
      <c r="P70" s="16">
        <f>IF((1.75-(($A70+5)/($A70+10))*(INDEX('Stat Boosts'!$D$2:$D$192,P$1-9)-10)/((INDEX('Stat Boosts'!$D$2:$D$192,(L70/2+22)-9)-10)))&lt;0.5,POWER(1.1,1.75-(($A70+5)/($A70+10))*(INDEX('Stat Boosts'!$D$2:$D$192,P$1-9)-10)/((INDEX('Stat Boosts'!$D$2:$D$192,(L70/2+22)-9)-10))-0.5)*0.5,(1.75-(($A70+5)/($A70+10))*(INDEX('Stat Boosts'!$D$2:$D$192,P$1-9)-10)/((INDEX('Stat Boosts'!$D$2:$D$192,(L70/2+22)-9)-10))))</f>
        <v>0.36810305355520717</v>
      </c>
      <c r="Q70" s="16">
        <f>IF((1.75-(($A70+5)/($A70+10))*(INDEX('Stat Boosts'!$D$2:$D$192,Q$1-9)-10)/((INDEX('Stat Boosts'!$D$2:$D$192,(M70/2+22)-9)-10)))&lt;0.5,POWER(1.1,1.75-(($A70+5)/($A70+10))*(INDEX('Stat Boosts'!$D$2:$D$192,Q$1-9)-10)/((INDEX('Stat Boosts'!$D$2:$D$192,(M70/2+22)-9)-10))-0.5)*0.5,(1.75-(($A70+5)/($A70+10))*(INDEX('Stat Boosts'!$D$2:$D$192,Q$1-9)-10)/((INDEX('Stat Boosts'!$D$2:$D$192,(M70/2+22)-9)-10))))</f>
        <v>0.35295826169618882</v>
      </c>
      <c r="R70" s="16">
        <f>IF((1.75-(($A70+5)/($A70+10))*1.25*(INDEX('Stat Boosts'!$D$2:$D$192,R$1-9)-10)/((INDEX('Stat Boosts'!$D$2:$D$192,(N70/2+22)-9)-10)))&lt;0.5,POWER(1.1,1.75-(($A70+5)/($A70+10))*1.25*(INDEX('Stat Boosts'!$D$2:$D$192,R$1-9)-10)/((INDEX('Stat Boosts'!$D$2:$D$192,(N70/2+22)-9)-10))-0.5)*0.5,(1.75-(($A70+5)/($A70+10))*1.25*(INDEX('Stat Boosts'!$D$2:$D$192,R$1-9)-10)/((INDEX('Stat Boosts'!$D$2:$D$192,(N70/2+22)-9)-10))))</f>
        <v>0.29796749466737416</v>
      </c>
    </row>
    <row r="71" spans="1:18">
      <c r="A71" s="9">
        <v>70</v>
      </c>
      <c r="B71" s="16">
        <f t="shared" si="2"/>
        <v>50</v>
      </c>
      <c r="C71" s="16">
        <f t="shared" si="3"/>
        <v>0.01</v>
      </c>
      <c r="E71" s="16">
        <f>IF((1.75-(($A71+5)/($A71+10))*(INDEX('Stat Boosts'!$D$2:$D$192,E$1-9)-10)/((INDEX('Stat Boosts'!$D$2:$D$192,(A71/2+22)-9)-10)))&lt;0.5,POWER(1.1,1.75-(($A71+5)/($A71+10))*(INDEX('Stat Boosts'!$D$2:$D$192,E$1-9)-10)/((INDEX('Stat Boosts'!$D$2:$D$192,(A71/2+22)-9)-10))-0.5)*0.5,(1.75-(($A71+5)/($A71+10))*(INDEX('Stat Boosts'!$D$2:$D$192,E$1-9)-10)/((INDEX('Stat Boosts'!$D$2:$D$192,(A71/2+22)-9)-10))))</f>
        <v>1.75</v>
      </c>
      <c r="F71" s="16">
        <f>IF((1.75-(($A71+5)/($A71+10))*(INDEX('Stat Boosts'!$D$2:$D$192,F$1-9)-10)/((INDEX('Stat Boosts'!$D$2:$D$192,(B71/2+22)-9)-10)))&lt;0.5,POWER(1.1,1.75-(($A71+5)/($A71+10))*(INDEX('Stat Boosts'!$D$2:$D$192,F$1-9)-10)/((INDEX('Stat Boosts'!$D$2:$D$192,(B71/2+22)-9)-10))-0.5)*0.5,(1.75-(($A71+5)/($A71+10))*(INDEX('Stat Boosts'!$D$2:$D$192,F$1-9)-10)/((INDEX('Stat Boosts'!$D$2:$D$192,(B71/2+22)-9)-10))))</f>
        <v>1.6160714285714286</v>
      </c>
      <c r="G71" s="16">
        <f>IF((1.75-(($A71+5)/($A71+10))*(INDEX('Stat Boosts'!$D$2:$D$192,G$1-9)-10)/((INDEX('Stat Boosts'!$D$2:$D$192,(C71/2+22)-9)-10)))&lt;0.5,POWER(1.1,1.75-(($A71+5)/($A71+10))*(INDEX('Stat Boosts'!$D$2:$D$192,G$1-9)-10)/((INDEX('Stat Boosts'!$D$2:$D$192,(C71/2+22)-9)-10))-0.5)*0.5,(1.75-(($A71+5)/($A71+10))*(INDEX('Stat Boosts'!$D$2:$D$192,G$1-9)-10)/((INDEX('Stat Boosts'!$D$2:$D$192,(C71/2+22)-9)-10))))</f>
        <v>0.9779411764705882</v>
      </c>
      <c r="H71" s="16">
        <f>IF((1.75-(($A71+5)/($A71+10))*(INDEX('Stat Boosts'!$D$2:$D$192,H$1-9)-10)/((INDEX('Stat Boosts'!$D$2:$D$192,(D71/2+22)-9)-10)))&lt;0.5,POWER(1.1,1.75-(($A71+5)/($A71+10))*(INDEX('Stat Boosts'!$D$2:$D$192,H$1-9)-10)/((INDEX('Stat Boosts'!$D$2:$D$192,(D71/2+22)-9)-10))-0.5)*0.5,(1.75-(($A71+5)/($A71+10))*(INDEX('Stat Boosts'!$D$2:$D$192,H$1-9)-10)/((INDEX('Stat Boosts'!$D$2:$D$192,(D71/2+22)-9)-10))))</f>
        <v>0.59191176470588225</v>
      </c>
      <c r="I71" s="16">
        <f>IF((1.75-(($A71+5)/($A71+10))*(INDEX('Stat Boosts'!$D$2:$D$192,I$1-9)-10)/((INDEX('Stat Boosts'!$D$2:$D$192,(E71/2+22)-9)-10)))&lt;0.5,POWER(1.1,1.75-(($A71+5)/($A71+10))*(INDEX('Stat Boosts'!$D$2:$D$192,I$1-9)-10)/((INDEX('Stat Boosts'!$D$2:$D$192,(E71/2+22)-9)-10))-0.5)*0.5,(1.75-(($A71+5)/($A71+10))*(INDEX('Stat Boosts'!$D$2:$D$192,I$1-9)-10)/((INDEX('Stat Boosts'!$D$2:$D$192,(E71/2+22)-9)-10))))</f>
        <v>0.48874054639077447</v>
      </c>
      <c r="J71" s="16">
        <f>IF((1.75-(($A71+5)/($A71+10))*(INDEX('Stat Boosts'!$D$2:$D$192,J$1-9)-10)/((INDEX('Stat Boosts'!$D$2:$D$192,(F71/2+22)-9)-10)))&lt;0.5,POWER(1.1,1.75-(($A71+5)/($A71+10))*(INDEX('Stat Boosts'!$D$2:$D$192,J$1-9)-10)/((INDEX('Stat Boosts'!$D$2:$D$192,(F71/2+22)-9)-10))-0.5)*0.5,(1.75-(($A71+5)/($A71+10))*(INDEX('Stat Boosts'!$D$2:$D$192,J$1-9)-10)/((INDEX('Stat Boosts'!$D$2:$D$192,(F71/2+22)-9)-10))))</f>
        <v>0.47356790453684688</v>
      </c>
      <c r="K71" s="16">
        <f>IF((1.75-(($A71+5)/($A71+10))*(INDEX('Stat Boosts'!$D$2:$D$192,K$1-9)-10)/((INDEX('Stat Boosts'!$D$2:$D$192,(G71/2+22)-9)-10)))&lt;0.5,POWER(1.1,1.75-(($A71+5)/($A71+10))*(INDEX('Stat Boosts'!$D$2:$D$192,K$1-9)-10)/((INDEX('Stat Boosts'!$D$2:$D$192,(G71/2+22)-9)-10))-0.5)*0.5,(1.75-(($A71+5)/($A71+10))*(INDEX('Stat Boosts'!$D$2:$D$192,K$1-9)-10)/((INDEX('Stat Boosts'!$D$2:$D$192,(G71/2+22)-9)-10))))</f>
        <v>0.43997162968573017</v>
      </c>
      <c r="L71" s="16">
        <f>IF((1.75-(($A71+5)/($A71+10))*(INDEX('Stat Boosts'!$D$2:$D$192,L$1-9)-10)/((INDEX('Stat Boosts'!$D$2:$D$192,(H71/2+22)-9)-10)))&lt;0.5,POWER(1.1,1.75-(($A71+5)/($A71+10))*(INDEX('Stat Boosts'!$D$2:$D$192,L$1-9)-10)/((INDEX('Stat Boosts'!$D$2:$D$192,(H71/2+22)-9)-10))-0.5)*0.5,(1.75-(($A71+5)/($A71+10))*(INDEX('Stat Boosts'!$D$2:$D$192,L$1-9)-10)/((INDEX('Stat Boosts'!$D$2:$D$192,(H71/2+22)-9)-10))))</f>
        <v>0.42855962064446101</v>
      </c>
      <c r="M71" s="16">
        <f>IF((1.75-(($A71+5)/($A71+10))*(INDEX('Stat Boosts'!$D$2:$D$192,M$1-9)-10)/((INDEX('Stat Boosts'!$D$2:$D$192,(I71/2+22)-9)-10)))&lt;0.5,POWER(1.1,1.75-(($A71+5)/($A71+10))*(INDEX('Stat Boosts'!$D$2:$D$192,M$1-9)-10)/((INDEX('Stat Boosts'!$D$2:$D$192,(I71/2+22)-9)-10))-0.5)*0.5,(1.75-(($A71+5)/($A71+10))*(INDEX('Stat Boosts'!$D$2:$D$192,M$1-9)-10)/((INDEX('Stat Boosts'!$D$2:$D$192,(I71/2+22)-9)-10))))</f>
        <v>0.41307837037680878</v>
      </c>
      <c r="N71" s="16">
        <f>IF((1.75-(($A71+5)/($A71+10))*(INDEX('Stat Boosts'!$D$2:$D$192,N$1-9)-10)/((INDEX('Stat Boosts'!$D$2:$D$192,(J71/2+22)-9)-10)))&lt;0.5,POWER(1.1,1.75-(($A71+5)/($A71+10))*(INDEX('Stat Boosts'!$D$2:$D$192,N$1-9)-10)/((INDEX('Stat Boosts'!$D$2:$D$192,(J71/2+22)-9)-10))-0.5)*0.5,(1.75-(($A71+5)/($A71+10))*(INDEX('Stat Boosts'!$D$2:$D$192,N$1-9)-10)/((INDEX('Stat Boosts'!$D$2:$D$192,(J71/2+22)-9)-10))))</f>
        <v>0.39399280547338517</v>
      </c>
      <c r="O71" s="16">
        <f>IF((1.75-(($A71+5)/($A71+10))*(INDEX('Stat Boosts'!$D$2:$D$192,O$1-9)-10)/((INDEX('Stat Boosts'!$D$2:$D$192,(K71/2+22)-9)-10)))&lt;0.5,POWER(1.1,1.75-(($A71+5)/($A71+10))*(INDEX('Stat Boosts'!$D$2:$D$192,O$1-9)-10)/((INDEX('Stat Boosts'!$D$2:$D$192,(K71/2+22)-9)-10))-0.5)*0.5,(1.75-(($A71+5)/($A71+10))*(INDEX('Stat Boosts'!$D$2:$D$192,O$1-9)-10)/((INDEX('Stat Boosts'!$D$2:$D$192,(K71/2+22)-9)-10))))</f>
        <v>0.38377339777778235</v>
      </c>
      <c r="P71" s="16">
        <f>IF((1.75-(($A71+5)/($A71+10))*(INDEX('Stat Boosts'!$D$2:$D$192,P$1-9)-10)/((INDEX('Stat Boosts'!$D$2:$D$192,(L71/2+22)-9)-10)))&lt;0.5,POWER(1.1,1.75-(($A71+5)/($A71+10))*(INDEX('Stat Boosts'!$D$2:$D$192,P$1-9)-10)/((INDEX('Stat Boosts'!$D$2:$D$192,(L71/2+22)-9)-10))-0.5)*0.5,(1.75-(($A71+5)/($A71+10))*(INDEX('Stat Boosts'!$D$2:$D$192,P$1-9)-10)/((INDEX('Stat Boosts'!$D$2:$D$192,(L71/2+22)-9)-10))))</f>
        <v>0.36797082668479714</v>
      </c>
      <c r="Q71" s="16">
        <f>IF((1.75-(($A71+5)/($A71+10))*(INDEX('Stat Boosts'!$D$2:$D$192,Q$1-9)-10)/((INDEX('Stat Boosts'!$D$2:$D$192,(M71/2+22)-9)-10)))&lt;0.5,POWER(1.1,1.75-(($A71+5)/($A71+10))*(INDEX('Stat Boosts'!$D$2:$D$192,Q$1-9)-10)/((INDEX('Stat Boosts'!$D$2:$D$192,(M71/2+22)-9)-10))-0.5)*0.5,(1.75-(($A71+5)/($A71+10))*(INDEX('Stat Boosts'!$D$2:$D$192,Q$1-9)-10)/((INDEX('Stat Boosts'!$D$2:$D$192,(M71/2+22)-9)-10))))</f>
        <v>0.35281895533961838</v>
      </c>
      <c r="R71" s="16">
        <f>IF((1.75-(($A71+5)/($A71+10))*1.25*(INDEX('Stat Boosts'!$D$2:$D$192,R$1-9)-10)/((INDEX('Stat Boosts'!$D$2:$D$192,(N71/2+22)-9)-10)))&lt;0.5,POWER(1.1,1.75-(($A71+5)/($A71+10))*1.25*(INDEX('Stat Boosts'!$D$2:$D$192,R$1-9)-10)/((INDEX('Stat Boosts'!$D$2:$D$192,(N71/2+22)-9)-10))-0.5)*0.5,(1.75-(($A71+5)/($A71+10))*1.25*(INDEX('Stat Boosts'!$D$2:$D$192,R$1-9)-10)/((INDEX('Stat Boosts'!$D$2:$D$192,(N71/2+22)-9)-10))))</f>
        <v>0.2978072892666892</v>
      </c>
    </row>
    <row r="72" spans="1:18">
      <c r="A72" s="9">
        <v>71</v>
      </c>
      <c r="B72" s="16">
        <f t="shared" si="2"/>
        <v>50.4</v>
      </c>
      <c r="C72" s="16">
        <f t="shared" si="3"/>
        <v>9.9009900990099011E-3</v>
      </c>
      <c r="E72" s="16">
        <f>IF((1.75-(($A72+5)/($A72+10))*(INDEX('Stat Boosts'!$D$2:$D$192,E$1-9)-10)/((INDEX('Stat Boosts'!$D$2:$D$192,(A72/2+22)-9)-10)))&lt;0.5,POWER(1.1,1.75-(($A72+5)/($A72+10))*(INDEX('Stat Boosts'!$D$2:$D$192,E$1-9)-10)/((INDEX('Stat Boosts'!$D$2:$D$192,(A72/2+22)-9)-10))-0.5)*0.5,(1.75-(($A72+5)/($A72+10))*(INDEX('Stat Boosts'!$D$2:$D$192,E$1-9)-10)/((INDEX('Stat Boosts'!$D$2:$D$192,(A72/2+22)-9)-10))))</f>
        <v>1.75</v>
      </c>
      <c r="F72" s="16">
        <f>IF((1.75-(($A72+5)/($A72+10))*(INDEX('Stat Boosts'!$D$2:$D$192,F$1-9)-10)/((INDEX('Stat Boosts'!$D$2:$D$192,(B72/2+22)-9)-10)))&lt;0.5,POWER(1.1,1.75-(($A72+5)/($A72+10))*(INDEX('Stat Boosts'!$D$2:$D$192,F$1-9)-10)/((INDEX('Stat Boosts'!$D$2:$D$192,(B72/2+22)-9)-10))-0.5)*0.5,(1.75-(($A72+5)/($A72+10))*(INDEX('Stat Boosts'!$D$2:$D$192,F$1-9)-10)/((INDEX('Stat Boosts'!$D$2:$D$192,(B72/2+22)-9)-10))))</f>
        <v>1.6159611992945326</v>
      </c>
      <c r="G72" s="16">
        <f>IF((1.75-(($A72+5)/($A72+10))*(INDEX('Stat Boosts'!$D$2:$D$192,G$1-9)-10)/((INDEX('Stat Boosts'!$D$2:$D$192,(C72/2+22)-9)-10)))&lt;0.5,POWER(1.1,1.75-(($A72+5)/($A72+10))*(INDEX('Stat Boosts'!$D$2:$D$192,G$1-9)-10)/((INDEX('Stat Boosts'!$D$2:$D$192,(C72/2+22)-9)-10))-0.5)*0.5,(1.75-(($A72+5)/($A72+10))*(INDEX('Stat Boosts'!$D$2:$D$192,G$1-9)-10)/((INDEX('Stat Boosts'!$D$2:$D$192,(C72/2+22)-9)-10))))</f>
        <v>0.97730573710965873</v>
      </c>
      <c r="H72" s="16">
        <f>IF((1.75-(($A72+5)/($A72+10))*(INDEX('Stat Boosts'!$D$2:$D$192,H$1-9)-10)/((INDEX('Stat Boosts'!$D$2:$D$192,(D72/2+22)-9)-10)))&lt;0.5,POWER(1.1,1.75-(($A72+5)/($A72+10))*(INDEX('Stat Boosts'!$D$2:$D$192,H$1-9)-10)/((INDEX('Stat Boosts'!$D$2:$D$192,(D72/2+22)-9)-10))-0.5)*0.5,(1.75-(($A72+5)/($A72+10))*(INDEX('Stat Boosts'!$D$2:$D$192,H$1-9)-10)/((INDEX('Stat Boosts'!$D$2:$D$192,(D72/2+22)-9)-10))))</f>
        <v>0.59095860566448799</v>
      </c>
      <c r="I72" s="16">
        <f>IF((1.75-(($A72+5)/($A72+10))*(INDEX('Stat Boosts'!$D$2:$D$192,I$1-9)-10)/((INDEX('Stat Boosts'!$D$2:$D$192,(E72/2+22)-9)-10)))&lt;0.5,POWER(1.1,1.75-(($A72+5)/($A72+10))*(INDEX('Stat Boosts'!$D$2:$D$192,I$1-9)-10)/((INDEX('Stat Boosts'!$D$2:$D$192,(E72/2+22)-9)-10))-0.5)*0.5,(1.75-(($A72+5)/($A72+10))*(INDEX('Stat Boosts'!$D$2:$D$192,I$1-9)-10)/((INDEX('Stat Boosts'!$D$2:$D$192,(E72/2+22)-9)-10))))</f>
        <v>0.48868346400225138</v>
      </c>
      <c r="J72" s="16">
        <f>IF((1.75-(($A72+5)/($A72+10))*(INDEX('Stat Boosts'!$D$2:$D$192,J$1-9)-10)/((INDEX('Stat Boosts'!$D$2:$D$192,(F72/2+22)-9)-10)))&lt;0.5,POWER(1.1,1.75-(($A72+5)/($A72+10))*(INDEX('Stat Boosts'!$D$2:$D$192,J$1-9)-10)/((INDEX('Stat Boosts'!$D$2:$D$192,(F72/2+22)-9)-10))-0.5)*0.5,(1.75-(($A72+5)/($A72+10))*(INDEX('Stat Boosts'!$D$2:$D$192,J$1-9)-10)/((INDEX('Stat Boosts'!$D$2:$D$192,(F72/2+22)-9)-10))))</f>
        <v>0.47350030393418396</v>
      </c>
      <c r="K72" s="16">
        <f>IF((1.75-(($A72+5)/($A72+10))*(INDEX('Stat Boosts'!$D$2:$D$192,K$1-9)-10)/((INDEX('Stat Boosts'!$D$2:$D$192,(G72/2+22)-9)-10)))&lt;0.5,POWER(1.1,1.75-(($A72+5)/($A72+10))*(INDEX('Stat Boosts'!$D$2:$D$192,K$1-9)-10)/((INDEX('Stat Boosts'!$D$2:$D$192,(G72/2+22)-9)-10))-0.5)*0.5,(1.75-(($A72+5)/($A72+10))*(INDEX('Stat Boosts'!$D$2:$D$192,K$1-9)-10)/((INDEX('Stat Boosts'!$D$2:$D$192,(G72/2+22)-9)-10))))</f>
        <v>0.43988218310425647</v>
      </c>
      <c r="L72" s="16">
        <f>IF((1.75-(($A72+5)/($A72+10))*(INDEX('Stat Boosts'!$D$2:$D$192,L$1-9)-10)/((INDEX('Stat Boosts'!$D$2:$D$192,(H72/2+22)-9)-10)))&lt;0.5,POWER(1.1,1.75-(($A72+5)/($A72+10))*(INDEX('Stat Boosts'!$D$2:$D$192,L$1-9)-10)/((INDEX('Stat Boosts'!$D$2:$D$192,(H72/2+22)-9)-10))-0.5)*0.5,(1.75-(($A72+5)/($A72+10))*(INDEX('Stat Boosts'!$D$2:$D$192,L$1-9)-10)/((INDEX('Stat Boosts'!$D$2:$D$192,(H72/2+22)-9)-10))))</f>
        <v>0.42846322639818768</v>
      </c>
      <c r="M72" s="16">
        <f>IF((1.75-(($A72+5)/($A72+10))*(INDEX('Stat Boosts'!$D$2:$D$192,M$1-9)-10)/((INDEX('Stat Boosts'!$D$2:$D$192,(I72/2+22)-9)-10)))&lt;0.5,POWER(1.1,1.75-(($A72+5)/($A72+10))*(INDEX('Stat Boosts'!$D$2:$D$192,M$1-9)-10)/((INDEX('Stat Boosts'!$D$2:$D$192,(I72/2+22)-9)-10))-0.5)*0.5,(1.75-(($A72+5)/($A72+10))*(INDEX('Stat Boosts'!$D$2:$D$192,M$1-9)-10)/((INDEX('Stat Boosts'!$D$2:$D$192,(I72/2+22)-9)-10))))</f>
        <v>0.41297295246465532</v>
      </c>
      <c r="N72" s="16">
        <f>IF((1.75-(($A72+5)/($A72+10))*(INDEX('Stat Boosts'!$D$2:$D$192,N$1-9)-10)/((INDEX('Stat Boosts'!$D$2:$D$192,(J72/2+22)-9)-10)))&lt;0.5,POWER(1.1,1.75-(($A72+5)/($A72+10))*(INDEX('Stat Boosts'!$D$2:$D$192,N$1-9)-10)/((INDEX('Stat Boosts'!$D$2:$D$192,(J72/2+22)-9)-10))-0.5)*0.5,(1.75-(($A72+5)/($A72+10))*(INDEX('Stat Boosts'!$D$2:$D$192,N$1-9)-10)/((INDEX('Stat Boosts'!$D$2:$D$192,(J72/2+22)-9)-10))))</f>
        <v>0.39387692274974656</v>
      </c>
      <c r="O72" s="16">
        <f>IF((1.75-(($A72+5)/($A72+10))*(INDEX('Stat Boosts'!$D$2:$D$192,O$1-9)-10)/((INDEX('Stat Boosts'!$D$2:$D$192,(K72/2+22)-9)-10)))&lt;0.5,POWER(1.1,1.75-(($A72+5)/($A72+10))*(INDEX('Stat Boosts'!$D$2:$D$192,O$1-9)-10)/((INDEX('Stat Boosts'!$D$2:$D$192,(K72/2+22)-9)-10))-0.5)*0.5,(1.75-(($A72+5)/($A72+10))*(INDEX('Stat Boosts'!$D$2:$D$192,O$1-9)-10)/((INDEX('Stat Boosts'!$D$2:$D$192,(K72/2+22)-9)-10))))</f>
        <v>0.38365222236143148</v>
      </c>
      <c r="P72" s="16">
        <f>IF((1.75-(($A72+5)/($A72+10))*(INDEX('Stat Boosts'!$D$2:$D$192,P$1-9)-10)/((INDEX('Stat Boosts'!$D$2:$D$192,(L72/2+22)-9)-10)))&lt;0.5,POWER(1.1,1.75-(($A72+5)/($A72+10))*(INDEX('Stat Boosts'!$D$2:$D$192,P$1-9)-10)/((INDEX('Stat Boosts'!$D$2:$D$192,(L72/2+22)-9)-10))-0.5)*0.5,(1.75-(($A72+5)/($A72+10))*(INDEX('Stat Boosts'!$D$2:$D$192,P$1-9)-10)/((INDEX('Stat Boosts'!$D$2:$D$192,(L72/2+22)-9)-10))))</f>
        <v>0.36784191042825487</v>
      </c>
      <c r="Q72" s="16">
        <f>IF((1.75-(($A72+5)/($A72+10))*(INDEX('Stat Boosts'!$D$2:$D$192,Q$1-9)-10)/((INDEX('Stat Boosts'!$D$2:$D$192,(M72/2+22)-9)-10)))&lt;0.5,POWER(1.1,1.75-(($A72+5)/($A72+10))*(INDEX('Stat Boosts'!$D$2:$D$192,Q$1-9)-10)/((INDEX('Stat Boosts'!$D$2:$D$192,(M72/2+22)-9)-10))-0.5)*0.5,(1.75-(($A72+5)/($A72+10))*(INDEX('Stat Boosts'!$D$2:$D$192,Q$1-9)-10)/((INDEX('Stat Boosts'!$D$2:$D$192,(M72/2+22)-9)-10))))</f>
        <v>0.35268314160848907</v>
      </c>
      <c r="R72" s="16">
        <f>IF((1.75-(($A72+5)/($A72+10))*1.25*(INDEX('Stat Boosts'!$D$2:$D$192,R$1-9)-10)/((INDEX('Stat Boosts'!$D$2:$D$192,(N72/2+22)-9)-10)))&lt;0.5,POWER(1.1,1.75-(($A72+5)/($A72+10))*1.25*(INDEX('Stat Boosts'!$D$2:$D$192,R$1-9)-10)/((INDEX('Stat Boosts'!$D$2:$D$192,(N72/2+22)-9)-10))-0.5)*0.5,(1.75-(($A72+5)/($A72+10))*1.25*(INDEX('Stat Boosts'!$D$2:$D$192,R$1-9)-10)/((INDEX('Stat Boosts'!$D$2:$D$192,(N72/2+22)-9)-10))))</f>
        <v>0.29765112252744885</v>
      </c>
    </row>
    <row r="73" spans="1:18">
      <c r="A73" s="9">
        <v>72</v>
      </c>
      <c r="B73" s="16">
        <f t="shared" si="2"/>
        <v>50.8</v>
      </c>
      <c r="C73" s="16">
        <f t="shared" si="3"/>
        <v>9.8039215686274526E-3</v>
      </c>
      <c r="E73" s="16">
        <f>IF((1.75-(($A73+5)/($A73+10))*(INDEX('Stat Boosts'!$D$2:$D$192,E$1-9)-10)/((INDEX('Stat Boosts'!$D$2:$D$192,(A73/2+22)-9)-10)))&lt;0.5,POWER(1.1,1.75-(($A73+5)/($A73+10))*(INDEX('Stat Boosts'!$D$2:$D$192,E$1-9)-10)/((INDEX('Stat Boosts'!$D$2:$D$192,(A73/2+22)-9)-10))-0.5)*0.5,(1.75-(($A73+5)/($A73+10))*(INDEX('Stat Boosts'!$D$2:$D$192,E$1-9)-10)/((INDEX('Stat Boosts'!$D$2:$D$192,(A73/2+22)-9)-10))))</f>
        <v>1.75</v>
      </c>
      <c r="F73" s="16">
        <f>IF((1.75-(($A73+5)/($A73+10))*(INDEX('Stat Boosts'!$D$2:$D$192,F$1-9)-10)/((INDEX('Stat Boosts'!$D$2:$D$192,(B73/2+22)-9)-10)))&lt;0.5,POWER(1.1,1.75-(($A73+5)/($A73+10))*(INDEX('Stat Boosts'!$D$2:$D$192,F$1-9)-10)/((INDEX('Stat Boosts'!$D$2:$D$192,(B73/2+22)-9)-10))-0.5)*0.5,(1.75-(($A73+5)/($A73+10))*(INDEX('Stat Boosts'!$D$2:$D$192,F$1-9)-10)/((INDEX('Stat Boosts'!$D$2:$D$192,(B73/2+22)-9)-10))))</f>
        <v>1.6158536585365855</v>
      </c>
      <c r="G73" s="16">
        <f>IF((1.75-(($A73+5)/($A73+10))*(INDEX('Stat Boosts'!$D$2:$D$192,G$1-9)-10)/((INDEX('Stat Boosts'!$D$2:$D$192,(C73/2+22)-9)-10)))&lt;0.5,POWER(1.1,1.75-(($A73+5)/($A73+10))*(INDEX('Stat Boosts'!$D$2:$D$192,G$1-9)-10)/((INDEX('Stat Boosts'!$D$2:$D$192,(C73/2+22)-9)-10))-0.5)*0.5,(1.75-(($A73+5)/($A73+10))*(INDEX('Stat Boosts'!$D$2:$D$192,G$1-9)-10)/((INDEX('Stat Boosts'!$D$2:$D$192,(C73/2+22)-9)-10))))</f>
        <v>0.97668579626972751</v>
      </c>
      <c r="H73" s="16">
        <f>IF((1.75-(($A73+5)/($A73+10))*(INDEX('Stat Boosts'!$D$2:$D$192,H$1-9)-10)/((INDEX('Stat Boosts'!$D$2:$D$192,(D73/2+22)-9)-10)))&lt;0.5,POWER(1.1,1.75-(($A73+5)/($A73+10))*(INDEX('Stat Boosts'!$D$2:$D$192,H$1-9)-10)/((INDEX('Stat Boosts'!$D$2:$D$192,(D73/2+22)-9)-10))-0.5)*0.5,(1.75-(($A73+5)/($A73+10))*(INDEX('Stat Boosts'!$D$2:$D$192,H$1-9)-10)/((INDEX('Stat Boosts'!$D$2:$D$192,(D73/2+22)-9)-10))))</f>
        <v>0.59002869440459116</v>
      </c>
      <c r="I73" s="16">
        <f>IF((1.75-(($A73+5)/($A73+10))*(INDEX('Stat Boosts'!$D$2:$D$192,I$1-9)-10)/((INDEX('Stat Boosts'!$D$2:$D$192,(E73/2+22)-9)-10)))&lt;0.5,POWER(1.1,1.75-(($A73+5)/($A73+10))*(INDEX('Stat Boosts'!$D$2:$D$192,I$1-9)-10)/((INDEX('Stat Boosts'!$D$2:$D$192,(E73/2+22)-9)-10))-0.5)*0.5,(1.75-(($A73+5)/($A73+10))*(INDEX('Stat Boosts'!$D$2:$D$192,I$1-9)-10)/((INDEX('Stat Boosts'!$D$2:$D$192,(E73/2+22)-9)-10))))</f>
        <v>0.48862778029211407</v>
      </c>
      <c r="J73" s="16">
        <f>IF((1.75-(($A73+5)/($A73+10))*(INDEX('Stat Boosts'!$D$2:$D$192,J$1-9)-10)/((INDEX('Stat Boosts'!$D$2:$D$192,(F73/2+22)-9)-10)))&lt;0.5,POWER(1.1,1.75-(($A73+5)/($A73+10))*(INDEX('Stat Boosts'!$D$2:$D$192,J$1-9)-10)/((INDEX('Stat Boosts'!$D$2:$D$192,(F73/2+22)-9)-10))-0.5)*0.5,(1.75-(($A73+5)/($A73+10))*(INDEX('Stat Boosts'!$D$2:$D$192,J$1-9)-10)/((INDEX('Stat Boosts'!$D$2:$D$192,(F73/2+22)-9)-10))))</f>
        <v>0.47343436142635953</v>
      </c>
      <c r="K73" s="16">
        <f>IF((1.75-(($A73+5)/($A73+10))*(INDEX('Stat Boosts'!$D$2:$D$192,K$1-9)-10)/((INDEX('Stat Boosts'!$D$2:$D$192,(G73/2+22)-9)-10)))&lt;0.5,POWER(1.1,1.75-(($A73+5)/($A73+10))*(INDEX('Stat Boosts'!$D$2:$D$192,K$1-9)-10)/((INDEX('Stat Boosts'!$D$2:$D$192,(G73/2+22)-9)-10))-0.5)*0.5,(1.75-(($A73+5)/($A73+10))*(INDEX('Stat Boosts'!$D$2:$D$192,K$1-9)-10)/((INDEX('Stat Boosts'!$D$2:$D$192,(G73/2+22)-9)-10))))</f>
        <v>0.43979493567143135</v>
      </c>
      <c r="L73" s="16">
        <f>IF((1.75-(($A73+5)/($A73+10))*(INDEX('Stat Boosts'!$D$2:$D$192,L$1-9)-10)/((INDEX('Stat Boosts'!$D$2:$D$192,(H73/2+22)-9)-10)))&lt;0.5,POWER(1.1,1.75-(($A73+5)/($A73+10))*(INDEX('Stat Boosts'!$D$2:$D$192,L$1-9)-10)/((INDEX('Stat Boosts'!$D$2:$D$192,(H73/2+22)-9)-10))-0.5)*0.5,(1.75-(($A73+5)/($A73+10))*(INDEX('Stat Boosts'!$D$2:$D$192,L$1-9)-10)/((INDEX('Stat Boosts'!$D$2:$D$192,(H73/2+22)-9)-10))))</f>
        <v>0.42836920412593277</v>
      </c>
      <c r="M73" s="16">
        <f>IF((1.75-(($A73+5)/($A73+10))*(INDEX('Stat Boosts'!$D$2:$D$192,M$1-9)-10)/((INDEX('Stat Boosts'!$D$2:$D$192,(I73/2+22)-9)-10)))&lt;0.5,POWER(1.1,1.75-(($A73+5)/($A73+10))*(INDEX('Stat Boosts'!$D$2:$D$192,M$1-9)-10)/((INDEX('Stat Boosts'!$D$2:$D$192,(I73/2+22)-9)-10))-0.5)*0.5,(1.75-(($A73+5)/($A73+10))*(INDEX('Stat Boosts'!$D$2:$D$192,M$1-9)-10)/((INDEX('Stat Boosts'!$D$2:$D$192,(I73/2+22)-9)-10))))</f>
        <v>0.41287013164763126</v>
      </c>
      <c r="N73" s="16">
        <f>IF((1.75-(($A73+5)/($A73+10))*(INDEX('Stat Boosts'!$D$2:$D$192,N$1-9)-10)/((INDEX('Stat Boosts'!$D$2:$D$192,(J73/2+22)-9)-10)))&lt;0.5,POWER(1.1,1.75-(($A73+5)/($A73+10))*(INDEX('Stat Boosts'!$D$2:$D$192,N$1-9)-10)/((INDEX('Stat Boosts'!$D$2:$D$192,(J73/2+22)-9)-10))-0.5)*0.5,(1.75-(($A73+5)/($A73+10))*(INDEX('Stat Boosts'!$D$2:$D$192,N$1-9)-10)/((INDEX('Stat Boosts'!$D$2:$D$192,(J73/2+22)-9)-10))))</f>
        <v>0.39376389928113209</v>
      </c>
      <c r="O73" s="16">
        <f>IF((1.75-(($A73+5)/($A73+10))*(INDEX('Stat Boosts'!$D$2:$D$192,O$1-9)-10)/((INDEX('Stat Boosts'!$D$2:$D$192,(K73/2+22)-9)-10)))&lt;0.5,POWER(1.1,1.75-(($A73+5)/($A73+10))*(INDEX('Stat Boosts'!$D$2:$D$192,O$1-9)-10)/((INDEX('Stat Boosts'!$D$2:$D$192,(K73/2+22)-9)-10))-0.5)*0.5,(1.75-(($A73+5)/($A73+10))*(INDEX('Stat Boosts'!$D$2:$D$192,O$1-9)-10)/((INDEX('Stat Boosts'!$D$2:$D$192,(K73/2+22)-9)-10))))</f>
        <v>0.38353403931554081</v>
      </c>
      <c r="P73" s="16">
        <f>IF((1.75-(($A73+5)/($A73+10))*(INDEX('Stat Boosts'!$D$2:$D$192,P$1-9)-10)/((INDEX('Stat Boosts'!$D$2:$D$192,(L73/2+22)-9)-10)))&lt;0.5,POWER(1.1,1.75-(($A73+5)/($A73+10))*(INDEX('Stat Boosts'!$D$2:$D$192,P$1-9)-10)/((INDEX('Stat Boosts'!$D$2:$D$192,(L73/2+22)-9)-10))-0.5)*0.5,(1.75-(($A73+5)/($A73+10))*(INDEX('Stat Boosts'!$D$2:$D$192,P$1-9)-10)/((INDEX('Stat Boosts'!$D$2:$D$192,(L73/2+22)-9)-10))))</f>
        <v>0.36771618199682943</v>
      </c>
      <c r="Q73" s="16">
        <f>IF((1.75-(($A73+5)/($A73+10))*(INDEX('Stat Boosts'!$D$2:$D$192,Q$1-9)-10)/((INDEX('Stat Boosts'!$D$2:$D$192,(M73/2+22)-9)-10)))&lt;0.5,POWER(1.1,1.75-(($A73+5)/($A73+10))*(INDEX('Stat Boosts'!$D$2:$D$192,Q$1-9)-10)/((INDEX('Stat Boosts'!$D$2:$D$192,(M73/2+22)-9)-10))-0.5)*0.5,(1.75-(($A73+5)/($A73+10))*(INDEX('Stat Boosts'!$D$2:$D$192,Q$1-9)-10)/((INDEX('Stat Boosts'!$D$2:$D$192,(M73/2+22)-9)-10))))</f>
        <v>0.35255069079039758</v>
      </c>
      <c r="R73" s="16">
        <f>IF((1.75-(($A73+5)/($A73+10))*1.25*(INDEX('Stat Boosts'!$D$2:$D$192,R$1-9)-10)/((INDEX('Stat Boosts'!$D$2:$D$192,(N73/2+22)-9)-10)))&lt;0.5,POWER(1.1,1.75-(($A73+5)/($A73+10))*1.25*(INDEX('Stat Boosts'!$D$2:$D$192,R$1-9)-10)/((INDEX('Stat Boosts'!$D$2:$D$192,(N73/2+22)-9)-10))-0.5)*0.5,(1.75-(($A73+5)/($A73+10))*1.25*(INDEX('Stat Boosts'!$D$2:$D$192,R$1-9)-10)/((INDEX('Stat Boosts'!$D$2:$D$192,(N73/2+22)-9)-10))))</f>
        <v>0.29749884365376533</v>
      </c>
    </row>
    <row r="74" spans="1:18">
      <c r="A74" s="9">
        <v>73</v>
      </c>
      <c r="B74" s="16">
        <f t="shared" si="2"/>
        <v>51.2</v>
      </c>
      <c r="C74" s="16">
        <f t="shared" si="3"/>
        <v>9.7087378640776691E-3</v>
      </c>
      <c r="E74" s="16">
        <f>IF((1.75-(($A74+5)/($A74+10))*(INDEX('Stat Boosts'!$D$2:$D$192,E$1-9)-10)/((INDEX('Stat Boosts'!$D$2:$D$192,(A74/2+22)-9)-10)))&lt;0.5,POWER(1.1,1.75-(($A74+5)/($A74+10))*(INDEX('Stat Boosts'!$D$2:$D$192,E$1-9)-10)/((INDEX('Stat Boosts'!$D$2:$D$192,(A74/2+22)-9)-10))-0.5)*0.5,(1.75-(($A74+5)/($A74+10))*(INDEX('Stat Boosts'!$D$2:$D$192,E$1-9)-10)/((INDEX('Stat Boosts'!$D$2:$D$192,(A74/2+22)-9)-10))))</f>
        <v>1.75</v>
      </c>
      <c r="F74" s="16">
        <f>IF((1.75-(($A74+5)/($A74+10))*(INDEX('Stat Boosts'!$D$2:$D$192,F$1-9)-10)/((INDEX('Stat Boosts'!$D$2:$D$192,(B74/2+22)-9)-10)))&lt;0.5,POWER(1.1,1.75-(($A74+5)/($A74+10))*(INDEX('Stat Boosts'!$D$2:$D$192,F$1-9)-10)/((INDEX('Stat Boosts'!$D$2:$D$192,(B74/2+22)-9)-10))-0.5)*0.5,(1.75-(($A74+5)/($A74+10))*(INDEX('Stat Boosts'!$D$2:$D$192,F$1-9)-10)/((INDEX('Stat Boosts'!$D$2:$D$192,(B74/2+22)-9)-10))))</f>
        <v>1.6157487091222031</v>
      </c>
      <c r="G74" s="16">
        <f>IF((1.75-(($A74+5)/($A74+10))*(INDEX('Stat Boosts'!$D$2:$D$192,G$1-9)-10)/((INDEX('Stat Boosts'!$D$2:$D$192,(C74/2+22)-9)-10)))&lt;0.5,POWER(1.1,1.75-(($A74+5)/($A74+10))*(INDEX('Stat Boosts'!$D$2:$D$192,G$1-9)-10)/((INDEX('Stat Boosts'!$D$2:$D$192,(C74/2+22)-9)-10))-0.5)*0.5,(1.75-(($A74+5)/($A74+10))*(INDEX('Stat Boosts'!$D$2:$D$192,G$1-9)-10)/((INDEX('Stat Boosts'!$D$2:$D$192,(C74/2+22)-9)-10))))</f>
        <v>0.97608079376328849</v>
      </c>
      <c r="H74" s="16">
        <f>IF((1.75-(($A74+5)/($A74+10))*(INDEX('Stat Boosts'!$D$2:$D$192,H$1-9)-10)/((INDEX('Stat Boosts'!$D$2:$D$192,(D74/2+22)-9)-10)))&lt;0.5,POWER(1.1,1.75-(($A74+5)/($A74+10))*(INDEX('Stat Boosts'!$D$2:$D$192,H$1-9)-10)/((INDEX('Stat Boosts'!$D$2:$D$192,(D74/2+22)-9)-10))-0.5)*0.5,(1.75-(($A74+5)/($A74+10))*(INDEX('Stat Boosts'!$D$2:$D$192,H$1-9)-10)/((INDEX('Stat Boosts'!$D$2:$D$192,(D74/2+22)-9)-10))))</f>
        <v>0.58912119064493274</v>
      </c>
      <c r="I74" s="16">
        <f>IF((1.75-(($A74+5)/($A74+10))*(INDEX('Stat Boosts'!$D$2:$D$192,I$1-9)-10)/((INDEX('Stat Boosts'!$D$2:$D$192,(E74/2+22)-9)-10)))&lt;0.5,POWER(1.1,1.75-(($A74+5)/($A74+10))*(INDEX('Stat Boosts'!$D$2:$D$192,I$1-9)-10)/((INDEX('Stat Boosts'!$D$2:$D$192,(E74/2+22)-9)-10))-0.5)*0.5,(1.75-(($A74+5)/($A74+10))*(INDEX('Stat Boosts'!$D$2:$D$192,I$1-9)-10)/((INDEX('Stat Boosts'!$D$2:$D$192,(E74/2+22)-9)-10))))</f>
        <v>0.48857344447559348</v>
      </c>
      <c r="J74" s="16">
        <f>IF((1.75-(($A74+5)/($A74+10))*(INDEX('Stat Boosts'!$D$2:$D$192,J$1-9)-10)/((INDEX('Stat Boosts'!$D$2:$D$192,(F74/2+22)-9)-10)))&lt;0.5,POWER(1.1,1.75-(($A74+5)/($A74+10))*(INDEX('Stat Boosts'!$D$2:$D$192,J$1-9)-10)/((INDEX('Stat Boosts'!$D$2:$D$192,(F74/2+22)-9)-10))-0.5)*0.5,(1.75-(($A74+5)/($A74+10))*(INDEX('Stat Boosts'!$D$2:$D$192,J$1-9)-10)/((INDEX('Stat Boosts'!$D$2:$D$192,(F74/2+22)-9)-10))))</f>
        <v>0.47337001674891904</v>
      </c>
      <c r="K74" s="16">
        <f>IF((1.75-(($A74+5)/($A74+10))*(INDEX('Stat Boosts'!$D$2:$D$192,K$1-9)-10)/((INDEX('Stat Boosts'!$D$2:$D$192,(G74/2+22)-9)-10)))&lt;0.5,POWER(1.1,1.75-(($A74+5)/($A74+10))*(INDEX('Stat Boosts'!$D$2:$D$192,K$1-9)-10)/((INDEX('Stat Boosts'!$D$2:$D$192,(G74/2+22)-9)-10))-0.5)*0.5,(1.75-(($A74+5)/($A74+10))*(INDEX('Stat Boosts'!$D$2:$D$192,K$1-9)-10)/((INDEX('Stat Boosts'!$D$2:$D$192,(G74/2+22)-9)-10))))</f>
        <v>0.4397098072708514</v>
      </c>
      <c r="L74" s="16">
        <f>IF((1.75-(($A74+5)/($A74+10))*(INDEX('Stat Boosts'!$D$2:$D$192,L$1-9)-10)/((INDEX('Stat Boosts'!$D$2:$D$192,(H74/2+22)-9)-10)))&lt;0.5,POWER(1.1,1.75-(($A74+5)/($A74+10))*(INDEX('Stat Boosts'!$D$2:$D$192,L$1-9)-10)/((INDEX('Stat Boosts'!$D$2:$D$192,(H74/2+22)-9)-10))-0.5)*0.5,(1.75-(($A74+5)/($A74+10))*(INDEX('Stat Boosts'!$D$2:$D$192,L$1-9)-10)/((INDEX('Stat Boosts'!$D$2:$D$192,(H74/2+22)-9)-10))))</f>
        <v>0.42827746734319194</v>
      </c>
      <c r="M74" s="16">
        <f>IF((1.75-(($A74+5)/($A74+10))*(INDEX('Stat Boosts'!$D$2:$D$192,M$1-9)-10)/((INDEX('Stat Boosts'!$D$2:$D$192,(I74/2+22)-9)-10)))&lt;0.5,POWER(1.1,1.75-(($A74+5)/($A74+10))*(INDEX('Stat Boosts'!$D$2:$D$192,M$1-9)-10)/((INDEX('Stat Boosts'!$D$2:$D$192,(I74/2+22)-9)-10))-0.5)*0.5,(1.75-(($A74+5)/($A74+10))*(INDEX('Stat Boosts'!$D$2:$D$192,M$1-9)-10)/((INDEX('Stat Boosts'!$D$2:$D$192,(I74/2+22)-9)-10))))</f>
        <v>0.4127698131228662</v>
      </c>
      <c r="N74" s="16">
        <f>IF((1.75-(($A74+5)/($A74+10))*(INDEX('Stat Boosts'!$D$2:$D$192,N$1-9)-10)/((INDEX('Stat Boosts'!$D$2:$D$192,(J74/2+22)-9)-10)))&lt;0.5,POWER(1.1,1.75-(($A74+5)/($A74+10))*(INDEX('Stat Boosts'!$D$2:$D$192,N$1-9)-10)/((INDEX('Stat Boosts'!$D$2:$D$192,(J74/2+22)-9)-10))-0.5)*0.5,(1.75-(($A74+5)/($A74+10))*(INDEX('Stat Boosts'!$D$2:$D$192,N$1-9)-10)/((INDEX('Stat Boosts'!$D$2:$D$192,(J74/2+22)-9)-10))))</f>
        <v>0.39365363053905505</v>
      </c>
      <c r="O74" s="16">
        <f>IF((1.75-(($A74+5)/($A74+10))*(INDEX('Stat Boosts'!$D$2:$D$192,O$1-9)-10)/((INDEX('Stat Boosts'!$D$2:$D$192,(K74/2+22)-9)-10)))&lt;0.5,POWER(1.1,1.75-(($A74+5)/($A74+10))*(INDEX('Stat Boosts'!$D$2:$D$192,O$1-9)-10)/((INDEX('Stat Boosts'!$D$2:$D$192,(K74/2+22)-9)-10))-0.5)*0.5,(1.75-(($A74+5)/($A74+10))*(INDEX('Stat Boosts'!$D$2:$D$192,O$1-9)-10)/((INDEX('Stat Boosts'!$D$2:$D$192,(K74/2+22)-9)-10))))</f>
        <v>0.38341873915463887</v>
      </c>
      <c r="P74" s="16">
        <f>IF((1.75-(($A74+5)/($A74+10))*(INDEX('Stat Boosts'!$D$2:$D$192,P$1-9)-10)/((INDEX('Stat Boosts'!$D$2:$D$192,(L74/2+22)-9)-10)))&lt;0.5,POWER(1.1,1.75-(($A74+5)/($A74+10))*(INDEX('Stat Boosts'!$D$2:$D$192,P$1-9)-10)/((INDEX('Stat Boosts'!$D$2:$D$192,(L74/2+22)-9)-10))-0.5)*0.5,(1.75-(($A74+5)/($A74+10))*(INDEX('Stat Boosts'!$D$2:$D$192,P$1-9)-10)/((INDEX('Stat Boosts'!$D$2:$D$192,(L74/2+22)-9)-10))))</f>
        <v>0.36759352459947464</v>
      </c>
      <c r="Q74" s="16">
        <f>IF((1.75-(($A74+5)/($A74+10))*(INDEX('Stat Boosts'!$D$2:$D$192,Q$1-9)-10)/((INDEX('Stat Boosts'!$D$2:$D$192,(M74/2+22)-9)-10)))&lt;0.5,POWER(1.1,1.75-(($A74+5)/($A74+10))*(INDEX('Stat Boosts'!$D$2:$D$192,Q$1-9)-10)/((INDEX('Stat Boosts'!$D$2:$D$192,(M74/2+22)-9)-10))-0.5)*0.5,(1.75-(($A74+5)/($A74+10))*(INDEX('Stat Boosts'!$D$2:$D$192,Q$1-9)-10)/((INDEX('Stat Boosts'!$D$2:$D$192,(M74/2+22)-9)-10))))</f>
        <v>0.35242147951711483</v>
      </c>
      <c r="R74" s="16">
        <f>IF((1.75-(($A74+5)/($A74+10))*1.25*(INDEX('Stat Boosts'!$D$2:$D$192,R$1-9)-10)/((INDEX('Stat Boosts'!$D$2:$D$192,(N74/2+22)-9)-10)))&lt;0.5,POWER(1.1,1.75-(($A74+5)/($A74+10))*1.25*(INDEX('Stat Boosts'!$D$2:$D$192,R$1-9)-10)/((INDEX('Stat Boosts'!$D$2:$D$192,(N74/2+22)-9)-10))-0.5)*0.5,(1.75-(($A74+5)/($A74+10))*1.25*(INDEX('Stat Boosts'!$D$2:$D$192,R$1-9)-10)/((INDEX('Stat Boosts'!$D$2:$D$192,(N74/2+22)-9)-10))))</f>
        <v>0.29735030926373102</v>
      </c>
    </row>
    <row r="75" spans="1:18">
      <c r="A75" s="9">
        <v>74</v>
      </c>
      <c r="B75" s="16">
        <f t="shared" si="2"/>
        <v>51.6</v>
      </c>
      <c r="C75" s="16">
        <f t="shared" si="3"/>
        <v>9.6153846153846159E-3</v>
      </c>
      <c r="E75" s="16">
        <f>IF((1.75-(($A75+5)/($A75+10))*(INDEX('Stat Boosts'!$D$2:$D$192,E$1-9)-10)/((INDEX('Stat Boosts'!$D$2:$D$192,(A75/2+22)-9)-10)))&lt;0.5,POWER(1.1,1.75-(($A75+5)/($A75+10))*(INDEX('Stat Boosts'!$D$2:$D$192,E$1-9)-10)/((INDEX('Stat Boosts'!$D$2:$D$192,(A75/2+22)-9)-10))-0.5)*0.5,(1.75-(($A75+5)/($A75+10))*(INDEX('Stat Boosts'!$D$2:$D$192,E$1-9)-10)/((INDEX('Stat Boosts'!$D$2:$D$192,(A75/2+22)-9)-10))))</f>
        <v>1.75</v>
      </c>
      <c r="F75" s="16">
        <f>IF((1.75-(($A75+5)/($A75+10))*(INDEX('Stat Boosts'!$D$2:$D$192,F$1-9)-10)/((INDEX('Stat Boosts'!$D$2:$D$192,(B75/2+22)-9)-10)))&lt;0.5,POWER(1.1,1.75-(($A75+5)/($A75+10))*(INDEX('Stat Boosts'!$D$2:$D$192,F$1-9)-10)/((INDEX('Stat Boosts'!$D$2:$D$192,(B75/2+22)-9)-10))-0.5)*0.5,(1.75-(($A75+5)/($A75+10))*(INDEX('Stat Boosts'!$D$2:$D$192,F$1-9)-10)/((INDEX('Stat Boosts'!$D$2:$D$192,(B75/2+22)-9)-10))))</f>
        <v>1.6156462585034013</v>
      </c>
      <c r="G75" s="16">
        <f>IF((1.75-(($A75+5)/($A75+10))*(INDEX('Stat Boosts'!$D$2:$D$192,G$1-9)-10)/((INDEX('Stat Boosts'!$D$2:$D$192,(C75/2+22)-9)-10)))&lt;0.5,POWER(1.1,1.75-(($A75+5)/($A75+10))*(INDEX('Stat Boosts'!$D$2:$D$192,G$1-9)-10)/((INDEX('Stat Boosts'!$D$2:$D$192,(C75/2+22)-9)-10))-0.5)*0.5,(1.75-(($A75+5)/($A75+10))*(INDEX('Stat Boosts'!$D$2:$D$192,G$1-9)-10)/((INDEX('Stat Boosts'!$D$2:$D$192,(C75/2+22)-9)-10))))</f>
        <v>0.97549019607843146</v>
      </c>
      <c r="H75" s="16">
        <f>IF((1.75-(($A75+5)/($A75+10))*(INDEX('Stat Boosts'!$D$2:$D$192,H$1-9)-10)/((INDEX('Stat Boosts'!$D$2:$D$192,(D75/2+22)-9)-10)))&lt;0.5,POWER(1.1,1.75-(($A75+5)/($A75+10))*(INDEX('Stat Boosts'!$D$2:$D$192,H$1-9)-10)/((INDEX('Stat Boosts'!$D$2:$D$192,(D75/2+22)-9)-10))-0.5)*0.5,(1.75-(($A75+5)/($A75+10))*(INDEX('Stat Boosts'!$D$2:$D$192,H$1-9)-10)/((INDEX('Stat Boosts'!$D$2:$D$192,(D75/2+22)-9)-10))))</f>
        <v>0.58823529411764697</v>
      </c>
      <c r="I75" s="16">
        <f>IF((1.75-(($A75+5)/($A75+10))*(INDEX('Stat Boosts'!$D$2:$D$192,I$1-9)-10)/((INDEX('Stat Boosts'!$D$2:$D$192,(E75/2+22)-9)-10)))&lt;0.5,POWER(1.1,1.75-(($A75+5)/($A75+10))*(INDEX('Stat Boosts'!$D$2:$D$192,I$1-9)-10)/((INDEX('Stat Boosts'!$D$2:$D$192,(E75/2+22)-9)-10))-0.5)*0.5,(1.75-(($A75+5)/($A75+10))*(INDEX('Stat Boosts'!$D$2:$D$192,I$1-9)-10)/((INDEX('Stat Boosts'!$D$2:$D$192,(E75/2+22)-9)-10))))</f>
        <v>0.48852040819710352</v>
      </c>
      <c r="J75" s="16">
        <f>IF((1.75-(($A75+5)/($A75+10))*(INDEX('Stat Boosts'!$D$2:$D$192,J$1-9)-10)/((INDEX('Stat Boosts'!$D$2:$D$192,(F75/2+22)-9)-10)))&lt;0.5,POWER(1.1,1.75-(($A75+5)/($A75+10))*(INDEX('Stat Boosts'!$D$2:$D$192,J$1-9)-10)/((INDEX('Stat Boosts'!$D$2:$D$192,(F75/2+22)-9)-10))-0.5)*0.5,(1.75-(($A75+5)/($A75+10))*(INDEX('Stat Boosts'!$D$2:$D$192,J$1-9)-10)/((INDEX('Stat Boosts'!$D$2:$D$192,(F75/2+22)-9)-10))))</f>
        <v>0.47330721252288449</v>
      </c>
      <c r="K75" s="16">
        <f>IF((1.75-(($A75+5)/($A75+10))*(INDEX('Stat Boosts'!$D$2:$D$192,K$1-9)-10)/((INDEX('Stat Boosts'!$D$2:$D$192,(G75/2+22)-9)-10)))&lt;0.5,POWER(1.1,1.75-(($A75+5)/($A75+10))*(INDEX('Stat Boosts'!$D$2:$D$192,K$1-9)-10)/((INDEX('Stat Boosts'!$D$2:$D$192,(G75/2+22)-9)-10))-0.5)*0.5,(1.75-(($A75+5)/($A75+10))*(INDEX('Stat Boosts'!$D$2:$D$192,K$1-9)-10)/((INDEX('Stat Boosts'!$D$2:$D$192,(G75/2+22)-9)-10))))</f>
        <v>0.43962672163093564</v>
      </c>
      <c r="L75" s="16">
        <f>IF((1.75-(($A75+5)/($A75+10))*(INDEX('Stat Boosts'!$D$2:$D$192,L$1-9)-10)/((INDEX('Stat Boosts'!$D$2:$D$192,(H75/2+22)-9)-10)))&lt;0.5,POWER(1.1,1.75-(($A75+5)/($A75+10))*(INDEX('Stat Boosts'!$D$2:$D$192,L$1-9)-10)/((INDEX('Stat Boosts'!$D$2:$D$192,(H75/2+22)-9)-10))-0.5)*0.5,(1.75-(($A75+5)/($A75+10))*(INDEX('Stat Boosts'!$D$2:$D$192,L$1-9)-10)/((INDEX('Stat Boosts'!$D$2:$D$192,(H75/2+22)-9)-10))))</f>
        <v>0.42818793371928765</v>
      </c>
      <c r="M75" s="16">
        <f>IF((1.75-(($A75+5)/($A75+10))*(INDEX('Stat Boosts'!$D$2:$D$192,M$1-9)-10)/((INDEX('Stat Boosts'!$D$2:$D$192,(I75/2+22)-9)-10)))&lt;0.5,POWER(1.1,1.75-(($A75+5)/($A75+10))*(INDEX('Stat Boosts'!$D$2:$D$192,M$1-9)-10)/((INDEX('Stat Boosts'!$D$2:$D$192,(I75/2+22)-9)-10))-0.5)*0.5,(1.75-(($A75+5)/($A75+10))*(INDEX('Stat Boosts'!$D$2:$D$192,M$1-9)-10)/((INDEX('Stat Boosts'!$D$2:$D$192,(I75/2+22)-9)-10))))</f>
        <v>0.4126719066460503</v>
      </c>
      <c r="N75" s="16">
        <f>IF((1.75-(($A75+5)/($A75+10))*(INDEX('Stat Boosts'!$D$2:$D$192,N$1-9)-10)/((INDEX('Stat Boosts'!$D$2:$D$192,(J75/2+22)-9)-10)))&lt;0.5,POWER(1.1,1.75-(($A75+5)/($A75+10))*(INDEX('Stat Boosts'!$D$2:$D$192,N$1-9)-10)/((INDEX('Stat Boosts'!$D$2:$D$192,(J75/2+22)-9)-10))-0.5)*0.5,(1.75-(($A75+5)/($A75+10))*(INDEX('Stat Boosts'!$D$2:$D$192,N$1-9)-10)/((INDEX('Stat Boosts'!$D$2:$D$192,(J75/2+22)-9)-10))))</f>
        <v>0.39354601702860725</v>
      </c>
      <c r="O75" s="16">
        <f>IF((1.75-(($A75+5)/($A75+10))*(INDEX('Stat Boosts'!$D$2:$D$192,O$1-9)-10)/((INDEX('Stat Boosts'!$D$2:$D$192,(K75/2+22)-9)-10)))&lt;0.5,POWER(1.1,1.75-(($A75+5)/($A75+10))*(INDEX('Stat Boosts'!$D$2:$D$192,O$1-9)-10)/((INDEX('Stat Boosts'!$D$2:$D$192,(K75/2+22)-9)-10))-0.5)*0.5,(1.75-(($A75+5)/($A75+10))*(INDEX('Stat Boosts'!$D$2:$D$192,O$1-9)-10)/((INDEX('Stat Boosts'!$D$2:$D$192,(K75/2+22)-9)-10))))</f>
        <v>0.38330621766981582</v>
      </c>
      <c r="P75" s="16">
        <f>IF((1.75-(($A75+5)/($A75+10))*(INDEX('Stat Boosts'!$D$2:$D$192,P$1-9)-10)/((INDEX('Stat Boosts'!$D$2:$D$192,(L75/2+22)-9)-10)))&lt;0.5,POWER(1.1,1.75-(($A75+5)/($A75+10))*(INDEX('Stat Boosts'!$D$2:$D$192,P$1-9)-10)/((INDEX('Stat Boosts'!$D$2:$D$192,(L75/2+22)-9)-10))-0.5)*0.5,(1.75-(($A75+5)/($A75+10))*(INDEX('Stat Boosts'!$D$2:$D$192,P$1-9)-10)/((INDEX('Stat Boosts'!$D$2:$D$192,(L75/2+22)-9)-10))))</f>
        <v>0.36747382708108478</v>
      </c>
      <c r="Q75" s="16">
        <f>IF((1.75-(($A75+5)/($A75+10))*(INDEX('Stat Boosts'!$D$2:$D$192,Q$1-9)-10)/((INDEX('Stat Boosts'!$D$2:$D$192,(M75/2+22)-9)-10)))&lt;0.5,POWER(1.1,1.75-(($A75+5)/($A75+10))*(INDEX('Stat Boosts'!$D$2:$D$192,Q$1-9)-10)/((INDEX('Stat Boosts'!$D$2:$D$192,(M75/2+22)-9)-10))-0.5)*0.5,(1.75-(($A75+5)/($A75+10))*(INDEX('Stat Boosts'!$D$2:$D$192,Q$1-9)-10)/((INDEX('Stat Boosts'!$D$2:$D$192,(M75/2+22)-9)-10))))</f>
        <v>0.35229539038143481</v>
      </c>
      <c r="R75" s="16">
        <f>IF((1.75-(($A75+5)/($A75+10))*1.25*(INDEX('Stat Boosts'!$D$2:$D$192,R$1-9)-10)/((INDEX('Stat Boosts'!$D$2:$D$192,(N75/2+22)-9)-10)))&lt;0.5,POWER(1.1,1.75-(($A75+5)/($A75+10))*1.25*(INDEX('Stat Boosts'!$D$2:$D$192,R$1-9)-10)/((INDEX('Stat Boosts'!$D$2:$D$192,(N75/2+22)-9)-10))-0.5)*0.5,(1.75-(($A75+5)/($A75+10))*1.25*(INDEX('Stat Boosts'!$D$2:$D$192,R$1-9)-10)/((INDEX('Stat Boosts'!$D$2:$D$192,(N75/2+22)-9)-10))))</f>
        <v>0.29720538293936555</v>
      </c>
    </row>
    <row r="76" spans="1:18">
      <c r="A76" s="9">
        <v>75</v>
      </c>
      <c r="B76" s="16">
        <f t="shared" si="2"/>
        <v>52</v>
      </c>
      <c r="C76" s="16">
        <f t="shared" si="3"/>
        <v>9.5238095238095247E-3</v>
      </c>
      <c r="E76" s="16">
        <f>IF((1.75-(($A76+5)/($A76+10))*(INDEX('Stat Boosts'!$D$2:$D$192,E$1-9)-10)/((INDEX('Stat Boosts'!$D$2:$D$192,(A76/2+22)-9)-10)))&lt;0.5,POWER(1.1,1.75-(($A76+5)/($A76+10))*(INDEX('Stat Boosts'!$D$2:$D$192,E$1-9)-10)/((INDEX('Stat Boosts'!$D$2:$D$192,(A76/2+22)-9)-10))-0.5)*0.5,(1.75-(($A76+5)/($A76+10))*(INDEX('Stat Boosts'!$D$2:$D$192,E$1-9)-10)/((INDEX('Stat Boosts'!$D$2:$D$192,(A76/2+22)-9)-10))))</f>
        <v>1.75</v>
      </c>
      <c r="F76" s="16">
        <f>IF((1.75-(($A76+5)/($A76+10))*(INDEX('Stat Boosts'!$D$2:$D$192,F$1-9)-10)/((INDEX('Stat Boosts'!$D$2:$D$192,(B76/2+22)-9)-10)))&lt;0.5,POWER(1.1,1.75-(($A76+5)/($A76+10))*(INDEX('Stat Boosts'!$D$2:$D$192,F$1-9)-10)/((INDEX('Stat Boosts'!$D$2:$D$192,(B76/2+22)-9)-10))-0.5)*0.5,(1.75-(($A76+5)/($A76+10))*(INDEX('Stat Boosts'!$D$2:$D$192,F$1-9)-10)/((INDEX('Stat Boosts'!$D$2:$D$192,(B76/2+22)-9)-10))))</f>
        <v>1.618235294117647</v>
      </c>
      <c r="G76" s="16">
        <f>IF((1.75-(($A76+5)/($A76+10))*(INDEX('Stat Boosts'!$D$2:$D$192,G$1-9)-10)/((INDEX('Stat Boosts'!$D$2:$D$192,(C76/2+22)-9)-10)))&lt;0.5,POWER(1.1,1.75-(($A76+5)/($A76+10))*(INDEX('Stat Boosts'!$D$2:$D$192,G$1-9)-10)/((INDEX('Stat Boosts'!$D$2:$D$192,(C76/2+22)-9)-10))-0.5)*0.5,(1.75-(($A76+5)/($A76+10))*(INDEX('Stat Boosts'!$D$2:$D$192,G$1-9)-10)/((INDEX('Stat Boosts'!$D$2:$D$192,(C76/2+22)-9)-10))))</f>
        <v>0.97491349480968859</v>
      </c>
      <c r="H76" s="16">
        <f>IF((1.75-(($A76+5)/($A76+10))*(INDEX('Stat Boosts'!$D$2:$D$192,H$1-9)-10)/((INDEX('Stat Boosts'!$D$2:$D$192,(D76/2+22)-9)-10)))&lt;0.5,POWER(1.1,1.75-(($A76+5)/($A76+10))*(INDEX('Stat Boosts'!$D$2:$D$192,H$1-9)-10)/((INDEX('Stat Boosts'!$D$2:$D$192,(D76/2+22)-9)-10))-0.5)*0.5,(1.75-(($A76+5)/($A76+10))*(INDEX('Stat Boosts'!$D$2:$D$192,H$1-9)-10)/((INDEX('Stat Boosts'!$D$2:$D$192,(D76/2+22)-9)-10))))</f>
        <v>0.58737024221453282</v>
      </c>
      <c r="I76" s="16">
        <f>IF((1.75-(($A76+5)/($A76+10))*(INDEX('Stat Boosts'!$D$2:$D$192,I$1-9)-10)/((INDEX('Stat Boosts'!$D$2:$D$192,(E76/2+22)-9)-10)))&lt;0.5,POWER(1.1,1.75-(($A76+5)/($A76+10))*(INDEX('Stat Boosts'!$D$2:$D$192,I$1-9)-10)/((INDEX('Stat Boosts'!$D$2:$D$192,(E76/2+22)-9)-10))-0.5)*0.5,(1.75-(($A76+5)/($A76+10))*(INDEX('Stat Boosts'!$D$2:$D$192,I$1-9)-10)/((INDEX('Stat Boosts'!$D$2:$D$192,(E76/2+22)-9)-10))))</f>
        <v>0.48846862538671465</v>
      </c>
      <c r="J76" s="16">
        <f>IF((1.75-(($A76+5)/($A76+10))*(INDEX('Stat Boosts'!$D$2:$D$192,J$1-9)-10)/((INDEX('Stat Boosts'!$D$2:$D$192,(F76/2+22)-9)-10)))&lt;0.5,POWER(1.1,1.75-(($A76+5)/($A76+10))*(INDEX('Stat Boosts'!$D$2:$D$192,J$1-9)-10)/((INDEX('Stat Boosts'!$D$2:$D$192,(F76/2+22)-9)-10))-0.5)*0.5,(1.75-(($A76+5)/($A76+10))*(INDEX('Stat Boosts'!$D$2:$D$192,J$1-9)-10)/((INDEX('Stat Boosts'!$D$2:$D$192,(F76/2+22)-9)-10))))</f>
        <v>0.47324589408410256</v>
      </c>
      <c r="K76" s="16">
        <f>IF((1.75-(($A76+5)/($A76+10))*(INDEX('Stat Boosts'!$D$2:$D$192,K$1-9)-10)/((INDEX('Stat Boosts'!$D$2:$D$192,(G76/2+22)-9)-10)))&lt;0.5,POWER(1.1,1.75-(($A76+5)/($A76+10))*(INDEX('Stat Boosts'!$D$2:$D$192,K$1-9)-10)/((INDEX('Stat Boosts'!$D$2:$D$192,(G76/2+22)-9)-10))-0.5)*0.5,(1.75-(($A76+5)/($A76+10))*(INDEX('Stat Boosts'!$D$2:$D$192,K$1-9)-10)/((INDEX('Stat Boosts'!$D$2:$D$192,(G76/2+22)-9)-10))))</f>
        <v>0.43954560609702026</v>
      </c>
      <c r="L76" s="16">
        <f>IF((1.75-(($A76+5)/($A76+10))*(INDEX('Stat Boosts'!$D$2:$D$192,L$1-9)-10)/((INDEX('Stat Boosts'!$D$2:$D$192,(H76/2+22)-9)-10)))&lt;0.5,POWER(1.1,1.75-(($A76+5)/($A76+10))*(INDEX('Stat Boosts'!$D$2:$D$192,L$1-9)-10)/((INDEX('Stat Boosts'!$D$2:$D$192,(H76/2+22)-9)-10))-0.5)*0.5,(1.75-(($A76+5)/($A76+10))*(INDEX('Stat Boosts'!$D$2:$D$192,L$1-9)-10)/((INDEX('Stat Boosts'!$D$2:$D$192,(H76/2+22)-9)-10))))</f>
        <v>0.42810052483094946</v>
      </c>
      <c r="M76" s="16">
        <f>IF((1.75-(($A76+5)/($A76+10))*(INDEX('Stat Boosts'!$D$2:$D$192,M$1-9)-10)/((INDEX('Stat Boosts'!$D$2:$D$192,(I76/2+22)-9)-10)))&lt;0.5,POWER(1.1,1.75-(($A76+5)/($A76+10))*(INDEX('Stat Boosts'!$D$2:$D$192,M$1-9)-10)/((INDEX('Stat Boosts'!$D$2:$D$192,(I76/2+22)-9)-10))-0.5)*0.5,(1.75-(($A76+5)/($A76+10))*(INDEX('Stat Boosts'!$D$2:$D$192,M$1-9)-10)/((INDEX('Stat Boosts'!$D$2:$D$192,(I76/2+22)-9)-10))))</f>
        <v>0.4125763262607009</v>
      </c>
      <c r="N76" s="16">
        <f>IF((1.75-(($A76+5)/($A76+10))*(INDEX('Stat Boosts'!$D$2:$D$192,N$1-9)-10)/((INDEX('Stat Boosts'!$D$2:$D$192,(J76/2+22)-9)-10)))&lt;0.5,POWER(1.1,1.75-(($A76+5)/($A76+10))*(INDEX('Stat Boosts'!$D$2:$D$192,N$1-9)-10)/((INDEX('Stat Boosts'!$D$2:$D$192,(J76/2+22)-9)-10))-0.5)*0.5,(1.75-(($A76+5)/($A76+10))*(INDEX('Stat Boosts'!$D$2:$D$192,N$1-9)-10)/((INDEX('Stat Boosts'!$D$2:$D$192,(J76/2+22)-9)-10))))</f>
        <v>0.3934409639890849</v>
      </c>
      <c r="O76" s="16">
        <f>IF((1.75-(($A76+5)/($A76+10))*(INDEX('Stat Boosts'!$D$2:$D$192,O$1-9)-10)/((INDEX('Stat Boosts'!$D$2:$D$192,(K76/2+22)-9)-10)))&lt;0.5,POWER(1.1,1.75-(($A76+5)/($A76+10))*(INDEX('Stat Boosts'!$D$2:$D$192,O$1-9)-10)/((INDEX('Stat Boosts'!$D$2:$D$192,(K76/2+22)-9)-10))-0.5)*0.5,(1.75-(($A76+5)/($A76+10))*(INDEX('Stat Boosts'!$D$2:$D$192,O$1-9)-10)/((INDEX('Stat Boosts'!$D$2:$D$192,(K76/2+22)-9)-10))))</f>
        <v>0.38319637561464814</v>
      </c>
      <c r="P76" s="16">
        <f>IF((1.75-(($A76+5)/($A76+10))*(INDEX('Stat Boosts'!$D$2:$D$192,P$1-9)-10)/((INDEX('Stat Boosts'!$D$2:$D$192,(L76/2+22)-9)-10)))&lt;0.5,POWER(1.1,1.75-(($A76+5)/($A76+10))*(INDEX('Stat Boosts'!$D$2:$D$192,P$1-9)-10)/((INDEX('Stat Boosts'!$D$2:$D$192,(L76/2+22)-9)-10))-0.5)*0.5,(1.75-(($A76+5)/($A76+10))*(INDEX('Stat Boosts'!$D$2:$D$192,P$1-9)-10)/((INDEX('Stat Boosts'!$D$2:$D$192,(L76/2+22)-9)-10))))</f>
        <v>0.36735698358660218</v>
      </c>
      <c r="Q76" s="16">
        <f>IF((1.75-(($A76+5)/($A76+10))*(INDEX('Stat Boosts'!$D$2:$D$192,Q$1-9)-10)/((INDEX('Stat Boosts'!$D$2:$D$192,(M76/2+22)-9)-10)))&lt;0.5,POWER(1.1,1.75-(($A76+5)/($A76+10))*(INDEX('Stat Boosts'!$D$2:$D$192,Q$1-9)-10)/((INDEX('Stat Boosts'!$D$2:$D$192,(M76/2+22)-9)-10))-0.5)*0.5,(1.75-(($A76+5)/($A76+10))*(INDEX('Stat Boosts'!$D$2:$D$192,Q$1-9)-10)/((INDEX('Stat Boosts'!$D$2:$D$192,(M76/2+22)-9)-10))))</f>
        <v>0.35217231158145751</v>
      </c>
      <c r="R76" s="16">
        <f>IF((1.75-(($A76+5)/($A76+10))*1.25*(INDEX('Stat Boosts'!$D$2:$D$192,R$1-9)-10)/((INDEX('Stat Boosts'!$D$2:$D$192,(N76/2+22)-9)-10)))&lt;0.5,POWER(1.1,1.75-(($A76+5)/($A76+10))*1.25*(INDEX('Stat Boosts'!$D$2:$D$192,R$1-9)-10)/((INDEX('Stat Boosts'!$D$2:$D$192,(N76/2+22)-9)-10))-0.5)*0.5,(1.75-(($A76+5)/($A76+10))*1.25*(INDEX('Stat Boosts'!$D$2:$D$192,R$1-9)-10)/((INDEX('Stat Boosts'!$D$2:$D$192,(N76/2+22)-9)-10))))</f>
        <v>0.29706393480895005</v>
      </c>
    </row>
    <row r="77" spans="1:18">
      <c r="A77" s="9">
        <v>76</v>
      </c>
      <c r="B77" s="16">
        <f t="shared" si="2"/>
        <v>52.4</v>
      </c>
      <c r="C77" s="16">
        <f t="shared" si="3"/>
        <v>9.4339622641509448E-3</v>
      </c>
      <c r="E77" s="16">
        <f>IF((1.75-(($A77+5)/($A77+10))*(INDEX('Stat Boosts'!$D$2:$D$192,E$1-9)-10)/((INDEX('Stat Boosts'!$D$2:$D$192,(A77/2+22)-9)-10)))&lt;0.5,POWER(1.1,1.75-(($A77+5)/($A77+10))*(INDEX('Stat Boosts'!$D$2:$D$192,E$1-9)-10)/((INDEX('Stat Boosts'!$D$2:$D$192,(A77/2+22)-9)-10))-0.5)*0.5,(1.75-(($A77+5)/($A77+10))*(INDEX('Stat Boosts'!$D$2:$D$192,E$1-9)-10)/((INDEX('Stat Boosts'!$D$2:$D$192,(A77/2+22)-9)-10))))</f>
        <v>1.75</v>
      </c>
      <c r="F77" s="16">
        <f>IF((1.75-(($A77+5)/($A77+10))*(INDEX('Stat Boosts'!$D$2:$D$192,F$1-9)-10)/((INDEX('Stat Boosts'!$D$2:$D$192,(B77/2+22)-9)-10)))&lt;0.5,POWER(1.1,1.75-(($A77+5)/($A77+10))*(INDEX('Stat Boosts'!$D$2:$D$192,F$1-9)-10)/((INDEX('Stat Boosts'!$D$2:$D$192,(B77/2+22)-9)-10))-0.5)*0.5,(1.75-(($A77+5)/($A77+10))*(INDEX('Stat Boosts'!$D$2:$D$192,F$1-9)-10)/((INDEX('Stat Boosts'!$D$2:$D$192,(B77/2+22)-9)-10))))</f>
        <v>1.6181395348837209</v>
      </c>
      <c r="G77" s="16">
        <f>IF((1.75-(($A77+5)/($A77+10))*(INDEX('Stat Boosts'!$D$2:$D$192,G$1-9)-10)/((INDEX('Stat Boosts'!$D$2:$D$192,(C77/2+22)-9)-10)))&lt;0.5,POWER(1.1,1.75-(($A77+5)/($A77+10))*(INDEX('Stat Boosts'!$D$2:$D$192,G$1-9)-10)/((INDEX('Stat Boosts'!$D$2:$D$192,(C77/2+22)-9)-10))-0.5)*0.5,(1.75-(($A77+5)/($A77+10))*(INDEX('Stat Boosts'!$D$2:$D$192,G$1-9)-10)/((INDEX('Stat Boosts'!$D$2:$D$192,(C77/2+22)-9)-10))))</f>
        <v>0.97435020519835835</v>
      </c>
      <c r="H77" s="16">
        <f>IF((1.75-(($A77+5)/($A77+10))*(INDEX('Stat Boosts'!$D$2:$D$192,H$1-9)-10)/((INDEX('Stat Boosts'!$D$2:$D$192,(D77/2+22)-9)-10)))&lt;0.5,POWER(1.1,1.75-(($A77+5)/($A77+10))*(INDEX('Stat Boosts'!$D$2:$D$192,H$1-9)-10)/((INDEX('Stat Boosts'!$D$2:$D$192,(D77/2+22)-9)-10))-0.5)*0.5,(1.75-(($A77+5)/($A77+10))*(INDEX('Stat Boosts'!$D$2:$D$192,H$1-9)-10)/((INDEX('Stat Boosts'!$D$2:$D$192,(D77/2+22)-9)-10))))</f>
        <v>0.58652530779753764</v>
      </c>
      <c r="I77" s="16">
        <f>IF((1.75-(($A77+5)/($A77+10))*(INDEX('Stat Boosts'!$D$2:$D$192,I$1-9)-10)/((INDEX('Stat Boosts'!$D$2:$D$192,(E77/2+22)-9)-10)))&lt;0.5,POWER(1.1,1.75-(($A77+5)/($A77+10))*(INDEX('Stat Boosts'!$D$2:$D$192,I$1-9)-10)/((INDEX('Stat Boosts'!$D$2:$D$192,(E77/2+22)-9)-10))-0.5)*0.5,(1.75-(($A77+5)/($A77+10))*(INDEX('Stat Boosts'!$D$2:$D$192,I$1-9)-10)/((INDEX('Stat Boosts'!$D$2:$D$192,(E77/2+22)-9)-10))))</f>
        <v>0.48841805212668449</v>
      </c>
      <c r="J77" s="16">
        <f>IF((1.75-(($A77+5)/($A77+10))*(INDEX('Stat Boosts'!$D$2:$D$192,J$1-9)-10)/((INDEX('Stat Boosts'!$D$2:$D$192,(F77/2+22)-9)-10)))&lt;0.5,POWER(1.1,1.75-(($A77+5)/($A77+10))*(INDEX('Stat Boosts'!$D$2:$D$192,J$1-9)-10)/((INDEX('Stat Boosts'!$D$2:$D$192,(F77/2+22)-9)-10))-0.5)*0.5,(1.75-(($A77+5)/($A77+10))*(INDEX('Stat Boosts'!$D$2:$D$192,J$1-9)-10)/((INDEX('Stat Boosts'!$D$2:$D$192,(F77/2+22)-9)-10))))</f>
        <v>0.47318600932456123</v>
      </c>
      <c r="K77" s="16">
        <f>IF((1.75-(($A77+5)/($A77+10))*(INDEX('Stat Boosts'!$D$2:$D$192,K$1-9)-10)/((INDEX('Stat Boosts'!$D$2:$D$192,(G77/2+22)-9)-10)))&lt;0.5,POWER(1.1,1.75-(($A77+5)/($A77+10))*(INDEX('Stat Boosts'!$D$2:$D$192,K$1-9)-10)/((INDEX('Stat Boosts'!$D$2:$D$192,(G77/2+22)-9)-10))-0.5)*0.5,(1.75-(($A77+5)/($A77+10))*(INDEX('Stat Boosts'!$D$2:$D$192,K$1-9)-10)/((INDEX('Stat Boosts'!$D$2:$D$192,(G77/2+22)-9)-10))))</f>
        <v>0.43946639141947508</v>
      </c>
      <c r="L77" s="16">
        <f>IF((1.75-(($A77+5)/($A77+10))*(INDEX('Stat Boosts'!$D$2:$D$192,L$1-9)-10)/((INDEX('Stat Boosts'!$D$2:$D$192,(H77/2+22)-9)-10)))&lt;0.5,POWER(1.1,1.75-(($A77+5)/($A77+10))*(INDEX('Stat Boosts'!$D$2:$D$192,L$1-9)-10)/((INDEX('Stat Boosts'!$D$2:$D$192,(H77/2+22)-9)-10))-0.5)*0.5,(1.75-(($A77+5)/($A77+10))*(INDEX('Stat Boosts'!$D$2:$D$192,L$1-9)-10)/((INDEX('Stat Boosts'!$D$2:$D$192,(H77/2+22)-9)-10))))</f>
        <v>0.42801516593323119</v>
      </c>
      <c r="M77" s="16">
        <f>IF((1.75-(($A77+5)/($A77+10))*(INDEX('Stat Boosts'!$D$2:$D$192,M$1-9)-10)/((INDEX('Stat Boosts'!$D$2:$D$192,(I77/2+22)-9)-10)))&lt;0.5,POWER(1.1,1.75-(($A77+5)/($A77+10))*(INDEX('Stat Boosts'!$D$2:$D$192,M$1-9)-10)/((INDEX('Stat Boosts'!$D$2:$D$192,(I77/2+22)-9)-10))-0.5)*0.5,(1.75-(($A77+5)/($A77+10))*(INDEX('Stat Boosts'!$D$2:$D$192,M$1-9)-10)/((INDEX('Stat Boosts'!$D$2:$D$192,(I77/2+22)-9)-10))))</f>
        <v>0.4124829900464978</v>
      </c>
      <c r="N77" s="16">
        <f>IF((1.75-(($A77+5)/($A77+10))*(INDEX('Stat Boosts'!$D$2:$D$192,N$1-9)-10)/((INDEX('Stat Boosts'!$D$2:$D$192,(J77/2+22)-9)-10)))&lt;0.5,POWER(1.1,1.75-(($A77+5)/($A77+10))*(INDEX('Stat Boosts'!$D$2:$D$192,N$1-9)-10)/((INDEX('Stat Boosts'!$D$2:$D$192,(J77/2+22)-9)-10))-0.5)*0.5,(1.75-(($A77+5)/($A77+10))*(INDEX('Stat Boosts'!$D$2:$D$192,N$1-9)-10)/((INDEX('Stat Boosts'!$D$2:$D$192,(J77/2+22)-9)-10))))</f>
        <v>0.39333838111572877</v>
      </c>
      <c r="O77" s="16">
        <f>IF((1.75-(($A77+5)/($A77+10))*(INDEX('Stat Boosts'!$D$2:$D$192,O$1-9)-10)/((INDEX('Stat Boosts'!$D$2:$D$192,(K77/2+22)-9)-10)))&lt;0.5,POWER(1.1,1.75-(($A77+5)/($A77+10))*(INDEX('Stat Boosts'!$D$2:$D$192,O$1-9)-10)/((INDEX('Stat Boosts'!$D$2:$D$192,(K77/2+22)-9)-10))-0.5)*0.5,(1.75-(($A77+5)/($A77+10))*(INDEX('Stat Boosts'!$D$2:$D$192,O$1-9)-10)/((INDEX('Stat Boosts'!$D$2:$D$192,(K77/2+22)-9)-10))))</f>
        <v>0.38308911841329141</v>
      </c>
      <c r="P77" s="16">
        <f>IF((1.75-(($A77+5)/($A77+10))*(INDEX('Stat Boosts'!$D$2:$D$192,P$1-9)-10)/((INDEX('Stat Boosts'!$D$2:$D$192,(L77/2+22)-9)-10)))&lt;0.5,POWER(1.1,1.75-(($A77+5)/($A77+10))*(INDEX('Stat Boosts'!$D$2:$D$192,P$1-9)-10)/((INDEX('Stat Boosts'!$D$2:$D$192,(L77/2+22)-9)-10))-0.5)*0.5,(1.75-(($A77+5)/($A77+10))*(INDEX('Stat Boosts'!$D$2:$D$192,P$1-9)-10)/((INDEX('Stat Boosts'!$D$2:$D$192,(L77/2+22)-9)-10))))</f>
        <v>0.36724289324886217</v>
      </c>
      <c r="Q77" s="16">
        <f>IF((1.75-(($A77+5)/($A77+10))*(INDEX('Stat Boosts'!$D$2:$D$192,Q$1-9)-10)/((INDEX('Stat Boosts'!$D$2:$D$192,(M77/2+22)-9)-10)))&lt;0.5,POWER(1.1,1.75-(($A77+5)/($A77+10))*(INDEX('Stat Boosts'!$D$2:$D$192,Q$1-9)-10)/((INDEX('Stat Boosts'!$D$2:$D$192,(M77/2+22)-9)-10))-0.5)*0.5,(1.75-(($A77+5)/($A77+10))*(INDEX('Stat Boosts'!$D$2:$D$192,Q$1-9)-10)/((INDEX('Stat Boosts'!$D$2:$D$192,(M77/2+22)-9)-10))))</f>
        <v>0.35205213659004286</v>
      </c>
      <c r="R77" s="16">
        <f>IF((1.75-(($A77+5)/($A77+10))*1.25*(INDEX('Stat Boosts'!$D$2:$D$192,R$1-9)-10)/((INDEX('Stat Boosts'!$D$2:$D$192,(N77/2+22)-9)-10)))&lt;0.5,POWER(1.1,1.75-(($A77+5)/($A77+10))*1.25*(INDEX('Stat Boosts'!$D$2:$D$192,R$1-9)-10)/((INDEX('Stat Boosts'!$D$2:$D$192,(N77/2+22)-9)-10))-0.5)*0.5,(1.75-(($A77+5)/($A77+10))*1.25*(INDEX('Stat Boosts'!$D$2:$D$192,R$1-9)-10)/((INDEX('Stat Boosts'!$D$2:$D$192,(N77/2+22)-9)-10))))</f>
        <v>0.29692584115906073</v>
      </c>
    </row>
    <row r="78" spans="1:18">
      <c r="A78" s="9">
        <v>77</v>
      </c>
      <c r="B78" s="16">
        <f t="shared" si="2"/>
        <v>52.8</v>
      </c>
      <c r="C78" s="16">
        <f t="shared" si="3"/>
        <v>9.3457943925233655E-3</v>
      </c>
      <c r="E78" s="16">
        <f>IF((1.75-(($A78+5)/($A78+10))*(INDEX('Stat Boosts'!$D$2:$D$192,E$1-9)-10)/((INDEX('Stat Boosts'!$D$2:$D$192,(A78/2+22)-9)-10)))&lt;0.5,POWER(1.1,1.75-(($A78+5)/($A78+10))*(INDEX('Stat Boosts'!$D$2:$D$192,E$1-9)-10)/((INDEX('Stat Boosts'!$D$2:$D$192,(A78/2+22)-9)-10))-0.5)*0.5,(1.75-(($A78+5)/($A78+10))*(INDEX('Stat Boosts'!$D$2:$D$192,E$1-9)-10)/((INDEX('Stat Boosts'!$D$2:$D$192,(A78/2+22)-9)-10))))</f>
        <v>1.75</v>
      </c>
      <c r="F78" s="16">
        <f>IF((1.75-(($A78+5)/($A78+10))*(INDEX('Stat Boosts'!$D$2:$D$192,F$1-9)-10)/((INDEX('Stat Boosts'!$D$2:$D$192,(B78/2+22)-9)-10)))&lt;0.5,POWER(1.1,1.75-(($A78+5)/($A78+10))*(INDEX('Stat Boosts'!$D$2:$D$192,F$1-9)-10)/((INDEX('Stat Boosts'!$D$2:$D$192,(B78/2+22)-9)-10))-0.5)*0.5,(1.75-(($A78+5)/($A78+10))*(INDEX('Stat Boosts'!$D$2:$D$192,F$1-9)-10)/((INDEX('Stat Boosts'!$D$2:$D$192,(B78/2+22)-9)-10))))</f>
        <v>1.6180459770114943</v>
      </c>
      <c r="G78" s="16">
        <f>IF((1.75-(($A78+5)/($A78+10))*(INDEX('Stat Boosts'!$D$2:$D$192,G$1-9)-10)/((INDEX('Stat Boosts'!$D$2:$D$192,(C78/2+22)-9)-10)))&lt;0.5,POWER(1.1,1.75-(($A78+5)/($A78+10))*(INDEX('Stat Boosts'!$D$2:$D$192,G$1-9)-10)/((INDEX('Stat Boosts'!$D$2:$D$192,(C78/2+22)-9)-10))-0.5)*0.5,(1.75-(($A78+5)/($A78+10))*(INDEX('Stat Boosts'!$D$2:$D$192,G$1-9)-10)/((INDEX('Stat Boosts'!$D$2:$D$192,(C78/2+22)-9)-10))))</f>
        <v>0.97379986477349567</v>
      </c>
      <c r="H78" s="16">
        <f>IF((1.75-(($A78+5)/($A78+10))*(INDEX('Stat Boosts'!$D$2:$D$192,H$1-9)-10)/((INDEX('Stat Boosts'!$D$2:$D$192,(D78/2+22)-9)-10)))&lt;0.5,POWER(1.1,1.75-(($A78+5)/($A78+10))*(INDEX('Stat Boosts'!$D$2:$D$192,H$1-9)-10)/((INDEX('Stat Boosts'!$D$2:$D$192,(D78/2+22)-9)-10))-0.5)*0.5,(1.75-(($A78+5)/($A78+10))*(INDEX('Stat Boosts'!$D$2:$D$192,H$1-9)-10)/((INDEX('Stat Boosts'!$D$2:$D$192,(D78/2+22)-9)-10))))</f>
        <v>0.58569979716024356</v>
      </c>
      <c r="I78" s="16">
        <f>IF((1.75-(($A78+5)/($A78+10))*(INDEX('Stat Boosts'!$D$2:$D$192,I$1-9)-10)/((INDEX('Stat Boosts'!$D$2:$D$192,(E78/2+22)-9)-10)))&lt;0.5,POWER(1.1,1.75-(($A78+5)/($A78+10))*(INDEX('Stat Boosts'!$D$2:$D$192,I$1-9)-10)/((INDEX('Stat Boosts'!$D$2:$D$192,(E78/2+22)-9)-10))-0.5)*0.5,(1.75-(($A78+5)/($A78+10))*(INDEX('Stat Boosts'!$D$2:$D$192,I$1-9)-10)/((INDEX('Stat Boosts'!$D$2:$D$192,(E78/2+22)-9)-10))))</f>
        <v>0.48836864652723416</v>
      </c>
      <c r="J78" s="16">
        <f>IF((1.75-(($A78+5)/($A78+10))*(INDEX('Stat Boosts'!$D$2:$D$192,J$1-9)-10)/((INDEX('Stat Boosts'!$D$2:$D$192,(F78/2+22)-9)-10)))&lt;0.5,POWER(1.1,1.75-(($A78+5)/($A78+10))*(INDEX('Stat Boosts'!$D$2:$D$192,J$1-9)-10)/((INDEX('Stat Boosts'!$D$2:$D$192,(F78/2+22)-9)-10))-0.5)*0.5,(1.75-(($A78+5)/($A78+10))*(INDEX('Stat Boosts'!$D$2:$D$192,J$1-9)-10)/((INDEX('Stat Boosts'!$D$2:$D$192,(F78/2+22)-9)-10))))</f>
        <v>0.47312750854470903</v>
      </c>
      <c r="K78" s="16">
        <f>IF((1.75-(($A78+5)/($A78+10))*(INDEX('Stat Boosts'!$D$2:$D$192,K$1-9)-10)/((INDEX('Stat Boosts'!$D$2:$D$192,(G78/2+22)-9)-10)))&lt;0.5,POWER(1.1,1.75-(($A78+5)/($A78+10))*(INDEX('Stat Boosts'!$D$2:$D$192,K$1-9)-10)/((INDEX('Stat Boosts'!$D$2:$D$192,(G78/2+22)-9)-10))-0.5)*0.5,(1.75-(($A78+5)/($A78+10))*(INDEX('Stat Boosts'!$D$2:$D$192,K$1-9)-10)/((INDEX('Stat Boosts'!$D$2:$D$192,(G78/2+22)-9)-10))))</f>
        <v>0.43938901155654192</v>
      </c>
      <c r="L78" s="16">
        <f>IF((1.75-(($A78+5)/($A78+10))*(INDEX('Stat Boosts'!$D$2:$D$192,L$1-9)-10)/((INDEX('Stat Boosts'!$D$2:$D$192,(H78/2+22)-9)-10)))&lt;0.5,POWER(1.1,1.75-(($A78+5)/($A78+10))*(INDEX('Stat Boosts'!$D$2:$D$192,L$1-9)-10)/((INDEX('Stat Boosts'!$D$2:$D$192,(H78/2+22)-9)-10))-0.5)*0.5,(1.75-(($A78+5)/($A78+10))*(INDEX('Stat Boosts'!$D$2:$D$192,L$1-9)-10)/((INDEX('Stat Boosts'!$D$2:$D$192,(H78/2+22)-9)-10))))</f>
        <v>0.42793178574635732</v>
      </c>
      <c r="M78" s="16">
        <f>IF((1.75-(($A78+5)/($A78+10))*(INDEX('Stat Boosts'!$D$2:$D$192,M$1-9)-10)/((INDEX('Stat Boosts'!$D$2:$D$192,(I78/2+22)-9)-10)))&lt;0.5,POWER(1.1,1.75-(($A78+5)/($A78+10))*(INDEX('Stat Boosts'!$D$2:$D$192,M$1-9)-10)/((INDEX('Stat Boosts'!$D$2:$D$192,(I78/2+22)-9)-10))-0.5)*0.5,(1.75-(($A78+5)/($A78+10))*(INDEX('Stat Boosts'!$D$2:$D$192,M$1-9)-10)/((INDEX('Stat Boosts'!$D$2:$D$192,(I78/2+22)-9)-10))))</f>
        <v>0.41239181988513601</v>
      </c>
      <c r="N78" s="16">
        <f>IF((1.75-(($A78+5)/($A78+10))*(INDEX('Stat Boosts'!$D$2:$D$192,N$1-9)-10)/((INDEX('Stat Boosts'!$D$2:$D$192,(J78/2+22)-9)-10)))&lt;0.5,POWER(1.1,1.75-(($A78+5)/($A78+10))*(INDEX('Stat Boosts'!$D$2:$D$192,N$1-9)-10)/((INDEX('Stat Boosts'!$D$2:$D$192,(J78/2+22)-9)-10))-0.5)*0.5,(1.75-(($A78+5)/($A78+10))*(INDEX('Stat Boosts'!$D$2:$D$192,N$1-9)-10)/((INDEX('Stat Boosts'!$D$2:$D$192,(J78/2+22)-9)-10))))</f>
        <v>0.39323818230086166</v>
      </c>
      <c r="O78" s="16">
        <f>IF((1.75-(($A78+5)/($A78+10))*(INDEX('Stat Boosts'!$D$2:$D$192,O$1-9)-10)/((INDEX('Stat Boosts'!$D$2:$D$192,(K78/2+22)-9)-10)))&lt;0.5,POWER(1.1,1.75-(($A78+5)/($A78+10))*(INDEX('Stat Boosts'!$D$2:$D$192,O$1-9)-10)/((INDEX('Stat Boosts'!$D$2:$D$192,(K78/2+22)-9)-10))-0.5)*0.5,(1.75-(($A78+5)/($A78+10))*(INDEX('Stat Boosts'!$D$2:$D$192,O$1-9)-10)/((INDEX('Stat Boosts'!$D$2:$D$192,(K78/2+22)-9)-10))))</f>
        <v>0.38298435588893792</v>
      </c>
      <c r="P78" s="16">
        <f>IF((1.75-(($A78+5)/($A78+10))*(INDEX('Stat Boosts'!$D$2:$D$192,P$1-9)-10)/((INDEX('Stat Boosts'!$D$2:$D$192,(L78/2+22)-9)-10)))&lt;0.5,POWER(1.1,1.75-(($A78+5)/($A78+10))*(INDEX('Stat Boosts'!$D$2:$D$192,P$1-9)-10)/((INDEX('Stat Boosts'!$D$2:$D$192,(L78/2+22)-9)-10))-0.5)*0.5,(1.75-(($A78+5)/($A78+10))*(INDEX('Stat Boosts'!$D$2:$D$192,P$1-9)-10)/((INDEX('Stat Boosts'!$D$2:$D$192,(L78/2+22)-9)-10))))</f>
        <v>0.3671314598982422</v>
      </c>
      <c r="Q78" s="16">
        <f>IF((1.75-(($A78+5)/($A78+10))*(INDEX('Stat Boosts'!$D$2:$D$192,Q$1-9)-10)/((INDEX('Stat Boosts'!$D$2:$D$192,(M78/2+22)-9)-10)))&lt;0.5,POWER(1.1,1.75-(($A78+5)/($A78+10))*(INDEX('Stat Boosts'!$D$2:$D$192,Q$1-9)-10)/((INDEX('Stat Boosts'!$D$2:$D$192,(M78/2+22)-9)-10))-0.5)*0.5,(1.75-(($A78+5)/($A78+10))*(INDEX('Stat Boosts'!$D$2:$D$192,Q$1-9)-10)/((INDEX('Stat Boosts'!$D$2:$D$192,(M78/2+22)-9)-10))))</f>
        <v>0.35193476384738087</v>
      </c>
      <c r="R78" s="16">
        <f>IF((1.75-(($A78+5)/($A78+10))*1.25*(INDEX('Stat Boosts'!$D$2:$D$192,R$1-9)-10)/((INDEX('Stat Boosts'!$D$2:$D$192,(N78/2+22)-9)-10)))&lt;0.5,POWER(1.1,1.75-(($A78+5)/($A78+10))*1.25*(INDEX('Stat Boosts'!$D$2:$D$192,R$1-9)-10)/((INDEX('Stat Boosts'!$D$2:$D$192,(N78/2+22)-9)-10))-0.5)*0.5,(1.75-(($A78+5)/($A78+10))*1.25*(INDEX('Stat Boosts'!$D$2:$D$192,R$1-9)-10)/((INDEX('Stat Boosts'!$D$2:$D$192,(N78/2+22)-9)-10))))</f>
        <v>0.29679098407386795</v>
      </c>
    </row>
    <row r="79" spans="1:18">
      <c r="A79" s="9">
        <v>78</v>
      </c>
      <c r="B79" s="16">
        <f t="shared" si="2"/>
        <v>53.2</v>
      </c>
      <c r="C79" s="16">
        <f t="shared" si="3"/>
        <v>9.2592592592592587E-3</v>
      </c>
      <c r="E79" s="16">
        <f>IF((1.75-(($A79+5)/($A79+10))*(INDEX('Stat Boosts'!$D$2:$D$192,E$1-9)-10)/((INDEX('Stat Boosts'!$D$2:$D$192,(A79/2+22)-9)-10)))&lt;0.5,POWER(1.1,1.75-(($A79+5)/($A79+10))*(INDEX('Stat Boosts'!$D$2:$D$192,E$1-9)-10)/((INDEX('Stat Boosts'!$D$2:$D$192,(A79/2+22)-9)-10))-0.5)*0.5,(1.75-(($A79+5)/($A79+10))*(INDEX('Stat Boosts'!$D$2:$D$192,E$1-9)-10)/((INDEX('Stat Boosts'!$D$2:$D$192,(A79/2+22)-9)-10))))</f>
        <v>1.75</v>
      </c>
      <c r="F79" s="16">
        <f>IF((1.75-(($A79+5)/($A79+10))*(INDEX('Stat Boosts'!$D$2:$D$192,F$1-9)-10)/((INDEX('Stat Boosts'!$D$2:$D$192,(B79/2+22)-9)-10)))&lt;0.5,POWER(1.1,1.75-(($A79+5)/($A79+10))*(INDEX('Stat Boosts'!$D$2:$D$192,F$1-9)-10)/((INDEX('Stat Boosts'!$D$2:$D$192,(B79/2+22)-9)-10))-0.5)*0.5,(1.75-(($A79+5)/($A79+10))*(INDEX('Stat Boosts'!$D$2:$D$192,F$1-9)-10)/((INDEX('Stat Boosts'!$D$2:$D$192,(B79/2+22)-9)-10))))</f>
        <v>1.6179545454545454</v>
      </c>
      <c r="G79" s="16">
        <f>IF((1.75-(($A79+5)/($A79+10))*(INDEX('Stat Boosts'!$D$2:$D$192,G$1-9)-10)/((INDEX('Stat Boosts'!$D$2:$D$192,(C79/2+22)-9)-10)))&lt;0.5,POWER(1.1,1.75-(($A79+5)/($A79+10))*(INDEX('Stat Boosts'!$D$2:$D$192,G$1-9)-10)/((INDEX('Stat Boosts'!$D$2:$D$192,(C79/2+22)-9)-10))-0.5)*0.5,(1.75-(($A79+5)/($A79+10))*(INDEX('Stat Boosts'!$D$2:$D$192,G$1-9)-10)/((INDEX('Stat Boosts'!$D$2:$D$192,(C79/2+22)-9)-10))))</f>
        <v>0.9732620320855615</v>
      </c>
      <c r="H79" s="16">
        <f>IF((1.75-(($A79+5)/($A79+10))*(INDEX('Stat Boosts'!$D$2:$D$192,H$1-9)-10)/((INDEX('Stat Boosts'!$D$2:$D$192,(D79/2+22)-9)-10)))&lt;0.5,POWER(1.1,1.75-(($A79+5)/($A79+10))*(INDEX('Stat Boosts'!$D$2:$D$192,H$1-9)-10)/((INDEX('Stat Boosts'!$D$2:$D$192,(D79/2+22)-9)-10))-0.5)*0.5,(1.75-(($A79+5)/($A79+10))*(INDEX('Stat Boosts'!$D$2:$D$192,H$1-9)-10)/((INDEX('Stat Boosts'!$D$2:$D$192,(D79/2+22)-9)-10))))</f>
        <v>0.58489304812834209</v>
      </c>
      <c r="I79" s="16">
        <f>IF((1.75-(($A79+5)/($A79+10))*(INDEX('Stat Boosts'!$D$2:$D$192,I$1-9)-10)/((INDEX('Stat Boosts'!$D$2:$D$192,(E79/2+22)-9)-10)))&lt;0.5,POWER(1.1,1.75-(($A79+5)/($A79+10))*(INDEX('Stat Boosts'!$D$2:$D$192,I$1-9)-10)/((INDEX('Stat Boosts'!$D$2:$D$192,(E79/2+22)-9)-10))-0.5)*0.5,(1.75-(($A79+5)/($A79+10))*(INDEX('Stat Boosts'!$D$2:$D$192,I$1-9)-10)/((INDEX('Stat Boosts'!$D$2:$D$192,(E79/2+22)-9)-10))))</f>
        <v>0.488320368610829</v>
      </c>
      <c r="J79" s="16">
        <f>IF((1.75-(($A79+5)/($A79+10))*(INDEX('Stat Boosts'!$D$2:$D$192,J$1-9)-10)/((INDEX('Stat Boosts'!$D$2:$D$192,(F79/2+22)-9)-10)))&lt;0.5,POWER(1.1,1.75-(($A79+5)/($A79+10))*(INDEX('Stat Boosts'!$D$2:$D$192,J$1-9)-10)/((INDEX('Stat Boosts'!$D$2:$D$192,(F79/2+22)-9)-10))-0.5)*0.5,(1.75-(($A79+5)/($A79+10))*(INDEX('Stat Boosts'!$D$2:$D$192,J$1-9)-10)/((INDEX('Stat Boosts'!$D$2:$D$192,(F79/2+22)-9)-10))))</f>
        <v>0.47307034431589512</v>
      </c>
      <c r="K79" s="16">
        <f>IF((1.75-(($A79+5)/($A79+10))*(INDEX('Stat Boosts'!$D$2:$D$192,K$1-9)-10)/((INDEX('Stat Boosts'!$D$2:$D$192,(G79/2+22)-9)-10)))&lt;0.5,POWER(1.1,1.75-(($A79+5)/($A79+10))*(INDEX('Stat Boosts'!$D$2:$D$192,K$1-9)-10)/((INDEX('Stat Boosts'!$D$2:$D$192,(G79/2+22)-9)-10))-0.5)*0.5,(1.75-(($A79+5)/($A79+10))*(INDEX('Stat Boosts'!$D$2:$D$192,K$1-9)-10)/((INDEX('Stat Boosts'!$D$2:$D$192,(G79/2+22)-9)-10))))</f>
        <v>0.43931340349071502</v>
      </c>
      <c r="L79" s="16">
        <f>IF((1.75-(($A79+5)/($A79+10))*(INDEX('Stat Boosts'!$D$2:$D$192,L$1-9)-10)/((INDEX('Stat Boosts'!$D$2:$D$192,(H79/2+22)-9)-10)))&lt;0.5,POWER(1.1,1.75-(($A79+5)/($A79+10))*(INDEX('Stat Boosts'!$D$2:$D$192,L$1-9)-10)/((INDEX('Stat Boosts'!$D$2:$D$192,(H79/2+22)-9)-10))-0.5)*0.5,(1.75-(($A79+5)/($A79+10))*(INDEX('Stat Boosts'!$D$2:$D$192,L$1-9)-10)/((INDEX('Stat Boosts'!$D$2:$D$192,(H79/2+22)-9)-10))))</f>
        <v>0.42785031625722186</v>
      </c>
      <c r="M79" s="16">
        <f>IF((1.75-(($A79+5)/($A79+10))*(INDEX('Stat Boosts'!$D$2:$D$192,M$1-9)-10)/((INDEX('Stat Boosts'!$D$2:$D$192,(I79/2+22)-9)-10)))&lt;0.5,POWER(1.1,1.75-(($A79+5)/($A79+10))*(INDEX('Stat Boosts'!$D$2:$D$192,M$1-9)-10)/((INDEX('Stat Boosts'!$D$2:$D$192,(I79/2+22)-9)-10))-0.5)*0.5,(1.75-(($A79+5)/($A79+10))*(INDEX('Stat Boosts'!$D$2:$D$192,M$1-9)-10)/((INDEX('Stat Boosts'!$D$2:$D$192,(I79/2+22)-9)-10))))</f>
        <v>0.4123027412422926</v>
      </c>
      <c r="N79" s="16">
        <f>IF((1.75-(($A79+5)/($A79+10))*(INDEX('Stat Boosts'!$D$2:$D$192,N$1-9)-10)/((INDEX('Stat Boosts'!$D$2:$D$192,(J79/2+22)-9)-10)))&lt;0.5,POWER(1.1,1.75-(($A79+5)/($A79+10))*(INDEX('Stat Boosts'!$D$2:$D$192,N$1-9)-10)/((INDEX('Stat Boosts'!$D$2:$D$192,(J79/2+22)-9)-10))-0.5)*0.5,(1.75-(($A79+5)/($A79+10))*(INDEX('Stat Boosts'!$D$2:$D$192,N$1-9)-10)/((INDEX('Stat Boosts'!$D$2:$D$192,(J79/2+22)-9)-10))))</f>
        <v>0.39314028539286405</v>
      </c>
      <c r="O79" s="16">
        <f>IF((1.75-(($A79+5)/($A79+10))*(INDEX('Stat Boosts'!$D$2:$D$192,O$1-9)-10)/((INDEX('Stat Boosts'!$D$2:$D$192,(K79/2+22)-9)-10)))&lt;0.5,POWER(1.1,1.75-(($A79+5)/($A79+10))*(INDEX('Stat Boosts'!$D$2:$D$192,O$1-9)-10)/((INDEX('Stat Boosts'!$D$2:$D$192,(K79/2+22)-9)-10))-0.5)*0.5,(1.75-(($A79+5)/($A79+10))*(INDEX('Stat Boosts'!$D$2:$D$192,O$1-9)-10)/((INDEX('Stat Boosts'!$D$2:$D$192,(K79/2+22)-9)-10))))</f>
        <v>0.38288200201100031</v>
      </c>
      <c r="P79" s="16">
        <f>IF((1.75-(($A79+5)/($A79+10))*(INDEX('Stat Boosts'!$D$2:$D$192,P$1-9)-10)/((INDEX('Stat Boosts'!$D$2:$D$192,(L79/2+22)-9)-10)))&lt;0.5,POWER(1.1,1.75-(($A79+5)/($A79+10))*(INDEX('Stat Boosts'!$D$2:$D$192,P$1-9)-10)/((INDEX('Stat Boosts'!$D$2:$D$192,(L79/2+22)-9)-10))-0.5)*0.5,(1.75-(($A79+5)/($A79+10))*(INDEX('Stat Boosts'!$D$2:$D$192,P$1-9)-10)/((INDEX('Stat Boosts'!$D$2:$D$192,(L79/2+22)-9)-10))))</f>
        <v>0.36702259179235869</v>
      </c>
      <c r="Q79" s="16">
        <f>IF((1.75-(($A79+5)/($A79+10))*(INDEX('Stat Boosts'!$D$2:$D$192,Q$1-9)-10)/((INDEX('Stat Boosts'!$D$2:$D$192,(M79/2+22)-9)-10)))&lt;0.5,POWER(1.1,1.75-(($A79+5)/($A79+10))*(INDEX('Stat Boosts'!$D$2:$D$192,Q$1-9)-10)/((INDEX('Stat Boosts'!$D$2:$D$192,(M79/2+22)-9)-10))-0.5)*0.5,(1.75-(($A79+5)/($A79+10))*(INDEX('Stat Boosts'!$D$2:$D$192,Q$1-9)-10)/((INDEX('Stat Boosts'!$D$2:$D$192,(M79/2+22)-9)-10))))</f>
        <v>0.35182009647481477</v>
      </c>
      <c r="R79" s="16">
        <f>IF((1.75-(($A79+5)/($A79+10))*1.25*(INDEX('Stat Boosts'!$D$2:$D$192,R$1-9)-10)/((INDEX('Stat Boosts'!$D$2:$D$192,(N79/2+22)-9)-10)))&lt;0.5,POWER(1.1,1.75-(($A79+5)/($A79+10))*1.25*(INDEX('Stat Boosts'!$D$2:$D$192,R$1-9)-10)/((INDEX('Stat Boosts'!$D$2:$D$192,(N79/2+22)-9)-10))-0.5)*0.5,(1.75-(($A79+5)/($A79+10))*1.25*(INDEX('Stat Boosts'!$D$2:$D$192,R$1-9)-10)/((INDEX('Stat Boosts'!$D$2:$D$192,(N79/2+22)-9)-10))))</f>
        <v>0.29665925109949093</v>
      </c>
    </row>
    <row r="80" spans="1:18">
      <c r="A80" s="9">
        <v>79</v>
      </c>
      <c r="B80" s="16">
        <f t="shared" si="2"/>
        <v>53.6</v>
      </c>
      <c r="C80" s="16">
        <f t="shared" si="3"/>
        <v>9.1743119266055051E-3</v>
      </c>
      <c r="E80" s="16">
        <f>IF((1.75-(($A80+5)/($A80+10))*(INDEX('Stat Boosts'!$D$2:$D$192,E$1-9)-10)/((INDEX('Stat Boosts'!$D$2:$D$192,(A80/2+22)-9)-10)))&lt;0.5,POWER(1.1,1.75-(($A80+5)/($A80+10))*(INDEX('Stat Boosts'!$D$2:$D$192,E$1-9)-10)/((INDEX('Stat Boosts'!$D$2:$D$192,(A80/2+22)-9)-10))-0.5)*0.5,(1.75-(($A80+5)/($A80+10))*(INDEX('Stat Boosts'!$D$2:$D$192,E$1-9)-10)/((INDEX('Stat Boosts'!$D$2:$D$192,(A80/2+22)-9)-10))))</f>
        <v>1.75</v>
      </c>
      <c r="F80" s="16">
        <f>IF((1.75-(($A80+5)/($A80+10))*(INDEX('Stat Boosts'!$D$2:$D$192,F$1-9)-10)/((INDEX('Stat Boosts'!$D$2:$D$192,(B80/2+22)-9)-10)))&lt;0.5,POWER(1.1,1.75-(($A80+5)/($A80+10))*(INDEX('Stat Boosts'!$D$2:$D$192,F$1-9)-10)/((INDEX('Stat Boosts'!$D$2:$D$192,(B80/2+22)-9)-10))-0.5)*0.5,(1.75-(($A80+5)/($A80+10))*(INDEX('Stat Boosts'!$D$2:$D$192,F$1-9)-10)/((INDEX('Stat Boosts'!$D$2:$D$192,(B80/2+22)-9)-10))))</f>
        <v>1.6178651685393257</v>
      </c>
      <c r="G80" s="16">
        <f>IF((1.75-(($A80+5)/($A80+10))*(INDEX('Stat Boosts'!$D$2:$D$192,G$1-9)-10)/((INDEX('Stat Boosts'!$D$2:$D$192,(C80/2+22)-9)-10)))&lt;0.5,POWER(1.1,1.75-(($A80+5)/($A80+10))*(INDEX('Stat Boosts'!$D$2:$D$192,G$1-9)-10)/((INDEX('Stat Boosts'!$D$2:$D$192,(C80/2+22)-9)-10))-0.5)*0.5,(1.75-(($A80+5)/($A80+10))*(INDEX('Stat Boosts'!$D$2:$D$192,G$1-9)-10)/((INDEX('Stat Boosts'!$D$2:$D$192,(C80/2+22)-9)-10))))</f>
        <v>0.97273628552544611</v>
      </c>
      <c r="H80" s="16">
        <f>IF((1.75-(($A80+5)/($A80+10))*(INDEX('Stat Boosts'!$D$2:$D$192,H$1-9)-10)/((INDEX('Stat Boosts'!$D$2:$D$192,(D80/2+22)-9)-10)))&lt;0.5,POWER(1.1,1.75-(($A80+5)/($A80+10))*(INDEX('Stat Boosts'!$D$2:$D$192,H$1-9)-10)/((INDEX('Stat Boosts'!$D$2:$D$192,(D80/2+22)-9)-10))-0.5)*0.5,(1.75-(($A80+5)/($A80+10))*(INDEX('Stat Boosts'!$D$2:$D$192,H$1-9)-10)/((INDEX('Stat Boosts'!$D$2:$D$192,(D80/2+22)-9)-10))))</f>
        <v>0.58410442828816933</v>
      </c>
      <c r="I80" s="16">
        <f>IF((1.75-(($A80+5)/($A80+10))*(INDEX('Stat Boosts'!$D$2:$D$192,I$1-9)-10)/((INDEX('Stat Boosts'!$D$2:$D$192,(E80/2+22)-9)-10)))&lt;0.5,POWER(1.1,1.75-(($A80+5)/($A80+10))*(INDEX('Stat Boosts'!$D$2:$D$192,I$1-9)-10)/((INDEX('Stat Boosts'!$D$2:$D$192,(E80/2+22)-9)-10))-0.5)*0.5,(1.75-(($A80+5)/($A80+10))*(INDEX('Stat Boosts'!$D$2:$D$192,I$1-9)-10)/((INDEX('Stat Boosts'!$D$2:$D$192,(E80/2+22)-9)-10))))</f>
        <v>0.48827318020429461</v>
      </c>
      <c r="J80" s="16">
        <f>IF((1.75-(($A80+5)/($A80+10))*(INDEX('Stat Boosts'!$D$2:$D$192,J$1-9)-10)/((INDEX('Stat Boosts'!$D$2:$D$192,(F80/2+22)-9)-10)))&lt;0.5,POWER(1.1,1.75-(($A80+5)/($A80+10))*(INDEX('Stat Boosts'!$D$2:$D$192,J$1-9)-10)/((INDEX('Stat Boosts'!$D$2:$D$192,(F80/2+22)-9)-10))-0.5)*0.5,(1.75-(($A80+5)/($A80+10))*(INDEX('Stat Boosts'!$D$2:$D$192,J$1-9)-10)/((INDEX('Stat Boosts'!$D$2:$D$192,(F80/2+22)-9)-10))))</f>
        <v>0.47301447135213115</v>
      </c>
      <c r="K80" s="16">
        <f>IF((1.75-(($A80+5)/($A80+10))*(INDEX('Stat Boosts'!$D$2:$D$192,K$1-9)-10)/((INDEX('Stat Boosts'!$D$2:$D$192,(G80/2+22)-9)-10)))&lt;0.5,POWER(1.1,1.75-(($A80+5)/($A80+10))*(INDEX('Stat Boosts'!$D$2:$D$192,K$1-9)-10)/((INDEX('Stat Boosts'!$D$2:$D$192,(G80/2+22)-9)-10))-0.5)*0.5,(1.75-(($A80+5)/($A80+10))*(INDEX('Stat Boosts'!$D$2:$D$192,K$1-9)-10)/((INDEX('Stat Boosts'!$D$2:$D$192,(G80/2+22)-9)-10))))</f>
        <v>0.43923950705759179</v>
      </c>
      <c r="L80" s="16">
        <f>IF((1.75-(($A80+5)/($A80+10))*(INDEX('Stat Boosts'!$D$2:$D$192,L$1-9)-10)/((INDEX('Stat Boosts'!$D$2:$D$192,(H80/2+22)-9)-10)))&lt;0.5,POWER(1.1,1.75-(($A80+5)/($A80+10))*(INDEX('Stat Boosts'!$D$2:$D$192,L$1-9)-10)/((INDEX('Stat Boosts'!$D$2:$D$192,(H80/2+22)-9)-10))-0.5)*0.5,(1.75-(($A80+5)/($A80+10))*(INDEX('Stat Boosts'!$D$2:$D$192,L$1-9)-10)/((INDEX('Stat Boosts'!$D$2:$D$192,(H80/2+22)-9)-10))))</f>
        <v>0.42777069253437744</v>
      </c>
      <c r="M80" s="16">
        <f>IF((1.75-(($A80+5)/($A80+10))*(INDEX('Stat Boosts'!$D$2:$D$192,M$1-9)-10)/((INDEX('Stat Boosts'!$D$2:$D$192,(I80/2+22)-9)-10)))&lt;0.5,POWER(1.1,1.75-(($A80+5)/($A80+10))*(INDEX('Stat Boosts'!$D$2:$D$192,M$1-9)-10)/((INDEX('Stat Boosts'!$D$2:$D$192,(I80/2+22)-9)-10))-0.5)*0.5,(1.75-(($A80+5)/($A80+10))*(INDEX('Stat Boosts'!$D$2:$D$192,M$1-9)-10)/((INDEX('Stat Boosts'!$D$2:$D$192,(I80/2+22)-9)-10))))</f>
        <v>0.41221568296442623</v>
      </c>
      <c r="N80" s="16">
        <f>IF((1.75-(($A80+5)/($A80+10))*(INDEX('Stat Boosts'!$D$2:$D$192,N$1-9)-10)/((INDEX('Stat Boosts'!$D$2:$D$192,(J80/2+22)-9)-10)))&lt;0.5,POWER(1.1,1.75-(($A80+5)/($A80+10))*(INDEX('Stat Boosts'!$D$2:$D$192,N$1-9)-10)/((INDEX('Stat Boosts'!$D$2:$D$192,(J80/2+22)-9)-10))-0.5)*0.5,(1.75-(($A80+5)/($A80+10))*(INDEX('Stat Boosts'!$D$2:$D$192,N$1-9)-10)/((INDEX('Stat Boosts'!$D$2:$D$192,(J80/2+22)-9)-10))))</f>
        <v>0.39304461197157015</v>
      </c>
      <c r="O80" s="16">
        <f>IF((1.75-(($A80+5)/($A80+10))*(INDEX('Stat Boosts'!$D$2:$D$192,O$1-9)-10)/((INDEX('Stat Boosts'!$D$2:$D$192,(K80/2+22)-9)-10)))&lt;0.5,POWER(1.1,1.75-(($A80+5)/($A80+10))*(INDEX('Stat Boosts'!$D$2:$D$192,O$1-9)-10)/((INDEX('Stat Boosts'!$D$2:$D$192,(K80/2+22)-9)-10))-0.5)*0.5,(1.75-(($A80+5)/($A80+10))*(INDEX('Stat Boosts'!$D$2:$D$192,O$1-9)-10)/((INDEX('Stat Boosts'!$D$2:$D$192,(K80/2+22)-9)-10))))</f>
        <v>0.38278197465953157</v>
      </c>
      <c r="P80" s="16">
        <f>IF((1.75-(($A80+5)/($A80+10))*(INDEX('Stat Boosts'!$D$2:$D$192,P$1-9)-10)/((INDEX('Stat Boosts'!$D$2:$D$192,(L80/2+22)-9)-10)))&lt;0.5,POWER(1.1,1.75-(($A80+5)/($A80+10))*(INDEX('Stat Boosts'!$D$2:$D$192,P$1-9)-10)/((INDEX('Stat Boosts'!$D$2:$D$192,(L80/2+22)-9)-10))-0.5)*0.5,(1.75-(($A80+5)/($A80+10))*(INDEX('Stat Boosts'!$D$2:$D$192,P$1-9)-10)/((INDEX('Stat Boosts'!$D$2:$D$192,(L80/2+22)-9)-10))))</f>
        <v>0.36691620136421427</v>
      </c>
      <c r="Q80" s="16">
        <f>IF((1.75-(($A80+5)/($A80+10))*(INDEX('Stat Boosts'!$D$2:$D$192,Q$1-9)-10)/((INDEX('Stat Boosts'!$D$2:$D$192,(M80/2+22)-9)-10)))&lt;0.5,POWER(1.1,1.75-(($A80+5)/($A80+10))*(INDEX('Stat Boosts'!$D$2:$D$192,Q$1-9)-10)/((INDEX('Stat Boosts'!$D$2:$D$192,(M80/2+22)-9)-10))-0.5)*0.5,(1.75-(($A80+5)/($A80+10))*(INDEX('Stat Boosts'!$D$2:$D$192,Q$1-9)-10)/((INDEX('Stat Boosts'!$D$2:$D$192,(M80/2+22)-9)-10))))</f>
        <v>0.35170804200822187</v>
      </c>
      <c r="R80" s="16">
        <f>IF((1.75-(($A80+5)/($A80+10))*1.25*(INDEX('Stat Boosts'!$D$2:$D$192,R$1-9)-10)/((INDEX('Stat Boosts'!$D$2:$D$192,(N80/2+22)-9)-10)))&lt;0.5,POWER(1.1,1.75-(($A80+5)/($A80+10))*1.25*(INDEX('Stat Boosts'!$D$2:$D$192,R$1-9)-10)/((INDEX('Stat Boosts'!$D$2:$D$192,(N80/2+22)-9)-10))-0.5)*0.5,(1.75-(($A80+5)/($A80+10))*1.25*(INDEX('Stat Boosts'!$D$2:$D$192,R$1-9)-10)/((INDEX('Stat Boosts'!$D$2:$D$192,(N80/2+22)-9)-10))))</f>
        <v>0.29653053493140169</v>
      </c>
    </row>
    <row r="81" spans="1:18">
      <c r="A81" s="9">
        <v>80</v>
      </c>
      <c r="B81" s="16">
        <f t="shared" si="2"/>
        <v>54</v>
      </c>
      <c r="C81" s="16">
        <f t="shared" si="3"/>
        <v>9.0909090909090922E-3</v>
      </c>
      <c r="E81" s="16">
        <f>IF((1.75-(($A81+5)/($A81+10))*(INDEX('Stat Boosts'!$D$2:$D$192,E$1-9)-10)/((INDEX('Stat Boosts'!$D$2:$D$192,(A81/2+22)-9)-10)))&lt;0.5,POWER(1.1,1.75-(($A81+5)/($A81+10))*(INDEX('Stat Boosts'!$D$2:$D$192,E$1-9)-10)/((INDEX('Stat Boosts'!$D$2:$D$192,(A81/2+22)-9)-10))-0.5)*0.5,(1.75-(($A81+5)/($A81+10))*(INDEX('Stat Boosts'!$D$2:$D$192,E$1-9)-10)/((INDEX('Stat Boosts'!$D$2:$D$192,(A81/2+22)-9)-10))))</f>
        <v>1.75</v>
      </c>
      <c r="F81" s="16">
        <f>IF((1.75-(($A81+5)/($A81+10))*(INDEX('Stat Boosts'!$D$2:$D$192,F$1-9)-10)/((INDEX('Stat Boosts'!$D$2:$D$192,(B81/2+22)-9)-10)))&lt;0.5,POWER(1.1,1.75-(($A81+5)/($A81+10))*(INDEX('Stat Boosts'!$D$2:$D$192,F$1-9)-10)/((INDEX('Stat Boosts'!$D$2:$D$192,(B81/2+22)-9)-10))-0.5)*0.5,(1.75-(($A81+5)/($A81+10))*(INDEX('Stat Boosts'!$D$2:$D$192,F$1-9)-10)/((INDEX('Stat Boosts'!$D$2:$D$192,(B81/2+22)-9)-10))))</f>
        <v>1.6203703703703705</v>
      </c>
      <c r="G81" s="16">
        <f>IF((1.75-(($A81+5)/($A81+10))*(INDEX('Stat Boosts'!$D$2:$D$192,G$1-9)-10)/((INDEX('Stat Boosts'!$D$2:$D$192,(C81/2+22)-9)-10)))&lt;0.5,POWER(1.1,1.75-(($A81+5)/($A81+10))*(INDEX('Stat Boosts'!$D$2:$D$192,G$1-9)-10)/((INDEX('Stat Boosts'!$D$2:$D$192,(C81/2+22)-9)-10))-0.5)*0.5,(1.75-(($A81+5)/($A81+10))*(INDEX('Stat Boosts'!$D$2:$D$192,G$1-9)-10)/((INDEX('Stat Boosts'!$D$2:$D$192,(C81/2+22)-9)-10))))</f>
        <v>0.97222222222222232</v>
      </c>
      <c r="H81" s="16">
        <f>IF((1.75-(($A81+5)/($A81+10))*(INDEX('Stat Boosts'!$D$2:$D$192,H$1-9)-10)/((INDEX('Stat Boosts'!$D$2:$D$192,(D81/2+22)-9)-10)))&lt;0.5,POWER(1.1,1.75-(($A81+5)/($A81+10))*(INDEX('Stat Boosts'!$D$2:$D$192,H$1-9)-10)/((INDEX('Stat Boosts'!$D$2:$D$192,(D81/2+22)-9)-10))-0.5)*0.5,(1.75-(($A81+5)/($A81+10))*(INDEX('Stat Boosts'!$D$2:$D$192,H$1-9)-10)/((INDEX('Stat Boosts'!$D$2:$D$192,(D81/2+22)-9)-10))))</f>
        <v>0.58333333333333348</v>
      </c>
      <c r="I81" s="16">
        <f>IF((1.75-(($A81+5)/($A81+10))*(INDEX('Stat Boosts'!$D$2:$D$192,I$1-9)-10)/((INDEX('Stat Boosts'!$D$2:$D$192,(E81/2+22)-9)-10)))&lt;0.5,POWER(1.1,1.75-(($A81+5)/($A81+10))*(INDEX('Stat Boosts'!$D$2:$D$192,I$1-9)-10)/((INDEX('Stat Boosts'!$D$2:$D$192,(E81/2+22)-9)-10))-0.5)*0.5,(1.75-(($A81+5)/($A81+10))*(INDEX('Stat Boosts'!$D$2:$D$192,I$1-9)-10)/((INDEX('Stat Boosts'!$D$2:$D$192,(E81/2+22)-9)-10))))</f>
        <v>0.48822704483815527</v>
      </c>
      <c r="J81" s="16">
        <f>IF((1.75-(($A81+5)/($A81+10))*(INDEX('Stat Boosts'!$D$2:$D$192,J$1-9)-10)/((INDEX('Stat Boosts'!$D$2:$D$192,(F81/2+22)-9)-10)))&lt;0.5,POWER(1.1,1.75-(($A81+5)/($A81+10))*(INDEX('Stat Boosts'!$D$2:$D$192,J$1-9)-10)/((INDEX('Stat Boosts'!$D$2:$D$192,(F81/2+22)-9)-10))-0.5)*0.5,(1.75-(($A81+5)/($A81+10))*(INDEX('Stat Boosts'!$D$2:$D$192,J$1-9)-10)/((INDEX('Stat Boosts'!$D$2:$D$192,(F81/2+22)-9)-10))))</f>
        <v>0.47295984639044603</v>
      </c>
      <c r="K81" s="16">
        <f>IF((1.75-(($A81+5)/($A81+10))*(INDEX('Stat Boosts'!$D$2:$D$192,K$1-9)-10)/((INDEX('Stat Boosts'!$D$2:$D$192,(G81/2+22)-9)-10)))&lt;0.5,POWER(1.1,1.75-(($A81+5)/($A81+10))*(INDEX('Stat Boosts'!$D$2:$D$192,K$1-9)-10)/((INDEX('Stat Boosts'!$D$2:$D$192,(G81/2+22)-9)-10))-0.5)*0.5,(1.75-(($A81+5)/($A81+10))*(INDEX('Stat Boosts'!$D$2:$D$192,K$1-9)-10)/((INDEX('Stat Boosts'!$D$2:$D$192,(G81/2+22)-9)-10))))</f>
        <v>0.43916726478621559</v>
      </c>
      <c r="L81" s="16">
        <f>IF((1.75-(($A81+5)/($A81+10))*(INDEX('Stat Boosts'!$D$2:$D$192,L$1-9)-10)/((INDEX('Stat Boosts'!$D$2:$D$192,(H81/2+22)-9)-10)))&lt;0.5,POWER(1.1,1.75-(($A81+5)/($A81+10))*(INDEX('Stat Boosts'!$D$2:$D$192,L$1-9)-10)/((INDEX('Stat Boosts'!$D$2:$D$192,(H81/2+22)-9)-10))-0.5)*0.5,(1.75-(($A81+5)/($A81+10))*(INDEX('Stat Boosts'!$D$2:$D$192,L$1-9)-10)/((INDEX('Stat Boosts'!$D$2:$D$192,(H81/2+22)-9)-10))))</f>
        <v>0.4276928525554573</v>
      </c>
      <c r="M81" s="16">
        <f>IF((1.75-(($A81+5)/($A81+10))*(INDEX('Stat Boosts'!$D$2:$D$192,M$1-9)-10)/((INDEX('Stat Boosts'!$D$2:$D$192,(I81/2+22)-9)-10)))&lt;0.5,POWER(1.1,1.75-(($A81+5)/($A81+10))*(INDEX('Stat Boosts'!$D$2:$D$192,M$1-9)-10)/((INDEX('Stat Boosts'!$D$2:$D$192,(I81/2+22)-9)-10))-0.5)*0.5,(1.75-(($A81+5)/($A81+10))*(INDEX('Stat Boosts'!$D$2:$D$192,M$1-9)-10)/((INDEX('Stat Boosts'!$D$2:$D$192,(I81/2+22)-9)-10))))</f>
        <v>0.41213057708924694</v>
      </c>
      <c r="N81" s="16">
        <f>IF((1.75-(($A81+5)/($A81+10))*(INDEX('Stat Boosts'!$D$2:$D$192,N$1-9)-10)/((INDEX('Stat Boosts'!$D$2:$D$192,(J81/2+22)-9)-10)))&lt;0.5,POWER(1.1,1.75-(($A81+5)/($A81+10))*(INDEX('Stat Boosts'!$D$2:$D$192,N$1-9)-10)/((INDEX('Stat Boosts'!$D$2:$D$192,(J81/2+22)-9)-10))-0.5)*0.5,(1.75-(($A81+5)/($A81+10))*(INDEX('Stat Boosts'!$D$2:$D$192,N$1-9)-10)/((INDEX('Stat Boosts'!$D$2:$D$192,(J81/2+22)-9)-10))))</f>
        <v>0.39295108713879356</v>
      </c>
      <c r="O81" s="16">
        <f>IF((1.75-(($A81+5)/($A81+10))*(INDEX('Stat Boosts'!$D$2:$D$192,O$1-9)-10)/((INDEX('Stat Boosts'!$D$2:$D$192,(K81/2+22)-9)-10)))&lt;0.5,POWER(1.1,1.75-(($A81+5)/($A81+10))*(INDEX('Stat Boosts'!$D$2:$D$192,O$1-9)-10)/((INDEX('Stat Boosts'!$D$2:$D$192,(K81/2+22)-9)-10))-0.5)*0.5,(1.75-(($A81+5)/($A81+10))*(INDEX('Stat Boosts'!$D$2:$D$192,O$1-9)-10)/((INDEX('Stat Boosts'!$D$2:$D$192,(K81/2+22)-9)-10))))</f>
        <v>0.3826841954055264</v>
      </c>
      <c r="P81" s="16">
        <f>IF((1.75-(($A81+5)/($A81+10))*(INDEX('Stat Boosts'!$D$2:$D$192,P$1-9)-10)/((INDEX('Stat Boosts'!$D$2:$D$192,(L81/2+22)-9)-10)))&lt;0.5,POWER(1.1,1.75-(($A81+5)/($A81+10))*(INDEX('Stat Boosts'!$D$2:$D$192,P$1-9)-10)/((INDEX('Stat Boosts'!$D$2:$D$192,(L81/2+22)-9)-10))-0.5)*0.5,(1.75-(($A81+5)/($A81+10))*(INDEX('Stat Boosts'!$D$2:$D$192,P$1-9)-10)/((INDEX('Stat Boosts'!$D$2:$D$192,(L81/2+22)-9)-10))))</f>
        <v>0.36681220498734418</v>
      </c>
      <c r="Q81" s="16">
        <f>IF((1.75-(($A81+5)/($A81+10))*(INDEX('Stat Boosts'!$D$2:$D$192,Q$1-9)-10)/((INDEX('Stat Boosts'!$D$2:$D$192,(M81/2+22)-9)-10)))&lt;0.5,POWER(1.1,1.75-(($A81+5)/($A81+10))*(INDEX('Stat Boosts'!$D$2:$D$192,Q$1-9)-10)/((INDEX('Stat Boosts'!$D$2:$D$192,(M81/2+22)-9)-10))-0.5)*0.5,(1.75-(($A81+5)/($A81+10))*(INDEX('Stat Boosts'!$D$2:$D$192,Q$1-9)-10)/((INDEX('Stat Boosts'!$D$2:$D$192,(M81/2+22)-9)-10))))</f>
        <v>0.35159851214941074</v>
      </c>
      <c r="R81" s="16">
        <f>IF((1.75-(($A81+5)/($A81+10))*1.25*(INDEX('Stat Boosts'!$D$2:$D$192,R$1-9)-10)/((INDEX('Stat Boosts'!$D$2:$D$192,(N81/2+22)-9)-10)))&lt;0.5,POWER(1.1,1.75-(($A81+5)/($A81+10))*1.25*(INDEX('Stat Boosts'!$D$2:$D$192,R$1-9)-10)/((INDEX('Stat Boosts'!$D$2:$D$192,(N81/2+22)-9)-10))-0.5)*0.5,(1.75-(($A81+5)/($A81+10))*1.25*(INDEX('Stat Boosts'!$D$2:$D$192,R$1-9)-10)/((INDEX('Stat Boosts'!$D$2:$D$192,(N81/2+22)-9)-10))))</f>
        <v>0.29640473312305154</v>
      </c>
    </row>
    <row r="82" spans="1:18">
      <c r="A82" s="9">
        <v>81</v>
      </c>
      <c r="B82" s="16">
        <f t="shared" si="2"/>
        <v>54.4</v>
      </c>
      <c r="C82" s="16">
        <f t="shared" si="3"/>
        <v>9.0090090090090089E-3</v>
      </c>
      <c r="E82" s="16">
        <f>IF((1.75-(($A82+5)/($A82+10))*(INDEX('Stat Boosts'!$D$2:$D$192,E$1-9)-10)/((INDEX('Stat Boosts'!$D$2:$D$192,(A82/2+22)-9)-10)))&lt;0.5,POWER(1.1,1.75-(($A82+5)/($A82+10))*(INDEX('Stat Boosts'!$D$2:$D$192,E$1-9)-10)/((INDEX('Stat Boosts'!$D$2:$D$192,(A82/2+22)-9)-10))-0.5)*0.5,(1.75-(($A82+5)/($A82+10))*(INDEX('Stat Boosts'!$D$2:$D$192,E$1-9)-10)/((INDEX('Stat Boosts'!$D$2:$D$192,(A82/2+22)-9)-10))))</f>
        <v>1.75</v>
      </c>
      <c r="F82" s="16">
        <f>IF((1.75-(($A82+5)/($A82+10))*(INDEX('Stat Boosts'!$D$2:$D$192,F$1-9)-10)/((INDEX('Stat Boosts'!$D$2:$D$192,(B82/2+22)-9)-10)))&lt;0.5,POWER(1.1,1.75-(($A82+5)/($A82+10))*(INDEX('Stat Boosts'!$D$2:$D$192,F$1-9)-10)/((INDEX('Stat Boosts'!$D$2:$D$192,(B82/2+22)-9)-10))-0.5)*0.5,(1.75-(($A82+5)/($A82+10))*(INDEX('Stat Boosts'!$D$2:$D$192,F$1-9)-10)/((INDEX('Stat Boosts'!$D$2:$D$192,(B82/2+22)-9)-10))))</f>
        <v>1.6202865761689291</v>
      </c>
      <c r="G82" s="16">
        <f>IF((1.75-(($A82+5)/($A82+10))*(INDEX('Stat Boosts'!$D$2:$D$192,G$1-9)-10)/((INDEX('Stat Boosts'!$D$2:$D$192,(C82/2+22)-9)-10)))&lt;0.5,POWER(1.1,1.75-(($A82+5)/($A82+10))*(INDEX('Stat Boosts'!$D$2:$D$192,G$1-9)-10)/((INDEX('Stat Boosts'!$D$2:$D$192,(C82/2+22)-9)-10))-0.5)*0.5,(1.75-(($A82+5)/($A82+10))*(INDEX('Stat Boosts'!$D$2:$D$192,G$1-9)-10)/((INDEX('Stat Boosts'!$D$2:$D$192,(C82/2+22)-9)-10))))</f>
        <v>0.97171945701357476</v>
      </c>
      <c r="H82" s="16">
        <f>IF((1.75-(($A82+5)/($A82+10))*(INDEX('Stat Boosts'!$D$2:$D$192,H$1-9)-10)/((INDEX('Stat Boosts'!$D$2:$D$192,(D82/2+22)-9)-10)))&lt;0.5,POWER(1.1,1.75-(($A82+5)/($A82+10))*(INDEX('Stat Boosts'!$D$2:$D$192,H$1-9)-10)/((INDEX('Stat Boosts'!$D$2:$D$192,(D82/2+22)-9)-10))-0.5)*0.5,(1.75-(($A82+5)/($A82+10))*(INDEX('Stat Boosts'!$D$2:$D$192,H$1-9)-10)/((INDEX('Stat Boosts'!$D$2:$D$192,(D82/2+22)-9)-10))))</f>
        <v>0.58257918552036192</v>
      </c>
      <c r="I82" s="16">
        <f>IF((1.75-(($A82+5)/($A82+10))*(INDEX('Stat Boosts'!$D$2:$D$192,I$1-9)-10)/((INDEX('Stat Boosts'!$D$2:$D$192,(E82/2+22)-9)-10)))&lt;0.5,POWER(1.1,1.75-(($A82+5)/($A82+10))*(INDEX('Stat Boosts'!$D$2:$D$192,I$1-9)-10)/((INDEX('Stat Boosts'!$D$2:$D$192,(E82/2+22)-9)-10))-0.5)*0.5,(1.75-(($A82+5)/($A82+10))*(INDEX('Stat Boosts'!$D$2:$D$192,I$1-9)-10)/((INDEX('Stat Boosts'!$D$2:$D$192,(E82/2+22)-9)-10))))</f>
        <v>0.48818192765263602</v>
      </c>
      <c r="J82" s="16">
        <f>IF((1.75-(($A82+5)/($A82+10))*(INDEX('Stat Boosts'!$D$2:$D$192,J$1-9)-10)/((INDEX('Stat Boosts'!$D$2:$D$192,(F82/2+22)-9)-10)))&lt;0.5,POWER(1.1,1.75-(($A82+5)/($A82+10))*(INDEX('Stat Boosts'!$D$2:$D$192,J$1-9)-10)/((INDEX('Stat Boosts'!$D$2:$D$192,(F82/2+22)-9)-10))-0.5)*0.5,(1.75-(($A82+5)/($A82+10))*(INDEX('Stat Boosts'!$D$2:$D$192,J$1-9)-10)/((INDEX('Stat Boosts'!$D$2:$D$192,(F82/2+22)-9)-10))))</f>
        <v>0.47290642807916922</v>
      </c>
      <c r="K82" s="16">
        <f>IF((1.75-(($A82+5)/($A82+10))*(INDEX('Stat Boosts'!$D$2:$D$192,K$1-9)-10)/((INDEX('Stat Boosts'!$D$2:$D$192,(G82/2+22)-9)-10)))&lt;0.5,POWER(1.1,1.75-(($A82+5)/($A82+10))*(INDEX('Stat Boosts'!$D$2:$D$192,K$1-9)-10)/((INDEX('Stat Boosts'!$D$2:$D$192,(G82/2+22)-9)-10))-0.5)*0.5,(1.75-(($A82+5)/($A82+10))*(INDEX('Stat Boosts'!$D$2:$D$192,K$1-9)-10)/((INDEX('Stat Boosts'!$D$2:$D$192,(G82/2+22)-9)-10))))</f>
        <v>0.43909662175002084</v>
      </c>
      <c r="L82" s="16">
        <f>IF((1.75-(($A82+5)/($A82+10))*(INDEX('Stat Boosts'!$D$2:$D$192,L$1-9)-10)/((INDEX('Stat Boosts'!$D$2:$D$192,(H82/2+22)-9)-10)))&lt;0.5,POWER(1.1,1.75-(($A82+5)/($A82+10))*(INDEX('Stat Boosts'!$D$2:$D$192,L$1-9)-10)/((INDEX('Stat Boosts'!$D$2:$D$192,(H82/2+22)-9)-10))-0.5)*0.5,(1.75-(($A82+5)/($A82+10))*(INDEX('Stat Boosts'!$D$2:$D$192,L$1-9)-10)/((INDEX('Stat Boosts'!$D$2:$D$192,(H82/2+22)-9)-10))))</f>
        <v>0.42761673704606601</v>
      </c>
      <c r="M82" s="16">
        <f>IF((1.75-(($A82+5)/($A82+10))*(INDEX('Stat Boosts'!$D$2:$D$192,M$1-9)-10)/((INDEX('Stat Boosts'!$D$2:$D$192,(I82/2+22)-9)-10)))&lt;0.5,POWER(1.1,1.75-(($A82+5)/($A82+10))*(INDEX('Stat Boosts'!$D$2:$D$192,M$1-9)-10)/((INDEX('Stat Boosts'!$D$2:$D$192,(I82/2+22)-9)-10))-0.5)*0.5,(1.75-(($A82+5)/($A82+10))*(INDEX('Stat Boosts'!$D$2:$D$192,M$1-9)-10)/((INDEX('Stat Boosts'!$D$2:$D$192,(I82/2+22)-9)-10))))</f>
        <v>0.41204735866879383</v>
      </c>
      <c r="N82" s="16">
        <f>IF((1.75-(($A82+5)/($A82+10))*(INDEX('Stat Boosts'!$D$2:$D$192,N$1-9)-10)/((INDEX('Stat Boosts'!$D$2:$D$192,(J82/2+22)-9)-10)))&lt;0.5,POWER(1.1,1.75-(($A82+5)/($A82+10))*(INDEX('Stat Boosts'!$D$2:$D$192,N$1-9)-10)/((INDEX('Stat Boosts'!$D$2:$D$192,(J82/2+22)-9)-10))-0.5)*0.5,(1.75-(($A82+5)/($A82+10))*(INDEX('Stat Boosts'!$D$2:$D$192,N$1-9)-10)/((INDEX('Stat Boosts'!$D$2:$D$192,(J82/2+22)-9)-10))))</f>
        <v>0.39285963932280688</v>
      </c>
      <c r="O82" s="16">
        <f>IF((1.75-(($A82+5)/($A82+10))*(INDEX('Stat Boosts'!$D$2:$D$192,O$1-9)-10)/((INDEX('Stat Boosts'!$D$2:$D$192,(K82/2+22)-9)-10)))&lt;0.5,POWER(1.1,1.75-(($A82+5)/($A82+10))*(INDEX('Stat Boosts'!$D$2:$D$192,O$1-9)-10)/((INDEX('Stat Boosts'!$D$2:$D$192,(K82/2+22)-9)-10))-0.5)*0.5,(1.75-(($A82+5)/($A82+10))*(INDEX('Stat Boosts'!$D$2:$D$192,O$1-9)-10)/((INDEX('Stat Boosts'!$D$2:$D$192,(K82/2+22)-9)-10))))</f>
        <v>0.38258858930586859</v>
      </c>
      <c r="P82" s="16">
        <f>IF((1.75-(($A82+5)/($A82+10))*(INDEX('Stat Boosts'!$D$2:$D$192,P$1-9)-10)/((INDEX('Stat Boosts'!$D$2:$D$192,(L82/2+22)-9)-10)))&lt;0.5,POWER(1.1,1.75-(($A82+5)/($A82+10))*(INDEX('Stat Boosts'!$D$2:$D$192,P$1-9)-10)/((INDEX('Stat Boosts'!$D$2:$D$192,(L82/2+22)-9)-10))-0.5)*0.5,(1.75-(($A82+5)/($A82+10))*(INDEX('Stat Boosts'!$D$2:$D$192,P$1-9)-10)/((INDEX('Stat Boosts'!$D$2:$D$192,(L82/2+22)-9)-10))))</f>
        <v>0.36671052275663701</v>
      </c>
      <c r="Q82" s="16">
        <f>IF((1.75-(($A82+5)/($A82+10))*(INDEX('Stat Boosts'!$D$2:$D$192,Q$1-9)-10)/((INDEX('Stat Boosts'!$D$2:$D$192,(M82/2+22)-9)-10)))&lt;0.5,POWER(1.1,1.75-(($A82+5)/($A82+10))*(INDEX('Stat Boosts'!$D$2:$D$192,Q$1-9)-10)/((INDEX('Stat Boosts'!$D$2:$D$192,(M82/2+22)-9)-10))-0.5)*0.5,(1.75-(($A82+5)/($A82+10))*(INDEX('Stat Boosts'!$D$2:$D$192,Q$1-9)-10)/((INDEX('Stat Boosts'!$D$2:$D$192,(M82/2+22)-9)-10))))</f>
        <v>0.35149142253413057</v>
      </c>
      <c r="R82" s="16">
        <f>IF((1.75-(($A82+5)/($A82+10))*1.25*(INDEX('Stat Boosts'!$D$2:$D$192,R$1-9)-10)/((INDEX('Stat Boosts'!$D$2:$D$192,(N82/2+22)-9)-10)))&lt;0.5,POWER(1.1,1.75-(($A82+5)/($A82+10))*1.25*(INDEX('Stat Boosts'!$D$2:$D$192,R$1-9)-10)/((INDEX('Stat Boosts'!$D$2:$D$192,(N82/2+22)-9)-10))-0.5)*0.5,(1.75-(($A82+5)/($A82+10))*1.25*(INDEX('Stat Boosts'!$D$2:$D$192,R$1-9)-10)/((INDEX('Stat Boosts'!$D$2:$D$192,(N82/2+22)-9)-10))))</f>
        <v>0.29628174781405897</v>
      </c>
    </row>
    <row r="83" spans="1:18">
      <c r="A83" s="9">
        <v>82</v>
      </c>
      <c r="B83" s="16">
        <f t="shared" si="2"/>
        <v>54.8</v>
      </c>
      <c r="C83" s="16">
        <f t="shared" si="3"/>
        <v>8.9285714285714298E-3</v>
      </c>
      <c r="E83" s="16">
        <f>IF((1.75-(($A83+5)/($A83+10))*(INDEX('Stat Boosts'!$D$2:$D$192,E$1-9)-10)/((INDEX('Stat Boosts'!$D$2:$D$192,(A83/2+22)-9)-10)))&lt;0.5,POWER(1.1,1.75-(($A83+5)/($A83+10))*(INDEX('Stat Boosts'!$D$2:$D$192,E$1-9)-10)/((INDEX('Stat Boosts'!$D$2:$D$192,(A83/2+22)-9)-10))-0.5)*0.5,(1.75-(($A83+5)/($A83+10))*(INDEX('Stat Boosts'!$D$2:$D$192,E$1-9)-10)/((INDEX('Stat Boosts'!$D$2:$D$192,(A83/2+22)-9)-10))))</f>
        <v>1.75</v>
      </c>
      <c r="F83" s="16">
        <f>IF((1.75-(($A83+5)/($A83+10))*(INDEX('Stat Boosts'!$D$2:$D$192,F$1-9)-10)/((INDEX('Stat Boosts'!$D$2:$D$192,(B83/2+22)-9)-10)))&lt;0.5,POWER(1.1,1.75-(($A83+5)/($A83+10))*(INDEX('Stat Boosts'!$D$2:$D$192,F$1-9)-10)/((INDEX('Stat Boosts'!$D$2:$D$192,(B83/2+22)-9)-10))-0.5)*0.5,(1.75-(($A83+5)/($A83+10))*(INDEX('Stat Boosts'!$D$2:$D$192,F$1-9)-10)/((INDEX('Stat Boosts'!$D$2:$D$192,(B83/2+22)-9)-10))))</f>
        <v>1.6202046035805626</v>
      </c>
      <c r="G83" s="16">
        <f>IF((1.75-(($A83+5)/($A83+10))*(INDEX('Stat Boosts'!$D$2:$D$192,G$1-9)-10)/((INDEX('Stat Boosts'!$D$2:$D$192,(C83/2+22)-9)-10)))&lt;0.5,POWER(1.1,1.75-(($A83+5)/($A83+10))*(INDEX('Stat Boosts'!$D$2:$D$192,G$1-9)-10)/((INDEX('Stat Boosts'!$D$2:$D$192,(C83/2+22)-9)-10))-0.5)*0.5,(1.75-(($A83+5)/($A83+10))*(INDEX('Stat Boosts'!$D$2:$D$192,G$1-9)-10)/((INDEX('Stat Boosts'!$D$2:$D$192,(C83/2+22)-9)-10))))</f>
        <v>0.97122762148337594</v>
      </c>
      <c r="H83" s="16">
        <f>IF((1.75-(($A83+5)/($A83+10))*(INDEX('Stat Boosts'!$D$2:$D$192,H$1-9)-10)/((INDEX('Stat Boosts'!$D$2:$D$192,(D83/2+22)-9)-10)))&lt;0.5,POWER(1.1,1.75-(($A83+5)/($A83+10))*(INDEX('Stat Boosts'!$D$2:$D$192,H$1-9)-10)/((INDEX('Stat Boosts'!$D$2:$D$192,(D83/2+22)-9)-10))-0.5)*0.5,(1.75-(($A83+5)/($A83+10))*(INDEX('Stat Boosts'!$D$2:$D$192,H$1-9)-10)/((INDEX('Stat Boosts'!$D$2:$D$192,(D83/2+22)-9)-10))))</f>
        <v>0.58184143222506379</v>
      </c>
      <c r="I83" s="16">
        <f>IF((1.75-(($A83+5)/($A83+10))*(INDEX('Stat Boosts'!$D$2:$D$192,I$1-9)-10)/((INDEX('Stat Boosts'!$D$2:$D$192,(E83/2+22)-9)-10)))&lt;0.5,POWER(1.1,1.75-(($A83+5)/($A83+10))*(INDEX('Stat Boosts'!$D$2:$D$192,I$1-9)-10)/((INDEX('Stat Boosts'!$D$2:$D$192,(E83/2+22)-9)-10))-0.5)*0.5,(1.75-(($A83+5)/($A83+10))*(INDEX('Stat Boosts'!$D$2:$D$192,I$1-9)-10)/((INDEX('Stat Boosts'!$D$2:$D$192,(E83/2+22)-9)-10))))</f>
        <v>0.48813779530982099</v>
      </c>
      <c r="J83" s="16">
        <f>IF((1.75-(($A83+5)/($A83+10))*(INDEX('Stat Boosts'!$D$2:$D$192,J$1-9)-10)/((INDEX('Stat Boosts'!$D$2:$D$192,(F83/2+22)-9)-10)))&lt;0.5,POWER(1.1,1.75-(($A83+5)/($A83+10))*(INDEX('Stat Boosts'!$D$2:$D$192,J$1-9)-10)/((INDEX('Stat Boosts'!$D$2:$D$192,(F83/2+22)-9)-10))-0.5)*0.5,(1.75-(($A83+5)/($A83+10))*(INDEX('Stat Boosts'!$D$2:$D$192,J$1-9)-10)/((INDEX('Stat Boosts'!$D$2:$D$192,(F83/2+22)-9)-10))))</f>
        <v>0.47285417687353626</v>
      </c>
      <c r="K83" s="16">
        <f>IF((1.75-(($A83+5)/($A83+10))*(INDEX('Stat Boosts'!$D$2:$D$192,K$1-9)-10)/((INDEX('Stat Boosts'!$D$2:$D$192,(G83/2+22)-9)-10)))&lt;0.5,POWER(1.1,1.75-(($A83+5)/($A83+10))*(INDEX('Stat Boosts'!$D$2:$D$192,K$1-9)-10)/((INDEX('Stat Boosts'!$D$2:$D$192,(G83/2+22)-9)-10))-0.5)*0.5,(1.75-(($A83+5)/($A83+10))*(INDEX('Stat Boosts'!$D$2:$D$192,K$1-9)-10)/((INDEX('Stat Boosts'!$D$2:$D$192,(G83/2+22)-9)-10))))</f>
        <v>0.43902752542756807</v>
      </c>
      <c r="L83" s="16">
        <f>IF((1.75-(($A83+5)/($A83+10))*(INDEX('Stat Boosts'!$D$2:$D$192,L$1-9)-10)/((INDEX('Stat Boosts'!$D$2:$D$192,(H83/2+22)-9)-10)))&lt;0.5,POWER(1.1,1.75-(($A83+5)/($A83+10))*(INDEX('Stat Boosts'!$D$2:$D$192,L$1-9)-10)/((INDEX('Stat Boosts'!$D$2:$D$192,(H83/2+22)-9)-10))-0.5)*0.5,(1.75-(($A83+5)/($A83+10))*(INDEX('Stat Boosts'!$D$2:$D$192,L$1-9)-10)/((INDEX('Stat Boosts'!$D$2:$D$192,(H83/2+22)-9)-10))))</f>
        <v>0.42754228932925997</v>
      </c>
      <c r="M83" s="16">
        <f>IF((1.75-(($A83+5)/($A83+10))*(INDEX('Stat Boosts'!$D$2:$D$192,M$1-9)-10)/((INDEX('Stat Boosts'!$D$2:$D$192,(I83/2+22)-9)-10)))&lt;0.5,POWER(1.1,1.75-(($A83+5)/($A83+10))*(INDEX('Stat Boosts'!$D$2:$D$192,M$1-9)-10)/((INDEX('Stat Boosts'!$D$2:$D$192,(I83/2+22)-9)-10))-0.5)*0.5,(1.75-(($A83+5)/($A83+10))*(INDEX('Stat Boosts'!$D$2:$D$192,M$1-9)-10)/((INDEX('Stat Boosts'!$D$2:$D$192,(I83/2+22)-9)-10))))</f>
        <v>0.41196596560415455</v>
      </c>
      <c r="N83" s="16">
        <f>IF((1.75-(($A83+5)/($A83+10))*(INDEX('Stat Boosts'!$D$2:$D$192,N$1-9)-10)/((INDEX('Stat Boosts'!$D$2:$D$192,(J83/2+22)-9)-10)))&lt;0.5,POWER(1.1,1.75-(($A83+5)/($A83+10))*(INDEX('Stat Boosts'!$D$2:$D$192,N$1-9)-10)/((INDEX('Stat Boosts'!$D$2:$D$192,(J83/2+22)-9)-10))-0.5)*0.5,(1.75-(($A83+5)/($A83+10))*(INDEX('Stat Boosts'!$D$2:$D$192,N$1-9)-10)/((INDEX('Stat Boosts'!$D$2:$D$192,(J83/2+22)-9)-10))))</f>
        <v>0.39277020009570324</v>
      </c>
      <c r="O83" s="16">
        <f>IF((1.75-(($A83+5)/($A83+10))*(INDEX('Stat Boosts'!$D$2:$D$192,O$1-9)-10)/((INDEX('Stat Boosts'!$D$2:$D$192,(K83/2+22)-9)-10)))&lt;0.5,POWER(1.1,1.75-(($A83+5)/($A83+10))*(INDEX('Stat Boosts'!$D$2:$D$192,O$1-9)-10)/((INDEX('Stat Boosts'!$D$2:$D$192,(K83/2+22)-9)-10))-0.5)*0.5,(1.75-(($A83+5)/($A83+10))*(INDEX('Stat Boosts'!$D$2:$D$192,O$1-9)-10)/((INDEX('Stat Boosts'!$D$2:$D$192,(K83/2+22)-9)-10))))</f>
        <v>0.38249508471179755</v>
      </c>
      <c r="P83" s="16">
        <f>IF((1.75-(($A83+5)/($A83+10))*(INDEX('Stat Boosts'!$D$2:$D$192,P$1-9)-10)/((INDEX('Stat Boosts'!$D$2:$D$192,(L83/2+22)-9)-10)))&lt;0.5,POWER(1.1,1.75-(($A83+5)/($A83+10))*(INDEX('Stat Boosts'!$D$2:$D$192,P$1-9)-10)/((INDEX('Stat Boosts'!$D$2:$D$192,(L83/2+22)-9)-10))-0.5)*0.5,(1.75-(($A83+5)/($A83+10))*(INDEX('Stat Boosts'!$D$2:$D$192,P$1-9)-10)/((INDEX('Stat Boosts'!$D$2:$D$192,(L83/2+22)-9)-10))))</f>
        <v>0.36661107828362283</v>
      </c>
      <c r="Q83" s="16">
        <f>IF((1.75-(($A83+5)/($A83+10))*(INDEX('Stat Boosts'!$D$2:$D$192,Q$1-9)-10)/((INDEX('Stat Boosts'!$D$2:$D$192,(M83/2+22)-9)-10)))&lt;0.5,POWER(1.1,1.75-(($A83+5)/($A83+10))*(INDEX('Stat Boosts'!$D$2:$D$192,Q$1-9)-10)/((INDEX('Stat Boosts'!$D$2:$D$192,(M83/2+22)-9)-10))-0.5)*0.5,(1.75-(($A83+5)/($A83+10))*(INDEX('Stat Boosts'!$D$2:$D$192,Q$1-9)-10)/((INDEX('Stat Boosts'!$D$2:$D$192,(M83/2+22)-9)-10))))</f>
        <v>0.35138669251541127</v>
      </c>
      <c r="R83" s="16">
        <f>IF((1.75-(($A83+5)/($A83+10))*1.25*(INDEX('Stat Boosts'!$D$2:$D$192,R$1-9)-10)/((INDEX('Stat Boosts'!$D$2:$D$192,(N83/2+22)-9)-10)))&lt;0.5,POWER(1.1,1.75-(($A83+5)/($A83+10))*1.25*(INDEX('Stat Boosts'!$D$2:$D$192,R$1-9)-10)/((INDEX('Stat Boosts'!$D$2:$D$192,(N83/2+22)-9)-10))-0.5)*0.5,(1.75-(($A83+5)/($A83+10))*1.25*(INDEX('Stat Boosts'!$D$2:$D$192,R$1-9)-10)/((INDEX('Stat Boosts'!$D$2:$D$192,(N83/2+22)-9)-10))))</f>
        <v>0.29616148547644428</v>
      </c>
    </row>
    <row r="84" spans="1:18">
      <c r="A84" s="9">
        <v>83</v>
      </c>
      <c r="B84" s="16">
        <f t="shared" si="2"/>
        <v>55.2</v>
      </c>
      <c r="C84" s="16">
        <f t="shared" si="3"/>
        <v>8.8495575221238937E-3</v>
      </c>
      <c r="E84" s="16">
        <f>IF((1.75-(($A84+5)/($A84+10))*(INDEX('Stat Boosts'!$D$2:$D$192,E$1-9)-10)/((INDEX('Stat Boosts'!$D$2:$D$192,(A84/2+22)-9)-10)))&lt;0.5,POWER(1.1,1.75-(($A84+5)/($A84+10))*(INDEX('Stat Boosts'!$D$2:$D$192,E$1-9)-10)/((INDEX('Stat Boosts'!$D$2:$D$192,(A84/2+22)-9)-10))-0.5)*0.5,(1.75-(($A84+5)/($A84+10))*(INDEX('Stat Boosts'!$D$2:$D$192,E$1-9)-10)/((INDEX('Stat Boosts'!$D$2:$D$192,(A84/2+22)-9)-10))))</f>
        <v>1.75</v>
      </c>
      <c r="F84" s="16">
        <f>IF((1.75-(($A84+5)/($A84+10))*(INDEX('Stat Boosts'!$D$2:$D$192,F$1-9)-10)/((INDEX('Stat Boosts'!$D$2:$D$192,(B84/2+22)-9)-10)))&lt;0.5,POWER(1.1,1.75-(($A84+5)/($A84+10))*(INDEX('Stat Boosts'!$D$2:$D$192,F$1-9)-10)/((INDEX('Stat Boosts'!$D$2:$D$192,(B84/2+22)-9)-10))-0.5)*0.5,(1.75-(($A84+5)/($A84+10))*(INDEX('Stat Boosts'!$D$2:$D$192,F$1-9)-10)/((INDEX('Stat Boosts'!$D$2:$D$192,(B84/2+22)-9)-10))))</f>
        <v>1.620124393843559</v>
      </c>
      <c r="G84" s="16">
        <f>IF((1.75-(($A84+5)/($A84+10))*(INDEX('Stat Boosts'!$D$2:$D$192,G$1-9)-10)/((INDEX('Stat Boosts'!$D$2:$D$192,(C84/2+22)-9)-10)))&lt;0.5,POWER(1.1,1.75-(($A84+5)/($A84+10))*(INDEX('Stat Boosts'!$D$2:$D$192,G$1-9)-10)/((INDEX('Stat Boosts'!$D$2:$D$192,(C84/2+22)-9)-10))-0.5)*0.5,(1.75-(($A84+5)/($A84+10))*(INDEX('Stat Boosts'!$D$2:$D$192,G$1-9)-10)/((INDEX('Stat Boosts'!$D$2:$D$192,(C84/2+22)-9)-10))))</f>
        <v>0.97074636306135353</v>
      </c>
      <c r="H84" s="16">
        <f>IF((1.75-(($A84+5)/($A84+10))*(INDEX('Stat Boosts'!$D$2:$D$192,H$1-9)-10)/((INDEX('Stat Boosts'!$D$2:$D$192,(D84/2+22)-9)-10)))&lt;0.5,POWER(1.1,1.75-(($A84+5)/($A84+10))*(INDEX('Stat Boosts'!$D$2:$D$192,H$1-9)-10)/((INDEX('Stat Boosts'!$D$2:$D$192,(D84/2+22)-9)-10))-0.5)*0.5,(1.75-(($A84+5)/($A84+10))*(INDEX('Stat Boosts'!$D$2:$D$192,H$1-9)-10)/((INDEX('Stat Boosts'!$D$2:$D$192,(D84/2+22)-9)-10))))</f>
        <v>0.5811195445920303</v>
      </c>
      <c r="I84" s="16">
        <f>IF((1.75-(($A84+5)/($A84+10))*(INDEX('Stat Boosts'!$D$2:$D$192,I$1-9)-10)/((INDEX('Stat Boosts'!$D$2:$D$192,(E84/2+22)-9)-10)))&lt;0.5,POWER(1.1,1.75-(($A84+5)/($A84+10))*(INDEX('Stat Boosts'!$D$2:$D$192,I$1-9)-10)/((INDEX('Stat Boosts'!$D$2:$D$192,(E84/2+22)-9)-10))-0.5)*0.5,(1.75-(($A84+5)/($A84+10))*(INDEX('Stat Boosts'!$D$2:$D$192,I$1-9)-10)/((INDEX('Stat Boosts'!$D$2:$D$192,(E84/2+22)-9)-10))))</f>
        <v>0.48809461591150127</v>
      </c>
      <c r="J84" s="16">
        <f>IF((1.75-(($A84+5)/($A84+10))*(INDEX('Stat Boosts'!$D$2:$D$192,J$1-9)-10)/((INDEX('Stat Boosts'!$D$2:$D$192,(F84/2+22)-9)-10)))&lt;0.5,POWER(1.1,1.75-(($A84+5)/($A84+10))*(INDEX('Stat Boosts'!$D$2:$D$192,J$1-9)-10)/((INDEX('Stat Boosts'!$D$2:$D$192,(F84/2+22)-9)-10))-0.5)*0.5,(1.75-(($A84+5)/($A84+10))*(INDEX('Stat Boosts'!$D$2:$D$192,J$1-9)-10)/((INDEX('Stat Boosts'!$D$2:$D$192,(F84/2+22)-9)-10))))</f>
        <v>0.47280305493806252</v>
      </c>
      <c r="K84" s="16">
        <f>IF((1.75-(($A84+5)/($A84+10))*(INDEX('Stat Boosts'!$D$2:$D$192,K$1-9)-10)/((INDEX('Stat Boosts'!$D$2:$D$192,(G84/2+22)-9)-10)))&lt;0.5,POWER(1.1,1.75-(($A84+5)/($A84+10))*(INDEX('Stat Boosts'!$D$2:$D$192,K$1-9)-10)/((INDEX('Stat Boosts'!$D$2:$D$192,(G84/2+22)-9)-10))-0.5)*0.5,(1.75-(($A84+5)/($A84+10))*(INDEX('Stat Boosts'!$D$2:$D$192,K$1-9)-10)/((INDEX('Stat Boosts'!$D$2:$D$192,(G84/2+22)-9)-10))))</f>
        <v>0.4389599255723271</v>
      </c>
      <c r="L84" s="16">
        <f>IF((1.75-(($A84+5)/($A84+10))*(INDEX('Stat Boosts'!$D$2:$D$192,L$1-9)-10)/((INDEX('Stat Boosts'!$D$2:$D$192,(H84/2+22)-9)-10)))&lt;0.5,POWER(1.1,1.75-(($A84+5)/($A84+10))*(INDEX('Stat Boosts'!$D$2:$D$192,L$1-9)-10)/((INDEX('Stat Boosts'!$D$2:$D$192,(H84/2+22)-9)-10))-0.5)*0.5,(1.75-(($A84+5)/($A84+10))*(INDEX('Stat Boosts'!$D$2:$D$192,L$1-9)-10)/((INDEX('Stat Boosts'!$D$2:$D$192,(H84/2+22)-9)-10))))</f>
        <v>0.42746945518481405</v>
      </c>
      <c r="M84" s="16">
        <f>IF((1.75-(($A84+5)/($A84+10))*(INDEX('Stat Boosts'!$D$2:$D$192,M$1-9)-10)/((INDEX('Stat Boosts'!$D$2:$D$192,(I84/2+22)-9)-10)))&lt;0.5,POWER(1.1,1.75-(($A84+5)/($A84+10))*(INDEX('Stat Boosts'!$D$2:$D$192,M$1-9)-10)/((INDEX('Stat Boosts'!$D$2:$D$192,(I84/2+22)-9)-10))-0.5)*0.5,(1.75-(($A84+5)/($A84+10))*(INDEX('Stat Boosts'!$D$2:$D$192,M$1-9)-10)/((INDEX('Stat Boosts'!$D$2:$D$192,(I84/2+22)-9)-10))))</f>
        <v>0.41188633849094075</v>
      </c>
      <c r="N84" s="16">
        <f>IF((1.75-(($A84+5)/($A84+10))*(INDEX('Stat Boosts'!$D$2:$D$192,N$1-9)-10)/((INDEX('Stat Boosts'!$D$2:$D$192,(J84/2+22)-9)-10)))&lt;0.5,POWER(1.1,1.75-(($A84+5)/($A84+10))*(INDEX('Stat Boosts'!$D$2:$D$192,N$1-9)-10)/((INDEX('Stat Boosts'!$D$2:$D$192,(J84/2+22)-9)-10))-0.5)*0.5,(1.75-(($A84+5)/($A84+10))*(INDEX('Stat Boosts'!$D$2:$D$192,N$1-9)-10)/((INDEX('Stat Boosts'!$D$2:$D$192,(J84/2+22)-9)-10))))</f>
        <v>0.39268270400265998</v>
      </c>
      <c r="O84" s="16">
        <f>IF((1.75-(($A84+5)/($A84+10))*(INDEX('Stat Boosts'!$D$2:$D$192,O$1-9)-10)/((INDEX('Stat Boosts'!$D$2:$D$192,(K84/2+22)-9)-10)))&lt;0.5,POWER(1.1,1.75-(($A84+5)/($A84+10))*(INDEX('Stat Boosts'!$D$2:$D$192,O$1-9)-10)/((INDEX('Stat Boosts'!$D$2:$D$192,(K84/2+22)-9)-10))-0.5)*0.5,(1.75-(($A84+5)/($A84+10))*(INDEX('Stat Boosts'!$D$2:$D$192,O$1-9)-10)/((INDEX('Stat Boosts'!$D$2:$D$192,(K84/2+22)-9)-10))))</f>
        <v>0.38240361308986631</v>
      </c>
      <c r="P84" s="16">
        <f>IF((1.75-(($A84+5)/($A84+10))*(INDEX('Stat Boosts'!$D$2:$D$192,P$1-9)-10)/((INDEX('Stat Boosts'!$D$2:$D$192,(L84/2+22)-9)-10)))&lt;0.5,POWER(1.1,1.75-(($A84+5)/($A84+10))*(INDEX('Stat Boosts'!$D$2:$D$192,P$1-9)-10)/((INDEX('Stat Boosts'!$D$2:$D$192,(L84/2+22)-9)-10))-0.5)*0.5,(1.75-(($A84+5)/($A84+10))*(INDEX('Stat Boosts'!$D$2:$D$192,P$1-9)-10)/((INDEX('Stat Boosts'!$D$2:$D$192,(L84/2+22)-9)-10))))</f>
        <v>0.36651379850512766</v>
      </c>
      <c r="Q84" s="16">
        <f>IF((1.75-(($A84+5)/($A84+10))*(INDEX('Stat Boosts'!$D$2:$D$192,Q$1-9)-10)/((INDEX('Stat Boosts'!$D$2:$D$192,(M84/2+22)-9)-10)))&lt;0.5,POWER(1.1,1.75-(($A84+5)/($A84+10))*(INDEX('Stat Boosts'!$D$2:$D$192,Q$1-9)-10)/((INDEX('Stat Boosts'!$D$2:$D$192,(M84/2+22)-9)-10))-0.5)*0.5,(1.75-(($A84+5)/($A84+10))*(INDEX('Stat Boosts'!$D$2:$D$192,Q$1-9)-10)/((INDEX('Stat Boosts'!$D$2:$D$192,(M84/2+22)-9)-10))))</f>
        <v>0.35128424496106608</v>
      </c>
      <c r="R84" s="16">
        <f>IF((1.75-(($A84+5)/($A84+10))*1.25*(INDEX('Stat Boosts'!$D$2:$D$192,R$1-9)-10)/((INDEX('Stat Boosts'!$D$2:$D$192,(N84/2+22)-9)-10)))&lt;0.5,POWER(1.1,1.75-(($A84+5)/($A84+10))*1.25*(INDEX('Stat Boosts'!$D$2:$D$192,R$1-9)-10)/((INDEX('Stat Boosts'!$D$2:$D$192,(N84/2+22)-9)-10))-0.5)*0.5,(1.75-(($A84+5)/($A84+10))*1.25*(INDEX('Stat Boosts'!$D$2:$D$192,R$1-9)-10)/((INDEX('Stat Boosts'!$D$2:$D$192,(N84/2+22)-9)-10))))</f>
        <v>0.2960438566775267</v>
      </c>
    </row>
    <row r="85" spans="1:18">
      <c r="A85" s="9">
        <v>84</v>
      </c>
      <c r="B85" s="16">
        <f t="shared" si="2"/>
        <v>55.6</v>
      </c>
      <c r="C85" s="16">
        <f t="shared" si="3"/>
        <v>8.771929824561403E-3</v>
      </c>
      <c r="E85" s="16">
        <f>IF((1.75-(($A85+5)/($A85+10))*(INDEX('Stat Boosts'!$D$2:$D$192,E$1-9)-10)/((INDEX('Stat Boosts'!$D$2:$D$192,(A85/2+22)-9)-10)))&lt;0.5,POWER(1.1,1.75-(($A85+5)/($A85+10))*(INDEX('Stat Boosts'!$D$2:$D$192,E$1-9)-10)/((INDEX('Stat Boosts'!$D$2:$D$192,(A85/2+22)-9)-10))-0.5)*0.5,(1.75-(($A85+5)/($A85+10))*(INDEX('Stat Boosts'!$D$2:$D$192,E$1-9)-10)/((INDEX('Stat Boosts'!$D$2:$D$192,(A85/2+22)-9)-10))))</f>
        <v>1.75</v>
      </c>
      <c r="F85" s="16">
        <f>IF((1.75-(($A85+5)/($A85+10))*(INDEX('Stat Boosts'!$D$2:$D$192,F$1-9)-10)/((INDEX('Stat Boosts'!$D$2:$D$192,(B85/2+22)-9)-10)))&lt;0.5,POWER(1.1,1.75-(($A85+5)/($A85+10))*(INDEX('Stat Boosts'!$D$2:$D$192,F$1-9)-10)/((INDEX('Stat Boosts'!$D$2:$D$192,(B85/2+22)-9)-10))-0.5)*0.5,(1.75-(($A85+5)/($A85+10))*(INDEX('Stat Boosts'!$D$2:$D$192,F$1-9)-10)/((INDEX('Stat Boosts'!$D$2:$D$192,(B85/2+22)-9)-10))))</f>
        <v>1.6200458906967041</v>
      </c>
      <c r="G85" s="16">
        <f>IF((1.75-(($A85+5)/($A85+10))*(INDEX('Stat Boosts'!$D$2:$D$192,G$1-9)-10)/((INDEX('Stat Boosts'!$D$2:$D$192,(C85/2+22)-9)-10)))&lt;0.5,POWER(1.1,1.75-(($A85+5)/($A85+10))*(INDEX('Stat Boosts'!$D$2:$D$192,G$1-9)-10)/((INDEX('Stat Boosts'!$D$2:$D$192,(C85/2+22)-9)-10))-0.5)*0.5,(1.75-(($A85+5)/($A85+10))*(INDEX('Stat Boosts'!$D$2:$D$192,G$1-9)-10)/((INDEX('Stat Boosts'!$D$2:$D$192,(C85/2+22)-9)-10))))</f>
        <v>0.97027534418022532</v>
      </c>
      <c r="H85" s="16">
        <f>IF((1.75-(($A85+5)/($A85+10))*(INDEX('Stat Boosts'!$D$2:$D$192,H$1-9)-10)/((INDEX('Stat Boosts'!$D$2:$D$192,(D85/2+22)-9)-10)))&lt;0.5,POWER(1.1,1.75-(($A85+5)/($A85+10))*(INDEX('Stat Boosts'!$D$2:$D$192,H$1-9)-10)/((INDEX('Stat Boosts'!$D$2:$D$192,(D85/2+22)-9)-10))-0.5)*0.5,(1.75-(($A85+5)/($A85+10))*(INDEX('Stat Boosts'!$D$2:$D$192,H$1-9)-10)/((INDEX('Stat Boosts'!$D$2:$D$192,(D85/2+22)-9)-10))))</f>
        <v>0.58041301627033803</v>
      </c>
      <c r="I85" s="16">
        <f>IF((1.75-(($A85+5)/($A85+10))*(INDEX('Stat Boosts'!$D$2:$D$192,I$1-9)-10)/((INDEX('Stat Boosts'!$D$2:$D$192,(E85/2+22)-9)-10)))&lt;0.5,POWER(1.1,1.75-(($A85+5)/($A85+10))*(INDEX('Stat Boosts'!$D$2:$D$192,I$1-9)-10)/((INDEX('Stat Boosts'!$D$2:$D$192,(E85/2+22)-9)-10))-0.5)*0.5,(1.75-(($A85+5)/($A85+10))*(INDEX('Stat Boosts'!$D$2:$D$192,I$1-9)-10)/((INDEX('Stat Boosts'!$D$2:$D$192,(E85/2+22)-9)-10))))</f>
        <v>0.48805235892228799</v>
      </c>
      <c r="J85" s="16">
        <f>IF((1.75-(($A85+5)/($A85+10))*(INDEX('Stat Boosts'!$D$2:$D$192,J$1-9)-10)/((INDEX('Stat Boosts'!$D$2:$D$192,(F85/2+22)-9)-10)))&lt;0.5,POWER(1.1,1.75-(($A85+5)/($A85+10))*(INDEX('Stat Boosts'!$D$2:$D$192,J$1-9)-10)/((INDEX('Stat Boosts'!$D$2:$D$192,(F85/2+22)-9)-10))-0.5)*0.5,(1.75-(($A85+5)/($A85+10))*(INDEX('Stat Boosts'!$D$2:$D$192,J$1-9)-10)/((INDEX('Stat Boosts'!$D$2:$D$192,(F85/2+22)-9)-10))))</f>
        <v>0.47275302605517899</v>
      </c>
      <c r="K85" s="16">
        <f>IF((1.75-(($A85+5)/($A85+10))*(INDEX('Stat Boosts'!$D$2:$D$192,K$1-9)-10)/((INDEX('Stat Boosts'!$D$2:$D$192,(G85/2+22)-9)-10)))&lt;0.5,POWER(1.1,1.75-(($A85+5)/($A85+10))*(INDEX('Stat Boosts'!$D$2:$D$192,K$1-9)-10)/((INDEX('Stat Boosts'!$D$2:$D$192,(G85/2+22)-9)-10))-0.5)*0.5,(1.75-(($A85+5)/($A85+10))*(INDEX('Stat Boosts'!$D$2:$D$192,K$1-9)-10)/((INDEX('Stat Boosts'!$D$2:$D$192,(G85/2+22)-9)-10))))</f>
        <v>0.4388937740908293</v>
      </c>
      <c r="L85" s="16">
        <f>IF((1.75-(($A85+5)/($A85+10))*(INDEX('Stat Boosts'!$D$2:$D$192,L$1-9)-10)/((INDEX('Stat Boosts'!$D$2:$D$192,(H85/2+22)-9)-10)))&lt;0.5,POWER(1.1,1.75-(($A85+5)/($A85+10))*(INDEX('Stat Boosts'!$D$2:$D$192,L$1-9)-10)/((INDEX('Stat Boosts'!$D$2:$D$192,(H85/2+22)-9)-10))-0.5)*0.5,(1.75-(($A85+5)/($A85+10))*(INDEX('Stat Boosts'!$D$2:$D$192,L$1-9)-10)/((INDEX('Stat Boosts'!$D$2:$D$192,(H85/2+22)-9)-10))))</f>
        <v>0.42739818271753965</v>
      </c>
      <c r="M85" s="16">
        <f>IF((1.75-(($A85+5)/($A85+10))*(INDEX('Stat Boosts'!$D$2:$D$192,M$1-9)-10)/((INDEX('Stat Boosts'!$D$2:$D$192,(I85/2+22)-9)-10)))&lt;0.5,POWER(1.1,1.75-(($A85+5)/($A85+10))*(INDEX('Stat Boosts'!$D$2:$D$192,M$1-9)-10)/((INDEX('Stat Boosts'!$D$2:$D$192,(I85/2+22)-9)-10))-0.5)*0.5,(1.75-(($A85+5)/($A85+10))*(INDEX('Stat Boosts'!$D$2:$D$192,M$1-9)-10)/((INDEX('Stat Boosts'!$D$2:$D$192,(I85/2+22)-9)-10))))</f>
        <v>0.41180842047471322</v>
      </c>
      <c r="N85" s="16">
        <f>IF((1.75-(($A85+5)/($A85+10))*(INDEX('Stat Boosts'!$D$2:$D$192,N$1-9)-10)/((INDEX('Stat Boosts'!$D$2:$D$192,(J85/2+22)-9)-10)))&lt;0.5,POWER(1.1,1.75-(($A85+5)/($A85+10))*(INDEX('Stat Boosts'!$D$2:$D$192,N$1-9)-10)/((INDEX('Stat Boosts'!$D$2:$D$192,(J85/2+22)-9)-10))-0.5)*0.5,(1.75-(($A85+5)/($A85+10))*(INDEX('Stat Boosts'!$D$2:$D$192,N$1-9)-10)/((INDEX('Stat Boosts'!$D$2:$D$192,(J85/2+22)-9)-10))))</f>
        <v>0.39259708840220903</v>
      </c>
      <c r="O85" s="16">
        <f>IF((1.75-(($A85+5)/($A85+10))*(INDEX('Stat Boosts'!$D$2:$D$192,O$1-9)-10)/((INDEX('Stat Boosts'!$D$2:$D$192,(K85/2+22)-9)-10)))&lt;0.5,POWER(1.1,1.75-(($A85+5)/($A85+10))*(INDEX('Stat Boosts'!$D$2:$D$192,O$1-9)-10)/((INDEX('Stat Boosts'!$D$2:$D$192,(K85/2+22)-9)-10))-0.5)*0.5,(1.75-(($A85+5)/($A85+10))*(INDEX('Stat Boosts'!$D$2:$D$192,O$1-9)-10)/((INDEX('Stat Boosts'!$D$2:$D$192,(K85/2+22)-9)-10))))</f>
        <v>0.38231410885444933</v>
      </c>
      <c r="P85" s="16">
        <f>IF((1.75-(($A85+5)/($A85+10))*(INDEX('Stat Boosts'!$D$2:$D$192,P$1-9)-10)/((INDEX('Stat Boosts'!$D$2:$D$192,(L85/2+22)-9)-10)))&lt;0.5,POWER(1.1,1.75-(($A85+5)/($A85+10))*(INDEX('Stat Boosts'!$D$2:$D$192,P$1-9)-10)/((INDEX('Stat Boosts'!$D$2:$D$192,(L85/2+22)-9)-10))-0.5)*0.5,(1.75-(($A85+5)/($A85+10))*(INDEX('Stat Boosts'!$D$2:$D$192,P$1-9)-10)/((INDEX('Stat Boosts'!$D$2:$D$192,(L85/2+22)-9)-10))))</f>
        <v>0.36641861350428651</v>
      </c>
      <c r="Q85" s="16">
        <f>IF((1.75-(($A85+5)/($A85+10))*(INDEX('Stat Boosts'!$D$2:$D$192,Q$1-9)-10)/((INDEX('Stat Boosts'!$D$2:$D$192,(M85/2+22)-9)-10)))&lt;0.5,POWER(1.1,1.75-(($A85+5)/($A85+10))*(INDEX('Stat Boosts'!$D$2:$D$192,Q$1-9)-10)/((INDEX('Stat Boosts'!$D$2:$D$192,(M85/2+22)-9)-10))-0.5)*0.5,(1.75-(($A85+5)/($A85+10))*(INDEX('Stat Boosts'!$D$2:$D$192,Q$1-9)-10)/((INDEX('Stat Boosts'!$D$2:$D$192,(M85/2+22)-9)-10))))</f>
        <v>0.35118400606428768</v>
      </c>
      <c r="R85" s="16">
        <f>IF((1.75-(($A85+5)/($A85+10))*1.25*(INDEX('Stat Boosts'!$D$2:$D$192,R$1-9)-10)/((INDEX('Stat Boosts'!$D$2:$D$192,(N85/2+22)-9)-10)))&lt;0.5,POWER(1.1,1.75-(($A85+5)/($A85+10))*1.25*(INDEX('Stat Boosts'!$D$2:$D$192,R$1-9)-10)/((INDEX('Stat Boosts'!$D$2:$D$192,(N85/2+22)-9)-10))-0.5)*0.5,(1.75-(($A85+5)/($A85+10))*1.25*(INDEX('Stat Boosts'!$D$2:$D$192,R$1-9)-10)/((INDEX('Stat Boosts'!$D$2:$D$192,(N85/2+22)-9)-10))))</f>
        <v>0.29592877585822419</v>
      </c>
    </row>
    <row r="86" spans="1:18">
      <c r="A86" s="9">
        <v>85</v>
      </c>
      <c r="B86" s="16">
        <f t="shared" si="2"/>
        <v>56</v>
      </c>
      <c r="C86" s="16">
        <f t="shared" si="3"/>
        <v>8.6956521739130436E-3</v>
      </c>
      <c r="E86" s="16">
        <f>IF((1.75-(($A86+5)/($A86+10))*(INDEX('Stat Boosts'!$D$2:$D$192,E$1-9)-10)/((INDEX('Stat Boosts'!$D$2:$D$192,(A86/2+22)-9)-10)))&lt;0.5,POWER(1.1,1.75-(($A86+5)/($A86+10))*(INDEX('Stat Boosts'!$D$2:$D$192,E$1-9)-10)/((INDEX('Stat Boosts'!$D$2:$D$192,(A86/2+22)-9)-10))-0.5)*0.5,(1.75-(($A86+5)/($A86+10))*(INDEX('Stat Boosts'!$D$2:$D$192,E$1-9)-10)/((INDEX('Stat Boosts'!$D$2:$D$192,(A86/2+22)-9)-10))))</f>
        <v>1.75</v>
      </c>
      <c r="F86" s="16">
        <f>IF((1.75-(($A86+5)/($A86+10))*(INDEX('Stat Boosts'!$D$2:$D$192,F$1-9)-10)/((INDEX('Stat Boosts'!$D$2:$D$192,(B86/2+22)-9)-10)))&lt;0.5,POWER(1.1,1.75-(($A86+5)/($A86+10))*(INDEX('Stat Boosts'!$D$2:$D$192,F$1-9)-10)/((INDEX('Stat Boosts'!$D$2:$D$192,(B86/2+22)-9)-10))-0.5)*0.5,(1.75-(($A86+5)/($A86+10))*(INDEX('Stat Boosts'!$D$2:$D$192,F$1-9)-10)/((INDEX('Stat Boosts'!$D$2:$D$192,(B86/2+22)-9)-10))))</f>
        <v>1.6224696356275303</v>
      </c>
      <c r="G86" s="16">
        <f>IF((1.75-(($A86+5)/($A86+10))*(INDEX('Stat Boosts'!$D$2:$D$192,G$1-9)-10)/((INDEX('Stat Boosts'!$D$2:$D$192,(C86/2+22)-9)-10)))&lt;0.5,POWER(1.1,1.75-(($A86+5)/($A86+10))*(INDEX('Stat Boosts'!$D$2:$D$192,G$1-9)-10)/((INDEX('Stat Boosts'!$D$2:$D$192,(C86/2+22)-9)-10))-0.5)*0.5,(1.75-(($A86+5)/($A86+10))*(INDEX('Stat Boosts'!$D$2:$D$192,G$1-9)-10)/((INDEX('Stat Boosts'!$D$2:$D$192,(C86/2+22)-9)-10))))</f>
        <v>0.96981424148606821</v>
      </c>
      <c r="H86" s="16">
        <f>IF((1.75-(($A86+5)/($A86+10))*(INDEX('Stat Boosts'!$D$2:$D$192,H$1-9)-10)/((INDEX('Stat Boosts'!$D$2:$D$192,(D86/2+22)-9)-10)))&lt;0.5,POWER(1.1,1.75-(($A86+5)/($A86+10))*(INDEX('Stat Boosts'!$D$2:$D$192,H$1-9)-10)/((INDEX('Stat Boosts'!$D$2:$D$192,(D86/2+22)-9)-10))-0.5)*0.5,(1.75-(($A86+5)/($A86+10))*(INDEX('Stat Boosts'!$D$2:$D$192,H$1-9)-10)/((INDEX('Stat Boosts'!$D$2:$D$192,(D86/2+22)-9)-10))))</f>
        <v>0.5797213622291022</v>
      </c>
      <c r="I86" s="16">
        <f>IF((1.75-(($A86+5)/($A86+10))*(INDEX('Stat Boosts'!$D$2:$D$192,I$1-9)-10)/((INDEX('Stat Boosts'!$D$2:$D$192,(E86/2+22)-9)-10)))&lt;0.5,POWER(1.1,1.75-(($A86+5)/($A86+10))*(INDEX('Stat Boosts'!$D$2:$D$192,I$1-9)-10)/((INDEX('Stat Boosts'!$D$2:$D$192,(E86/2+22)-9)-10))-0.5)*0.5,(1.75-(($A86+5)/($A86+10))*(INDEX('Stat Boosts'!$D$2:$D$192,I$1-9)-10)/((INDEX('Stat Boosts'!$D$2:$D$192,(E86/2+22)-9)-10))))</f>
        <v>0.48801099509760021</v>
      </c>
      <c r="J86" s="16">
        <f>IF((1.75-(($A86+5)/($A86+10))*(INDEX('Stat Boosts'!$D$2:$D$192,J$1-9)-10)/((INDEX('Stat Boosts'!$D$2:$D$192,(F86/2+22)-9)-10)))&lt;0.5,POWER(1.1,1.75-(($A86+5)/($A86+10))*(INDEX('Stat Boosts'!$D$2:$D$192,J$1-9)-10)/((INDEX('Stat Boosts'!$D$2:$D$192,(F86/2+22)-9)-10))-0.5)*0.5,(1.75-(($A86+5)/($A86+10))*(INDEX('Stat Boosts'!$D$2:$D$192,J$1-9)-10)/((INDEX('Stat Boosts'!$D$2:$D$192,(F86/2+22)-9)-10))))</f>
        <v>0.47270405553966621</v>
      </c>
      <c r="K86" s="16">
        <f>IF((1.75-(($A86+5)/($A86+10))*(INDEX('Stat Boosts'!$D$2:$D$192,K$1-9)-10)/((INDEX('Stat Boosts'!$D$2:$D$192,(G86/2+22)-9)-10)))&lt;0.5,POWER(1.1,1.75-(($A86+5)/($A86+10))*(INDEX('Stat Boosts'!$D$2:$D$192,K$1-9)-10)/((INDEX('Stat Boosts'!$D$2:$D$192,(G86/2+22)-9)-10))-0.5)*0.5,(1.75-(($A86+5)/($A86+10))*(INDEX('Stat Boosts'!$D$2:$D$192,K$1-9)-10)/((INDEX('Stat Boosts'!$D$2:$D$192,(G86/2+22)-9)-10))))</f>
        <v>0.43882902492856835</v>
      </c>
      <c r="L86" s="16">
        <f>IF((1.75-(($A86+5)/($A86+10))*(INDEX('Stat Boosts'!$D$2:$D$192,L$1-9)-10)/((INDEX('Stat Boosts'!$D$2:$D$192,(H86/2+22)-9)-10)))&lt;0.5,POWER(1.1,1.75-(($A86+5)/($A86+10))*(INDEX('Stat Boosts'!$D$2:$D$192,L$1-9)-10)/((INDEX('Stat Boosts'!$D$2:$D$192,(H86/2+22)-9)-10))-0.5)*0.5,(1.75-(($A86+5)/($A86+10))*(INDEX('Stat Boosts'!$D$2:$D$192,L$1-9)-10)/((INDEX('Stat Boosts'!$D$2:$D$192,(H86/2+22)-9)-10))))</f>
        <v>0.42732842223398337</v>
      </c>
      <c r="M86" s="16">
        <f>IF((1.75-(($A86+5)/($A86+10))*(INDEX('Stat Boosts'!$D$2:$D$192,M$1-9)-10)/((INDEX('Stat Boosts'!$D$2:$D$192,(I86/2+22)-9)-10)))&lt;0.5,POWER(1.1,1.75-(($A86+5)/($A86+10))*(INDEX('Stat Boosts'!$D$2:$D$192,M$1-9)-10)/((INDEX('Stat Boosts'!$D$2:$D$192,(I86/2+22)-9)-10))-0.5)*0.5,(1.75-(($A86+5)/($A86+10))*(INDEX('Stat Boosts'!$D$2:$D$192,M$1-9)-10)/((INDEX('Stat Boosts'!$D$2:$D$192,(I86/2+22)-9)-10))))</f>
        <v>0.41173215711561606</v>
      </c>
      <c r="N86" s="16">
        <f>IF((1.75-(($A86+5)/($A86+10))*(INDEX('Stat Boosts'!$D$2:$D$192,N$1-9)-10)/((INDEX('Stat Boosts'!$D$2:$D$192,(J86/2+22)-9)-10)))&lt;0.5,POWER(1.1,1.75-(($A86+5)/($A86+10))*(INDEX('Stat Boosts'!$D$2:$D$192,N$1-9)-10)/((INDEX('Stat Boosts'!$D$2:$D$192,(J86/2+22)-9)-10))-0.5)*0.5,(1.75-(($A86+5)/($A86+10))*(INDEX('Stat Boosts'!$D$2:$D$192,N$1-9)-10)/((INDEX('Stat Boosts'!$D$2:$D$192,(J86/2+22)-9)-10))))</f>
        <v>0.39251329331669527</v>
      </c>
      <c r="O86" s="16">
        <f>IF((1.75-(($A86+5)/($A86+10))*(INDEX('Stat Boosts'!$D$2:$D$192,O$1-9)-10)/((INDEX('Stat Boosts'!$D$2:$D$192,(K86/2+22)-9)-10)))&lt;0.5,POWER(1.1,1.75-(($A86+5)/($A86+10))*(INDEX('Stat Boosts'!$D$2:$D$192,O$1-9)-10)/((INDEX('Stat Boosts'!$D$2:$D$192,(K86/2+22)-9)-10))-0.5)*0.5,(1.75-(($A86+5)/($A86+10))*(INDEX('Stat Boosts'!$D$2:$D$192,O$1-9)-10)/((INDEX('Stat Boosts'!$D$2:$D$192,(K86/2+22)-9)-10))))</f>
        <v>0.38222650921094209</v>
      </c>
      <c r="P86" s="16">
        <f>IF((1.75-(($A86+5)/($A86+10))*(INDEX('Stat Boosts'!$D$2:$D$192,P$1-9)-10)/((INDEX('Stat Boosts'!$D$2:$D$192,(L86/2+22)-9)-10)))&lt;0.5,POWER(1.1,1.75-(($A86+5)/($A86+10))*(INDEX('Stat Boosts'!$D$2:$D$192,P$1-9)-10)/((INDEX('Stat Boosts'!$D$2:$D$192,(L86/2+22)-9)-10))-0.5)*0.5,(1.75-(($A86+5)/($A86+10))*(INDEX('Stat Boosts'!$D$2:$D$192,P$1-9)-10)/((INDEX('Stat Boosts'!$D$2:$D$192,(L86/2+22)-9)-10))))</f>
        <v>0.36632545634299302</v>
      </c>
      <c r="Q86" s="16">
        <f>IF((1.75-(($A86+5)/($A86+10))*(INDEX('Stat Boosts'!$D$2:$D$192,Q$1-9)-10)/((INDEX('Stat Boosts'!$D$2:$D$192,(M86/2+22)-9)-10)))&lt;0.5,POWER(1.1,1.75-(($A86+5)/($A86+10))*(INDEX('Stat Boosts'!$D$2:$D$192,Q$1-9)-10)/((INDEX('Stat Boosts'!$D$2:$D$192,(M86/2+22)-9)-10))-0.5)*0.5,(1.75-(($A86+5)/($A86+10))*(INDEX('Stat Boosts'!$D$2:$D$192,Q$1-9)-10)/((INDEX('Stat Boosts'!$D$2:$D$192,(M86/2+22)-9)-10))))</f>
        <v>0.35108590516636118</v>
      </c>
      <c r="R86" s="16">
        <f>IF((1.75-(($A86+5)/($A86+10))*1.25*(INDEX('Stat Boosts'!$D$2:$D$192,R$1-9)-10)/((INDEX('Stat Boosts'!$D$2:$D$192,(N86/2+22)-9)-10)))&lt;0.5,POWER(1.1,1.75-(($A86+5)/($A86+10))*1.25*(INDEX('Stat Boosts'!$D$2:$D$192,R$1-9)-10)/((INDEX('Stat Boosts'!$D$2:$D$192,(N86/2+22)-9)-10))-0.5)*0.5,(1.75-(($A86+5)/($A86+10))*1.25*(INDEX('Stat Boosts'!$D$2:$D$192,R$1-9)-10)/((INDEX('Stat Boosts'!$D$2:$D$192,(N86/2+22)-9)-10))))</f>
        <v>0.29581616112559894</v>
      </c>
    </row>
    <row r="87" spans="1:18">
      <c r="A87" s="9">
        <v>86</v>
      </c>
      <c r="B87" s="16">
        <f t="shared" si="2"/>
        <v>56.4</v>
      </c>
      <c r="C87" s="16">
        <f t="shared" si="3"/>
        <v>8.6206896551724137E-3</v>
      </c>
      <c r="E87" s="16">
        <f>IF((1.75-(($A87+5)/($A87+10))*(INDEX('Stat Boosts'!$D$2:$D$192,E$1-9)-10)/((INDEX('Stat Boosts'!$D$2:$D$192,(A87/2+22)-9)-10)))&lt;0.5,POWER(1.1,1.75-(($A87+5)/($A87+10))*(INDEX('Stat Boosts'!$D$2:$D$192,E$1-9)-10)/((INDEX('Stat Boosts'!$D$2:$D$192,(A87/2+22)-9)-10))-0.5)*0.5,(1.75-(($A87+5)/($A87+10))*(INDEX('Stat Boosts'!$D$2:$D$192,E$1-9)-10)/((INDEX('Stat Boosts'!$D$2:$D$192,(A87/2+22)-9)-10))))</f>
        <v>1.75</v>
      </c>
      <c r="F87" s="16">
        <f>IF((1.75-(($A87+5)/($A87+10))*(INDEX('Stat Boosts'!$D$2:$D$192,F$1-9)-10)/((INDEX('Stat Boosts'!$D$2:$D$192,(B87/2+22)-9)-10)))&lt;0.5,POWER(1.1,1.75-(($A87+5)/($A87+10))*(INDEX('Stat Boosts'!$D$2:$D$192,F$1-9)-10)/((INDEX('Stat Boosts'!$D$2:$D$192,(B87/2+22)-9)-10))-0.5)*0.5,(1.75-(($A87+5)/($A87+10))*(INDEX('Stat Boosts'!$D$2:$D$192,F$1-9)-10)/((INDEX('Stat Boosts'!$D$2:$D$192,(B87/2+22)-9)-10))))</f>
        <v>1.6223958333333333</v>
      </c>
      <c r="G87" s="16">
        <f>IF((1.75-(($A87+5)/($A87+10))*(INDEX('Stat Boosts'!$D$2:$D$192,G$1-9)-10)/((INDEX('Stat Boosts'!$D$2:$D$192,(C87/2+22)-9)-10)))&lt;0.5,POWER(1.1,1.75-(($A87+5)/($A87+10))*(INDEX('Stat Boosts'!$D$2:$D$192,G$1-9)-10)/((INDEX('Stat Boosts'!$D$2:$D$192,(C87/2+22)-9)-10))-0.5)*0.5,(1.75-(($A87+5)/($A87+10))*(INDEX('Stat Boosts'!$D$2:$D$192,G$1-9)-10)/((INDEX('Stat Boosts'!$D$2:$D$192,(C87/2+22)-9)-10))))</f>
        <v>0.96936274509803932</v>
      </c>
      <c r="H87" s="16">
        <f>IF((1.75-(($A87+5)/($A87+10))*(INDEX('Stat Boosts'!$D$2:$D$192,H$1-9)-10)/((INDEX('Stat Boosts'!$D$2:$D$192,(D87/2+22)-9)-10)))&lt;0.5,POWER(1.1,1.75-(($A87+5)/($A87+10))*(INDEX('Stat Boosts'!$D$2:$D$192,H$1-9)-10)/((INDEX('Stat Boosts'!$D$2:$D$192,(D87/2+22)-9)-10))-0.5)*0.5,(1.75-(($A87+5)/($A87+10))*(INDEX('Stat Boosts'!$D$2:$D$192,H$1-9)-10)/((INDEX('Stat Boosts'!$D$2:$D$192,(D87/2+22)-9)-10))))</f>
        <v>0.57904411764705888</v>
      </c>
      <c r="I87" s="16">
        <f>IF((1.75-(($A87+5)/($A87+10))*(INDEX('Stat Boosts'!$D$2:$D$192,I$1-9)-10)/((INDEX('Stat Boosts'!$D$2:$D$192,(E87/2+22)-9)-10)))&lt;0.5,POWER(1.1,1.75-(($A87+5)/($A87+10))*(INDEX('Stat Boosts'!$D$2:$D$192,I$1-9)-10)/((INDEX('Stat Boosts'!$D$2:$D$192,(E87/2+22)-9)-10))-0.5)*0.5,(1.75-(($A87+5)/($A87+10))*(INDEX('Stat Boosts'!$D$2:$D$192,I$1-9)-10)/((INDEX('Stat Boosts'!$D$2:$D$192,(E87/2+22)-9)-10))))</f>
        <v>0.4879704964161713</v>
      </c>
      <c r="J87" s="16">
        <f>IF((1.75-(($A87+5)/($A87+10))*(INDEX('Stat Boosts'!$D$2:$D$192,J$1-9)-10)/((INDEX('Stat Boosts'!$D$2:$D$192,(F87/2+22)-9)-10)))&lt;0.5,POWER(1.1,1.75-(($A87+5)/($A87+10))*(INDEX('Stat Boosts'!$D$2:$D$192,J$1-9)-10)/((INDEX('Stat Boosts'!$D$2:$D$192,(F87/2+22)-9)-10))-0.5)*0.5,(1.75-(($A87+5)/($A87+10))*(INDEX('Stat Boosts'!$D$2:$D$192,J$1-9)-10)/((INDEX('Stat Boosts'!$D$2:$D$192,(F87/2+22)-9)-10))))</f>
        <v>0.47265611015846232</v>
      </c>
      <c r="K87" s="16">
        <f>IF((1.75-(($A87+5)/($A87+10))*(INDEX('Stat Boosts'!$D$2:$D$192,K$1-9)-10)/((INDEX('Stat Boosts'!$D$2:$D$192,(G87/2+22)-9)-10)))&lt;0.5,POWER(1.1,1.75-(($A87+5)/($A87+10))*(INDEX('Stat Boosts'!$D$2:$D$192,K$1-9)-10)/((INDEX('Stat Boosts'!$D$2:$D$192,(G87/2+22)-9)-10))-0.5)*0.5,(1.75-(($A87+5)/($A87+10))*(INDEX('Stat Boosts'!$D$2:$D$192,K$1-9)-10)/((INDEX('Stat Boosts'!$D$2:$D$192,(G87/2+22)-9)-10))))</f>
        <v>0.43876563396308083</v>
      </c>
      <c r="L87" s="16">
        <f>IF((1.75-(($A87+5)/($A87+10))*(INDEX('Stat Boosts'!$D$2:$D$192,L$1-9)-10)/((INDEX('Stat Boosts'!$D$2:$D$192,(H87/2+22)-9)-10)))&lt;0.5,POWER(1.1,1.75-(($A87+5)/($A87+10))*(INDEX('Stat Boosts'!$D$2:$D$192,L$1-9)-10)/((INDEX('Stat Boosts'!$D$2:$D$192,(H87/2+22)-9)-10))-0.5)*0.5,(1.75-(($A87+5)/($A87+10))*(INDEX('Stat Boosts'!$D$2:$D$192,L$1-9)-10)/((INDEX('Stat Boosts'!$D$2:$D$192,(H87/2+22)-9)-10))))</f>
        <v>0.42726012612688941</v>
      </c>
      <c r="M87" s="16">
        <f>IF((1.75-(($A87+5)/($A87+10))*(INDEX('Stat Boosts'!$D$2:$D$192,M$1-9)-10)/((INDEX('Stat Boosts'!$D$2:$D$192,(I87/2+22)-9)-10)))&lt;0.5,POWER(1.1,1.75-(($A87+5)/($A87+10))*(INDEX('Stat Boosts'!$D$2:$D$192,M$1-9)-10)/((INDEX('Stat Boosts'!$D$2:$D$192,(I87/2+22)-9)-10))-0.5)*0.5,(1.75-(($A87+5)/($A87+10))*(INDEX('Stat Boosts'!$D$2:$D$192,M$1-9)-10)/((INDEX('Stat Boosts'!$D$2:$D$192,(I87/2+22)-9)-10))))</f>
        <v>0.41165749626154385</v>
      </c>
      <c r="N87" s="16">
        <f>IF((1.75-(($A87+5)/($A87+10))*(INDEX('Stat Boosts'!$D$2:$D$192,N$1-9)-10)/((INDEX('Stat Boosts'!$D$2:$D$192,(J87/2+22)-9)-10)))&lt;0.5,POWER(1.1,1.75-(($A87+5)/($A87+10))*(INDEX('Stat Boosts'!$D$2:$D$192,N$1-9)-10)/((INDEX('Stat Boosts'!$D$2:$D$192,(J87/2+22)-9)-10))-0.5)*0.5,(1.75-(($A87+5)/($A87+10))*(INDEX('Stat Boosts'!$D$2:$D$192,N$1-9)-10)/((INDEX('Stat Boosts'!$D$2:$D$192,(J87/2+22)-9)-10))))</f>
        <v>0.39243126129217359</v>
      </c>
      <c r="O87" s="16">
        <f>IF((1.75-(($A87+5)/($A87+10))*(INDEX('Stat Boosts'!$D$2:$D$192,O$1-9)-10)/((INDEX('Stat Boosts'!$D$2:$D$192,(K87/2+22)-9)-10)))&lt;0.5,POWER(1.1,1.75-(($A87+5)/($A87+10))*(INDEX('Stat Boosts'!$D$2:$D$192,O$1-9)-10)/((INDEX('Stat Boosts'!$D$2:$D$192,(K87/2+22)-9)-10))-0.5)*0.5,(1.75-(($A87+5)/($A87+10))*(INDEX('Stat Boosts'!$D$2:$D$192,O$1-9)-10)/((INDEX('Stat Boosts'!$D$2:$D$192,(K87/2+22)-9)-10))))</f>
        <v>0.38214075400886272</v>
      </c>
      <c r="P87" s="16">
        <f>IF((1.75-(($A87+5)/($A87+10))*(INDEX('Stat Boosts'!$D$2:$D$192,P$1-9)-10)/((INDEX('Stat Boosts'!$D$2:$D$192,(L87/2+22)-9)-10)))&lt;0.5,POWER(1.1,1.75-(($A87+5)/($A87+10))*(INDEX('Stat Boosts'!$D$2:$D$192,P$1-9)-10)/((INDEX('Stat Boosts'!$D$2:$D$192,(L87/2+22)-9)-10))-0.5)*0.5,(1.75-(($A87+5)/($A87+10))*(INDEX('Stat Boosts'!$D$2:$D$192,P$1-9)-10)/((INDEX('Stat Boosts'!$D$2:$D$192,(L87/2+22)-9)-10))))</f>
        <v>0.36623426290494382</v>
      </c>
      <c r="Q87" s="16">
        <f>IF((1.75-(($A87+5)/($A87+10))*(INDEX('Stat Boosts'!$D$2:$D$192,Q$1-9)-10)/((INDEX('Stat Boosts'!$D$2:$D$192,(M87/2+22)-9)-10)))&lt;0.5,POWER(1.1,1.75-(($A87+5)/($A87+10))*(INDEX('Stat Boosts'!$D$2:$D$192,Q$1-9)-10)/((INDEX('Stat Boosts'!$D$2:$D$192,(M87/2+22)-9)-10))-0.5)*0.5,(1.75-(($A87+5)/($A87+10))*(INDEX('Stat Boosts'!$D$2:$D$192,Q$1-9)-10)/((INDEX('Stat Boosts'!$D$2:$D$192,(M87/2+22)-9)-10))))</f>
        <v>0.35098987459059855</v>
      </c>
      <c r="R87" s="16">
        <f>IF((1.75-(($A87+5)/($A87+10))*1.25*(INDEX('Stat Boosts'!$D$2:$D$192,R$1-9)-10)/((INDEX('Stat Boosts'!$D$2:$D$192,(N87/2+22)-9)-10)))&lt;0.5,POWER(1.1,1.75-(($A87+5)/($A87+10))*1.25*(INDEX('Stat Boosts'!$D$2:$D$192,R$1-9)-10)/((INDEX('Stat Boosts'!$D$2:$D$192,(N87/2+22)-9)-10))-0.5)*0.5,(1.75-(($A87+5)/($A87+10))*1.25*(INDEX('Stat Boosts'!$D$2:$D$192,R$1-9)-10)/((INDEX('Stat Boosts'!$D$2:$D$192,(N87/2+22)-9)-10))))</f>
        <v>0.29570593405859258</v>
      </c>
    </row>
    <row r="88" spans="1:18">
      <c r="A88" s="9">
        <v>87</v>
      </c>
      <c r="B88" s="16">
        <f t="shared" si="2"/>
        <v>56.8</v>
      </c>
      <c r="C88" s="16">
        <f t="shared" si="3"/>
        <v>8.5470085470085479E-3</v>
      </c>
      <c r="E88" s="16">
        <f>IF((1.75-(($A88+5)/($A88+10))*(INDEX('Stat Boosts'!$D$2:$D$192,E$1-9)-10)/((INDEX('Stat Boosts'!$D$2:$D$192,(A88/2+22)-9)-10)))&lt;0.5,POWER(1.1,1.75-(($A88+5)/($A88+10))*(INDEX('Stat Boosts'!$D$2:$D$192,E$1-9)-10)/((INDEX('Stat Boosts'!$D$2:$D$192,(A88/2+22)-9)-10))-0.5)*0.5,(1.75-(($A88+5)/($A88+10))*(INDEX('Stat Boosts'!$D$2:$D$192,E$1-9)-10)/((INDEX('Stat Boosts'!$D$2:$D$192,(A88/2+22)-9)-10))))</f>
        <v>1.75</v>
      </c>
      <c r="F88" s="16">
        <f>IF((1.75-(($A88+5)/($A88+10))*(INDEX('Stat Boosts'!$D$2:$D$192,F$1-9)-10)/((INDEX('Stat Boosts'!$D$2:$D$192,(B88/2+22)-9)-10)))&lt;0.5,POWER(1.1,1.75-(($A88+5)/($A88+10))*(INDEX('Stat Boosts'!$D$2:$D$192,F$1-9)-10)/((INDEX('Stat Boosts'!$D$2:$D$192,(B88/2+22)-9)-10))-0.5)*0.5,(1.75-(($A88+5)/($A88+10))*(INDEX('Stat Boosts'!$D$2:$D$192,F$1-9)-10)/((INDEX('Stat Boosts'!$D$2:$D$192,(B88/2+22)-9)-10))))</f>
        <v>1.6223235527359239</v>
      </c>
      <c r="G88" s="16">
        <f>IF((1.75-(($A88+5)/($A88+10))*(INDEX('Stat Boosts'!$D$2:$D$192,G$1-9)-10)/((INDEX('Stat Boosts'!$D$2:$D$192,(C88/2+22)-9)-10)))&lt;0.5,POWER(1.1,1.75-(($A88+5)/($A88+10))*(INDEX('Stat Boosts'!$D$2:$D$192,G$1-9)-10)/((INDEX('Stat Boosts'!$D$2:$D$192,(C88/2+22)-9)-10))-0.5)*0.5,(1.75-(($A88+5)/($A88+10))*(INDEX('Stat Boosts'!$D$2:$D$192,G$1-9)-10)/((INDEX('Stat Boosts'!$D$2:$D$192,(C88/2+22)-9)-10))))</f>
        <v>0.96892055791388731</v>
      </c>
      <c r="H88" s="16">
        <f>IF((1.75-(($A88+5)/($A88+10))*(INDEX('Stat Boosts'!$D$2:$D$192,H$1-9)-10)/((INDEX('Stat Boosts'!$D$2:$D$192,(D88/2+22)-9)-10)))&lt;0.5,POWER(1.1,1.75-(($A88+5)/($A88+10))*(INDEX('Stat Boosts'!$D$2:$D$192,H$1-9)-10)/((INDEX('Stat Boosts'!$D$2:$D$192,(D88/2+22)-9)-10))-0.5)*0.5,(1.75-(($A88+5)/($A88+10))*(INDEX('Stat Boosts'!$D$2:$D$192,H$1-9)-10)/((INDEX('Stat Boosts'!$D$2:$D$192,(D88/2+22)-9)-10))))</f>
        <v>0.57838083687083075</v>
      </c>
      <c r="I88" s="16">
        <f>IF((1.75-(($A88+5)/($A88+10))*(INDEX('Stat Boosts'!$D$2:$D$192,I$1-9)-10)/((INDEX('Stat Boosts'!$D$2:$D$192,(E88/2+22)-9)-10)))&lt;0.5,POWER(1.1,1.75-(($A88+5)/($A88+10))*(INDEX('Stat Boosts'!$D$2:$D$192,I$1-9)-10)/((INDEX('Stat Boosts'!$D$2:$D$192,(E88/2+22)-9)-10))-0.5)*0.5,(1.75-(($A88+5)/($A88+10))*(INDEX('Stat Boosts'!$D$2:$D$192,I$1-9)-10)/((INDEX('Stat Boosts'!$D$2:$D$192,(E88/2+22)-9)-10))))</f>
        <v>0.48793083601674714</v>
      </c>
      <c r="J88" s="16">
        <f>IF((1.75-(($A88+5)/($A88+10))*(INDEX('Stat Boosts'!$D$2:$D$192,J$1-9)-10)/((INDEX('Stat Boosts'!$D$2:$D$192,(F88/2+22)-9)-10)))&lt;0.5,POWER(1.1,1.75-(($A88+5)/($A88+10))*(INDEX('Stat Boosts'!$D$2:$D$192,J$1-9)-10)/((INDEX('Stat Boosts'!$D$2:$D$192,(F88/2+22)-9)-10))-0.5)*0.5,(1.75-(($A88+5)/($A88+10))*(INDEX('Stat Boosts'!$D$2:$D$192,J$1-9)-10)/((INDEX('Stat Boosts'!$D$2:$D$192,(F88/2+22)-9)-10))))</f>
        <v>0.47260915805545362</v>
      </c>
      <c r="K88" s="16">
        <f>IF((1.75-(($A88+5)/($A88+10))*(INDEX('Stat Boosts'!$D$2:$D$192,K$1-9)-10)/((INDEX('Stat Boosts'!$D$2:$D$192,(G88/2+22)-9)-10)))&lt;0.5,POWER(1.1,1.75-(($A88+5)/($A88+10))*(INDEX('Stat Boosts'!$D$2:$D$192,K$1-9)-10)/((INDEX('Stat Boosts'!$D$2:$D$192,(G88/2+22)-9)-10))-0.5)*0.5,(1.75-(($A88+5)/($A88+10))*(INDEX('Stat Boosts'!$D$2:$D$192,K$1-9)-10)/((INDEX('Stat Boosts'!$D$2:$D$192,(G88/2+22)-9)-10))))</f>
        <v>0.43870355890368479</v>
      </c>
      <c r="L88" s="16">
        <f>IF((1.75-(($A88+5)/($A88+10))*(INDEX('Stat Boosts'!$D$2:$D$192,L$1-9)-10)/((INDEX('Stat Boosts'!$D$2:$D$192,(H88/2+22)-9)-10)))&lt;0.5,POWER(1.1,1.75-(($A88+5)/($A88+10))*(INDEX('Stat Boosts'!$D$2:$D$192,L$1-9)-10)/((INDEX('Stat Boosts'!$D$2:$D$192,(H88/2+22)-9)-10))-0.5)*0.5,(1.75-(($A88+5)/($A88+10))*(INDEX('Stat Boosts'!$D$2:$D$192,L$1-9)-10)/((INDEX('Stat Boosts'!$D$2:$D$192,(H88/2+22)-9)-10))))</f>
        <v>0.42719324876686193</v>
      </c>
      <c r="M88" s="16">
        <f>IF((1.75-(($A88+5)/($A88+10))*(INDEX('Stat Boosts'!$D$2:$D$192,M$1-9)-10)/((INDEX('Stat Boosts'!$D$2:$D$192,(I88/2+22)-9)-10)))&lt;0.5,POWER(1.1,1.75-(($A88+5)/($A88+10))*(INDEX('Stat Boosts'!$D$2:$D$192,M$1-9)-10)/((INDEX('Stat Boosts'!$D$2:$D$192,(I88/2+22)-9)-10))-0.5)*0.5,(1.75-(($A88+5)/($A88+10))*(INDEX('Stat Boosts'!$D$2:$D$192,M$1-9)-10)/((INDEX('Stat Boosts'!$D$2:$D$192,(I88/2+22)-9)-10))))</f>
        <v>0.41158438792921959</v>
      </c>
      <c r="N88" s="16">
        <f>IF((1.75-(($A88+5)/($A88+10))*(INDEX('Stat Boosts'!$D$2:$D$192,N$1-9)-10)/((INDEX('Stat Boosts'!$D$2:$D$192,(J88/2+22)-9)-10)))&lt;0.5,POWER(1.1,1.75-(($A88+5)/($A88+10))*(INDEX('Stat Boosts'!$D$2:$D$192,N$1-9)-10)/((INDEX('Stat Boosts'!$D$2:$D$192,(J88/2+22)-9)-10))-0.5)*0.5,(1.75-(($A88+5)/($A88+10))*(INDEX('Stat Boosts'!$D$2:$D$192,N$1-9)-10)/((INDEX('Stat Boosts'!$D$2:$D$192,(J88/2+22)-9)-10))))</f>
        <v>0.39235093726705467</v>
      </c>
      <c r="O88" s="16">
        <f>IF((1.75-(($A88+5)/($A88+10))*(INDEX('Stat Boosts'!$D$2:$D$192,O$1-9)-10)/((INDEX('Stat Boosts'!$D$2:$D$192,(K88/2+22)-9)-10)))&lt;0.5,POWER(1.1,1.75-(($A88+5)/($A88+10))*(INDEX('Stat Boosts'!$D$2:$D$192,O$1-9)-10)/((INDEX('Stat Boosts'!$D$2:$D$192,(K88/2+22)-9)-10))-0.5)*0.5,(1.75-(($A88+5)/($A88+10))*(INDEX('Stat Boosts'!$D$2:$D$192,O$1-9)-10)/((INDEX('Stat Boosts'!$D$2:$D$192,(K88/2+22)-9)-10))))</f>
        <v>0.38205678560413547</v>
      </c>
      <c r="P88" s="16">
        <f>IF((1.75-(($A88+5)/($A88+10))*(INDEX('Stat Boosts'!$D$2:$D$192,P$1-9)-10)/((INDEX('Stat Boosts'!$D$2:$D$192,(L88/2+22)-9)-10)))&lt;0.5,POWER(1.1,1.75-(($A88+5)/($A88+10))*(INDEX('Stat Boosts'!$D$2:$D$192,P$1-9)-10)/((INDEX('Stat Boosts'!$D$2:$D$192,(L88/2+22)-9)-10))-0.5)*0.5,(1.75-(($A88+5)/($A88+10))*(INDEX('Stat Boosts'!$D$2:$D$192,P$1-9)-10)/((INDEX('Stat Boosts'!$D$2:$D$192,(L88/2+22)-9)-10))))</f>
        <v>0.36614497174850263</v>
      </c>
      <c r="Q88" s="16">
        <f>IF((1.75-(($A88+5)/($A88+10))*(INDEX('Stat Boosts'!$D$2:$D$192,Q$1-9)-10)/((INDEX('Stat Boosts'!$D$2:$D$192,(M88/2+22)-9)-10)))&lt;0.5,POWER(1.1,1.75-(($A88+5)/($A88+10))*(INDEX('Stat Boosts'!$D$2:$D$192,Q$1-9)-10)/((INDEX('Stat Boosts'!$D$2:$D$192,(M88/2+22)-9)-10))-0.5)*0.5,(1.75-(($A88+5)/($A88+10))*(INDEX('Stat Boosts'!$D$2:$D$192,Q$1-9)-10)/((INDEX('Stat Boosts'!$D$2:$D$192,(M88/2+22)-9)-10))))</f>
        <v>0.35089584948667552</v>
      </c>
      <c r="R88" s="16">
        <f>IF((1.75-(($A88+5)/($A88+10))*1.25*(INDEX('Stat Boosts'!$D$2:$D$192,R$1-9)-10)/((INDEX('Stat Boosts'!$D$2:$D$192,(N88/2+22)-9)-10)))&lt;0.5,POWER(1.1,1.75-(($A88+5)/($A88+10))*1.25*(INDEX('Stat Boosts'!$D$2:$D$192,R$1-9)-10)/((INDEX('Stat Boosts'!$D$2:$D$192,(N88/2+22)-9)-10))-0.5)*0.5,(1.75-(($A88+5)/($A88+10))*1.25*(INDEX('Stat Boosts'!$D$2:$D$192,R$1-9)-10)/((INDEX('Stat Boosts'!$D$2:$D$192,(N88/2+22)-9)-10))))</f>
        <v>0.29559801952598408</v>
      </c>
    </row>
    <row r="89" spans="1:18">
      <c r="A89" s="9">
        <v>88</v>
      </c>
      <c r="B89" s="16">
        <f t="shared" si="2"/>
        <v>57.2</v>
      </c>
      <c r="C89" s="16">
        <f t="shared" si="3"/>
        <v>8.4745762711864406E-3</v>
      </c>
      <c r="E89" s="16">
        <f>IF((1.75-(($A89+5)/($A89+10))*(INDEX('Stat Boosts'!$D$2:$D$192,E$1-9)-10)/((INDEX('Stat Boosts'!$D$2:$D$192,(A89/2+22)-9)-10)))&lt;0.5,POWER(1.1,1.75-(($A89+5)/($A89+10))*(INDEX('Stat Boosts'!$D$2:$D$192,E$1-9)-10)/((INDEX('Stat Boosts'!$D$2:$D$192,(A89/2+22)-9)-10))-0.5)*0.5,(1.75-(($A89+5)/($A89+10))*(INDEX('Stat Boosts'!$D$2:$D$192,E$1-9)-10)/((INDEX('Stat Boosts'!$D$2:$D$192,(A89/2+22)-9)-10))))</f>
        <v>1.75</v>
      </c>
      <c r="F89" s="16">
        <f>IF((1.75-(($A89+5)/($A89+10))*(INDEX('Stat Boosts'!$D$2:$D$192,F$1-9)-10)/((INDEX('Stat Boosts'!$D$2:$D$192,(B89/2+22)-9)-10)))&lt;0.5,POWER(1.1,1.75-(($A89+5)/($A89+10))*(INDEX('Stat Boosts'!$D$2:$D$192,F$1-9)-10)/((INDEX('Stat Boosts'!$D$2:$D$192,(B89/2+22)-9)-10))-0.5)*0.5,(1.75-(($A89+5)/($A89+10))*(INDEX('Stat Boosts'!$D$2:$D$192,F$1-9)-10)/((INDEX('Stat Boosts'!$D$2:$D$192,(B89/2+22)-9)-10))))</f>
        <v>1.6222527472527473</v>
      </c>
      <c r="G89" s="16">
        <f>IF((1.75-(($A89+5)/($A89+10))*(INDEX('Stat Boosts'!$D$2:$D$192,G$1-9)-10)/((INDEX('Stat Boosts'!$D$2:$D$192,(C89/2+22)-9)-10)))&lt;0.5,POWER(1.1,1.75-(($A89+5)/($A89+10))*(INDEX('Stat Boosts'!$D$2:$D$192,G$1-9)-10)/((INDEX('Stat Boosts'!$D$2:$D$192,(C89/2+22)-9)-10))-0.5)*0.5,(1.75-(($A89+5)/($A89+10))*(INDEX('Stat Boosts'!$D$2:$D$192,G$1-9)-10)/((INDEX('Stat Boosts'!$D$2:$D$192,(C89/2+22)-9)-10))))</f>
        <v>0.96848739495798319</v>
      </c>
      <c r="H89" s="16">
        <f>IF((1.75-(($A89+5)/($A89+10))*(INDEX('Stat Boosts'!$D$2:$D$192,H$1-9)-10)/((INDEX('Stat Boosts'!$D$2:$D$192,(D89/2+22)-9)-10)))&lt;0.5,POWER(1.1,1.75-(($A89+5)/($A89+10))*(INDEX('Stat Boosts'!$D$2:$D$192,H$1-9)-10)/((INDEX('Stat Boosts'!$D$2:$D$192,(D89/2+22)-9)-10))-0.5)*0.5,(1.75-(($A89+5)/($A89+10))*(INDEX('Stat Boosts'!$D$2:$D$192,H$1-9)-10)/((INDEX('Stat Boosts'!$D$2:$D$192,(D89/2+22)-9)-10))))</f>
        <v>0.57773109243697474</v>
      </c>
      <c r="I89" s="16">
        <f>IF((1.75-(($A89+5)/($A89+10))*(INDEX('Stat Boosts'!$D$2:$D$192,I$1-9)-10)/((INDEX('Stat Boosts'!$D$2:$D$192,(E89/2+22)-9)-10)))&lt;0.5,POWER(1.1,1.75-(($A89+5)/($A89+10))*(INDEX('Stat Boosts'!$D$2:$D$192,I$1-9)-10)/((INDEX('Stat Boosts'!$D$2:$D$192,(E89/2+22)-9)-10))-0.5)*0.5,(1.75-(($A89+5)/($A89+10))*(INDEX('Stat Boosts'!$D$2:$D$192,I$1-9)-10)/((INDEX('Stat Boosts'!$D$2:$D$192,(E89/2+22)-9)-10))))</f>
        <v>0.48789198813867302</v>
      </c>
      <c r="J89" s="16">
        <f>IF((1.75-(($A89+5)/($A89+10))*(INDEX('Stat Boosts'!$D$2:$D$192,J$1-9)-10)/((INDEX('Stat Boosts'!$D$2:$D$192,(F89/2+22)-9)-10)))&lt;0.5,POWER(1.1,1.75-(($A89+5)/($A89+10))*(INDEX('Stat Boosts'!$D$2:$D$192,J$1-9)-10)/((INDEX('Stat Boosts'!$D$2:$D$192,(F89/2+22)-9)-10))-0.5)*0.5,(1.75-(($A89+5)/($A89+10))*(INDEX('Stat Boosts'!$D$2:$D$192,J$1-9)-10)/((INDEX('Stat Boosts'!$D$2:$D$192,(F89/2+22)-9)-10))))</f>
        <v>0.4725631686808931</v>
      </c>
      <c r="K89" s="16">
        <f>IF((1.75-(($A89+5)/($A89+10))*(INDEX('Stat Boosts'!$D$2:$D$192,K$1-9)-10)/((INDEX('Stat Boosts'!$D$2:$D$192,(G89/2+22)-9)-10)))&lt;0.5,POWER(1.1,1.75-(($A89+5)/($A89+10))*(INDEX('Stat Boosts'!$D$2:$D$192,K$1-9)-10)/((INDEX('Stat Boosts'!$D$2:$D$192,(G89/2+22)-9)-10))-0.5)*0.5,(1.75-(($A89+5)/($A89+10))*(INDEX('Stat Boosts'!$D$2:$D$192,K$1-9)-10)/((INDEX('Stat Boosts'!$D$2:$D$192,(G89/2+22)-9)-10))))</f>
        <v>0.43864275919739765</v>
      </c>
      <c r="L89" s="16">
        <f>IF((1.75-(($A89+5)/($A89+10))*(INDEX('Stat Boosts'!$D$2:$D$192,L$1-9)-10)/((INDEX('Stat Boosts'!$D$2:$D$192,(H89/2+22)-9)-10)))&lt;0.5,POWER(1.1,1.75-(($A89+5)/($A89+10))*(INDEX('Stat Boosts'!$D$2:$D$192,L$1-9)-10)/((INDEX('Stat Boosts'!$D$2:$D$192,(H89/2+22)-9)-10))-0.5)*0.5,(1.75-(($A89+5)/($A89+10))*(INDEX('Stat Boosts'!$D$2:$D$192,L$1-9)-10)/((INDEX('Stat Boosts'!$D$2:$D$192,(H89/2+22)-9)-10))))</f>
        <v>0.42712774640070889</v>
      </c>
      <c r="M89" s="16">
        <f>IF((1.75-(($A89+5)/($A89+10))*(INDEX('Stat Boosts'!$D$2:$D$192,M$1-9)-10)/((INDEX('Stat Boosts'!$D$2:$D$192,(I89/2+22)-9)-10)))&lt;0.5,POWER(1.1,1.75-(($A89+5)/($A89+10))*(INDEX('Stat Boosts'!$D$2:$D$192,M$1-9)-10)/((INDEX('Stat Boosts'!$D$2:$D$192,(I89/2+22)-9)-10))-0.5)*0.5,(1.75-(($A89+5)/($A89+10))*(INDEX('Stat Boosts'!$D$2:$D$192,M$1-9)-10)/((INDEX('Stat Boosts'!$D$2:$D$192,(I89/2+22)-9)-10))))</f>
        <v>0.41151278419261461</v>
      </c>
      <c r="N89" s="16">
        <f>IF((1.75-(($A89+5)/($A89+10))*(INDEX('Stat Boosts'!$D$2:$D$192,N$1-9)-10)/((INDEX('Stat Boosts'!$D$2:$D$192,(J89/2+22)-9)-10)))&lt;0.5,POWER(1.1,1.75-(($A89+5)/($A89+10))*(INDEX('Stat Boosts'!$D$2:$D$192,N$1-9)-10)/((INDEX('Stat Boosts'!$D$2:$D$192,(J89/2+22)-9)-10))-0.5)*0.5,(1.75-(($A89+5)/($A89+10))*(INDEX('Stat Boosts'!$D$2:$D$192,N$1-9)-10)/((INDEX('Stat Boosts'!$D$2:$D$192,(J89/2+22)-9)-10))))</f>
        <v>0.39227226844887159</v>
      </c>
      <c r="O89" s="16">
        <f>IF((1.75-(($A89+5)/($A89+10))*(INDEX('Stat Boosts'!$D$2:$D$192,O$1-9)-10)/((INDEX('Stat Boosts'!$D$2:$D$192,(K89/2+22)-9)-10)))&lt;0.5,POWER(1.1,1.75-(($A89+5)/($A89+10))*(INDEX('Stat Boosts'!$D$2:$D$192,O$1-9)-10)/((INDEX('Stat Boosts'!$D$2:$D$192,(K89/2+22)-9)-10))-0.5)*0.5,(1.75-(($A89+5)/($A89+10))*(INDEX('Stat Boosts'!$D$2:$D$192,O$1-9)-10)/((INDEX('Stat Boosts'!$D$2:$D$192,(K89/2+22)-9)-10))))</f>
        <v>0.38197454872989145</v>
      </c>
      <c r="P89" s="16">
        <f>IF((1.75-(($A89+5)/($A89+10))*(INDEX('Stat Boosts'!$D$2:$D$192,P$1-9)-10)/((INDEX('Stat Boosts'!$D$2:$D$192,(L89/2+22)-9)-10)))&lt;0.5,POWER(1.1,1.75-(($A89+5)/($A89+10))*(INDEX('Stat Boosts'!$D$2:$D$192,P$1-9)-10)/((INDEX('Stat Boosts'!$D$2:$D$192,(L89/2+22)-9)-10))-0.5)*0.5,(1.75-(($A89+5)/($A89+10))*(INDEX('Stat Boosts'!$D$2:$D$192,P$1-9)-10)/((INDEX('Stat Boosts'!$D$2:$D$192,(L89/2+22)-9)-10))))</f>
        <v>0.36605752396867564</v>
      </c>
      <c r="Q89" s="16">
        <f>IF((1.75-(($A89+5)/($A89+10))*(INDEX('Stat Boosts'!$D$2:$D$192,Q$1-9)-10)/((INDEX('Stat Boosts'!$D$2:$D$192,(M89/2+22)-9)-10)))&lt;0.5,POWER(1.1,1.75-(($A89+5)/($A89+10))*(INDEX('Stat Boosts'!$D$2:$D$192,Q$1-9)-10)/((INDEX('Stat Boosts'!$D$2:$D$192,(M89/2+22)-9)-10))-0.5)*0.5,(1.75-(($A89+5)/($A89+10))*(INDEX('Stat Boosts'!$D$2:$D$192,Q$1-9)-10)/((INDEX('Stat Boosts'!$D$2:$D$192,(M89/2+22)-9)-10))))</f>
        <v>0.35080376768461763</v>
      </c>
      <c r="R89" s="16">
        <f>IF((1.75-(($A89+5)/($A89+10))*1.25*(INDEX('Stat Boosts'!$D$2:$D$192,R$1-9)-10)/((INDEX('Stat Boosts'!$D$2:$D$192,(N89/2+22)-9)-10)))&lt;0.5,POWER(1.1,1.75-(($A89+5)/($A89+10))*1.25*(INDEX('Stat Boosts'!$D$2:$D$192,R$1-9)-10)/((INDEX('Stat Boosts'!$D$2:$D$192,(N89/2+22)-9)-10))-0.5)*0.5,(1.75-(($A89+5)/($A89+10))*1.25*(INDEX('Stat Boosts'!$D$2:$D$192,R$1-9)-10)/((INDEX('Stat Boosts'!$D$2:$D$192,(N89/2+22)-9)-10))))</f>
        <v>0.29549234551568149</v>
      </c>
    </row>
    <row r="90" spans="1:18">
      <c r="A90" s="9">
        <v>89</v>
      </c>
      <c r="B90" s="16">
        <f t="shared" si="2"/>
        <v>57.6</v>
      </c>
      <c r="C90" s="16">
        <f t="shared" si="3"/>
        <v>8.4033613445378148E-3</v>
      </c>
      <c r="E90" s="16">
        <f>IF((1.75-(($A90+5)/($A90+10))*(INDEX('Stat Boosts'!$D$2:$D$192,E$1-9)-10)/((INDEX('Stat Boosts'!$D$2:$D$192,(A90/2+22)-9)-10)))&lt;0.5,POWER(1.1,1.75-(($A90+5)/($A90+10))*(INDEX('Stat Boosts'!$D$2:$D$192,E$1-9)-10)/((INDEX('Stat Boosts'!$D$2:$D$192,(A90/2+22)-9)-10))-0.5)*0.5,(1.75-(($A90+5)/($A90+10))*(INDEX('Stat Boosts'!$D$2:$D$192,E$1-9)-10)/((INDEX('Stat Boosts'!$D$2:$D$192,(A90/2+22)-9)-10))))</f>
        <v>1.75</v>
      </c>
      <c r="F90" s="16">
        <f>IF((1.75-(($A90+5)/($A90+10))*(INDEX('Stat Boosts'!$D$2:$D$192,F$1-9)-10)/((INDEX('Stat Boosts'!$D$2:$D$192,(B90/2+22)-9)-10)))&lt;0.5,POWER(1.1,1.75-(($A90+5)/($A90+10))*(INDEX('Stat Boosts'!$D$2:$D$192,F$1-9)-10)/((INDEX('Stat Boosts'!$D$2:$D$192,(B90/2+22)-9)-10))-0.5)*0.5,(1.75-(($A90+5)/($A90+10))*(INDEX('Stat Boosts'!$D$2:$D$192,F$1-9)-10)/((INDEX('Stat Boosts'!$D$2:$D$192,(B90/2+22)-9)-10))))</f>
        <v>1.6221833721833723</v>
      </c>
      <c r="G90" s="16">
        <f>IF((1.75-(($A90+5)/($A90+10))*(INDEX('Stat Boosts'!$D$2:$D$192,G$1-9)-10)/((INDEX('Stat Boosts'!$D$2:$D$192,(C90/2+22)-9)-10)))&lt;0.5,POWER(1.1,1.75-(($A90+5)/($A90+10))*(INDEX('Stat Boosts'!$D$2:$D$192,G$1-9)-10)/((INDEX('Stat Boosts'!$D$2:$D$192,(C90/2+22)-9)-10))-0.5)*0.5,(1.75-(($A90+5)/($A90+10))*(INDEX('Stat Boosts'!$D$2:$D$192,G$1-9)-10)/((INDEX('Stat Boosts'!$D$2:$D$192,(C90/2+22)-9)-10))))</f>
        <v>0.96806298276886515</v>
      </c>
      <c r="H90" s="16">
        <f>IF((1.75-(($A90+5)/($A90+10))*(INDEX('Stat Boosts'!$D$2:$D$192,H$1-9)-10)/((INDEX('Stat Boosts'!$D$2:$D$192,(D90/2+22)-9)-10)))&lt;0.5,POWER(1.1,1.75-(($A90+5)/($A90+10))*(INDEX('Stat Boosts'!$D$2:$D$192,H$1-9)-10)/((INDEX('Stat Boosts'!$D$2:$D$192,(D90/2+22)-9)-10))-0.5)*0.5,(1.75-(($A90+5)/($A90+10))*(INDEX('Stat Boosts'!$D$2:$D$192,H$1-9)-10)/((INDEX('Stat Boosts'!$D$2:$D$192,(D90/2+22)-9)-10))))</f>
        <v>0.57709447415329751</v>
      </c>
      <c r="I90" s="16">
        <f>IF((1.75-(($A90+5)/($A90+10))*(INDEX('Stat Boosts'!$D$2:$D$192,I$1-9)-10)/((INDEX('Stat Boosts'!$D$2:$D$192,(E90/2+22)-9)-10)))&lt;0.5,POWER(1.1,1.75-(($A90+5)/($A90+10))*(INDEX('Stat Boosts'!$D$2:$D$192,I$1-9)-10)/((INDEX('Stat Boosts'!$D$2:$D$192,(E90/2+22)-9)-10))-0.5)*0.5,(1.75-(($A90+5)/($A90+10))*(INDEX('Stat Boosts'!$D$2:$D$192,I$1-9)-10)/((INDEX('Stat Boosts'!$D$2:$D$192,(E90/2+22)-9)-10))))</f>
        <v>0.48785392806609723</v>
      </c>
      <c r="J90" s="16">
        <f>IF((1.75-(($A90+5)/($A90+10))*(INDEX('Stat Boosts'!$D$2:$D$192,J$1-9)-10)/((INDEX('Stat Boosts'!$D$2:$D$192,(F90/2+22)-9)-10)))&lt;0.5,POWER(1.1,1.75-(($A90+5)/($A90+10))*(INDEX('Stat Boosts'!$D$2:$D$192,J$1-9)-10)/((INDEX('Stat Boosts'!$D$2:$D$192,(F90/2+22)-9)-10))-0.5)*0.5,(1.75-(($A90+5)/($A90+10))*(INDEX('Stat Boosts'!$D$2:$D$192,J$1-9)-10)/((INDEX('Stat Boosts'!$D$2:$D$192,(F90/2+22)-9)-10))))</f>
        <v>0.47251811272511463</v>
      </c>
      <c r="K90" s="16">
        <f>IF((1.75-(($A90+5)/($A90+10))*(INDEX('Stat Boosts'!$D$2:$D$192,K$1-9)-10)/((INDEX('Stat Boosts'!$D$2:$D$192,(G90/2+22)-9)-10)))&lt;0.5,POWER(1.1,1.75-(($A90+5)/($A90+10))*(INDEX('Stat Boosts'!$D$2:$D$192,K$1-9)-10)/((INDEX('Stat Boosts'!$D$2:$D$192,(G90/2+22)-9)-10))-0.5)*0.5,(1.75-(($A90+5)/($A90+10))*(INDEX('Stat Boosts'!$D$2:$D$192,K$1-9)-10)/((INDEX('Stat Boosts'!$D$2:$D$192,(G90/2+22)-9)-10))))</f>
        <v>0.4385831959405937</v>
      </c>
      <c r="L90" s="16">
        <f>IF((1.75-(($A90+5)/($A90+10))*(INDEX('Stat Boosts'!$D$2:$D$192,L$1-9)-10)/((INDEX('Stat Boosts'!$D$2:$D$192,(H90/2+22)-9)-10)))&lt;0.5,POWER(1.1,1.75-(($A90+5)/($A90+10))*(INDEX('Stat Boosts'!$D$2:$D$192,L$1-9)-10)/((INDEX('Stat Boosts'!$D$2:$D$192,(H90/2+22)-9)-10))-0.5)*0.5,(1.75-(($A90+5)/($A90+10))*(INDEX('Stat Boosts'!$D$2:$D$192,L$1-9)-10)/((INDEX('Stat Boosts'!$D$2:$D$192,(H90/2+22)-9)-10))))</f>
        <v>0.42706357705599235</v>
      </c>
      <c r="M90" s="16">
        <f>IF((1.75-(($A90+5)/($A90+10))*(INDEX('Stat Boosts'!$D$2:$D$192,M$1-9)-10)/((INDEX('Stat Boosts'!$D$2:$D$192,(I90/2+22)-9)-10)))&lt;0.5,POWER(1.1,1.75-(($A90+5)/($A90+10))*(INDEX('Stat Boosts'!$D$2:$D$192,M$1-9)-10)/((INDEX('Stat Boosts'!$D$2:$D$192,(I90/2+22)-9)-10))-0.5)*0.5,(1.75-(($A90+5)/($A90+10))*(INDEX('Stat Boosts'!$D$2:$D$192,M$1-9)-10)/((INDEX('Stat Boosts'!$D$2:$D$192,(I90/2+22)-9)-10))))</f>
        <v>0.41144263907818696</v>
      </c>
      <c r="N90" s="16">
        <f>IF((1.75-(($A90+5)/($A90+10))*(INDEX('Stat Boosts'!$D$2:$D$192,N$1-9)-10)/((INDEX('Stat Boosts'!$D$2:$D$192,(J90/2+22)-9)-10)))&lt;0.5,POWER(1.1,1.75-(($A90+5)/($A90+10))*(INDEX('Stat Boosts'!$D$2:$D$192,N$1-9)-10)/((INDEX('Stat Boosts'!$D$2:$D$192,(J90/2+22)-9)-10))-0.5)*0.5,(1.75-(($A90+5)/($A90+10))*(INDEX('Stat Boosts'!$D$2:$D$192,N$1-9)-10)/((INDEX('Stat Boosts'!$D$2:$D$192,(J90/2+22)-9)-10))))</f>
        <v>0.39219520419858483</v>
      </c>
      <c r="O90" s="16">
        <f>IF((1.75-(($A90+5)/($A90+10))*(INDEX('Stat Boosts'!$D$2:$D$192,O$1-9)-10)/((INDEX('Stat Boosts'!$D$2:$D$192,(K90/2+22)-9)-10)))&lt;0.5,POWER(1.1,1.75-(($A90+5)/($A90+10))*(INDEX('Stat Boosts'!$D$2:$D$192,O$1-9)-10)/((INDEX('Stat Boosts'!$D$2:$D$192,(K90/2+22)-9)-10))-0.5)*0.5,(1.75-(($A90+5)/($A90+10))*(INDEX('Stat Boosts'!$D$2:$D$192,O$1-9)-10)/((INDEX('Stat Boosts'!$D$2:$D$192,(K90/2+22)-9)-10))))</f>
        <v>0.38189399037518063</v>
      </c>
      <c r="P90" s="16">
        <f>IF((1.75-(($A90+5)/($A90+10))*(INDEX('Stat Boosts'!$D$2:$D$192,P$1-9)-10)/((INDEX('Stat Boosts'!$D$2:$D$192,(L90/2+22)-9)-10)))&lt;0.5,POWER(1.1,1.75-(($A90+5)/($A90+10))*(INDEX('Stat Boosts'!$D$2:$D$192,P$1-9)-10)/((INDEX('Stat Boosts'!$D$2:$D$192,(L90/2+22)-9)-10))-0.5)*0.5,(1.75-(($A90+5)/($A90+10))*(INDEX('Stat Boosts'!$D$2:$D$192,P$1-9)-10)/((INDEX('Stat Boosts'!$D$2:$D$192,(L90/2+22)-9)-10))))</f>
        <v>0.36597186306754637</v>
      </c>
      <c r="Q90" s="16">
        <f>IF((1.75-(($A90+5)/($A90+10))*(INDEX('Stat Boosts'!$D$2:$D$192,Q$1-9)-10)/((INDEX('Stat Boosts'!$D$2:$D$192,(M90/2+22)-9)-10)))&lt;0.5,POWER(1.1,1.75-(($A90+5)/($A90+10))*(INDEX('Stat Boosts'!$D$2:$D$192,Q$1-9)-10)/((INDEX('Stat Boosts'!$D$2:$D$192,(M90/2+22)-9)-10))-0.5)*0.5,(1.75-(($A90+5)/($A90+10))*(INDEX('Stat Boosts'!$D$2:$D$192,Q$1-9)-10)/((INDEX('Stat Boosts'!$D$2:$D$192,(M90/2+22)-9)-10))))</f>
        <v>0.35071356955774541</v>
      </c>
      <c r="R90" s="16">
        <f>IF((1.75-(($A90+5)/($A90+10))*1.25*(INDEX('Stat Boosts'!$D$2:$D$192,R$1-9)-10)/((INDEX('Stat Boosts'!$D$2:$D$192,(N90/2+22)-9)-10)))&lt;0.5,POWER(1.1,1.75-(($A90+5)/($A90+10))*1.25*(INDEX('Stat Boosts'!$D$2:$D$192,R$1-9)-10)/((INDEX('Stat Boosts'!$D$2:$D$192,(N90/2+22)-9)-10))-0.5)*0.5,(1.75-(($A90+5)/($A90+10))*1.25*(INDEX('Stat Boosts'!$D$2:$D$192,R$1-9)-10)/((INDEX('Stat Boosts'!$D$2:$D$192,(N90/2+22)-9)-10))))</f>
        <v>0.29538884297453294</v>
      </c>
    </row>
    <row r="91" spans="1:18">
      <c r="A91" s="9">
        <v>90</v>
      </c>
      <c r="B91" s="16">
        <f t="shared" si="2"/>
        <v>58</v>
      </c>
      <c r="C91" s="16">
        <f t="shared" si="3"/>
        <v>8.3333333333333332E-3</v>
      </c>
      <c r="E91" s="16">
        <f>IF((1.75-(($A91+5)/($A91+10))*(INDEX('Stat Boosts'!$D$2:$D$192,E$1-9)-10)/((INDEX('Stat Boosts'!$D$2:$D$192,(A91/2+22)-9)-10)))&lt;0.5,POWER(1.1,1.75-(($A91+5)/($A91+10))*(INDEX('Stat Boosts'!$D$2:$D$192,E$1-9)-10)/((INDEX('Stat Boosts'!$D$2:$D$192,(A91/2+22)-9)-10))-0.5)*0.5,(1.75-(($A91+5)/($A91+10))*(INDEX('Stat Boosts'!$D$2:$D$192,E$1-9)-10)/((INDEX('Stat Boosts'!$D$2:$D$192,(A91/2+22)-9)-10))))</f>
        <v>1.75</v>
      </c>
      <c r="F91" s="16">
        <f>IF((1.75-(($A91+5)/($A91+10))*(INDEX('Stat Boosts'!$D$2:$D$192,F$1-9)-10)/((INDEX('Stat Boosts'!$D$2:$D$192,(B91/2+22)-9)-10)))&lt;0.5,POWER(1.1,1.75-(($A91+5)/($A91+10))*(INDEX('Stat Boosts'!$D$2:$D$192,F$1-9)-10)/((INDEX('Stat Boosts'!$D$2:$D$192,(B91/2+22)-9)-10))-0.5)*0.5,(1.75-(($A91+5)/($A91+10))*(INDEX('Stat Boosts'!$D$2:$D$192,F$1-9)-10)/((INDEX('Stat Boosts'!$D$2:$D$192,(B91/2+22)-9)-10))))</f>
        <v>1.6290909090909091</v>
      </c>
      <c r="G91" s="16">
        <f>IF((1.75-(($A91+5)/($A91+10))*(INDEX('Stat Boosts'!$D$2:$D$192,G$1-9)-10)/((INDEX('Stat Boosts'!$D$2:$D$192,(C91/2+22)-9)-10)))&lt;0.5,POWER(1.1,1.75-(($A91+5)/($A91+10))*(INDEX('Stat Boosts'!$D$2:$D$192,G$1-9)-10)/((INDEX('Stat Boosts'!$D$2:$D$192,(C91/2+22)-9)-10))-0.5)*0.5,(1.75-(($A91+5)/($A91+10))*(INDEX('Stat Boosts'!$D$2:$D$192,G$1-9)-10)/((INDEX('Stat Boosts'!$D$2:$D$192,(C91/2+22)-9)-10))))</f>
        <v>0.96764705882352953</v>
      </c>
      <c r="H91" s="16">
        <f>IF((1.75-(($A91+5)/($A91+10))*(INDEX('Stat Boosts'!$D$2:$D$192,H$1-9)-10)/((INDEX('Stat Boosts'!$D$2:$D$192,(D91/2+22)-9)-10)))&lt;0.5,POWER(1.1,1.75-(($A91+5)/($A91+10))*(INDEX('Stat Boosts'!$D$2:$D$192,H$1-9)-10)/((INDEX('Stat Boosts'!$D$2:$D$192,(D91/2+22)-9)-10))-0.5)*0.5,(1.75-(($A91+5)/($A91+10))*(INDEX('Stat Boosts'!$D$2:$D$192,H$1-9)-10)/((INDEX('Stat Boosts'!$D$2:$D$192,(D91/2+22)-9)-10))))</f>
        <v>0.57647058823529407</v>
      </c>
      <c r="I91" s="16">
        <f>IF((1.75-(($A91+5)/($A91+10))*(INDEX('Stat Boosts'!$D$2:$D$192,I$1-9)-10)/((INDEX('Stat Boosts'!$D$2:$D$192,(E91/2+22)-9)-10)))&lt;0.5,POWER(1.1,1.75-(($A91+5)/($A91+10))*(INDEX('Stat Boosts'!$D$2:$D$192,I$1-9)-10)/((INDEX('Stat Boosts'!$D$2:$D$192,(E91/2+22)-9)-10))-0.5)*0.5,(1.75-(($A91+5)/($A91+10))*(INDEX('Stat Boosts'!$D$2:$D$192,I$1-9)-10)/((INDEX('Stat Boosts'!$D$2:$D$192,(E91/2+22)-9)-10))))</f>
        <v>0.48781663207553383</v>
      </c>
      <c r="J91" s="16">
        <f>IF((1.75-(($A91+5)/($A91+10))*(INDEX('Stat Boosts'!$D$2:$D$192,J$1-9)-10)/((INDEX('Stat Boosts'!$D$2:$D$192,(F91/2+22)-9)-10)))&lt;0.5,POWER(1.1,1.75-(($A91+5)/($A91+10))*(INDEX('Stat Boosts'!$D$2:$D$192,J$1-9)-10)/((INDEX('Stat Boosts'!$D$2:$D$192,(F91/2+22)-9)-10))-0.5)*0.5,(1.75-(($A91+5)/($A91+10))*(INDEX('Stat Boosts'!$D$2:$D$192,J$1-9)-10)/((INDEX('Stat Boosts'!$D$2:$D$192,(F91/2+22)-9)-10))))</f>
        <v>0.47247396205624431</v>
      </c>
      <c r="K91" s="16">
        <f>IF((1.75-(($A91+5)/($A91+10))*(INDEX('Stat Boosts'!$D$2:$D$192,K$1-9)-10)/((INDEX('Stat Boosts'!$D$2:$D$192,(G91/2+22)-9)-10)))&lt;0.5,POWER(1.1,1.75-(($A91+5)/($A91+10))*(INDEX('Stat Boosts'!$D$2:$D$192,K$1-9)-10)/((INDEX('Stat Boosts'!$D$2:$D$192,(G91/2+22)-9)-10))-0.5)*0.5,(1.75-(($A91+5)/($A91+10))*(INDEX('Stat Boosts'!$D$2:$D$192,K$1-9)-10)/((INDEX('Stat Boosts'!$D$2:$D$192,(G91/2+22)-9)-10))))</f>
        <v>0.43852483179599655</v>
      </c>
      <c r="L91" s="16">
        <f>IF((1.75-(($A91+5)/($A91+10))*(INDEX('Stat Boosts'!$D$2:$D$192,L$1-9)-10)/((INDEX('Stat Boosts'!$D$2:$D$192,(H91/2+22)-9)-10)))&lt;0.5,POWER(1.1,1.75-(($A91+5)/($A91+10))*(INDEX('Stat Boosts'!$D$2:$D$192,L$1-9)-10)/((INDEX('Stat Boosts'!$D$2:$D$192,(H91/2+22)-9)-10))-0.5)*0.5,(1.75-(($A91+5)/($A91+10))*(INDEX('Stat Boosts'!$D$2:$D$192,L$1-9)-10)/((INDEX('Stat Boosts'!$D$2:$D$192,(H91/2+22)-9)-10))))</f>
        <v>0.42700070045134675</v>
      </c>
      <c r="M91" s="16">
        <f>IF((1.75-(($A91+5)/($A91+10))*(INDEX('Stat Boosts'!$D$2:$D$192,M$1-9)-10)/((INDEX('Stat Boosts'!$D$2:$D$192,(I91/2+22)-9)-10)))&lt;0.5,POWER(1.1,1.75-(($A91+5)/($A91+10))*(INDEX('Stat Boosts'!$D$2:$D$192,M$1-9)-10)/((INDEX('Stat Boosts'!$D$2:$D$192,(I91/2+22)-9)-10))-0.5)*0.5,(1.75-(($A91+5)/($A91+10))*(INDEX('Stat Boosts'!$D$2:$D$192,M$1-9)-10)/((INDEX('Stat Boosts'!$D$2:$D$192,(I91/2+22)-9)-10))))</f>
        <v>0.41137390846645649</v>
      </c>
      <c r="N91" s="16">
        <f>IF((1.75-(($A91+5)/($A91+10))*(INDEX('Stat Boosts'!$D$2:$D$192,N$1-9)-10)/((INDEX('Stat Boosts'!$D$2:$D$192,(J91/2+22)-9)-10)))&lt;0.5,POWER(1.1,1.75-(($A91+5)/($A91+10))*(INDEX('Stat Boosts'!$D$2:$D$192,N$1-9)-10)/((INDEX('Stat Boosts'!$D$2:$D$192,(J91/2+22)-9)-10))-0.5)*0.5,(1.75-(($A91+5)/($A91+10))*(INDEX('Stat Boosts'!$D$2:$D$192,N$1-9)-10)/((INDEX('Stat Boosts'!$D$2:$D$192,(J91/2+22)-9)-10))))</f>
        <v>0.39211969592189522</v>
      </c>
      <c r="O91" s="16">
        <f>IF((1.75-(($A91+5)/($A91+10))*(INDEX('Stat Boosts'!$D$2:$D$192,O$1-9)-10)/((INDEX('Stat Boosts'!$D$2:$D$192,(K91/2+22)-9)-10)))&lt;0.5,POWER(1.1,1.75-(($A91+5)/($A91+10))*(INDEX('Stat Boosts'!$D$2:$D$192,O$1-9)-10)/((INDEX('Stat Boosts'!$D$2:$D$192,(K91/2+22)-9)-10))-0.5)*0.5,(1.75-(($A91+5)/($A91+10))*(INDEX('Stat Boosts'!$D$2:$D$192,O$1-9)-10)/((INDEX('Stat Boosts'!$D$2:$D$192,(K91/2+22)-9)-10))))</f>
        <v>0.38181505967103352</v>
      </c>
      <c r="P91" s="16">
        <f>IF((1.75-(($A91+5)/($A91+10))*(INDEX('Stat Boosts'!$D$2:$D$192,P$1-9)-10)/((INDEX('Stat Boosts'!$D$2:$D$192,(L91/2+22)-9)-10)))&lt;0.5,POWER(1.1,1.75-(($A91+5)/($A91+10))*(INDEX('Stat Boosts'!$D$2:$D$192,P$1-9)-10)/((INDEX('Stat Boosts'!$D$2:$D$192,(L91/2+22)-9)-10))-0.5)*0.5,(1.75-(($A91+5)/($A91+10))*(INDEX('Stat Boosts'!$D$2:$D$192,P$1-9)-10)/((INDEX('Stat Boosts'!$D$2:$D$192,(L91/2+22)-9)-10))))</f>
        <v>0.36588793483257137</v>
      </c>
      <c r="Q91" s="16">
        <f>IF((1.75-(($A91+5)/($A91+10))*(INDEX('Stat Boosts'!$D$2:$D$192,Q$1-9)-10)/((INDEX('Stat Boosts'!$D$2:$D$192,(M91/2+22)-9)-10)))&lt;0.5,POWER(1.1,1.75-(($A91+5)/($A91+10))*(INDEX('Stat Boosts'!$D$2:$D$192,Q$1-9)-10)/((INDEX('Stat Boosts'!$D$2:$D$192,(M91/2+22)-9)-10))-0.5)*0.5,(1.75-(($A91+5)/($A91+10))*(INDEX('Stat Boosts'!$D$2:$D$192,Q$1-9)-10)/((INDEX('Stat Boosts'!$D$2:$D$192,(M91/2+22)-9)-10))))</f>
        <v>0.35062519789394347</v>
      </c>
      <c r="R91" s="16">
        <f>IF((1.75-(($A91+5)/($A91+10))*1.25*(INDEX('Stat Boosts'!$D$2:$D$192,R$1-9)-10)/((INDEX('Stat Boosts'!$D$2:$D$192,(N91/2+22)-9)-10)))&lt;0.5,POWER(1.1,1.75-(($A91+5)/($A91+10))*1.25*(INDEX('Stat Boosts'!$D$2:$D$192,R$1-9)-10)/((INDEX('Stat Boosts'!$D$2:$D$192,(N91/2+22)-9)-10))-0.5)*0.5,(1.75-(($A91+5)/($A91+10))*1.25*(INDEX('Stat Boosts'!$D$2:$D$192,R$1-9)-10)/((INDEX('Stat Boosts'!$D$2:$D$192,(N91/2+22)-9)-10))))</f>
        <v>0.29528744565790893</v>
      </c>
    </row>
    <row r="92" spans="1:18">
      <c r="A92" s="9">
        <v>91</v>
      </c>
      <c r="B92" s="16">
        <f t="shared" si="2"/>
        <v>58.4</v>
      </c>
      <c r="C92" s="16">
        <f t="shared" si="3"/>
        <v>8.2644628099173556E-3</v>
      </c>
      <c r="E92" s="16">
        <f>IF((1.75-(($A92+5)/($A92+10))*(INDEX('Stat Boosts'!$D$2:$D$192,E$1-9)-10)/((INDEX('Stat Boosts'!$D$2:$D$192,(A92/2+22)-9)-10)))&lt;0.5,POWER(1.1,1.75-(($A92+5)/($A92+10))*(INDEX('Stat Boosts'!$D$2:$D$192,E$1-9)-10)/((INDEX('Stat Boosts'!$D$2:$D$192,(A92/2+22)-9)-10))-0.5)*0.5,(1.75-(($A92+5)/($A92+10))*(INDEX('Stat Boosts'!$D$2:$D$192,E$1-9)-10)/((INDEX('Stat Boosts'!$D$2:$D$192,(A92/2+22)-9)-10))))</f>
        <v>1.75</v>
      </c>
      <c r="F92" s="16">
        <f>IF((1.75-(($A92+5)/($A92+10))*(INDEX('Stat Boosts'!$D$2:$D$192,F$1-9)-10)/((INDEX('Stat Boosts'!$D$2:$D$192,(B92/2+22)-9)-10)))&lt;0.5,POWER(1.1,1.75-(($A92+5)/($A92+10))*(INDEX('Stat Boosts'!$D$2:$D$192,F$1-9)-10)/((INDEX('Stat Boosts'!$D$2:$D$192,(B92/2+22)-9)-10))-0.5)*0.5,(1.75-(($A92+5)/($A92+10))*(INDEX('Stat Boosts'!$D$2:$D$192,F$1-9)-10)/((INDEX('Stat Boosts'!$D$2:$D$192,(B92/2+22)-9)-10))))</f>
        <v>1.629027902790279</v>
      </c>
      <c r="G92" s="16">
        <f>IF((1.75-(($A92+5)/($A92+10))*(INDEX('Stat Boosts'!$D$2:$D$192,G$1-9)-10)/((INDEX('Stat Boosts'!$D$2:$D$192,(C92/2+22)-9)-10)))&lt;0.5,POWER(1.1,1.75-(($A92+5)/($A92+10))*(INDEX('Stat Boosts'!$D$2:$D$192,G$1-9)-10)/((INDEX('Stat Boosts'!$D$2:$D$192,(C92/2+22)-9)-10))-0.5)*0.5,(1.75-(($A92+5)/($A92+10))*(INDEX('Stat Boosts'!$D$2:$D$192,G$1-9)-10)/((INDEX('Stat Boosts'!$D$2:$D$192,(C92/2+22)-9)-10))))</f>
        <v>0.96723937099592316</v>
      </c>
      <c r="H92" s="16">
        <f>IF((1.75-(($A92+5)/($A92+10))*(INDEX('Stat Boosts'!$D$2:$D$192,H$1-9)-10)/((INDEX('Stat Boosts'!$D$2:$D$192,(D92/2+22)-9)-10)))&lt;0.5,POWER(1.1,1.75-(($A92+5)/($A92+10))*(INDEX('Stat Boosts'!$D$2:$D$192,H$1-9)-10)/((INDEX('Stat Boosts'!$D$2:$D$192,(D92/2+22)-9)-10))-0.5)*0.5,(1.75-(($A92+5)/($A92+10))*(INDEX('Stat Boosts'!$D$2:$D$192,H$1-9)-10)/((INDEX('Stat Boosts'!$D$2:$D$192,(D92/2+22)-9)-10))))</f>
        <v>0.57585905649388458</v>
      </c>
      <c r="I92" s="16">
        <f>IF((1.75-(($A92+5)/($A92+10))*(INDEX('Stat Boosts'!$D$2:$D$192,I$1-9)-10)/((INDEX('Stat Boosts'!$D$2:$D$192,(E92/2+22)-9)-10)))&lt;0.5,POWER(1.1,1.75-(($A92+5)/($A92+10))*(INDEX('Stat Boosts'!$D$2:$D$192,I$1-9)-10)/((INDEX('Stat Boosts'!$D$2:$D$192,(E92/2+22)-9)-10))-0.5)*0.5,(1.75-(($A92+5)/($A92+10))*(INDEX('Stat Boosts'!$D$2:$D$192,I$1-9)-10)/((INDEX('Stat Boosts'!$D$2:$D$192,(E92/2+22)-9)-10))))</f>
        <v>0.48778007738655155</v>
      </c>
      <c r="J92" s="16">
        <f>IF((1.75-(($A92+5)/($A92+10))*(INDEX('Stat Boosts'!$D$2:$D$192,J$1-9)-10)/((INDEX('Stat Boosts'!$D$2:$D$192,(F92/2+22)-9)-10)))&lt;0.5,POWER(1.1,1.75-(($A92+5)/($A92+10))*(INDEX('Stat Boosts'!$D$2:$D$192,J$1-9)-10)/((INDEX('Stat Boosts'!$D$2:$D$192,(F92/2+22)-9)-10))-0.5)*0.5,(1.75-(($A92+5)/($A92+10))*(INDEX('Stat Boosts'!$D$2:$D$192,J$1-9)-10)/((INDEX('Stat Boosts'!$D$2:$D$192,(F92/2+22)-9)-10))))</f>
        <v>0.4724306896616276</v>
      </c>
      <c r="K92" s="16">
        <f>IF((1.75-(($A92+5)/($A92+10))*(INDEX('Stat Boosts'!$D$2:$D$192,K$1-9)-10)/((INDEX('Stat Boosts'!$D$2:$D$192,(G92/2+22)-9)-10)))&lt;0.5,POWER(1.1,1.75-(($A92+5)/($A92+10))*(INDEX('Stat Boosts'!$D$2:$D$192,K$1-9)-10)/((INDEX('Stat Boosts'!$D$2:$D$192,(G92/2+22)-9)-10))-0.5)*0.5,(1.75-(($A92+5)/($A92+10))*(INDEX('Stat Boosts'!$D$2:$D$192,K$1-9)-10)/((INDEX('Stat Boosts'!$D$2:$D$192,(G92/2+22)-9)-10))))</f>
        <v>0.43846763091463509</v>
      </c>
      <c r="L92" s="16">
        <f>IF((1.75-(($A92+5)/($A92+10))*(INDEX('Stat Boosts'!$D$2:$D$192,L$1-9)-10)/((INDEX('Stat Boosts'!$D$2:$D$192,(H92/2+22)-9)-10)))&lt;0.5,POWER(1.1,1.75-(($A92+5)/($A92+10))*(INDEX('Stat Boosts'!$D$2:$D$192,L$1-9)-10)/((INDEX('Stat Boosts'!$D$2:$D$192,(H92/2+22)-9)-10))-0.5)*0.5,(1.75-(($A92+5)/($A92+10))*(INDEX('Stat Boosts'!$D$2:$D$192,L$1-9)-10)/((INDEX('Stat Boosts'!$D$2:$D$192,(H92/2+22)-9)-10))))</f>
        <v>0.42693907791216235</v>
      </c>
      <c r="M92" s="16">
        <f>IF((1.75-(($A92+5)/($A92+10))*(INDEX('Stat Boosts'!$D$2:$D$192,M$1-9)-10)/((INDEX('Stat Boosts'!$D$2:$D$192,(I92/2+22)-9)-10)))&lt;0.5,POWER(1.1,1.75-(($A92+5)/($A92+10))*(INDEX('Stat Boosts'!$D$2:$D$192,M$1-9)-10)/((INDEX('Stat Boosts'!$D$2:$D$192,(I92/2+22)-9)-10))-0.5)*0.5,(1.75-(($A92+5)/($A92+10))*(INDEX('Stat Boosts'!$D$2:$D$192,M$1-9)-10)/((INDEX('Stat Boosts'!$D$2:$D$192,(I92/2+22)-9)-10))))</f>
        <v>0.41130654999947464</v>
      </c>
      <c r="N92" s="16">
        <f>IF((1.75-(($A92+5)/($A92+10))*(INDEX('Stat Boosts'!$D$2:$D$192,N$1-9)-10)/((INDEX('Stat Boosts'!$D$2:$D$192,(J92/2+22)-9)-10)))&lt;0.5,POWER(1.1,1.75-(($A92+5)/($A92+10))*(INDEX('Stat Boosts'!$D$2:$D$192,N$1-9)-10)/((INDEX('Stat Boosts'!$D$2:$D$192,(J92/2+22)-9)-10))-0.5)*0.5,(1.75-(($A92+5)/($A92+10))*(INDEX('Stat Boosts'!$D$2:$D$192,N$1-9)-10)/((INDEX('Stat Boosts'!$D$2:$D$192,(J92/2+22)-9)-10))))</f>
        <v>0.39204569696707275</v>
      </c>
      <c r="O92" s="16">
        <f>IF((1.75-(($A92+5)/($A92+10))*(INDEX('Stat Boosts'!$D$2:$D$192,O$1-9)-10)/((INDEX('Stat Boosts'!$D$2:$D$192,(K92/2+22)-9)-10)))&lt;0.5,POWER(1.1,1.75-(($A92+5)/($A92+10))*(INDEX('Stat Boosts'!$D$2:$D$192,O$1-9)-10)/((INDEX('Stat Boosts'!$D$2:$D$192,(K92/2+22)-9)-10))-0.5)*0.5,(1.75-(($A92+5)/($A92+10))*(INDEX('Stat Boosts'!$D$2:$D$192,O$1-9)-10)/((INDEX('Stat Boosts'!$D$2:$D$192,(K92/2+22)-9)-10))))</f>
        <v>0.38173770778335986</v>
      </c>
      <c r="P92" s="16">
        <f>IF((1.75-(($A92+5)/($A92+10))*(INDEX('Stat Boosts'!$D$2:$D$192,P$1-9)-10)/((INDEX('Stat Boosts'!$D$2:$D$192,(L92/2+22)-9)-10)))&lt;0.5,POWER(1.1,1.75-(($A92+5)/($A92+10))*(INDEX('Stat Boosts'!$D$2:$D$192,P$1-9)-10)/((INDEX('Stat Boosts'!$D$2:$D$192,(L92/2+22)-9)-10))-0.5)*0.5,(1.75-(($A92+5)/($A92+10))*(INDEX('Stat Boosts'!$D$2:$D$192,P$1-9)-10)/((INDEX('Stat Boosts'!$D$2:$D$192,(L92/2+22)-9)-10))))</f>
        <v>0.36580568722218598</v>
      </c>
      <c r="Q92" s="16">
        <f>IF((1.75-(($A92+5)/($A92+10))*(INDEX('Stat Boosts'!$D$2:$D$192,Q$1-9)-10)/((INDEX('Stat Boosts'!$D$2:$D$192,(M92/2+22)-9)-10)))&lt;0.5,POWER(1.1,1.75-(($A92+5)/($A92+10))*(INDEX('Stat Boosts'!$D$2:$D$192,Q$1-9)-10)/((INDEX('Stat Boosts'!$D$2:$D$192,(M92/2+22)-9)-10))-0.5)*0.5,(1.75-(($A92+5)/($A92+10))*(INDEX('Stat Boosts'!$D$2:$D$192,Q$1-9)-10)/((INDEX('Stat Boosts'!$D$2:$D$192,(M92/2+22)-9)-10))))</f>
        <v>0.35053859777467022</v>
      </c>
      <c r="R92" s="16">
        <f>IF((1.75-(($A92+5)/($A92+10))*1.25*(INDEX('Stat Boosts'!$D$2:$D$192,R$1-9)-10)/((INDEX('Stat Boosts'!$D$2:$D$192,(N92/2+22)-9)-10)))&lt;0.5,POWER(1.1,1.75-(($A92+5)/($A92+10))*1.25*(INDEX('Stat Boosts'!$D$2:$D$192,R$1-9)-10)/((INDEX('Stat Boosts'!$D$2:$D$192,(N92/2+22)-9)-10))-0.5)*0.5,(1.75-(($A92+5)/($A92+10))*1.25*(INDEX('Stat Boosts'!$D$2:$D$192,R$1-9)-10)/((INDEX('Stat Boosts'!$D$2:$D$192,(N92/2+22)-9)-10))))</f>
        <v>0.29518808998836699</v>
      </c>
    </row>
    <row r="93" spans="1:18">
      <c r="A93" s="9">
        <v>92</v>
      </c>
      <c r="B93" s="16">
        <f t="shared" si="2"/>
        <v>58.8</v>
      </c>
      <c r="C93" s="16">
        <f t="shared" si="3"/>
        <v>8.1967213114754103E-3</v>
      </c>
      <c r="E93" s="16">
        <f>IF((1.75-(($A93+5)/($A93+10))*(INDEX('Stat Boosts'!$D$2:$D$192,E$1-9)-10)/((INDEX('Stat Boosts'!$D$2:$D$192,(A93/2+22)-9)-10)))&lt;0.5,POWER(1.1,1.75-(($A93+5)/($A93+10))*(INDEX('Stat Boosts'!$D$2:$D$192,E$1-9)-10)/((INDEX('Stat Boosts'!$D$2:$D$192,(A93/2+22)-9)-10))-0.5)*0.5,(1.75-(($A93+5)/($A93+10))*(INDEX('Stat Boosts'!$D$2:$D$192,E$1-9)-10)/((INDEX('Stat Boosts'!$D$2:$D$192,(A93/2+22)-9)-10))))</f>
        <v>1.75</v>
      </c>
      <c r="F93" s="16">
        <f>IF((1.75-(($A93+5)/($A93+10))*(INDEX('Stat Boosts'!$D$2:$D$192,F$1-9)-10)/((INDEX('Stat Boosts'!$D$2:$D$192,(B93/2+22)-9)-10)))&lt;0.5,POWER(1.1,1.75-(($A93+5)/($A93+10))*(INDEX('Stat Boosts'!$D$2:$D$192,F$1-9)-10)/((INDEX('Stat Boosts'!$D$2:$D$192,(B93/2+22)-9)-10))-0.5)*0.5,(1.75-(($A93+5)/($A93+10))*(INDEX('Stat Boosts'!$D$2:$D$192,F$1-9)-10)/((INDEX('Stat Boosts'!$D$2:$D$192,(B93/2+22)-9)-10))))</f>
        <v>1.6289661319073083</v>
      </c>
      <c r="G93" s="16">
        <f>IF((1.75-(($A93+5)/($A93+10))*(INDEX('Stat Boosts'!$D$2:$D$192,G$1-9)-10)/((INDEX('Stat Boosts'!$D$2:$D$192,(C93/2+22)-9)-10)))&lt;0.5,POWER(1.1,1.75-(($A93+5)/($A93+10))*(INDEX('Stat Boosts'!$D$2:$D$192,G$1-9)-10)/((INDEX('Stat Boosts'!$D$2:$D$192,(C93/2+22)-9)-10))-0.5)*0.5,(1.75-(($A93+5)/($A93+10))*(INDEX('Stat Boosts'!$D$2:$D$192,G$1-9)-10)/((INDEX('Stat Boosts'!$D$2:$D$192,(C93/2+22)-9)-10))))</f>
        <v>0.96683967704728957</v>
      </c>
      <c r="H93" s="16">
        <f>IF((1.75-(($A93+5)/($A93+10))*(INDEX('Stat Boosts'!$D$2:$D$192,H$1-9)-10)/((INDEX('Stat Boosts'!$D$2:$D$192,(D93/2+22)-9)-10)))&lt;0.5,POWER(1.1,1.75-(($A93+5)/($A93+10))*(INDEX('Stat Boosts'!$D$2:$D$192,H$1-9)-10)/((INDEX('Stat Boosts'!$D$2:$D$192,(D93/2+22)-9)-10))-0.5)*0.5,(1.75-(($A93+5)/($A93+10))*(INDEX('Stat Boosts'!$D$2:$D$192,H$1-9)-10)/((INDEX('Stat Boosts'!$D$2:$D$192,(D93/2+22)-9)-10))))</f>
        <v>0.57525951557093435</v>
      </c>
      <c r="I93" s="16">
        <f>IF((1.75-(($A93+5)/($A93+10))*(INDEX('Stat Boosts'!$D$2:$D$192,I$1-9)-10)/((INDEX('Stat Boosts'!$D$2:$D$192,(E93/2+22)-9)-10)))&lt;0.5,POWER(1.1,1.75-(($A93+5)/($A93+10))*(INDEX('Stat Boosts'!$D$2:$D$192,I$1-9)-10)/((INDEX('Stat Boosts'!$D$2:$D$192,(E93/2+22)-9)-10))-0.5)*0.5,(1.75-(($A93+5)/($A93+10))*(INDEX('Stat Boosts'!$D$2:$D$192,I$1-9)-10)/((INDEX('Stat Boosts'!$D$2:$D$192,(E93/2+22)-9)-10))))</f>
        <v>0.4877442421153757</v>
      </c>
      <c r="J93" s="16">
        <f>IF((1.75-(($A93+5)/($A93+10))*(INDEX('Stat Boosts'!$D$2:$D$192,J$1-9)-10)/((INDEX('Stat Boosts'!$D$2:$D$192,(F93/2+22)-9)-10)))&lt;0.5,POWER(1.1,1.75-(($A93+5)/($A93+10))*(INDEX('Stat Boosts'!$D$2:$D$192,J$1-9)-10)/((INDEX('Stat Boosts'!$D$2:$D$192,(F93/2+22)-9)-10))-0.5)*0.5,(1.75-(($A93+5)/($A93+10))*(INDEX('Stat Boosts'!$D$2:$D$192,J$1-9)-10)/((INDEX('Stat Boosts'!$D$2:$D$192,(F93/2+22)-9)-10))))</f>
        <v>0.47238826959271829</v>
      </c>
      <c r="K93" s="16">
        <f>IF((1.75-(($A93+5)/($A93+10))*(INDEX('Stat Boosts'!$D$2:$D$192,K$1-9)-10)/((INDEX('Stat Boosts'!$D$2:$D$192,(G93/2+22)-9)-10)))&lt;0.5,POWER(1.1,1.75-(($A93+5)/($A93+10))*(INDEX('Stat Boosts'!$D$2:$D$192,K$1-9)-10)/((INDEX('Stat Boosts'!$D$2:$D$192,(G93/2+22)-9)-10))-0.5)*0.5,(1.75-(($A93+5)/($A93+10))*(INDEX('Stat Boosts'!$D$2:$D$192,K$1-9)-10)/((INDEX('Stat Boosts'!$D$2:$D$192,(G93/2+22)-9)-10))))</f>
        <v>0.43841155886241895</v>
      </c>
      <c r="L93" s="16">
        <f>IF((1.75-(($A93+5)/($A93+10))*(INDEX('Stat Boosts'!$D$2:$D$192,L$1-9)-10)/((INDEX('Stat Boosts'!$D$2:$D$192,(H93/2+22)-9)-10)))&lt;0.5,POWER(1.1,1.75-(($A93+5)/($A93+10))*(INDEX('Stat Boosts'!$D$2:$D$192,L$1-9)-10)/((INDEX('Stat Boosts'!$D$2:$D$192,(H93/2+22)-9)-10))-0.5)*0.5,(1.75-(($A93+5)/($A93+10))*(INDEX('Stat Boosts'!$D$2:$D$192,L$1-9)-10)/((INDEX('Stat Boosts'!$D$2:$D$192,(H93/2+22)-9)-10))))</f>
        <v>0.42687867229126458</v>
      </c>
      <c r="M93" s="16">
        <f>IF((1.75-(($A93+5)/($A93+10))*(INDEX('Stat Boosts'!$D$2:$D$192,M$1-9)-10)/((INDEX('Stat Boosts'!$D$2:$D$192,(I93/2+22)-9)-10)))&lt;0.5,POWER(1.1,1.75-(($A93+5)/($A93+10))*(INDEX('Stat Boosts'!$D$2:$D$192,M$1-9)-10)/((INDEX('Stat Boosts'!$D$2:$D$192,(I93/2+22)-9)-10))-0.5)*0.5,(1.75-(($A93+5)/($A93+10))*(INDEX('Stat Boosts'!$D$2:$D$192,M$1-9)-10)/((INDEX('Stat Boosts'!$D$2:$D$192,(I93/2+22)-9)-10))))</f>
        <v>0.41124052299378022</v>
      </c>
      <c r="N93" s="16">
        <f>IF((1.75-(($A93+5)/($A93+10))*(INDEX('Stat Boosts'!$D$2:$D$192,N$1-9)-10)/((INDEX('Stat Boosts'!$D$2:$D$192,(J93/2+22)-9)-10)))&lt;0.5,POWER(1.1,1.75-(($A93+5)/($A93+10))*(INDEX('Stat Boosts'!$D$2:$D$192,N$1-9)-10)/((INDEX('Stat Boosts'!$D$2:$D$192,(J93/2+22)-9)-10))-0.5)*0.5,(1.75-(($A93+5)/($A93+10))*(INDEX('Stat Boosts'!$D$2:$D$192,N$1-9)-10)/((INDEX('Stat Boosts'!$D$2:$D$192,(J93/2+22)-9)-10))))</f>
        <v>0.39197316252885173</v>
      </c>
      <c r="O93" s="16">
        <f>IF((1.75-(($A93+5)/($A93+10))*(INDEX('Stat Boosts'!$D$2:$D$192,O$1-9)-10)/((INDEX('Stat Boosts'!$D$2:$D$192,(K93/2+22)-9)-10)))&lt;0.5,POWER(1.1,1.75-(($A93+5)/($A93+10))*(INDEX('Stat Boosts'!$D$2:$D$192,O$1-9)-10)/((INDEX('Stat Boosts'!$D$2:$D$192,(K93/2+22)-9)-10))-0.5)*0.5,(1.75-(($A93+5)/($A93+10))*(INDEX('Stat Boosts'!$D$2:$D$192,O$1-9)-10)/((INDEX('Stat Boosts'!$D$2:$D$192,(K93/2+22)-9)-10))))</f>
        <v>0.38166188781220911</v>
      </c>
      <c r="P93" s="16">
        <f>IF((1.75-(($A93+5)/($A93+10))*(INDEX('Stat Boosts'!$D$2:$D$192,P$1-9)-10)/((INDEX('Stat Boosts'!$D$2:$D$192,(L93/2+22)-9)-10)))&lt;0.5,POWER(1.1,1.75-(($A93+5)/($A93+10))*(INDEX('Stat Boosts'!$D$2:$D$192,P$1-9)-10)/((INDEX('Stat Boosts'!$D$2:$D$192,(L93/2+22)-9)-10))-0.5)*0.5,(1.75-(($A93+5)/($A93+10))*(INDEX('Stat Boosts'!$D$2:$D$192,P$1-9)-10)/((INDEX('Stat Boosts'!$D$2:$D$192,(L93/2+22)-9)-10))))</f>
        <v>0.36572507025821277</v>
      </c>
      <c r="Q93" s="16">
        <f>IF((1.75-(($A93+5)/($A93+10))*(INDEX('Stat Boosts'!$D$2:$D$192,Q$1-9)-10)/((INDEX('Stat Boosts'!$D$2:$D$192,(M93/2+22)-9)-10)))&lt;0.5,POWER(1.1,1.75-(($A93+5)/($A93+10))*(INDEX('Stat Boosts'!$D$2:$D$192,Q$1-9)-10)/((INDEX('Stat Boosts'!$D$2:$D$192,(M93/2+22)-9)-10))-0.5)*0.5,(1.75-(($A93+5)/($A93+10))*(INDEX('Stat Boosts'!$D$2:$D$192,Q$1-9)-10)/((INDEX('Stat Boosts'!$D$2:$D$192,(M93/2+22)-9)-10))))</f>
        <v>0.35045371646116963</v>
      </c>
      <c r="R93" s="16">
        <f>IF((1.75-(($A93+5)/($A93+10))*1.25*(INDEX('Stat Boosts'!$D$2:$D$192,R$1-9)-10)/((INDEX('Stat Boosts'!$D$2:$D$192,(N93/2+22)-9)-10)))&lt;0.5,POWER(1.1,1.75-(($A93+5)/($A93+10))*1.25*(INDEX('Stat Boosts'!$D$2:$D$192,R$1-9)-10)/((INDEX('Stat Boosts'!$D$2:$D$192,(N93/2+22)-9)-10))-0.5)*0.5,(1.75-(($A93+5)/($A93+10))*1.25*(INDEX('Stat Boosts'!$D$2:$D$192,R$1-9)-10)/((INDEX('Stat Boosts'!$D$2:$D$192,(N93/2+22)-9)-10))))</f>
        <v>0.29509071492276578</v>
      </c>
    </row>
    <row r="94" spans="1:18">
      <c r="A94" s="9">
        <v>93</v>
      </c>
      <c r="B94" s="16">
        <f t="shared" si="2"/>
        <v>59.2</v>
      </c>
      <c r="C94" s="16">
        <f t="shared" si="3"/>
        <v>8.1300813008130073E-3</v>
      </c>
      <c r="E94" s="16">
        <f>IF((1.75-(($A94+5)/($A94+10))*(INDEX('Stat Boosts'!$D$2:$D$192,E$1-9)-10)/((INDEX('Stat Boosts'!$D$2:$D$192,(A94/2+22)-9)-10)))&lt;0.5,POWER(1.1,1.75-(($A94+5)/($A94+10))*(INDEX('Stat Boosts'!$D$2:$D$192,E$1-9)-10)/((INDEX('Stat Boosts'!$D$2:$D$192,(A94/2+22)-9)-10))-0.5)*0.5,(1.75-(($A94+5)/($A94+10))*(INDEX('Stat Boosts'!$D$2:$D$192,E$1-9)-10)/((INDEX('Stat Boosts'!$D$2:$D$192,(A94/2+22)-9)-10))))</f>
        <v>1.75</v>
      </c>
      <c r="F94" s="16">
        <f>IF((1.75-(($A94+5)/($A94+10))*(INDEX('Stat Boosts'!$D$2:$D$192,F$1-9)-10)/((INDEX('Stat Boosts'!$D$2:$D$192,(B94/2+22)-9)-10)))&lt;0.5,POWER(1.1,1.75-(($A94+5)/($A94+10))*(INDEX('Stat Boosts'!$D$2:$D$192,F$1-9)-10)/((INDEX('Stat Boosts'!$D$2:$D$192,(B94/2+22)-9)-10))-0.5)*0.5,(1.75-(($A94+5)/($A94+10))*(INDEX('Stat Boosts'!$D$2:$D$192,F$1-9)-10)/((INDEX('Stat Boosts'!$D$2:$D$192,(B94/2+22)-9)-10))))</f>
        <v>1.6289055604589586</v>
      </c>
      <c r="G94" s="16">
        <f>IF((1.75-(($A94+5)/($A94+10))*(INDEX('Stat Boosts'!$D$2:$D$192,G$1-9)-10)/((INDEX('Stat Boosts'!$D$2:$D$192,(C94/2+22)-9)-10)))&lt;0.5,POWER(1.1,1.75-(($A94+5)/($A94+10))*(INDEX('Stat Boosts'!$D$2:$D$192,G$1-9)-10)/((INDEX('Stat Boosts'!$D$2:$D$192,(C94/2+22)-9)-10))-0.5)*0.5,(1.75-(($A94+5)/($A94+10))*(INDEX('Stat Boosts'!$D$2:$D$192,G$1-9)-10)/((INDEX('Stat Boosts'!$D$2:$D$192,(C94/2+22)-9)-10))))</f>
        <v>0.96644774414620216</v>
      </c>
      <c r="H94" s="16">
        <f>IF((1.75-(($A94+5)/($A94+10))*(INDEX('Stat Boosts'!$D$2:$D$192,H$1-9)-10)/((INDEX('Stat Boosts'!$D$2:$D$192,(D94/2+22)-9)-10)))&lt;0.5,POWER(1.1,1.75-(($A94+5)/($A94+10))*(INDEX('Stat Boosts'!$D$2:$D$192,H$1-9)-10)/((INDEX('Stat Boosts'!$D$2:$D$192,(D94/2+22)-9)-10))-0.5)*0.5,(1.75-(($A94+5)/($A94+10))*(INDEX('Stat Boosts'!$D$2:$D$192,H$1-9)-10)/((INDEX('Stat Boosts'!$D$2:$D$192,(D94/2+22)-9)-10))))</f>
        <v>0.57467161621930329</v>
      </c>
      <c r="I94" s="16">
        <f>IF((1.75-(($A94+5)/($A94+10))*(INDEX('Stat Boosts'!$D$2:$D$192,I$1-9)-10)/((INDEX('Stat Boosts'!$D$2:$D$192,(E94/2+22)-9)-10)))&lt;0.5,POWER(1.1,1.75-(($A94+5)/($A94+10))*(INDEX('Stat Boosts'!$D$2:$D$192,I$1-9)-10)/((INDEX('Stat Boosts'!$D$2:$D$192,(E94/2+22)-9)-10))-0.5)*0.5,(1.75-(($A94+5)/($A94+10))*(INDEX('Stat Boosts'!$D$2:$D$192,I$1-9)-10)/((INDEX('Stat Boosts'!$D$2:$D$192,(E94/2+22)-9)-10))))</f>
        <v>0.48770910523120131</v>
      </c>
      <c r="J94" s="16">
        <f>IF((1.75-(($A94+5)/($A94+10))*(INDEX('Stat Boosts'!$D$2:$D$192,J$1-9)-10)/((INDEX('Stat Boosts'!$D$2:$D$192,(F94/2+22)-9)-10)))&lt;0.5,POWER(1.1,1.75-(($A94+5)/($A94+10))*(INDEX('Stat Boosts'!$D$2:$D$192,J$1-9)-10)/((INDEX('Stat Boosts'!$D$2:$D$192,(F94/2+22)-9)-10))-0.5)*0.5,(1.75-(($A94+5)/($A94+10))*(INDEX('Stat Boosts'!$D$2:$D$192,J$1-9)-10)/((INDEX('Stat Boosts'!$D$2:$D$192,(F94/2+22)-9)-10))))</f>
        <v>0.47234667691319193</v>
      </c>
      <c r="K94" s="16">
        <f>IF((1.75-(($A94+5)/($A94+10))*(INDEX('Stat Boosts'!$D$2:$D$192,K$1-9)-10)/((INDEX('Stat Boosts'!$D$2:$D$192,(G94/2+22)-9)-10)))&lt;0.5,POWER(1.1,1.75-(($A94+5)/($A94+10))*(INDEX('Stat Boosts'!$D$2:$D$192,K$1-9)-10)/((INDEX('Stat Boosts'!$D$2:$D$192,(G94/2+22)-9)-10))-0.5)*0.5,(1.75-(($A94+5)/($A94+10))*(INDEX('Stat Boosts'!$D$2:$D$192,K$1-9)-10)/((INDEX('Stat Boosts'!$D$2:$D$192,(G94/2+22)-9)-10))))</f>
        <v>0.43835658255101878</v>
      </c>
      <c r="L94" s="16">
        <f>IF((1.75-(($A94+5)/($A94+10))*(INDEX('Stat Boosts'!$D$2:$D$192,L$1-9)-10)/((INDEX('Stat Boosts'!$D$2:$D$192,(H94/2+22)-9)-10)))&lt;0.5,POWER(1.1,1.75-(($A94+5)/($A94+10))*(INDEX('Stat Boosts'!$D$2:$D$192,L$1-9)-10)/((INDEX('Stat Boosts'!$D$2:$D$192,(H94/2+22)-9)-10))-0.5)*0.5,(1.75-(($A94+5)/($A94+10))*(INDEX('Stat Boosts'!$D$2:$D$192,L$1-9)-10)/((INDEX('Stat Boosts'!$D$2:$D$192,(H94/2+22)-9)-10))))</f>
        <v>0.42681944789424558</v>
      </c>
      <c r="M94" s="16">
        <f>IF((1.75-(($A94+5)/($A94+10))*(INDEX('Stat Boosts'!$D$2:$D$192,M$1-9)-10)/((INDEX('Stat Boosts'!$D$2:$D$192,(I94/2+22)-9)-10)))&lt;0.5,POWER(1.1,1.75-(($A94+5)/($A94+10))*(INDEX('Stat Boosts'!$D$2:$D$192,M$1-9)-10)/((INDEX('Stat Boosts'!$D$2:$D$192,(I94/2+22)-9)-10))-0.5)*0.5,(1.75-(($A94+5)/($A94+10))*(INDEX('Stat Boosts'!$D$2:$D$192,M$1-9)-10)/((INDEX('Stat Boosts'!$D$2:$D$192,(I94/2+22)-9)-10))))</f>
        <v>0.41117578835846708</v>
      </c>
      <c r="N94" s="16">
        <f>IF((1.75-(($A94+5)/($A94+10))*(INDEX('Stat Boosts'!$D$2:$D$192,N$1-9)-10)/((INDEX('Stat Boosts'!$D$2:$D$192,(J94/2+22)-9)-10)))&lt;0.5,POWER(1.1,1.75-(($A94+5)/($A94+10))*(INDEX('Stat Boosts'!$D$2:$D$192,N$1-9)-10)/((INDEX('Stat Boosts'!$D$2:$D$192,(J94/2+22)-9)-10))-0.5)*0.5,(1.75-(($A94+5)/($A94+10))*(INDEX('Stat Boosts'!$D$2:$D$192,N$1-9)-10)/((INDEX('Stat Boosts'!$D$2:$D$192,(J94/2+22)-9)-10))))</f>
        <v>0.39190204955797486</v>
      </c>
      <c r="O94" s="16">
        <f>IF((1.75-(($A94+5)/($A94+10))*(INDEX('Stat Boosts'!$D$2:$D$192,O$1-9)-10)/((INDEX('Stat Boosts'!$D$2:$D$192,(K94/2+22)-9)-10)))&lt;0.5,POWER(1.1,1.75-(($A94+5)/($A94+10))*(INDEX('Stat Boosts'!$D$2:$D$192,O$1-9)-10)/((INDEX('Stat Boosts'!$D$2:$D$192,(K94/2+22)-9)-10))-0.5)*0.5,(1.75-(($A94+5)/($A94+10))*(INDEX('Stat Boosts'!$D$2:$D$192,O$1-9)-10)/((INDEX('Stat Boosts'!$D$2:$D$192,(K94/2+22)-9)-10))))</f>
        <v>0.38158755469695715</v>
      </c>
      <c r="P94" s="16">
        <f>IF((1.75-(($A94+5)/($A94+10))*(INDEX('Stat Boosts'!$D$2:$D$192,P$1-9)-10)/((INDEX('Stat Boosts'!$D$2:$D$192,(L94/2+22)-9)-10)))&lt;0.5,POWER(1.1,1.75-(($A94+5)/($A94+10))*(INDEX('Stat Boosts'!$D$2:$D$192,P$1-9)-10)/((INDEX('Stat Boosts'!$D$2:$D$192,(L94/2+22)-9)-10))-0.5)*0.5,(1.75-(($A94+5)/($A94+10))*(INDEX('Stat Boosts'!$D$2:$D$192,P$1-9)-10)/((INDEX('Stat Boosts'!$D$2:$D$192,(L94/2+22)-9)-10))))</f>
        <v>0.36564603592460548</v>
      </c>
      <c r="Q94" s="16">
        <f>IF((1.75-(($A94+5)/($A94+10))*(INDEX('Stat Boosts'!$D$2:$D$192,Q$1-9)-10)/((INDEX('Stat Boosts'!$D$2:$D$192,(M94/2+22)-9)-10)))&lt;0.5,POWER(1.1,1.75-(($A94+5)/($A94+10))*(INDEX('Stat Boosts'!$D$2:$D$192,Q$1-9)-10)/((INDEX('Stat Boosts'!$D$2:$D$192,(M94/2+22)-9)-10))-0.5)*0.5,(1.75-(($A94+5)/($A94+10))*(INDEX('Stat Boosts'!$D$2:$D$192,Q$1-9)-10)/((INDEX('Stat Boosts'!$D$2:$D$192,(M94/2+22)-9)-10))))</f>
        <v>0.35037050328739139</v>
      </c>
      <c r="R94" s="16">
        <f>IF((1.75-(($A94+5)/($A94+10))*1.25*(INDEX('Stat Boosts'!$D$2:$D$192,R$1-9)-10)/((INDEX('Stat Boosts'!$D$2:$D$192,(N94/2+22)-9)-10)))&lt;0.5,POWER(1.1,1.75-(($A94+5)/($A94+10))*1.25*(INDEX('Stat Boosts'!$D$2:$D$192,R$1-9)-10)/((INDEX('Stat Boosts'!$D$2:$D$192,(N94/2+22)-9)-10))-0.5)*0.5,(1.75-(($A94+5)/($A94+10))*1.25*(INDEX('Stat Boosts'!$D$2:$D$192,R$1-9)-10)/((INDEX('Stat Boosts'!$D$2:$D$192,(N94/2+22)-9)-10))))</f>
        <v>0.29499526182724489</v>
      </c>
    </row>
    <row r="95" spans="1:18">
      <c r="A95" s="9">
        <v>94</v>
      </c>
      <c r="B95" s="16">
        <f t="shared" si="2"/>
        <v>59.6</v>
      </c>
      <c r="C95" s="16">
        <f t="shared" si="3"/>
        <v>8.0645161290322578E-3</v>
      </c>
      <c r="E95" s="16">
        <f>IF((1.75-(($A95+5)/($A95+10))*(INDEX('Stat Boosts'!$D$2:$D$192,E$1-9)-10)/((INDEX('Stat Boosts'!$D$2:$D$192,(A95/2+22)-9)-10)))&lt;0.5,POWER(1.1,1.75-(($A95+5)/($A95+10))*(INDEX('Stat Boosts'!$D$2:$D$192,E$1-9)-10)/((INDEX('Stat Boosts'!$D$2:$D$192,(A95/2+22)-9)-10))-0.5)*0.5,(1.75-(($A95+5)/($A95+10))*(INDEX('Stat Boosts'!$D$2:$D$192,E$1-9)-10)/((INDEX('Stat Boosts'!$D$2:$D$192,(A95/2+22)-9)-10))))</f>
        <v>1.75</v>
      </c>
      <c r="F95" s="16">
        <f>IF((1.75-(($A95+5)/($A95+10))*(INDEX('Stat Boosts'!$D$2:$D$192,F$1-9)-10)/((INDEX('Stat Boosts'!$D$2:$D$192,(B95/2+22)-9)-10)))&lt;0.5,POWER(1.1,1.75-(($A95+5)/($A95+10))*(INDEX('Stat Boosts'!$D$2:$D$192,F$1-9)-10)/((INDEX('Stat Boosts'!$D$2:$D$192,(B95/2+22)-9)-10))-0.5)*0.5,(1.75-(($A95+5)/($A95+10))*(INDEX('Stat Boosts'!$D$2:$D$192,F$1-9)-10)/((INDEX('Stat Boosts'!$D$2:$D$192,(B95/2+22)-9)-10))))</f>
        <v>1.6288461538461538</v>
      </c>
      <c r="G95" s="16">
        <f>IF((1.75-(($A95+5)/($A95+10))*(INDEX('Stat Boosts'!$D$2:$D$192,G$1-9)-10)/((INDEX('Stat Boosts'!$D$2:$D$192,(C95/2+22)-9)-10)))&lt;0.5,POWER(1.1,1.75-(($A95+5)/($A95+10))*(INDEX('Stat Boosts'!$D$2:$D$192,G$1-9)-10)/((INDEX('Stat Boosts'!$D$2:$D$192,(C95/2+22)-9)-10))-0.5)*0.5,(1.75-(($A95+5)/($A95+10))*(INDEX('Stat Boosts'!$D$2:$D$192,G$1-9)-10)/((INDEX('Stat Boosts'!$D$2:$D$192,(C95/2+22)-9)-10))))</f>
        <v>0.9660633484162896</v>
      </c>
      <c r="H95" s="16">
        <f>IF((1.75-(($A95+5)/($A95+10))*(INDEX('Stat Boosts'!$D$2:$D$192,H$1-9)-10)/((INDEX('Stat Boosts'!$D$2:$D$192,(D95/2+22)-9)-10)))&lt;0.5,POWER(1.1,1.75-(($A95+5)/($A95+10))*(INDEX('Stat Boosts'!$D$2:$D$192,H$1-9)-10)/((INDEX('Stat Boosts'!$D$2:$D$192,(D95/2+22)-9)-10))-0.5)*0.5,(1.75-(($A95+5)/($A95+10))*(INDEX('Stat Boosts'!$D$2:$D$192,H$1-9)-10)/((INDEX('Stat Boosts'!$D$2:$D$192,(D95/2+22)-9)-10))))</f>
        <v>0.57409502262443457</v>
      </c>
      <c r="I95" s="16">
        <f>IF((1.75-(($A95+5)/($A95+10))*(INDEX('Stat Boosts'!$D$2:$D$192,I$1-9)-10)/((INDEX('Stat Boosts'!$D$2:$D$192,(E95/2+22)-9)-10)))&lt;0.5,POWER(1.1,1.75-(($A95+5)/($A95+10))*(INDEX('Stat Boosts'!$D$2:$D$192,I$1-9)-10)/((INDEX('Stat Boosts'!$D$2:$D$192,(E95/2+22)-9)-10))-0.5)*0.5,(1.75-(($A95+5)/($A95+10))*(INDEX('Stat Boosts'!$D$2:$D$192,I$1-9)-10)/((INDEX('Stat Boosts'!$D$2:$D$192,(E95/2+22)-9)-10))))</f>
        <v>0.4876746465150365</v>
      </c>
      <c r="J95" s="16">
        <f>IF((1.75-(($A95+5)/($A95+10))*(INDEX('Stat Boosts'!$D$2:$D$192,J$1-9)-10)/((INDEX('Stat Boosts'!$D$2:$D$192,(F95/2+22)-9)-10)))&lt;0.5,POWER(1.1,1.75-(($A95+5)/($A95+10))*(INDEX('Stat Boosts'!$D$2:$D$192,J$1-9)-10)/((INDEX('Stat Boosts'!$D$2:$D$192,(F95/2+22)-9)-10))-0.5)*0.5,(1.75-(($A95+5)/($A95+10))*(INDEX('Stat Boosts'!$D$2:$D$192,J$1-9)-10)/((INDEX('Stat Boosts'!$D$2:$D$192,(F95/2+22)-9)-10))))</f>
        <v>0.47230588765006581</v>
      </c>
      <c r="K95" s="16">
        <f>IF((1.75-(($A95+5)/($A95+10))*(INDEX('Stat Boosts'!$D$2:$D$192,K$1-9)-10)/((INDEX('Stat Boosts'!$D$2:$D$192,(G95/2+22)-9)-10)))&lt;0.5,POWER(1.1,1.75-(($A95+5)/($A95+10))*(INDEX('Stat Boosts'!$D$2:$D$192,K$1-9)-10)/((INDEX('Stat Boosts'!$D$2:$D$192,(G95/2+22)-9)-10))-0.5)*0.5,(1.75-(($A95+5)/($A95+10))*(INDEX('Stat Boosts'!$D$2:$D$192,K$1-9)-10)/((INDEX('Stat Boosts'!$D$2:$D$192,(G95/2+22)-9)-10))))</f>
        <v>0.43830267017275903</v>
      </c>
      <c r="L95" s="16">
        <f>IF((1.75-(($A95+5)/($A95+10))*(INDEX('Stat Boosts'!$D$2:$D$192,L$1-9)-10)/((INDEX('Stat Boosts'!$D$2:$D$192,(H95/2+22)-9)-10)))&lt;0.5,POWER(1.1,1.75-(($A95+5)/($A95+10))*(INDEX('Stat Boosts'!$D$2:$D$192,L$1-9)-10)/((INDEX('Stat Boosts'!$D$2:$D$192,(H95/2+22)-9)-10))-0.5)*0.5,(1.75-(($A95+5)/($A95+10))*(INDEX('Stat Boosts'!$D$2:$D$192,L$1-9)-10)/((INDEX('Stat Boosts'!$D$2:$D$192,(H95/2+22)-9)-10))))</f>
        <v>0.42676137040913387</v>
      </c>
      <c r="M95" s="16">
        <f>IF((1.75-(($A95+5)/($A95+10))*(INDEX('Stat Boosts'!$D$2:$D$192,M$1-9)-10)/((INDEX('Stat Boosts'!$D$2:$D$192,(I95/2+22)-9)-10)))&lt;0.5,POWER(1.1,1.75-(($A95+5)/($A95+10))*(INDEX('Stat Boosts'!$D$2:$D$192,M$1-9)-10)/((INDEX('Stat Boosts'!$D$2:$D$192,(I95/2+22)-9)-10))-0.5)*0.5,(1.75-(($A95+5)/($A95+10))*(INDEX('Stat Boosts'!$D$2:$D$192,M$1-9)-10)/((INDEX('Stat Boosts'!$D$2:$D$192,(I95/2+22)-9)-10))))</f>
        <v>0.41111230851801461</v>
      </c>
      <c r="N95" s="16">
        <f>IF((1.75-(($A95+5)/($A95+10))*(INDEX('Stat Boosts'!$D$2:$D$192,N$1-9)-10)/((INDEX('Stat Boosts'!$D$2:$D$192,(J95/2+22)-9)-10)))&lt;0.5,POWER(1.1,1.75-(($A95+5)/($A95+10))*(INDEX('Stat Boosts'!$D$2:$D$192,N$1-9)-10)/((INDEX('Stat Boosts'!$D$2:$D$192,(J95/2+22)-9)-10))-0.5)*0.5,(1.75-(($A95+5)/($A95+10))*(INDEX('Stat Boosts'!$D$2:$D$192,N$1-9)-10)/((INDEX('Stat Boosts'!$D$2:$D$192,(J95/2+22)-9)-10))))</f>
        <v>0.39183231667600377</v>
      </c>
      <c r="O95" s="16">
        <f>IF((1.75-(($A95+5)/($A95+10))*(INDEX('Stat Boosts'!$D$2:$D$192,O$1-9)-10)/((INDEX('Stat Boosts'!$D$2:$D$192,(K95/2+22)-9)-10)))&lt;0.5,POWER(1.1,1.75-(($A95+5)/($A95+10))*(INDEX('Stat Boosts'!$D$2:$D$192,O$1-9)-10)/((INDEX('Stat Boosts'!$D$2:$D$192,(K95/2+22)-9)-10))-0.5)*0.5,(1.75-(($A95+5)/($A95+10))*(INDEX('Stat Boosts'!$D$2:$D$192,O$1-9)-10)/((INDEX('Stat Boosts'!$D$2:$D$192,(K95/2+22)-9)-10))))</f>
        <v>0.38151466512701598</v>
      </c>
      <c r="P95" s="16">
        <f>IF((1.75-(($A95+5)/($A95+10))*(INDEX('Stat Boosts'!$D$2:$D$192,P$1-9)-10)/((INDEX('Stat Boosts'!$D$2:$D$192,(L95/2+22)-9)-10)))&lt;0.5,POWER(1.1,1.75-(($A95+5)/($A95+10))*(INDEX('Stat Boosts'!$D$2:$D$192,P$1-9)-10)/((INDEX('Stat Boosts'!$D$2:$D$192,(L95/2+22)-9)-10))-0.5)*0.5,(1.75-(($A95+5)/($A95+10))*(INDEX('Stat Boosts'!$D$2:$D$192,P$1-9)-10)/((INDEX('Stat Boosts'!$D$2:$D$192,(L95/2+22)-9)-10))))</f>
        <v>0.36556853807209755</v>
      </c>
      <c r="Q95" s="16">
        <f>IF((1.75-(($A95+5)/($A95+10))*(INDEX('Stat Boosts'!$D$2:$D$192,Q$1-9)-10)/((INDEX('Stat Boosts'!$D$2:$D$192,(M95/2+22)-9)-10)))&lt;0.5,POWER(1.1,1.75-(($A95+5)/($A95+10))*(INDEX('Stat Boosts'!$D$2:$D$192,Q$1-9)-10)/((INDEX('Stat Boosts'!$D$2:$D$192,(M95/2+22)-9)-10))-0.5)*0.5,(1.75-(($A95+5)/($A95+10))*(INDEX('Stat Boosts'!$D$2:$D$192,Q$1-9)-10)/((INDEX('Stat Boosts'!$D$2:$D$192,(M95/2+22)-9)-10))))</f>
        <v>0.35028890955916037</v>
      </c>
      <c r="R95" s="16">
        <f>IF((1.75-(($A95+5)/($A95+10))*1.25*(INDEX('Stat Boosts'!$D$2:$D$192,R$1-9)-10)/((INDEX('Stat Boosts'!$D$2:$D$192,(N95/2+22)-9)-10)))&lt;0.5,POWER(1.1,1.75-(($A95+5)/($A95+10))*1.25*(INDEX('Stat Boosts'!$D$2:$D$192,R$1-9)-10)/((INDEX('Stat Boosts'!$D$2:$D$192,(N95/2+22)-9)-10))-0.5)*0.5,(1.75-(($A95+5)/($A95+10))*1.25*(INDEX('Stat Boosts'!$D$2:$D$192,R$1-9)-10)/((INDEX('Stat Boosts'!$D$2:$D$192,(N95/2+22)-9)-10))))</f>
        <v>0.29490167435953279</v>
      </c>
    </row>
    <row r="96" spans="1:18">
      <c r="A96" s="9">
        <v>95</v>
      </c>
      <c r="B96" s="16">
        <f t="shared" si="2"/>
        <v>60</v>
      </c>
      <c r="C96" s="16">
        <f t="shared" si="3"/>
        <v>8.0000000000000002E-3</v>
      </c>
      <c r="E96" s="16">
        <f>IF((1.75-(($A96+5)/($A96+10))*(INDEX('Stat Boosts'!$D$2:$D$192,E$1-9)-10)/((INDEX('Stat Boosts'!$D$2:$D$192,(A96/2+22)-9)-10)))&lt;0.5,POWER(1.1,1.75-(($A96+5)/($A96+10))*(INDEX('Stat Boosts'!$D$2:$D$192,E$1-9)-10)/((INDEX('Stat Boosts'!$D$2:$D$192,(A96/2+22)-9)-10))-0.5)*0.5,(1.75-(($A96+5)/($A96+10))*(INDEX('Stat Boosts'!$D$2:$D$192,E$1-9)-10)/((INDEX('Stat Boosts'!$D$2:$D$192,(A96/2+22)-9)-10))))</f>
        <v>1.75</v>
      </c>
      <c r="F96" s="16">
        <f>IF((1.75-(($A96+5)/($A96+10))*(INDEX('Stat Boosts'!$D$2:$D$192,F$1-9)-10)/((INDEX('Stat Boosts'!$D$2:$D$192,(B96/2+22)-9)-10)))&lt;0.5,POWER(1.1,1.75-(($A96+5)/($A96+10))*(INDEX('Stat Boosts'!$D$2:$D$192,F$1-9)-10)/((INDEX('Stat Boosts'!$D$2:$D$192,(B96/2+22)-9)-10))-0.5)*0.5,(1.75-(($A96+5)/($A96+10))*(INDEX('Stat Boosts'!$D$2:$D$192,F$1-9)-10)/((INDEX('Stat Boosts'!$D$2:$D$192,(B96/2+22)-9)-10))))</f>
        <v>1.6309523809523809</v>
      </c>
      <c r="G96" s="16">
        <f>IF((1.75-(($A96+5)/($A96+10))*(INDEX('Stat Boosts'!$D$2:$D$192,G$1-9)-10)/((INDEX('Stat Boosts'!$D$2:$D$192,(C96/2+22)-9)-10)))&lt;0.5,POWER(1.1,1.75-(($A96+5)/($A96+10))*(INDEX('Stat Boosts'!$D$2:$D$192,G$1-9)-10)/((INDEX('Stat Boosts'!$D$2:$D$192,(C96/2+22)-9)-10))-0.5)*0.5,(1.75-(($A96+5)/($A96+10))*(INDEX('Stat Boosts'!$D$2:$D$192,G$1-9)-10)/((INDEX('Stat Boosts'!$D$2:$D$192,(C96/2+22)-9)-10))))</f>
        <v>0.96568627450980404</v>
      </c>
      <c r="H96" s="16">
        <f>IF((1.75-(($A96+5)/($A96+10))*(INDEX('Stat Boosts'!$D$2:$D$192,H$1-9)-10)/((INDEX('Stat Boosts'!$D$2:$D$192,(D96/2+22)-9)-10)))&lt;0.5,POWER(1.1,1.75-(($A96+5)/($A96+10))*(INDEX('Stat Boosts'!$D$2:$D$192,H$1-9)-10)/((INDEX('Stat Boosts'!$D$2:$D$192,(D96/2+22)-9)-10))-0.5)*0.5,(1.75-(($A96+5)/($A96+10))*(INDEX('Stat Boosts'!$D$2:$D$192,H$1-9)-10)/((INDEX('Stat Boosts'!$D$2:$D$192,(D96/2+22)-9)-10))))</f>
        <v>0.57352941176470584</v>
      </c>
      <c r="I96" s="16">
        <f>IF((1.75-(($A96+5)/($A96+10))*(INDEX('Stat Boosts'!$D$2:$D$192,I$1-9)-10)/((INDEX('Stat Boosts'!$D$2:$D$192,(E96/2+22)-9)-10)))&lt;0.5,POWER(1.1,1.75-(($A96+5)/($A96+10))*(INDEX('Stat Boosts'!$D$2:$D$192,I$1-9)-10)/((INDEX('Stat Boosts'!$D$2:$D$192,(E96/2+22)-9)-10))-0.5)*0.5,(1.75-(($A96+5)/($A96+10))*(INDEX('Stat Boosts'!$D$2:$D$192,I$1-9)-10)/((INDEX('Stat Boosts'!$D$2:$D$192,(E96/2+22)-9)-10))))</f>
        <v>0.4876408465209055</v>
      </c>
      <c r="J96" s="16">
        <f>IF((1.75-(($A96+5)/($A96+10))*(INDEX('Stat Boosts'!$D$2:$D$192,J$1-9)-10)/((INDEX('Stat Boosts'!$D$2:$D$192,(F96/2+22)-9)-10)))&lt;0.5,POWER(1.1,1.75-(($A96+5)/($A96+10))*(INDEX('Stat Boosts'!$D$2:$D$192,J$1-9)-10)/((INDEX('Stat Boosts'!$D$2:$D$192,(F96/2+22)-9)-10))-0.5)*0.5,(1.75-(($A96+5)/($A96+10))*(INDEX('Stat Boosts'!$D$2:$D$192,J$1-9)-10)/((INDEX('Stat Boosts'!$D$2:$D$192,(F96/2+22)-9)-10))))</f>
        <v>0.47226587874762416</v>
      </c>
      <c r="K96" s="16">
        <f>IF((1.75-(($A96+5)/($A96+10))*(INDEX('Stat Boosts'!$D$2:$D$192,K$1-9)-10)/((INDEX('Stat Boosts'!$D$2:$D$192,(G96/2+22)-9)-10)))&lt;0.5,POWER(1.1,1.75-(($A96+5)/($A96+10))*(INDEX('Stat Boosts'!$D$2:$D$192,K$1-9)-10)/((INDEX('Stat Boosts'!$D$2:$D$192,(G96/2+22)-9)-10))-0.5)*0.5,(1.75-(($A96+5)/($A96+10))*(INDEX('Stat Boosts'!$D$2:$D$192,K$1-9)-10)/((INDEX('Stat Boosts'!$D$2:$D$192,(G96/2+22)-9)-10))))</f>
        <v>0.43824979113925416</v>
      </c>
      <c r="L96" s="16">
        <f>IF((1.75-(($A96+5)/($A96+10))*(INDEX('Stat Boosts'!$D$2:$D$192,L$1-9)-10)/((INDEX('Stat Boosts'!$D$2:$D$192,(H96/2+22)-9)-10)))&lt;0.5,POWER(1.1,1.75-(($A96+5)/($A96+10))*(INDEX('Stat Boosts'!$D$2:$D$192,L$1-9)-10)/((INDEX('Stat Boosts'!$D$2:$D$192,(H96/2+22)-9)-10))-0.5)*0.5,(1.75-(($A96+5)/($A96+10))*(INDEX('Stat Boosts'!$D$2:$D$192,L$1-9)-10)/((INDEX('Stat Boosts'!$D$2:$D$192,(H96/2+22)-9)-10))))</f>
        <v>0.42670440684011035</v>
      </c>
      <c r="M96" s="16">
        <f>IF((1.75-(($A96+5)/($A96+10))*(INDEX('Stat Boosts'!$D$2:$D$192,M$1-9)-10)/((INDEX('Stat Boosts'!$D$2:$D$192,(I96/2+22)-9)-10)))&lt;0.5,POWER(1.1,1.75-(($A96+5)/($A96+10))*(INDEX('Stat Boosts'!$D$2:$D$192,M$1-9)-10)/((INDEX('Stat Boosts'!$D$2:$D$192,(I96/2+22)-9)-10))-0.5)*0.5,(1.75-(($A96+5)/($A96+10))*(INDEX('Stat Boosts'!$D$2:$D$192,M$1-9)-10)/((INDEX('Stat Boosts'!$D$2:$D$192,(I96/2+22)-9)-10))))</f>
        <v>0.41105004733956291</v>
      </c>
      <c r="N96" s="16">
        <f>IF((1.75-(($A96+5)/($A96+10))*(INDEX('Stat Boosts'!$D$2:$D$192,N$1-9)-10)/((INDEX('Stat Boosts'!$D$2:$D$192,(J96/2+22)-9)-10)))&lt;0.5,POWER(1.1,1.75-(($A96+5)/($A96+10))*(INDEX('Stat Boosts'!$D$2:$D$192,N$1-9)-10)/((INDEX('Stat Boosts'!$D$2:$D$192,(J96/2+22)-9)-10))-0.5)*0.5,(1.75-(($A96+5)/($A96+10))*(INDEX('Stat Boosts'!$D$2:$D$192,N$1-9)-10)/((INDEX('Stat Boosts'!$D$2:$D$192,(J96/2+22)-9)-10))))</f>
        <v>0.39176392409504013</v>
      </c>
      <c r="O96" s="16">
        <f>IF((1.75-(($A96+5)/($A96+10))*(INDEX('Stat Boosts'!$D$2:$D$192,O$1-9)-10)/((INDEX('Stat Boosts'!$D$2:$D$192,(K96/2+22)-9)-10)))&lt;0.5,POWER(1.1,1.75-(($A96+5)/($A96+10))*(INDEX('Stat Boosts'!$D$2:$D$192,O$1-9)-10)/((INDEX('Stat Boosts'!$D$2:$D$192,(K96/2+22)-9)-10))-0.5)*0.5,(1.75-(($A96+5)/($A96+10))*(INDEX('Stat Boosts'!$D$2:$D$192,O$1-9)-10)/((INDEX('Stat Boosts'!$D$2:$D$192,(K96/2+22)-9)-10))))</f>
        <v>0.38144317745769446</v>
      </c>
      <c r="P96" s="16">
        <f>IF((1.75-(($A96+5)/($A96+10))*(INDEX('Stat Boosts'!$D$2:$D$192,P$1-9)-10)/((INDEX('Stat Boosts'!$D$2:$D$192,(L96/2+22)-9)-10)))&lt;0.5,POWER(1.1,1.75-(($A96+5)/($A96+10))*(INDEX('Stat Boosts'!$D$2:$D$192,P$1-9)-10)/((INDEX('Stat Boosts'!$D$2:$D$192,(L96/2+22)-9)-10))-0.5)*0.5,(1.75-(($A96+5)/($A96+10))*(INDEX('Stat Boosts'!$D$2:$D$192,P$1-9)-10)/((INDEX('Stat Boosts'!$D$2:$D$192,(L96/2+22)-9)-10))))</f>
        <v>0.3654925323283576</v>
      </c>
      <c r="Q96" s="16">
        <f>IF((1.75-(($A96+5)/($A96+10))*(INDEX('Stat Boosts'!$D$2:$D$192,Q$1-9)-10)/((INDEX('Stat Boosts'!$D$2:$D$192,(M96/2+22)-9)-10)))&lt;0.5,POWER(1.1,1.75-(($A96+5)/($A96+10))*(INDEX('Stat Boosts'!$D$2:$D$192,Q$1-9)-10)/((INDEX('Stat Boosts'!$D$2:$D$192,(M96/2+22)-9)-10))-0.5)*0.5,(1.75-(($A96+5)/($A96+10))*(INDEX('Stat Boosts'!$D$2:$D$192,Q$1-9)-10)/((INDEX('Stat Boosts'!$D$2:$D$192,(M96/2+22)-9)-10))))</f>
        <v>0.35020888845917619</v>
      </c>
      <c r="R96" s="16">
        <f>IF((1.75-(($A96+5)/($A96+10))*1.25*(INDEX('Stat Boosts'!$D$2:$D$192,R$1-9)-10)/((INDEX('Stat Boosts'!$D$2:$D$192,(N96/2+22)-9)-10)))&lt;0.5,POWER(1.1,1.75-(($A96+5)/($A96+10))*1.25*(INDEX('Stat Boosts'!$D$2:$D$192,R$1-9)-10)/((INDEX('Stat Boosts'!$D$2:$D$192,(N96/2+22)-9)-10))-0.5)*0.5,(1.75-(($A96+5)/($A96+10))*1.25*(INDEX('Stat Boosts'!$D$2:$D$192,R$1-9)-10)/((INDEX('Stat Boosts'!$D$2:$D$192,(N96/2+22)-9)-10))))</f>
        <v>0.29480989835808608</v>
      </c>
    </row>
    <row r="97" spans="1:18">
      <c r="A97" s="9">
        <v>96</v>
      </c>
      <c r="B97" s="16">
        <f t="shared" si="2"/>
        <v>60.4</v>
      </c>
      <c r="C97" s="16">
        <f t="shared" si="3"/>
        <v>7.9365079365079378E-3</v>
      </c>
      <c r="E97" s="16">
        <f>IF((1.75-(($A97+5)/($A97+10))*(INDEX('Stat Boosts'!$D$2:$D$192,E$1-9)-10)/((INDEX('Stat Boosts'!$D$2:$D$192,(A97/2+22)-9)-10)))&lt;0.5,POWER(1.1,1.75-(($A97+5)/($A97+10))*(INDEX('Stat Boosts'!$D$2:$D$192,E$1-9)-10)/((INDEX('Stat Boosts'!$D$2:$D$192,(A97/2+22)-9)-10))-0.5)*0.5,(1.75-(($A97+5)/($A97+10))*(INDEX('Stat Boosts'!$D$2:$D$192,E$1-9)-10)/((INDEX('Stat Boosts'!$D$2:$D$192,(A97/2+22)-9)-10))))</f>
        <v>1.75</v>
      </c>
      <c r="F97" s="16">
        <f>IF((1.75-(($A97+5)/($A97+10))*(INDEX('Stat Boosts'!$D$2:$D$192,F$1-9)-10)/((INDEX('Stat Boosts'!$D$2:$D$192,(B97/2+22)-9)-10)))&lt;0.5,POWER(1.1,1.75-(($A97+5)/($A97+10))*(INDEX('Stat Boosts'!$D$2:$D$192,F$1-9)-10)/((INDEX('Stat Boosts'!$D$2:$D$192,(B97/2+22)-9)-10))-0.5)*0.5,(1.75-(($A97+5)/($A97+10))*(INDEX('Stat Boosts'!$D$2:$D$192,F$1-9)-10)/((INDEX('Stat Boosts'!$D$2:$D$192,(B97/2+22)-9)-10))))</f>
        <v>1.6308962264150944</v>
      </c>
      <c r="G97" s="16">
        <f>IF((1.75-(($A97+5)/($A97+10))*(INDEX('Stat Boosts'!$D$2:$D$192,G$1-9)-10)/((INDEX('Stat Boosts'!$D$2:$D$192,(C97/2+22)-9)-10)))&lt;0.5,POWER(1.1,1.75-(($A97+5)/($A97+10))*(INDEX('Stat Boosts'!$D$2:$D$192,G$1-9)-10)/((INDEX('Stat Boosts'!$D$2:$D$192,(C97/2+22)-9)-10))-0.5)*0.5,(1.75-(($A97+5)/($A97+10))*(INDEX('Stat Boosts'!$D$2:$D$192,G$1-9)-10)/((INDEX('Stat Boosts'!$D$2:$D$192,(C97/2+22)-9)-10))))</f>
        <v>0.96531631520532735</v>
      </c>
      <c r="H97" s="16">
        <f>IF((1.75-(($A97+5)/($A97+10))*(INDEX('Stat Boosts'!$D$2:$D$192,H$1-9)-10)/((INDEX('Stat Boosts'!$D$2:$D$192,(D97/2+22)-9)-10)))&lt;0.5,POWER(1.1,1.75-(($A97+5)/($A97+10))*(INDEX('Stat Boosts'!$D$2:$D$192,H$1-9)-10)/((INDEX('Stat Boosts'!$D$2:$D$192,(D97/2+22)-9)-10))-0.5)*0.5,(1.75-(($A97+5)/($A97+10))*(INDEX('Stat Boosts'!$D$2:$D$192,H$1-9)-10)/((INDEX('Stat Boosts'!$D$2:$D$192,(D97/2+22)-9)-10))))</f>
        <v>0.57297447280799108</v>
      </c>
      <c r="I97" s="16">
        <f>IF((1.75-(($A97+5)/($A97+10))*(INDEX('Stat Boosts'!$D$2:$D$192,I$1-9)-10)/((INDEX('Stat Boosts'!$D$2:$D$192,(E97/2+22)-9)-10)))&lt;0.5,POWER(1.1,1.75-(($A97+5)/($A97+10))*(INDEX('Stat Boosts'!$D$2:$D$192,I$1-9)-10)/((INDEX('Stat Boosts'!$D$2:$D$192,(E97/2+22)-9)-10))-0.5)*0.5,(1.75-(($A97+5)/($A97+10))*(INDEX('Stat Boosts'!$D$2:$D$192,I$1-9)-10)/((INDEX('Stat Boosts'!$D$2:$D$192,(E97/2+22)-9)-10))))</f>
        <v>0.48760768653925668</v>
      </c>
      <c r="J97" s="16">
        <f>IF((1.75-(($A97+5)/($A97+10))*(INDEX('Stat Boosts'!$D$2:$D$192,J$1-9)-10)/((INDEX('Stat Boosts'!$D$2:$D$192,(F97/2+22)-9)-10)))&lt;0.5,POWER(1.1,1.75-(($A97+5)/($A97+10))*(INDEX('Stat Boosts'!$D$2:$D$192,J$1-9)-10)/((INDEX('Stat Boosts'!$D$2:$D$192,(F97/2+22)-9)-10))-0.5)*0.5,(1.75-(($A97+5)/($A97+10))*(INDEX('Stat Boosts'!$D$2:$D$192,J$1-9)-10)/((INDEX('Stat Boosts'!$D$2:$D$192,(F97/2+22)-9)-10))))</f>
        <v>0.4722266280239632</v>
      </c>
      <c r="K97" s="16">
        <f>IF((1.75-(($A97+5)/($A97+10))*(INDEX('Stat Boosts'!$D$2:$D$192,K$1-9)-10)/((INDEX('Stat Boosts'!$D$2:$D$192,(G97/2+22)-9)-10)))&lt;0.5,POWER(1.1,1.75-(($A97+5)/($A97+10))*(INDEX('Stat Boosts'!$D$2:$D$192,K$1-9)-10)/((INDEX('Stat Boosts'!$D$2:$D$192,(G97/2+22)-9)-10))-0.5)*0.5,(1.75-(($A97+5)/($A97+10))*(INDEX('Stat Boosts'!$D$2:$D$192,K$1-9)-10)/((INDEX('Stat Boosts'!$D$2:$D$192,(G97/2+22)-9)-10))))</f>
        <v>0.43819791602354047</v>
      </c>
      <c r="L97" s="16">
        <f>IF((1.75-(($A97+5)/($A97+10))*(INDEX('Stat Boosts'!$D$2:$D$192,L$1-9)-10)/((INDEX('Stat Boosts'!$D$2:$D$192,(H97/2+22)-9)-10)))&lt;0.5,POWER(1.1,1.75-(($A97+5)/($A97+10))*(INDEX('Stat Boosts'!$D$2:$D$192,L$1-9)-10)/((INDEX('Stat Boosts'!$D$2:$D$192,(H97/2+22)-9)-10))-0.5)*0.5,(1.75-(($A97+5)/($A97+10))*(INDEX('Stat Boosts'!$D$2:$D$192,L$1-9)-10)/((INDEX('Stat Boosts'!$D$2:$D$192,(H97/2+22)-9)-10))))</f>
        <v>0.42664852544500159</v>
      </c>
      <c r="M97" s="16">
        <f>IF((1.75-(($A97+5)/($A97+10))*(INDEX('Stat Boosts'!$D$2:$D$192,M$1-9)-10)/((INDEX('Stat Boosts'!$D$2:$D$192,(I97/2+22)-9)-10)))&lt;0.5,POWER(1.1,1.75-(($A97+5)/($A97+10))*(INDEX('Stat Boosts'!$D$2:$D$192,M$1-9)-10)/((INDEX('Stat Boosts'!$D$2:$D$192,(I97/2+22)-9)-10))-0.5)*0.5,(1.75-(($A97+5)/($A97+10))*(INDEX('Stat Boosts'!$D$2:$D$192,M$1-9)-10)/((INDEX('Stat Boosts'!$D$2:$D$192,(I97/2+22)-9)-10))))</f>
        <v>0.41098897006433655</v>
      </c>
      <c r="N97" s="16">
        <f>IF((1.75-(($A97+5)/($A97+10))*(INDEX('Stat Boosts'!$D$2:$D$192,N$1-9)-10)/((INDEX('Stat Boosts'!$D$2:$D$192,(J97/2+22)-9)-10)))&lt;0.5,POWER(1.1,1.75-(($A97+5)/($A97+10))*(INDEX('Stat Boosts'!$D$2:$D$192,N$1-9)-10)/((INDEX('Stat Boosts'!$D$2:$D$192,(J97/2+22)-9)-10))-0.5)*0.5,(1.75-(($A97+5)/($A97+10))*(INDEX('Stat Boosts'!$D$2:$D$192,N$1-9)-10)/((INDEX('Stat Boosts'!$D$2:$D$192,(J97/2+22)-9)-10))))</f>
        <v>0.39169683354203244</v>
      </c>
      <c r="O97" s="16">
        <f>IF((1.75-(($A97+5)/($A97+10))*(INDEX('Stat Boosts'!$D$2:$D$192,O$1-9)-10)/((INDEX('Stat Boosts'!$D$2:$D$192,(K97/2+22)-9)-10)))&lt;0.5,POWER(1.1,1.75-(($A97+5)/($A97+10))*(INDEX('Stat Boosts'!$D$2:$D$192,O$1-9)-10)/((INDEX('Stat Boosts'!$D$2:$D$192,(K97/2+22)-9)-10))-0.5)*0.5,(1.75-(($A97+5)/($A97+10))*(INDEX('Stat Boosts'!$D$2:$D$192,O$1-9)-10)/((INDEX('Stat Boosts'!$D$2:$D$192,(K97/2+22)-9)-10))))</f>
        <v>0.38137305163086782</v>
      </c>
      <c r="P97" s="16">
        <f>IF((1.75-(($A97+5)/($A97+10))*(INDEX('Stat Boosts'!$D$2:$D$192,P$1-9)-10)/((INDEX('Stat Boosts'!$D$2:$D$192,(L97/2+22)-9)-10)))&lt;0.5,POWER(1.1,1.75-(($A97+5)/($A97+10))*(INDEX('Stat Boosts'!$D$2:$D$192,P$1-9)-10)/((INDEX('Stat Boosts'!$D$2:$D$192,(L97/2+22)-9)-10))-0.5)*0.5,(1.75-(($A97+5)/($A97+10))*(INDEX('Stat Boosts'!$D$2:$D$192,P$1-9)-10)/((INDEX('Stat Boosts'!$D$2:$D$192,(L97/2+22)-9)-10))))</f>
        <v>0.36541797601328335</v>
      </c>
      <c r="Q97" s="16">
        <f>IF((1.75-(($A97+5)/($A97+10))*(INDEX('Stat Boosts'!$D$2:$D$192,Q$1-9)-10)/((INDEX('Stat Boosts'!$D$2:$D$192,(M97/2+22)-9)-10)))&lt;0.5,POWER(1.1,1.75-(($A97+5)/($A97+10))*(INDEX('Stat Boosts'!$D$2:$D$192,Q$1-9)-10)/((INDEX('Stat Boosts'!$D$2:$D$192,(M97/2+22)-9)-10))-0.5)*0.5,(1.75-(($A97+5)/($A97+10))*(INDEX('Stat Boosts'!$D$2:$D$192,Q$1-9)-10)/((INDEX('Stat Boosts'!$D$2:$D$192,(M97/2+22)-9)-10))))</f>
        <v>0.35013039495745218</v>
      </c>
      <c r="R97" s="16">
        <f>IF((1.75-(($A97+5)/($A97+10))*1.25*(INDEX('Stat Boosts'!$D$2:$D$192,R$1-9)-10)/((INDEX('Stat Boosts'!$D$2:$D$192,(N97/2+22)-9)-10)))&lt;0.5,POWER(1.1,1.75-(($A97+5)/($A97+10))*1.25*(INDEX('Stat Boosts'!$D$2:$D$192,R$1-9)-10)/((INDEX('Stat Boosts'!$D$2:$D$192,(N97/2+22)-9)-10))-0.5)*0.5,(1.75-(($A97+5)/($A97+10))*1.25*(INDEX('Stat Boosts'!$D$2:$D$192,R$1-9)-10)/((INDEX('Stat Boosts'!$D$2:$D$192,(N97/2+22)-9)-10))))</f>
        <v>0.29471988173760305</v>
      </c>
    </row>
    <row r="98" spans="1:18">
      <c r="A98" s="9">
        <v>97</v>
      </c>
      <c r="B98" s="16">
        <f t="shared" si="2"/>
        <v>60.8</v>
      </c>
      <c r="C98" s="16">
        <f t="shared" si="3"/>
        <v>7.8740157480314977E-3</v>
      </c>
      <c r="E98" s="16">
        <f>IF((1.75-(($A98+5)/($A98+10))*(INDEX('Stat Boosts'!$D$2:$D$192,E$1-9)-10)/((INDEX('Stat Boosts'!$D$2:$D$192,(A98/2+22)-9)-10)))&lt;0.5,POWER(1.1,1.75-(($A98+5)/($A98+10))*(INDEX('Stat Boosts'!$D$2:$D$192,E$1-9)-10)/((INDEX('Stat Boosts'!$D$2:$D$192,(A98/2+22)-9)-10))-0.5)*0.5,(1.75-(($A98+5)/($A98+10))*(INDEX('Stat Boosts'!$D$2:$D$192,E$1-9)-10)/((INDEX('Stat Boosts'!$D$2:$D$192,(A98/2+22)-9)-10))))</f>
        <v>1.75</v>
      </c>
      <c r="F98" s="16">
        <f>IF((1.75-(($A98+5)/($A98+10))*(INDEX('Stat Boosts'!$D$2:$D$192,F$1-9)-10)/((INDEX('Stat Boosts'!$D$2:$D$192,(B98/2+22)-9)-10)))&lt;0.5,POWER(1.1,1.75-(($A98+5)/($A98+10))*(INDEX('Stat Boosts'!$D$2:$D$192,F$1-9)-10)/((INDEX('Stat Boosts'!$D$2:$D$192,(B98/2+22)-9)-10))-0.5)*0.5,(1.75-(($A98+5)/($A98+10))*(INDEX('Stat Boosts'!$D$2:$D$192,F$1-9)-10)/((INDEX('Stat Boosts'!$D$2:$D$192,(B98/2+22)-9)-10))))</f>
        <v>1.6308411214953271</v>
      </c>
      <c r="G98" s="16">
        <f>IF((1.75-(($A98+5)/($A98+10))*(INDEX('Stat Boosts'!$D$2:$D$192,G$1-9)-10)/((INDEX('Stat Boosts'!$D$2:$D$192,(C98/2+22)-9)-10)))&lt;0.5,POWER(1.1,1.75-(($A98+5)/($A98+10))*(INDEX('Stat Boosts'!$D$2:$D$192,G$1-9)-10)/((INDEX('Stat Boosts'!$D$2:$D$192,(C98/2+22)-9)-10))-0.5)*0.5,(1.75-(($A98+5)/($A98+10))*(INDEX('Stat Boosts'!$D$2:$D$192,G$1-9)-10)/((INDEX('Stat Boosts'!$D$2:$D$192,(C98/2+22)-9)-10))))</f>
        <v>0.96495327102803741</v>
      </c>
      <c r="H98" s="16">
        <f>IF((1.75-(($A98+5)/($A98+10))*(INDEX('Stat Boosts'!$D$2:$D$192,H$1-9)-10)/((INDEX('Stat Boosts'!$D$2:$D$192,(D98/2+22)-9)-10)))&lt;0.5,POWER(1.1,1.75-(($A98+5)/($A98+10))*(INDEX('Stat Boosts'!$D$2:$D$192,H$1-9)-10)/((INDEX('Stat Boosts'!$D$2:$D$192,(D98/2+22)-9)-10))-0.5)*0.5,(1.75-(($A98+5)/($A98+10))*(INDEX('Stat Boosts'!$D$2:$D$192,H$1-9)-10)/((INDEX('Stat Boosts'!$D$2:$D$192,(D98/2+22)-9)-10))))</f>
        <v>0.57242990654205617</v>
      </c>
      <c r="I98" s="16">
        <f>IF((1.75-(($A98+5)/($A98+10))*(INDEX('Stat Boosts'!$D$2:$D$192,I$1-9)-10)/((INDEX('Stat Boosts'!$D$2:$D$192,(E98/2+22)-9)-10)))&lt;0.5,POWER(1.1,1.75-(($A98+5)/($A98+10))*(INDEX('Stat Boosts'!$D$2:$D$192,I$1-9)-10)/((INDEX('Stat Boosts'!$D$2:$D$192,(E98/2+22)-9)-10))-0.5)*0.5,(1.75-(($A98+5)/($A98+10))*(INDEX('Stat Boosts'!$D$2:$D$192,I$1-9)-10)/((INDEX('Stat Boosts'!$D$2:$D$192,(E98/2+22)-9)-10))))</f>
        <v>0.48757514856242834</v>
      </c>
      <c r="J98" s="16">
        <f>IF((1.75-(($A98+5)/($A98+10))*(INDEX('Stat Boosts'!$D$2:$D$192,J$1-9)-10)/((INDEX('Stat Boosts'!$D$2:$D$192,(F98/2+22)-9)-10)))&lt;0.5,POWER(1.1,1.75-(($A98+5)/($A98+10))*(INDEX('Stat Boosts'!$D$2:$D$192,J$1-9)-10)/((INDEX('Stat Boosts'!$D$2:$D$192,(F98/2+22)-9)-10))-0.5)*0.5,(1.75-(($A98+5)/($A98+10))*(INDEX('Stat Boosts'!$D$2:$D$192,J$1-9)-10)/((INDEX('Stat Boosts'!$D$2:$D$192,(F98/2+22)-9)-10))))</f>
        <v>0.47218811412998324</v>
      </c>
      <c r="K98" s="16">
        <f>IF((1.75-(($A98+5)/($A98+10))*(INDEX('Stat Boosts'!$D$2:$D$192,K$1-9)-10)/((INDEX('Stat Boosts'!$D$2:$D$192,(G98/2+22)-9)-10)))&lt;0.5,POWER(1.1,1.75-(($A98+5)/($A98+10))*(INDEX('Stat Boosts'!$D$2:$D$192,K$1-9)-10)/((INDEX('Stat Boosts'!$D$2:$D$192,(G98/2+22)-9)-10))-0.5)*0.5,(1.75-(($A98+5)/($A98+10))*(INDEX('Stat Boosts'!$D$2:$D$192,K$1-9)-10)/((INDEX('Stat Boosts'!$D$2:$D$192,(G98/2+22)-9)-10))))</f>
        <v>0.43814701650547111</v>
      </c>
      <c r="L98" s="16">
        <f>IF((1.75-(($A98+5)/($A98+10))*(INDEX('Stat Boosts'!$D$2:$D$192,L$1-9)-10)/((INDEX('Stat Boosts'!$D$2:$D$192,(H98/2+22)-9)-10)))&lt;0.5,POWER(1.1,1.75-(($A98+5)/($A98+10))*(INDEX('Stat Boosts'!$D$2:$D$192,L$1-9)-10)/((INDEX('Stat Boosts'!$D$2:$D$192,(H98/2+22)-9)-10))-0.5)*0.5,(1.75-(($A98+5)/($A98+10))*(INDEX('Stat Boosts'!$D$2:$D$192,L$1-9)-10)/((INDEX('Stat Boosts'!$D$2:$D$192,(H98/2+22)-9)-10))))</f>
        <v>0.42659369567630234</v>
      </c>
      <c r="M98" s="16">
        <f>IF((1.75-(($A98+5)/($A98+10))*(INDEX('Stat Boosts'!$D$2:$D$192,M$1-9)-10)/((INDEX('Stat Boosts'!$D$2:$D$192,(I98/2+22)-9)-10)))&lt;0.5,POWER(1.1,1.75-(($A98+5)/($A98+10))*(INDEX('Stat Boosts'!$D$2:$D$192,M$1-9)-10)/((INDEX('Stat Boosts'!$D$2:$D$192,(I98/2+22)-9)-10))-0.5)*0.5,(1.75-(($A98+5)/($A98+10))*(INDEX('Stat Boosts'!$D$2:$D$192,M$1-9)-10)/((INDEX('Stat Boosts'!$D$2:$D$192,(I98/2+22)-9)-10))))</f>
        <v>0.4109290432429421</v>
      </c>
      <c r="N98" s="16">
        <f>IF((1.75-(($A98+5)/($A98+10))*(INDEX('Stat Boosts'!$D$2:$D$192,N$1-9)-10)/((INDEX('Stat Boosts'!$D$2:$D$192,(J98/2+22)-9)-10)))&lt;0.5,POWER(1.1,1.75-(($A98+5)/($A98+10))*(INDEX('Stat Boosts'!$D$2:$D$192,N$1-9)-10)/((INDEX('Stat Boosts'!$D$2:$D$192,(J98/2+22)-9)-10))-0.5)*0.5,(1.75-(($A98+5)/($A98+10))*(INDEX('Stat Boosts'!$D$2:$D$192,N$1-9)-10)/((INDEX('Stat Boosts'!$D$2:$D$192,(J98/2+22)-9)-10))))</f>
        <v>0.39163100818736379</v>
      </c>
      <c r="O98" s="16">
        <f>IF((1.75-(($A98+5)/($A98+10))*(INDEX('Stat Boosts'!$D$2:$D$192,O$1-9)-10)/((INDEX('Stat Boosts'!$D$2:$D$192,(K98/2+22)-9)-10)))&lt;0.5,POWER(1.1,1.75-(($A98+5)/($A98+10))*(INDEX('Stat Boosts'!$D$2:$D$192,O$1-9)-10)/((INDEX('Stat Boosts'!$D$2:$D$192,(K98/2+22)-9)-10))-0.5)*0.5,(1.75-(($A98+5)/($A98+10))*(INDEX('Stat Boosts'!$D$2:$D$192,O$1-9)-10)/((INDEX('Stat Boosts'!$D$2:$D$192,(K98/2+22)-9)-10))))</f>
        <v>0.38130424910013644</v>
      </c>
      <c r="P98" s="16">
        <f>IF((1.75-(($A98+5)/($A98+10))*(INDEX('Stat Boosts'!$D$2:$D$192,P$1-9)-10)/((INDEX('Stat Boosts'!$D$2:$D$192,(L98/2+22)-9)-10)))&lt;0.5,POWER(1.1,1.75-(($A98+5)/($A98+10))*(INDEX('Stat Boosts'!$D$2:$D$192,P$1-9)-10)/((INDEX('Stat Boosts'!$D$2:$D$192,(L98/2+22)-9)-10))-0.5)*0.5,(1.75-(($A98+5)/($A98+10))*(INDEX('Stat Boosts'!$D$2:$D$192,P$1-9)-10)/((INDEX('Stat Boosts'!$D$2:$D$192,(L98/2+22)-9)-10))))</f>
        <v>0.3653448280590964</v>
      </c>
      <c r="Q98" s="16">
        <f>IF((1.75-(($A98+5)/($A98+10))*(INDEX('Stat Boosts'!$D$2:$D$192,Q$1-9)-10)/((INDEX('Stat Boosts'!$D$2:$D$192,(M98/2+22)-9)-10)))&lt;0.5,POWER(1.1,1.75-(($A98+5)/($A98+10))*(INDEX('Stat Boosts'!$D$2:$D$192,Q$1-9)-10)/((INDEX('Stat Boosts'!$D$2:$D$192,(M98/2+22)-9)-10))-0.5)*0.5,(1.75-(($A98+5)/($A98+10))*(INDEX('Stat Boosts'!$D$2:$D$192,Q$1-9)-10)/((INDEX('Stat Boosts'!$D$2:$D$192,(M98/2+22)-9)-10))))</f>
        <v>0.35005338572683364</v>
      </c>
      <c r="R98" s="16">
        <f>IF((1.75-(($A98+5)/($A98+10))*1.25*(INDEX('Stat Boosts'!$D$2:$D$192,R$1-9)-10)/((INDEX('Stat Boosts'!$D$2:$D$192,(N98/2+22)-9)-10)))&lt;0.5,POWER(1.1,1.75-(($A98+5)/($A98+10))*1.25*(INDEX('Stat Boosts'!$D$2:$D$192,R$1-9)-10)/((INDEX('Stat Boosts'!$D$2:$D$192,(N98/2+22)-9)-10))-0.5)*0.5,(1.75-(($A98+5)/($A98+10))*1.25*(INDEX('Stat Boosts'!$D$2:$D$192,R$1-9)-10)/((INDEX('Stat Boosts'!$D$2:$D$192,(N98/2+22)-9)-10))))</f>
        <v>0.29463157439048637</v>
      </c>
    </row>
    <row r="99" spans="1:18">
      <c r="A99" s="9">
        <v>98</v>
      </c>
      <c r="B99" s="16">
        <f t="shared" si="2"/>
        <v>61.2</v>
      </c>
      <c r="C99" s="16">
        <f t="shared" si="3"/>
        <v>7.8125E-3</v>
      </c>
      <c r="E99" s="16">
        <f>IF((1.75-(($A99+5)/($A99+10))*(INDEX('Stat Boosts'!$D$2:$D$192,E$1-9)-10)/((INDEX('Stat Boosts'!$D$2:$D$192,(A99/2+22)-9)-10)))&lt;0.5,POWER(1.1,1.75-(($A99+5)/($A99+10))*(INDEX('Stat Boosts'!$D$2:$D$192,E$1-9)-10)/((INDEX('Stat Boosts'!$D$2:$D$192,(A99/2+22)-9)-10))-0.5)*0.5,(1.75-(($A99+5)/($A99+10))*(INDEX('Stat Boosts'!$D$2:$D$192,E$1-9)-10)/((INDEX('Stat Boosts'!$D$2:$D$192,(A99/2+22)-9)-10))))</f>
        <v>1.75</v>
      </c>
      <c r="F99" s="16">
        <f>IF((1.75-(($A99+5)/($A99+10))*(INDEX('Stat Boosts'!$D$2:$D$192,F$1-9)-10)/((INDEX('Stat Boosts'!$D$2:$D$192,(B99/2+22)-9)-10)))&lt;0.5,POWER(1.1,1.75-(($A99+5)/($A99+10))*(INDEX('Stat Boosts'!$D$2:$D$192,F$1-9)-10)/((INDEX('Stat Boosts'!$D$2:$D$192,(B99/2+22)-9)-10))-0.5)*0.5,(1.75-(($A99+5)/($A99+10))*(INDEX('Stat Boosts'!$D$2:$D$192,F$1-9)-10)/((INDEX('Stat Boosts'!$D$2:$D$192,(B99/2+22)-9)-10))))</f>
        <v>1.630787037037037</v>
      </c>
      <c r="G99" s="16">
        <f>IF((1.75-(($A99+5)/($A99+10))*(INDEX('Stat Boosts'!$D$2:$D$192,G$1-9)-10)/((INDEX('Stat Boosts'!$D$2:$D$192,(C99/2+22)-9)-10)))&lt;0.5,POWER(1.1,1.75-(($A99+5)/($A99+10))*(INDEX('Stat Boosts'!$D$2:$D$192,G$1-9)-10)/((INDEX('Stat Boosts'!$D$2:$D$192,(C99/2+22)-9)-10))-0.5)*0.5,(1.75-(($A99+5)/($A99+10))*(INDEX('Stat Boosts'!$D$2:$D$192,G$1-9)-10)/((INDEX('Stat Boosts'!$D$2:$D$192,(C99/2+22)-9)-10))))</f>
        <v>0.96459694989106759</v>
      </c>
      <c r="H99" s="16">
        <f>IF((1.75-(($A99+5)/($A99+10))*(INDEX('Stat Boosts'!$D$2:$D$192,H$1-9)-10)/((INDEX('Stat Boosts'!$D$2:$D$192,(D99/2+22)-9)-10)))&lt;0.5,POWER(1.1,1.75-(($A99+5)/($A99+10))*(INDEX('Stat Boosts'!$D$2:$D$192,H$1-9)-10)/((INDEX('Stat Boosts'!$D$2:$D$192,(D99/2+22)-9)-10))-0.5)*0.5,(1.75-(($A99+5)/($A99+10))*(INDEX('Stat Boosts'!$D$2:$D$192,H$1-9)-10)/((INDEX('Stat Boosts'!$D$2:$D$192,(D99/2+22)-9)-10))))</f>
        <v>0.57189542483660127</v>
      </c>
      <c r="I99" s="16">
        <f>IF((1.75-(($A99+5)/($A99+10))*(INDEX('Stat Boosts'!$D$2:$D$192,I$1-9)-10)/((INDEX('Stat Boosts'!$D$2:$D$192,(E99/2+22)-9)-10)))&lt;0.5,POWER(1.1,1.75-(($A99+5)/($A99+10))*(INDEX('Stat Boosts'!$D$2:$D$192,I$1-9)-10)/((INDEX('Stat Boosts'!$D$2:$D$192,(E99/2+22)-9)-10))-0.5)*0.5,(1.75-(($A99+5)/($A99+10))*(INDEX('Stat Boosts'!$D$2:$D$192,I$1-9)-10)/((INDEX('Stat Boosts'!$D$2:$D$192,(E99/2+22)-9)-10))))</f>
        <v>0.48754321525204064</v>
      </c>
      <c r="J99" s="16">
        <f>IF((1.75-(($A99+5)/($A99+10))*(INDEX('Stat Boosts'!$D$2:$D$192,J$1-9)-10)/((INDEX('Stat Boosts'!$D$2:$D$192,(F99/2+22)-9)-10)))&lt;0.5,POWER(1.1,1.75-(($A99+5)/($A99+10))*(INDEX('Stat Boosts'!$D$2:$D$192,J$1-9)-10)/((INDEX('Stat Boosts'!$D$2:$D$192,(F99/2+22)-9)-10))-0.5)*0.5,(1.75-(($A99+5)/($A99+10))*(INDEX('Stat Boosts'!$D$2:$D$192,J$1-9)-10)/((INDEX('Stat Boosts'!$D$2:$D$192,(F99/2+22)-9)-10))))</f>
        <v>0.47215031651066797</v>
      </c>
      <c r="K99" s="16">
        <f>IF((1.75-(($A99+5)/($A99+10))*(INDEX('Stat Boosts'!$D$2:$D$192,K$1-9)-10)/((INDEX('Stat Boosts'!$D$2:$D$192,(G99/2+22)-9)-10)))&lt;0.5,POWER(1.1,1.75-(($A99+5)/($A99+10))*(INDEX('Stat Boosts'!$D$2:$D$192,K$1-9)-10)/((INDEX('Stat Boosts'!$D$2:$D$192,(G99/2+22)-9)-10))-0.5)*0.5,(1.75-(($A99+5)/($A99+10))*(INDEX('Stat Boosts'!$D$2:$D$192,K$1-9)-10)/((INDEX('Stat Boosts'!$D$2:$D$192,(G99/2+22)-9)-10))))</f>
        <v>0.43809706532016451</v>
      </c>
      <c r="L99" s="16">
        <f>IF((1.75-(($A99+5)/($A99+10))*(INDEX('Stat Boosts'!$D$2:$D$192,L$1-9)-10)/((INDEX('Stat Boosts'!$D$2:$D$192,(H99/2+22)-9)-10)))&lt;0.5,POWER(1.1,1.75-(($A99+5)/($A99+10))*(INDEX('Stat Boosts'!$D$2:$D$192,L$1-9)-10)/((INDEX('Stat Boosts'!$D$2:$D$192,(H99/2+22)-9)-10))-0.5)*0.5,(1.75-(($A99+5)/($A99+10))*(INDEX('Stat Boosts'!$D$2:$D$192,L$1-9)-10)/((INDEX('Stat Boosts'!$D$2:$D$192,(H99/2+22)-9)-10))))</f>
        <v>0.42653988812549609</v>
      </c>
      <c r="M99" s="16">
        <f>IF((1.75-(($A99+5)/($A99+10))*(INDEX('Stat Boosts'!$D$2:$D$192,M$1-9)-10)/((INDEX('Stat Boosts'!$D$2:$D$192,(I99/2+22)-9)-10)))&lt;0.5,POWER(1.1,1.75-(($A99+5)/($A99+10))*(INDEX('Stat Boosts'!$D$2:$D$192,M$1-9)-10)/((INDEX('Stat Boosts'!$D$2:$D$192,(I99/2+22)-9)-10))-0.5)*0.5,(1.75-(($A99+5)/($A99+10))*(INDEX('Stat Boosts'!$D$2:$D$192,M$1-9)-10)/((INDEX('Stat Boosts'!$D$2:$D$192,(I99/2+22)-9)-10))))</f>
        <v>0.41087023467428846</v>
      </c>
      <c r="N99" s="16">
        <f>IF((1.75-(($A99+5)/($A99+10))*(INDEX('Stat Boosts'!$D$2:$D$192,N$1-9)-10)/((INDEX('Stat Boosts'!$D$2:$D$192,(J99/2+22)-9)-10)))&lt;0.5,POWER(1.1,1.75-(($A99+5)/($A99+10))*(INDEX('Stat Boosts'!$D$2:$D$192,N$1-9)-10)/((INDEX('Stat Boosts'!$D$2:$D$192,(J99/2+22)-9)-10))-0.5)*0.5,(1.75-(($A99+5)/($A99+10))*(INDEX('Stat Boosts'!$D$2:$D$192,N$1-9)-10)/((INDEX('Stat Boosts'!$D$2:$D$192,(J99/2+22)-9)-10))))</f>
        <v>0.39156641257744162</v>
      </c>
      <c r="O99" s="16">
        <f>IF((1.75-(($A99+5)/($A99+10))*(INDEX('Stat Boosts'!$D$2:$D$192,O$1-9)-10)/((INDEX('Stat Boosts'!$D$2:$D$192,(K99/2+22)-9)-10)))&lt;0.5,POWER(1.1,1.75-(($A99+5)/($A99+10))*(INDEX('Stat Boosts'!$D$2:$D$192,O$1-9)-10)/((INDEX('Stat Boosts'!$D$2:$D$192,(K99/2+22)-9)-10))-0.5)*0.5,(1.75-(($A99+5)/($A99+10))*(INDEX('Stat Boosts'!$D$2:$D$192,O$1-9)-10)/((INDEX('Stat Boosts'!$D$2:$D$192,(K99/2+22)-9)-10))))</f>
        <v>0.3812367327601825</v>
      </c>
      <c r="P99" s="16">
        <f>IF((1.75-(($A99+5)/($A99+10))*(INDEX('Stat Boosts'!$D$2:$D$192,P$1-9)-10)/((INDEX('Stat Boosts'!$D$2:$D$192,(L99/2+22)-9)-10)))&lt;0.5,POWER(1.1,1.75-(($A99+5)/($A99+10))*(INDEX('Stat Boosts'!$D$2:$D$192,P$1-9)-10)/((INDEX('Stat Boosts'!$D$2:$D$192,(L99/2+22)-9)-10))-0.5)*0.5,(1.75-(($A99+5)/($A99+10))*(INDEX('Stat Boosts'!$D$2:$D$192,P$1-9)-10)/((INDEX('Stat Boosts'!$D$2:$D$192,(L99/2+22)-9)-10))))</f>
        <v>0.36527304893492046</v>
      </c>
      <c r="Q99" s="16">
        <f>IF((1.75-(($A99+5)/($A99+10))*(INDEX('Stat Boosts'!$D$2:$D$192,Q$1-9)-10)/((INDEX('Stat Boosts'!$D$2:$D$192,(M99/2+22)-9)-10)))&lt;0.5,POWER(1.1,1.75-(($A99+5)/($A99+10))*(INDEX('Stat Boosts'!$D$2:$D$192,Q$1-9)-10)/((INDEX('Stat Boosts'!$D$2:$D$192,(M99/2+22)-9)-10))-0.5)*0.5,(1.75-(($A99+5)/($A99+10))*(INDEX('Stat Boosts'!$D$2:$D$192,Q$1-9)-10)/((INDEX('Stat Boosts'!$D$2:$D$192,(M99/2+22)-9)-10))))</f>
        <v>0.34997781906326336</v>
      </c>
      <c r="R99" s="16">
        <f>IF((1.75-(($A99+5)/($A99+10))*1.25*(INDEX('Stat Boosts'!$D$2:$D$192,R$1-9)-10)/((INDEX('Stat Boosts'!$D$2:$D$192,(N99/2+22)-9)-10)))&lt;0.5,POWER(1.1,1.75-(($A99+5)/($A99+10))*1.25*(INDEX('Stat Boosts'!$D$2:$D$192,R$1-9)-10)/((INDEX('Stat Boosts'!$D$2:$D$192,(N99/2+22)-9)-10))-0.5)*0.5,(1.75-(($A99+5)/($A99+10))*1.25*(INDEX('Stat Boosts'!$D$2:$D$192,R$1-9)-10)/((INDEX('Stat Boosts'!$D$2:$D$192,(N99/2+22)-9)-10))))</f>
        <v>0.29454492809386568</v>
      </c>
    </row>
    <row r="100" spans="1:18">
      <c r="A100" s="9">
        <v>99</v>
      </c>
      <c r="B100" s="16">
        <f t="shared" si="2"/>
        <v>61.6</v>
      </c>
      <c r="C100" s="16">
        <f t="shared" si="3"/>
        <v>7.7519379844961239E-3</v>
      </c>
      <c r="E100" s="16">
        <f>IF((1.75-(($A100+5)/($A100+10))*(INDEX('Stat Boosts'!$D$2:$D$192,E$1-9)-10)/((INDEX('Stat Boosts'!$D$2:$D$192,(A100/2+22)-9)-10)))&lt;0.5,POWER(1.1,1.75-(($A100+5)/($A100+10))*(INDEX('Stat Boosts'!$D$2:$D$192,E$1-9)-10)/((INDEX('Stat Boosts'!$D$2:$D$192,(A100/2+22)-9)-10))-0.5)*0.5,(1.75-(($A100+5)/($A100+10))*(INDEX('Stat Boosts'!$D$2:$D$192,E$1-9)-10)/((INDEX('Stat Boosts'!$D$2:$D$192,(A100/2+22)-9)-10))))</f>
        <v>1.75</v>
      </c>
      <c r="F100" s="16">
        <f>IF((1.75-(($A100+5)/($A100+10))*(INDEX('Stat Boosts'!$D$2:$D$192,F$1-9)-10)/((INDEX('Stat Boosts'!$D$2:$D$192,(B100/2+22)-9)-10)))&lt;0.5,POWER(1.1,1.75-(($A100+5)/($A100+10))*(INDEX('Stat Boosts'!$D$2:$D$192,F$1-9)-10)/((INDEX('Stat Boosts'!$D$2:$D$192,(B100/2+22)-9)-10))-0.5)*0.5,(1.75-(($A100+5)/($A100+10))*(INDEX('Stat Boosts'!$D$2:$D$192,F$1-9)-10)/((INDEX('Stat Boosts'!$D$2:$D$192,(B100/2+22)-9)-10))))</f>
        <v>1.6307339449541285</v>
      </c>
      <c r="G100" s="16">
        <f>IF((1.75-(($A100+5)/($A100+10))*(INDEX('Stat Boosts'!$D$2:$D$192,G$1-9)-10)/((INDEX('Stat Boosts'!$D$2:$D$192,(C100/2+22)-9)-10)))&lt;0.5,POWER(1.1,1.75-(($A100+5)/($A100+10))*(INDEX('Stat Boosts'!$D$2:$D$192,G$1-9)-10)/((INDEX('Stat Boosts'!$D$2:$D$192,(C100/2+22)-9)-10))-0.5)*0.5,(1.75-(($A100+5)/($A100+10))*(INDEX('Stat Boosts'!$D$2:$D$192,G$1-9)-10)/((INDEX('Stat Boosts'!$D$2:$D$192,(C100/2+22)-9)-10))))</f>
        <v>0.96424716675661082</v>
      </c>
      <c r="H100" s="16">
        <f>IF((1.75-(($A100+5)/($A100+10))*(INDEX('Stat Boosts'!$D$2:$D$192,H$1-9)-10)/((INDEX('Stat Boosts'!$D$2:$D$192,(D100/2+22)-9)-10)))&lt;0.5,POWER(1.1,1.75-(($A100+5)/($A100+10))*(INDEX('Stat Boosts'!$D$2:$D$192,H$1-9)-10)/((INDEX('Stat Boosts'!$D$2:$D$192,(D100/2+22)-9)-10))-0.5)*0.5,(1.75-(($A100+5)/($A100+10))*(INDEX('Stat Boosts'!$D$2:$D$192,H$1-9)-10)/((INDEX('Stat Boosts'!$D$2:$D$192,(D100/2+22)-9)-10))))</f>
        <v>0.57137075013491612</v>
      </c>
      <c r="I100" s="16">
        <f>IF((1.75-(($A100+5)/($A100+10))*(INDEX('Stat Boosts'!$D$2:$D$192,I$1-9)-10)/((INDEX('Stat Boosts'!$D$2:$D$192,(E100/2+22)-9)-10)))&lt;0.5,POWER(1.1,1.75-(($A100+5)/($A100+10))*(INDEX('Stat Boosts'!$D$2:$D$192,I$1-9)-10)/((INDEX('Stat Boosts'!$D$2:$D$192,(E100/2+22)-9)-10))-0.5)*0.5,(1.75-(($A100+5)/($A100+10))*(INDEX('Stat Boosts'!$D$2:$D$192,I$1-9)-10)/((INDEX('Stat Boosts'!$D$2:$D$192,(E100/2+22)-9)-10))))</f>
        <v>0.48751186990818812</v>
      </c>
      <c r="J100" s="16">
        <f>IF((1.75-(($A100+5)/($A100+10))*(INDEX('Stat Boosts'!$D$2:$D$192,J$1-9)-10)/((INDEX('Stat Boosts'!$D$2:$D$192,(F100/2+22)-9)-10)))&lt;0.5,POWER(1.1,1.75-(($A100+5)/($A100+10))*(INDEX('Stat Boosts'!$D$2:$D$192,J$1-9)-10)/((INDEX('Stat Boosts'!$D$2:$D$192,(F100/2+22)-9)-10))-0.5)*0.5,(1.75-(($A100+5)/($A100+10))*(INDEX('Stat Boosts'!$D$2:$D$192,J$1-9)-10)/((INDEX('Stat Boosts'!$D$2:$D$192,(F100/2+22)-9)-10))))</f>
        <v>0.4721132153685052</v>
      </c>
      <c r="K100" s="16">
        <f>IF((1.75-(($A100+5)/($A100+10))*(INDEX('Stat Boosts'!$D$2:$D$192,K$1-9)-10)/((INDEX('Stat Boosts'!$D$2:$D$192,(G100/2+22)-9)-10)))&lt;0.5,POWER(1.1,1.75-(($A100+5)/($A100+10))*(INDEX('Stat Boosts'!$D$2:$D$192,K$1-9)-10)/((INDEX('Stat Boosts'!$D$2:$D$192,(G100/2+22)-9)-10))-0.5)*0.5,(1.75-(($A100+5)/($A100+10))*(INDEX('Stat Boosts'!$D$2:$D$192,K$1-9)-10)/((INDEX('Stat Boosts'!$D$2:$D$192,(G100/2+22)-9)-10))))</f>
        <v>0.43804803620930716</v>
      </c>
      <c r="L100" s="16">
        <f>IF((1.75-(($A100+5)/($A100+10))*(INDEX('Stat Boosts'!$D$2:$D$192,L$1-9)-10)/((INDEX('Stat Boosts'!$D$2:$D$192,(H100/2+22)-9)-10)))&lt;0.5,POWER(1.1,1.75-(($A100+5)/($A100+10))*(INDEX('Stat Boosts'!$D$2:$D$192,L$1-9)-10)/((INDEX('Stat Boosts'!$D$2:$D$192,(H100/2+22)-9)-10))-0.5)*0.5,(1.75-(($A100+5)/($A100+10))*(INDEX('Stat Boosts'!$D$2:$D$192,L$1-9)-10)/((INDEX('Stat Boosts'!$D$2:$D$192,(H100/2+22)-9)-10))))</f>
        <v>0.42648707447046086</v>
      </c>
      <c r="M100" s="16">
        <f>IF((1.75-(($A100+5)/($A100+10))*(INDEX('Stat Boosts'!$D$2:$D$192,M$1-9)-10)/((INDEX('Stat Boosts'!$D$2:$D$192,(I100/2+22)-9)-10)))&lt;0.5,POWER(1.1,1.75-(($A100+5)/($A100+10))*(INDEX('Stat Boosts'!$D$2:$D$192,M$1-9)-10)/((INDEX('Stat Boosts'!$D$2:$D$192,(I100/2+22)-9)-10))-0.5)*0.5,(1.75-(($A100+5)/($A100+10))*(INDEX('Stat Boosts'!$D$2:$D$192,M$1-9)-10)/((INDEX('Stat Boosts'!$D$2:$D$192,(I100/2+22)-9)-10))))</f>
        <v>0.41081251334789448</v>
      </c>
      <c r="N100" s="16">
        <f>IF((1.75-(($A100+5)/($A100+10))*(INDEX('Stat Boosts'!$D$2:$D$192,N$1-9)-10)/((INDEX('Stat Boosts'!$D$2:$D$192,(J100/2+22)-9)-10)))&lt;0.5,POWER(1.1,1.75-(($A100+5)/($A100+10))*(INDEX('Stat Boosts'!$D$2:$D$192,N$1-9)-10)/((INDEX('Stat Boosts'!$D$2:$D$192,(J100/2+22)-9)-10))-0.5)*0.5,(1.75-(($A100+5)/($A100+10))*(INDEX('Stat Boosts'!$D$2:$D$192,N$1-9)-10)/((INDEX('Stat Boosts'!$D$2:$D$192,(J100/2+22)-9)-10))))</f>
        <v>0.39150301257103054</v>
      </c>
      <c r="O100" s="16">
        <f>IF((1.75-(($A100+5)/($A100+10))*(INDEX('Stat Boosts'!$D$2:$D$192,O$1-9)-10)/((INDEX('Stat Boosts'!$D$2:$D$192,(K100/2+22)-9)-10)))&lt;0.5,POWER(1.1,1.75-(($A100+5)/($A100+10))*(INDEX('Stat Boosts'!$D$2:$D$192,O$1-9)-10)/((INDEX('Stat Boosts'!$D$2:$D$192,(K100/2+22)-9)-10))-0.5)*0.5,(1.75-(($A100+5)/($A100+10))*(INDEX('Stat Boosts'!$D$2:$D$192,O$1-9)-10)/((INDEX('Stat Boosts'!$D$2:$D$192,(K100/2+22)-9)-10))))</f>
        <v>0.38117046688005046</v>
      </c>
      <c r="P100" s="16">
        <f>IF((1.75-(($A100+5)/($A100+10))*(INDEX('Stat Boosts'!$D$2:$D$192,P$1-9)-10)/((INDEX('Stat Boosts'!$D$2:$D$192,(L100/2+22)-9)-10)))&lt;0.5,POWER(1.1,1.75-(($A100+5)/($A100+10))*(INDEX('Stat Boosts'!$D$2:$D$192,P$1-9)-10)/((INDEX('Stat Boosts'!$D$2:$D$192,(L100/2+22)-9)-10))-0.5)*0.5,(1.75-(($A100+5)/($A100+10))*(INDEX('Stat Boosts'!$D$2:$D$192,P$1-9)-10)/((INDEX('Stat Boosts'!$D$2:$D$192,(L100/2+22)-9)-10))))</f>
        <v>0.36520260057555559</v>
      </c>
      <c r="Q100" s="16">
        <f>IF((1.75-(($A100+5)/($A100+10))*(INDEX('Stat Boosts'!$D$2:$D$192,Q$1-9)-10)/((INDEX('Stat Boosts'!$D$2:$D$192,(M100/2+22)-9)-10)))&lt;0.5,POWER(1.1,1.75-(($A100+5)/($A100+10))*(INDEX('Stat Boosts'!$D$2:$D$192,Q$1-9)-10)/((INDEX('Stat Boosts'!$D$2:$D$192,(M100/2+22)-9)-10))-0.5)*0.5,(1.75-(($A100+5)/($A100+10))*(INDEX('Stat Boosts'!$D$2:$D$192,Q$1-9)-10)/((INDEX('Stat Boosts'!$D$2:$D$192,(M100/2+22)-9)-10))))</f>
        <v>0.34990365481048552</v>
      </c>
      <c r="R100" s="16">
        <f>IF((1.75-(($A100+5)/($A100+10))*1.25*(INDEX('Stat Boosts'!$D$2:$D$192,R$1-9)-10)/((INDEX('Stat Boosts'!$D$2:$D$192,(N100/2+22)-9)-10)))&lt;0.5,POWER(1.1,1.75-(($A100+5)/($A100+10))*1.25*(INDEX('Stat Boosts'!$D$2:$D$192,R$1-9)-10)/((INDEX('Stat Boosts'!$D$2:$D$192,(N100/2+22)-9)-10))-0.5)*0.5,(1.75-(($A100+5)/($A100+10))*1.25*(INDEX('Stat Boosts'!$D$2:$D$192,R$1-9)-10)/((INDEX('Stat Boosts'!$D$2:$D$192,(N100/2+22)-9)-10))))</f>
        <v>0.29445989642181492</v>
      </c>
    </row>
    <row r="101" spans="1:18">
      <c r="A101" s="9">
        <v>100</v>
      </c>
      <c r="B101" s="16">
        <f t="shared" si="2"/>
        <v>62</v>
      </c>
      <c r="C101" s="16">
        <f t="shared" si="3"/>
        <v>7.6923076923076927E-3</v>
      </c>
      <c r="E101" s="16">
        <f>IF((1.75-(($A101+5)/($A101+10))*(INDEX('Stat Boosts'!$D$2:$D$192,E$1-9)-10)/((INDEX('Stat Boosts'!$D$2:$D$192,(A101/2+22)-9)-10)))&lt;0.5,POWER(1.1,1.75-(($A101+5)/($A101+10))*(INDEX('Stat Boosts'!$D$2:$D$192,E$1-9)-10)/((INDEX('Stat Boosts'!$D$2:$D$192,(A101/2+22)-9)-10))-0.5)*0.5,(1.75-(($A101+5)/($A101+10))*(INDEX('Stat Boosts'!$D$2:$D$192,E$1-9)-10)/((INDEX('Stat Boosts'!$D$2:$D$192,(A101/2+22)-9)-10))))</f>
        <v>1.75</v>
      </c>
      <c r="F101" s="16">
        <f>IF((1.75-(($A101+5)/($A101+10))*(INDEX('Stat Boosts'!$D$2:$D$192,F$1-9)-10)/((INDEX('Stat Boosts'!$D$2:$D$192,(B101/2+22)-9)-10)))&lt;0.5,POWER(1.1,1.75-(($A101+5)/($A101+10))*(INDEX('Stat Boosts'!$D$2:$D$192,F$1-9)-10)/((INDEX('Stat Boosts'!$D$2:$D$192,(B101/2+22)-9)-10))-0.5)*0.5,(1.75-(($A101+5)/($A101+10))*(INDEX('Stat Boosts'!$D$2:$D$192,F$1-9)-10)/((INDEX('Stat Boosts'!$D$2:$D$192,(B101/2+22)-9)-10))))</f>
        <v>1.6327751196172249</v>
      </c>
      <c r="G101" s="16">
        <f>IF((1.75-(($A101+5)/($A101+10))*(INDEX('Stat Boosts'!$D$2:$D$192,G$1-9)-10)/((INDEX('Stat Boosts'!$D$2:$D$192,(C101/2+22)-9)-10)))&lt;0.5,POWER(1.1,1.75-(($A101+5)/($A101+10))*(INDEX('Stat Boosts'!$D$2:$D$192,G$1-9)-10)/((INDEX('Stat Boosts'!$D$2:$D$192,(C101/2+22)-9)-10))-0.5)*0.5,(1.75-(($A101+5)/($A101+10))*(INDEX('Stat Boosts'!$D$2:$D$192,G$1-9)-10)/((INDEX('Stat Boosts'!$D$2:$D$192,(C101/2+22)-9)-10))))</f>
        <v>0.96390374331550799</v>
      </c>
      <c r="H101" s="16">
        <f>IF((1.75-(($A101+5)/($A101+10))*(INDEX('Stat Boosts'!$D$2:$D$192,H$1-9)-10)/((INDEX('Stat Boosts'!$D$2:$D$192,(D101/2+22)-9)-10)))&lt;0.5,POWER(1.1,1.75-(($A101+5)/($A101+10))*(INDEX('Stat Boosts'!$D$2:$D$192,H$1-9)-10)/((INDEX('Stat Boosts'!$D$2:$D$192,(D101/2+22)-9)-10))-0.5)*0.5,(1.75-(($A101+5)/($A101+10))*(INDEX('Stat Boosts'!$D$2:$D$192,H$1-9)-10)/((INDEX('Stat Boosts'!$D$2:$D$192,(D101/2+22)-9)-10))))</f>
        <v>0.57085561497326198</v>
      </c>
      <c r="I101" s="16">
        <f>IF((1.75-(($A101+5)/($A101+10))*(INDEX('Stat Boosts'!$D$2:$D$192,I$1-9)-10)/((INDEX('Stat Boosts'!$D$2:$D$192,(E101/2+22)-9)-10)))&lt;0.5,POWER(1.1,1.75-(($A101+5)/($A101+10))*(INDEX('Stat Boosts'!$D$2:$D$192,I$1-9)-10)/((INDEX('Stat Boosts'!$D$2:$D$192,(E101/2+22)-9)-10))-0.5)*0.5,(1.75-(($A101+5)/($A101+10))*(INDEX('Stat Boosts'!$D$2:$D$192,I$1-9)-10)/((INDEX('Stat Boosts'!$D$2:$D$192,(E101/2+22)-9)-10))))</f>
        <v>0.48748109644031917</v>
      </c>
      <c r="J101" s="16">
        <f>IF((1.75-(($A101+5)/($A101+10))*(INDEX('Stat Boosts'!$D$2:$D$192,J$1-9)-10)/((INDEX('Stat Boosts'!$D$2:$D$192,(F101/2+22)-9)-10)))&lt;0.5,POWER(1.1,1.75-(($A101+5)/($A101+10))*(INDEX('Stat Boosts'!$D$2:$D$192,J$1-9)-10)/((INDEX('Stat Boosts'!$D$2:$D$192,(F101/2+22)-9)-10))-0.5)*0.5,(1.75-(($A101+5)/($A101+10))*(INDEX('Stat Boosts'!$D$2:$D$192,J$1-9)-10)/((INDEX('Stat Boosts'!$D$2:$D$192,(F101/2+22)-9)-10))))</f>
        <v>0.47207679162891064</v>
      </c>
      <c r="K101" s="16">
        <f>IF((1.75-(($A101+5)/($A101+10))*(INDEX('Stat Boosts'!$D$2:$D$192,K$1-9)-10)/((INDEX('Stat Boosts'!$D$2:$D$192,(G101/2+22)-9)-10)))&lt;0.5,POWER(1.1,1.75-(($A101+5)/($A101+10))*(INDEX('Stat Boosts'!$D$2:$D$192,K$1-9)-10)/((INDEX('Stat Boosts'!$D$2:$D$192,(G101/2+22)-9)-10))-0.5)*0.5,(1.75-(($A101+5)/($A101+10))*(INDEX('Stat Boosts'!$D$2:$D$192,K$1-9)-10)/((INDEX('Stat Boosts'!$D$2:$D$192,(G101/2+22)-9)-10))))</f>
        <v>0.43799990387512755</v>
      </c>
      <c r="L101" s="16">
        <f>IF((1.75-(($A101+5)/($A101+10))*(INDEX('Stat Boosts'!$D$2:$D$192,L$1-9)-10)/((INDEX('Stat Boosts'!$D$2:$D$192,(H101/2+22)-9)-10)))&lt;0.5,POWER(1.1,1.75-(($A101+5)/($A101+10))*(INDEX('Stat Boosts'!$D$2:$D$192,L$1-9)-10)/((INDEX('Stat Boosts'!$D$2:$D$192,(H101/2+22)-9)-10))-0.5)*0.5,(1.75-(($A101+5)/($A101+10))*(INDEX('Stat Boosts'!$D$2:$D$192,L$1-9)-10)/((INDEX('Stat Boosts'!$D$2:$D$192,(H101/2+22)-9)-10))))</f>
        <v>0.42643522742576256</v>
      </c>
      <c r="M101" s="16">
        <f>IF((1.75-(($A101+5)/($A101+10))*(INDEX('Stat Boosts'!$D$2:$D$192,M$1-9)-10)/((INDEX('Stat Boosts'!$D$2:$D$192,(I101/2+22)-9)-10)))&lt;0.5,POWER(1.1,1.75-(($A101+5)/($A101+10))*(INDEX('Stat Boosts'!$D$2:$D$192,M$1-9)-10)/((INDEX('Stat Boosts'!$D$2:$D$192,(I101/2+22)-9)-10))-0.5)*0.5,(1.75-(($A101+5)/($A101+10))*(INDEX('Stat Boosts'!$D$2:$D$192,M$1-9)-10)/((INDEX('Stat Boosts'!$D$2:$D$192,(I101/2+22)-9)-10))))</f>
        <v>0.41075584938936605</v>
      </c>
      <c r="N101" s="16">
        <f>IF((1.75-(($A101+5)/($A101+10))*(INDEX('Stat Boosts'!$D$2:$D$192,N$1-9)-10)/((INDEX('Stat Boosts'!$D$2:$D$192,(J101/2+22)-9)-10)))&lt;0.5,POWER(1.1,1.75-(($A101+5)/($A101+10))*(INDEX('Stat Boosts'!$D$2:$D$192,N$1-9)-10)/((INDEX('Stat Boosts'!$D$2:$D$192,(J101/2+22)-9)-10))-0.5)*0.5,(1.75-(($A101+5)/($A101+10))*(INDEX('Stat Boosts'!$D$2:$D$192,N$1-9)-10)/((INDEX('Stat Boosts'!$D$2:$D$192,(J101/2+22)-9)-10))))</f>
        <v>0.39144077527908766</v>
      </c>
      <c r="O101" s="16">
        <f>IF((1.75-(($A101+5)/($A101+10))*(INDEX('Stat Boosts'!$D$2:$D$192,O$1-9)-10)/((INDEX('Stat Boosts'!$D$2:$D$192,(K101/2+22)-9)-10)))&lt;0.5,POWER(1.1,1.75-(($A101+5)/($A101+10))*(INDEX('Stat Boosts'!$D$2:$D$192,O$1-9)-10)/((INDEX('Stat Boosts'!$D$2:$D$192,(K101/2+22)-9)-10))-0.5)*0.5,(1.75-(($A101+5)/($A101+10))*(INDEX('Stat Boosts'!$D$2:$D$192,O$1-9)-10)/((INDEX('Stat Boosts'!$D$2:$D$192,(K101/2+22)-9)-10))))</f>
        <v>0.3811054170401007</v>
      </c>
      <c r="P101" s="16">
        <f>IF((1.75-(($A101+5)/($A101+10))*(INDEX('Stat Boosts'!$D$2:$D$192,P$1-9)-10)/((INDEX('Stat Boosts'!$D$2:$D$192,(L101/2+22)-9)-10)))&lt;0.5,POWER(1.1,1.75-(($A101+5)/($A101+10))*(INDEX('Stat Boosts'!$D$2:$D$192,P$1-9)-10)/((INDEX('Stat Boosts'!$D$2:$D$192,(L101/2+22)-9)-10))-0.5)*0.5,(1.75-(($A101+5)/($A101+10))*(INDEX('Stat Boosts'!$D$2:$D$192,P$1-9)-10)/((INDEX('Stat Boosts'!$D$2:$D$192,(L101/2+22)-9)-10))))</f>
        <v>0.36513344631417566</v>
      </c>
      <c r="Q101" s="16">
        <f>IF((1.75-(($A101+5)/($A101+10))*(INDEX('Stat Boosts'!$D$2:$D$192,Q$1-9)-10)/((INDEX('Stat Boosts'!$D$2:$D$192,(M101/2+22)-9)-10)))&lt;0.5,POWER(1.1,1.75-(($A101+5)/($A101+10))*(INDEX('Stat Boosts'!$D$2:$D$192,Q$1-9)-10)/((INDEX('Stat Boosts'!$D$2:$D$192,(M101/2+22)-9)-10))-0.5)*0.5,(1.75-(($A101+5)/($A101+10))*(INDEX('Stat Boosts'!$D$2:$D$192,Q$1-9)-10)/((INDEX('Stat Boosts'!$D$2:$D$192,(M101/2+22)-9)-10))))</f>
        <v>0.34983085428890281</v>
      </c>
      <c r="R101" s="16">
        <f>IF((1.75-(($A101+5)/($A101+10))*1.25*(INDEX('Stat Boosts'!$D$2:$D$192,R$1-9)-10)/((INDEX('Stat Boosts'!$D$2:$D$192,(N101/2+22)-9)-10)))&lt;0.5,POWER(1.1,1.75-(($A101+5)/($A101+10))*1.25*(INDEX('Stat Boosts'!$D$2:$D$192,R$1-9)-10)/((INDEX('Stat Boosts'!$D$2:$D$192,(N101/2+22)-9)-10))-0.5)*0.5,(1.75-(($A101+5)/($A101+10))*1.25*(INDEX('Stat Boosts'!$D$2:$D$192,R$1-9)-10)/((INDEX('Stat Boosts'!$D$2:$D$192,(N101/2+22)-9)-10))))</f>
        <v>0.29437643466243102</v>
      </c>
    </row>
    <row r="102" spans="1:18">
      <c r="A102" s="9">
        <v>101</v>
      </c>
      <c r="B102" s="16">
        <f t="shared" si="2"/>
        <v>62.4</v>
      </c>
      <c r="C102" s="16">
        <f t="shared" si="3"/>
        <v>7.6335877862595426E-3</v>
      </c>
      <c r="E102" s="16">
        <f>IF((1.75-(($A102+5)/($A102+10))*(INDEX('Stat Boosts'!$D$2:$D$192,E$1-9)-10)/((INDEX('Stat Boosts'!$D$2:$D$192,(A102/2+22)-9)-10)))&lt;0.5,POWER(1.1,1.75-(($A102+5)/($A102+10))*(INDEX('Stat Boosts'!$D$2:$D$192,E$1-9)-10)/((INDEX('Stat Boosts'!$D$2:$D$192,(A102/2+22)-9)-10))-0.5)*0.5,(1.75-(($A102+5)/($A102+10))*(INDEX('Stat Boosts'!$D$2:$D$192,E$1-9)-10)/((INDEX('Stat Boosts'!$D$2:$D$192,(A102/2+22)-9)-10))))</f>
        <v>1.75</v>
      </c>
      <c r="F102" s="16">
        <f>IF((1.75-(($A102+5)/($A102+10))*(INDEX('Stat Boosts'!$D$2:$D$192,F$1-9)-10)/((INDEX('Stat Boosts'!$D$2:$D$192,(B102/2+22)-9)-10)))&lt;0.5,POWER(1.1,1.75-(($A102+5)/($A102+10))*(INDEX('Stat Boosts'!$D$2:$D$192,F$1-9)-10)/((INDEX('Stat Boosts'!$D$2:$D$192,(B102/2+22)-9)-10))-0.5)*0.5,(1.75-(($A102+5)/($A102+10))*(INDEX('Stat Boosts'!$D$2:$D$192,F$1-9)-10)/((INDEX('Stat Boosts'!$D$2:$D$192,(B102/2+22)-9)-10))))</f>
        <v>1.6327248300932511</v>
      </c>
      <c r="G102" s="16">
        <f>IF((1.75-(($A102+5)/($A102+10))*(INDEX('Stat Boosts'!$D$2:$D$192,G$1-9)-10)/((INDEX('Stat Boosts'!$D$2:$D$192,(C102/2+22)-9)-10)))&lt;0.5,POWER(1.1,1.75-(($A102+5)/($A102+10))*(INDEX('Stat Boosts'!$D$2:$D$192,G$1-9)-10)/((INDEX('Stat Boosts'!$D$2:$D$192,(C102/2+22)-9)-10))-0.5)*0.5,(1.75-(($A102+5)/($A102+10))*(INDEX('Stat Boosts'!$D$2:$D$192,G$1-9)-10)/((INDEX('Stat Boosts'!$D$2:$D$192,(C102/2+22)-9)-10))))</f>
        <v>0.96356650768415475</v>
      </c>
      <c r="H102" s="16">
        <f>IF((1.75-(($A102+5)/($A102+10))*(INDEX('Stat Boosts'!$D$2:$D$192,H$1-9)-10)/((INDEX('Stat Boosts'!$D$2:$D$192,(D102/2+22)-9)-10)))&lt;0.5,POWER(1.1,1.75-(($A102+5)/($A102+10))*(INDEX('Stat Boosts'!$D$2:$D$192,H$1-9)-10)/((INDEX('Stat Boosts'!$D$2:$D$192,(D102/2+22)-9)-10))-0.5)*0.5,(1.75-(($A102+5)/($A102+10))*(INDEX('Stat Boosts'!$D$2:$D$192,H$1-9)-10)/((INDEX('Stat Boosts'!$D$2:$D$192,(D102/2+22)-9)-10))))</f>
        <v>0.57034976152623207</v>
      </c>
      <c r="I102" s="16">
        <f>IF((1.75-(($A102+5)/($A102+10))*(INDEX('Stat Boosts'!$D$2:$D$192,I$1-9)-10)/((INDEX('Stat Boosts'!$D$2:$D$192,(E102/2+22)-9)-10)))&lt;0.5,POWER(1.1,1.75-(($A102+5)/($A102+10))*(INDEX('Stat Boosts'!$D$2:$D$192,I$1-9)-10)/((INDEX('Stat Boosts'!$D$2:$D$192,(E102/2+22)-9)-10))-0.5)*0.5,(1.75-(($A102+5)/($A102+10))*(INDEX('Stat Boosts'!$D$2:$D$192,I$1-9)-10)/((INDEX('Stat Boosts'!$D$2:$D$192,(E102/2+22)-9)-10))))</f>
        <v>0.48745087933969372</v>
      </c>
      <c r="J102" s="16">
        <f>IF((1.75-(($A102+5)/($A102+10))*(INDEX('Stat Boosts'!$D$2:$D$192,J$1-9)-10)/((INDEX('Stat Boosts'!$D$2:$D$192,(F102/2+22)-9)-10)))&lt;0.5,POWER(1.1,1.75-(($A102+5)/($A102+10))*(INDEX('Stat Boosts'!$D$2:$D$192,J$1-9)-10)/((INDEX('Stat Boosts'!$D$2:$D$192,(F102/2+22)-9)-10))-0.5)*0.5,(1.75-(($A102+5)/($A102+10))*(INDEX('Stat Boosts'!$D$2:$D$192,J$1-9)-10)/((INDEX('Stat Boosts'!$D$2:$D$192,(F102/2+22)-9)-10))))</f>
        <v>0.47204102690752814</v>
      </c>
      <c r="K102" s="16">
        <f>IF((1.75-(($A102+5)/($A102+10))*(INDEX('Stat Boosts'!$D$2:$D$192,K$1-9)-10)/((INDEX('Stat Boosts'!$D$2:$D$192,(G102/2+22)-9)-10)))&lt;0.5,POWER(1.1,1.75-(($A102+5)/($A102+10))*(INDEX('Stat Boosts'!$D$2:$D$192,K$1-9)-10)/((INDEX('Stat Boosts'!$D$2:$D$192,(G102/2+22)-9)-10))-0.5)*0.5,(1.75-(($A102+5)/($A102+10))*(INDEX('Stat Boosts'!$D$2:$D$192,K$1-9)-10)/((INDEX('Stat Boosts'!$D$2:$D$192,(G102/2+22)-9)-10))))</f>
        <v>0.43795264393687422</v>
      </c>
      <c r="L102" s="16">
        <f>IF((1.75-(($A102+5)/($A102+10))*(INDEX('Stat Boosts'!$D$2:$D$192,L$1-9)-10)/((INDEX('Stat Boosts'!$D$2:$D$192,(H102/2+22)-9)-10)))&lt;0.5,POWER(1.1,1.75-(($A102+5)/($A102+10))*(INDEX('Stat Boosts'!$D$2:$D$192,L$1-9)-10)/((INDEX('Stat Boosts'!$D$2:$D$192,(H102/2+22)-9)-10))-0.5)*0.5,(1.75-(($A102+5)/($A102+10))*(INDEX('Stat Boosts'!$D$2:$D$192,L$1-9)-10)/((INDEX('Stat Boosts'!$D$2:$D$192,(H102/2+22)-9)-10))))</f>
        <v>0.42638432069565307</v>
      </c>
      <c r="M102" s="16">
        <f>IF((1.75-(($A102+5)/($A102+10))*(INDEX('Stat Boosts'!$D$2:$D$192,M$1-9)-10)/((INDEX('Stat Boosts'!$D$2:$D$192,(I102/2+22)-9)-10)))&lt;0.5,POWER(1.1,1.75-(($A102+5)/($A102+10))*(INDEX('Stat Boosts'!$D$2:$D$192,M$1-9)-10)/((INDEX('Stat Boosts'!$D$2:$D$192,(I102/2+22)-9)-10))-0.5)*0.5,(1.75-(($A102+5)/($A102+10))*(INDEX('Stat Boosts'!$D$2:$D$192,M$1-9)-10)/((INDEX('Stat Boosts'!$D$2:$D$192,(I102/2+22)-9)-10))))</f>
        <v>0.41070021400884305</v>
      </c>
      <c r="N102" s="16">
        <f>IF((1.75-(($A102+5)/($A102+10))*(INDEX('Stat Boosts'!$D$2:$D$192,N$1-9)-10)/((INDEX('Stat Boosts'!$D$2:$D$192,(J102/2+22)-9)-10)))&lt;0.5,POWER(1.1,1.75-(($A102+5)/($A102+10))*(INDEX('Stat Boosts'!$D$2:$D$192,N$1-9)-10)/((INDEX('Stat Boosts'!$D$2:$D$192,(J102/2+22)-9)-10))-0.5)*0.5,(1.75-(($A102+5)/($A102+10))*(INDEX('Stat Boosts'!$D$2:$D$192,N$1-9)-10)/((INDEX('Stat Boosts'!$D$2:$D$192,(J102/2+22)-9)-10))))</f>
        <v>0.39137966900787718</v>
      </c>
      <c r="O102" s="16">
        <f>IF((1.75-(($A102+5)/($A102+10))*(INDEX('Stat Boosts'!$D$2:$D$192,O$1-9)-10)/((INDEX('Stat Boosts'!$D$2:$D$192,(K102/2+22)-9)-10)))&lt;0.5,POWER(1.1,1.75-(($A102+5)/($A102+10))*(INDEX('Stat Boosts'!$D$2:$D$192,O$1-9)-10)/((INDEX('Stat Boosts'!$D$2:$D$192,(K102/2+22)-9)-10))-0.5)*0.5,(1.75-(($A102+5)/($A102+10))*(INDEX('Stat Boosts'!$D$2:$D$192,O$1-9)-10)/((INDEX('Stat Boosts'!$D$2:$D$192,(K102/2+22)-9)-10))))</f>
        <v>0.38104155007240187</v>
      </c>
      <c r="P102" s="16">
        <f>IF((1.75-(($A102+5)/($A102+10))*(INDEX('Stat Boosts'!$D$2:$D$192,P$1-9)-10)/((INDEX('Stat Boosts'!$D$2:$D$192,(L102/2+22)-9)-10)))&lt;0.5,POWER(1.1,1.75-(($A102+5)/($A102+10))*(INDEX('Stat Boosts'!$D$2:$D$192,P$1-9)-10)/((INDEX('Stat Boosts'!$D$2:$D$192,(L102/2+22)-9)-10))-0.5)*0.5,(1.75-(($A102+5)/($A102+10))*(INDEX('Stat Boosts'!$D$2:$D$192,P$1-9)-10)/((INDEX('Stat Boosts'!$D$2:$D$192,(L102/2+22)-9)-10))))</f>
        <v>0.3650655508187014</v>
      </c>
      <c r="Q102" s="16">
        <f>IF((1.75-(($A102+5)/($A102+10))*(INDEX('Stat Boosts'!$D$2:$D$192,Q$1-9)-10)/((INDEX('Stat Boosts'!$D$2:$D$192,(M102/2+22)-9)-10)))&lt;0.5,POWER(1.1,1.75-(($A102+5)/($A102+10))*(INDEX('Stat Boosts'!$D$2:$D$192,Q$1-9)-10)/((INDEX('Stat Boosts'!$D$2:$D$192,(M102/2+22)-9)-10))-0.5)*0.5,(1.75-(($A102+5)/($A102+10))*(INDEX('Stat Boosts'!$D$2:$D$192,Q$1-9)-10)/((INDEX('Stat Boosts'!$D$2:$D$192,(M102/2+22)-9)-10))))</f>
        <v>0.34975938022832059</v>
      </c>
      <c r="R102" s="16">
        <f>IF((1.75-(($A102+5)/($A102+10))*1.25*(INDEX('Stat Boosts'!$D$2:$D$192,R$1-9)-10)/((INDEX('Stat Boosts'!$D$2:$D$192,(N102/2+22)-9)-10)))&lt;0.5,POWER(1.1,1.75-(($A102+5)/($A102+10))*1.25*(INDEX('Stat Boosts'!$D$2:$D$192,R$1-9)-10)/((INDEX('Stat Boosts'!$D$2:$D$192,(N102/2+22)-9)-10))-0.5)*0.5,(1.75-(($A102+5)/($A102+10))*1.25*(INDEX('Stat Boosts'!$D$2:$D$192,R$1-9)-10)/((INDEX('Stat Boosts'!$D$2:$D$192,(N102/2+22)-9)-10))))</f>
        <v>0.29429449973946248</v>
      </c>
    </row>
    <row r="103" spans="1:18">
      <c r="A103" s="9">
        <v>102</v>
      </c>
      <c r="B103" s="16">
        <f t="shared" si="2"/>
        <v>62.8</v>
      </c>
      <c r="C103" s="16">
        <f t="shared" si="3"/>
        <v>7.5757575757575768E-3</v>
      </c>
      <c r="E103" s="16">
        <f>IF((1.75-(($A103+5)/($A103+10))*(INDEX('Stat Boosts'!$D$2:$D$192,E$1-9)-10)/((INDEX('Stat Boosts'!$D$2:$D$192,(A103/2+22)-9)-10)))&lt;0.5,POWER(1.1,1.75-(($A103+5)/($A103+10))*(INDEX('Stat Boosts'!$D$2:$D$192,E$1-9)-10)/((INDEX('Stat Boosts'!$D$2:$D$192,(A103/2+22)-9)-10))-0.5)*0.5,(1.75-(($A103+5)/($A103+10))*(INDEX('Stat Boosts'!$D$2:$D$192,E$1-9)-10)/((INDEX('Stat Boosts'!$D$2:$D$192,(A103/2+22)-9)-10))))</f>
        <v>1.75</v>
      </c>
      <c r="F103" s="16">
        <f>IF((1.75-(($A103+5)/($A103+10))*(INDEX('Stat Boosts'!$D$2:$D$192,F$1-9)-10)/((INDEX('Stat Boosts'!$D$2:$D$192,(B103/2+22)-9)-10)))&lt;0.5,POWER(1.1,1.75-(($A103+5)/($A103+10))*(INDEX('Stat Boosts'!$D$2:$D$192,F$1-9)-10)/((INDEX('Stat Boosts'!$D$2:$D$192,(B103/2+22)-9)-10))-0.5)*0.5,(1.75-(($A103+5)/($A103+10))*(INDEX('Stat Boosts'!$D$2:$D$192,F$1-9)-10)/((INDEX('Stat Boosts'!$D$2:$D$192,(B103/2+22)-9)-10))))</f>
        <v>1.6326754385964912</v>
      </c>
      <c r="G103" s="16">
        <f>IF((1.75-(($A103+5)/($A103+10))*(INDEX('Stat Boosts'!$D$2:$D$192,G$1-9)-10)/((INDEX('Stat Boosts'!$D$2:$D$192,(C103/2+22)-9)-10)))&lt;0.5,POWER(1.1,1.75-(($A103+5)/($A103+10))*(INDEX('Stat Boosts'!$D$2:$D$192,G$1-9)-10)/((INDEX('Stat Boosts'!$D$2:$D$192,(C103/2+22)-9)-10))-0.5)*0.5,(1.75-(($A103+5)/($A103+10))*(INDEX('Stat Boosts'!$D$2:$D$192,G$1-9)-10)/((INDEX('Stat Boosts'!$D$2:$D$192,(C103/2+22)-9)-10))))</f>
        <v>0.96323529411764708</v>
      </c>
      <c r="H103" s="16">
        <f>IF((1.75-(($A103+5)/($A103+10))*(INDEX('Stat Boosts'!$D$2:$D$192,H$1-9)-10)/((INDEX('Stat Boosts'!$D$2:$D$192,(D103/2+22)-9)-10)))&lt;0.5,POWER(1.1,1.75-(($A103+5)/($A103+10))*(INDEX('Stat Boosts'!$D$2:$D$192,H$1-9)-10)/((INDEX('Stat Boosts'!$D$2:$D$192,(D103/2+22)-9)-10))-0.5)*0.5,(1.75-(($A103+5)/($A103+10))*(INDEX('Stat Boosts'!$D$2:$D$192,H$1-9)-10)/((INDEX('Stat Boosts'!$D$2:$D$192,(D103/2+22)-9)-10))))</f>
        <v>0.56985294117647056</v>
      </c>
      <c r="I103" s="16">
        <f>IF((1.75-(($A103+5)/($A103+10))*(INDEX('Stat Boosts'!$D$2:$D$192,I$1-9)-10)/((INDEX('Stat Boosts'!$D$2:$D$192,(E103/2+22)-9)-10)))&lt;0.5,POWER(1.1,1.75-(($A103+5)/($A103+10))*(INDEX('Stat Boosts'!$D$2:$D$192,I$1-9)-10)/((INDEX('Stat Boosts'!$D$2:$D$192,(E103/2+22)-9)-10))-0.5)*0.5,(1.75-(($A103+5)/($A103+10))*(INDEX('Stat Boosts'!$D$2:$D$192,I$1-9)-10)/((INDEX('Stat Boosts'!$D$2:$D$192,(E103/2+22)-9)-10))))</f>
        <v>0.4874212036533227</v>
      </c>
      <c r="J103" s="16">
        <f>IF((1.75-(($A103+5)/($A103+10))*(INDEX('Stat Boosts'!$D$2:$D$192,J$1-9)-10)/((INDEX('Stat Boosts'!$D$2:$D$192,(F103/2+22)-9)-10)))&lt;0.5,POWER(1.1,1.75-(($A103+5)/($A103+10))*(INDEX('Stat Boosts'!$D$2:$D$192,J$1-9)-10)/((INDEX('Stat Boosts'!$D$2:$D$192,(F103/2+22)-9)-10))-0.5)*0.5,(1.75-(($A103+5)/($A103+10))*(INDEX('Stat Boosts'!$D$2:$D$192,J$1-9)-10)/((INDEX('Stat Boosts'!$D$2:$D$192,(F103/2+22)-9)-10))))</f>
        <v>0.47200590347928989</v>
      </c>
      <c r="K103" s="16">
        <f>IF((1.75-(($A103+5)/($A103+10))*(INDEX('Stat Boosts'!$D$2:$D$192,K$1-9)-10)/((INDEX('Stat Boosts'!$D$2:$D$192,(G103/2+22)-9)-10)))&lt;0.5,POWER(1.1,1.75-(($A103+5)/($A103+10))*(INDEX('Stat Boosts'!$D$2:$D$192,K$1-9)-10)/((INDEX('Stat Boosts'!$D$2:$D$192,(G103/2+22)-9)-10))-0.5)*0.5,(1.75-(($A103+5)/($A103+10))*(INDEX('Stat Boosts'!$D$2:$D$192,K$1-9)-10)/((INDEX('Stat Boosts'!$D$2:$D$192,(G103/2+22)-9)-10))))</f>
        <v>0.43790623288963726</v>
      </c>
      <c r="L103" s="16">
        <f>IF((1.75-(($A103+5)/($A103+10))*(INDEX('Stat Boosts'!$D$2:$D$192,L$1-9)-10)/((INDEX('Stat Boosts'!$D$2:$D$192,(H103/2+22)-9)-10)))&lt;0.5,POWER(1.1,1.75-(($A103+5)/($A103+10))*(INDEX('Stat Boosts'!$D$2:$D$192,L$1-9)-10)/((INDEX('Stat Boosts'!$D$2:$D$192,(H103/2+22)-9)-10))-0.5)*0.5,(1.75-(($A103+5)/($A103+10))*(INDEX('Stat Boosts'!$D$2:$D$192,L$1-9)-10)/((INDEX('Stat Boosts'!$D$2:$D$192,(H103/2+22)-9)-10))))</f>
        <v>0.4263343289296021</v>
      </c>
      <c r="M103" s="16">
        <f>IF((1.75-(($A103+5)/($A103+10))*(INDEX('Stat Boosts'!$D$2:$D$192,M$1-9)-10)/((INDEX('Stat Boosts'!$D$2:$D$192,(I103/2+22)-9)-10)))&lt;0.5,POWER(1.1,1.75-(($A103+5)/($A103+10))*(INDEX('Stat Boosts'!$D$2:$D$192,M$1-9)-10)/((INDEX('Stat Boosts'!$D$2:$D$192,(I103/2+22)-9)-10))-0.5)*0.5,(1.75-(($A103+5)/($A103+10))*(INDEX('Stat Boosts'!$D$2:$D$192,M$1-9)-10)/((INDEX('Stat Boosts'!$D$2:$D$192,(I103/2+22)-9)-10))))</f>
        <v>0.4106455794522279</v>
      </c>
      <c r="N103" s="16">
        <f>IF((1.75-(($A103+5)/($A103+10))*(INDEX('Stat Boosts'!$D$2:$D$192,N$1-9)-10)/((INDEX('Stat Boosts'!$D$2:$D$192,(J103/2+22)-9)-10)))&lt;0.5,POWER(1.1,1.75-(($A103+5)/($A103+10))*(INDEX('Stat Boosts'!$D$2:$D$192,N$1-9)-10)/((INDEX('Stat Boosts'!$D$2:$D$192,(J103/2+22)-9)-10))-0.5)*0.5,(1.75-(($A103+5)/($A103+10))*(INDEX('Stat Boosts'!$D$2:$D$192,N$1-9)-10)/((INDEX('Stat Boosts'!$D$2:$D$192,(J103/2+22)-9)-10))))</f>
        <v>0.39131966320515854</v>
      </c>
      <c r="O103" s="16">
        <f>IF((1.75-(($A103+5)/($A103+10))*(INDEX('Stat Boosts'!$D$2:$D$192,O$1-9)-10)/((INDEX('Stat Boosts'!$D$2:$D$192,(K103/2+22)-9)-10)))&lt;0.5,POWER(1.1,1.75-(($A103+5)/($A103+10))*(INDEX('Stat Boosts'!$D$2:$D$192,O$1-9)-10)/((INDEX('Stat Boosts'!$D$2:$D$192,(K103/2+22)-9)-10))-0.5)*0.5,(1.75-(($A103+5)/($A103+10))*(INDEX('Stat Boosts'!$D$2:$D$192,O$1-9)-10)/((INDEX('Stat Boosts'!$D$2:$D$192,(K103/2+22)-9)-10))))</f>
        <v>0.38097883400434512</v>
      </c>
      <c r="P103" s="16">
        <f>IF((1.75-(($A103+5)/($A103+10))*(INDEX('Stat Boosts'!$D$2:$D$192,P$1-9)-10)/((INDEX('Stat Boosts'!$D$2:$D$192,(L103/2+22)-9)-10)))&lt;0.5,POWER(1.1,1.75-(($A103+5)/($A103+10))*(INDEX('Stat Boosts'!$D$2:$D$192,P$1-9)-10)/((INDEX('Stat Boosts'!$D$2:$D$192,(L103/2+22)-9)-10))-0.5)*0.5,(1.75-(($A103+5)/($A103+10))*(INDEX('Stat Boosts'!$D$2:$D$192,P$1-9)-10)/((INDEX('Stat Boosts'!$D$2:$D$192,(L103/2+22)-9)-10))))</f>
        <v>0.36499888003161551</v>
      </c>
      <c r="Q103" s="16">
        <f>IF((1.75-(($A103+5)/($A103+10))*(INDEX('Stat Boosts'!$D$2:$D$192,Q$1-9)-10)/((INDEX('Stat Boosts'!$D$2:$D$192,(M103/2+22)-9)-10)))&lt;0.5,POWER(1.1,1.75-(($A103+5)/($A103+10))*(INDEX('Stat Boosts'!$D$2:$D$192,Q$1-9)-10)/((INDEX('Stat Boosts'!$D$2:$D$192,(M103/2+22)-9)-10))-0.5)*0.5,(1.75-(($A103+5)/($A103+10))*(INDEX('Stat Boosts'!$D$2:$D$192,Q$1-9)-10)/((INDEX('Stat Boosts'!$D$2:$D$192,(M103/2+22)-9)-10))))</f>
        <v>0.34968919670433513</v>
      </c>
      <c r="R103" s="16">
        <f>IF((1.75-(($A103+5)/($A103+10))*1.25*(INDEX('Stat Boosts'!$D$2:$D$192,R$1-9)-10)/((INDEX('Stat Boosts'!$D$2:$D$192,(N103/2+22)-9)-10)))&lt;0.5,POWER(1.1,1.75-(($A103+5)/($A103+10))*1.25*(INDEX('Stat Boosts'!$D$2:$D$192,R$1-9)-10)/((INDEX('Stat Boosts'!$D$2:$D$192,(N103/2+22)-9)-10))-0.5)*0.5,(1.75-(($A103+5)/($A103+10))*1.25*(INDEX('Stat Boosts'!$D$2:$D$192,R$1-9)-10)/((INDEX('Stat Boosts'!$D$2:$D$192,(N103/2+22)-9)-10))))</f>
        <v>0.29421405013819757</v>
      </c>
    </row>
    <row r="104" spans="1:18">
      <c r="A104" s="9">
        <v>103</v>
      </c>
      <c r="B104" s="16">
        <f t="shared" si="2"/>
        <v>63.2</v>
      </c>
      <c r="C104" s="16">
        <f t="shared" si="3"/>
        <v>7.5187969924812026E-3</v>
      </c>
      <c r="E104" s="16">
        <f>IF((1.75-(($A104+5)/($A104+10))*(INDEX('Stat Boosts'!$D$2:$D$192,E$1-9)-10)/((INDEX('Stat Boosts'!$D$2:$D$192,(A104/2+22)-9)-10)))&lt;0.5,POWER(1.1,1.75-(($A104+5)/($A104+10))*(INDEX('Stat Boosts'!$D$2:$D$192,E$1-9)-10)/((INDEX('Stat Boosts'!$D$2:$D$192,(A104/2+22)-9)-10))-0.5)*0.5,(1.75-(($A104+5)/($A104+10))*(INDEX('Stat Boosts'!$D$2:$D$192,E$1-9)-10)/((INDEX('Stat Boosts'!$D$2:$D$192,(A104/2+22)-9)-10))))</f>
        <v>1.75</v>
      </c>
      <c r="F104" s="16">
        <f>IF((1.75-(($A104+5)/($A104+10))*(INDEX('Stat Boosts'!$D$2:$D$192,F$1-9)-10)/((INDEX('Stat Boosts'!$D$2:$D$192,(B104/2+22)-9)-10)))&lt;0.5,POWER(1.1,1.75-(($A104+5)/($A104+10))*(INDEX('Stat Boosts'!$D$2:$D$192,F$1-9)-10)/((INDEX('Stat Boosts'!$D$2:$D$192,(B104/2+22)-9)-10))-0.5)*0.5,(1.75-(($A104+5)/($A104+10))*(INDEX('Stat Boosts'!$D$2:$D$192,F$1-9)-10)/((INDEX('Stat Boosts'!$D$2:$D$192,(B104/2+22)-9)-10))))</f>
        <v>1.6326269212855147</v>
      </c>
      <c r="G104" s="16">
        <f>IF((1.75-(($A104+5)/($A104+10))*(INDEX('Stat Boosts'!$D$2:$D$192,G$1-9)-10)/((INDEX('Stat Boosts'!$D$2:$D$192,(C104/2+22)-9)-10)))&lt;0.5,POWER(1.1,1.75-(($A104+5)/($A104+10))*(INDEX('Stat Boosts'!$D$2:$D$192,G$1-9)-10)/((INDEX('Stat Boosts'!$D$2:$D$192,(C104/2+22)-9)-10))-0.5)*0.5,(1.75-(($A104+5)/($A104+10))*(INDEX('Stat Boosts'!$D$2:$D$192,G$1-9)-10)/((INDEX('Stat Boosts'!$D$2:$D$192,(C104/2+22)-9)-10))))</f>
        <v>0.96290994273815711</v>
      </c>
      <c r="H104" s="16">
        <f>IF((1.75-(($A104+5)/($A104+10))*(INDEX('Stat Boosts'!$D$2:$D$192,H$1-9)-10)/((INDEX('Stat Boosts'!$D$2:$D$192,(D104/2+22)-9)-10)))&lt;0.5,POWER(1.1,1.75-(($A104+5)/($A104+10))*(INDEX('Stat Boosts'!$D$2:$D$192,H$1-9)-10)/((INDEX('Stat Boosts'!$D$2:$D$192,(D104/2+22)-9)-10))-0.5)*0.5,(1.75-(($A104+5)/($A104+10))*(INDEX('Stat Boosts'!$D$2:$D$192,H$1-9)-10)/((INDEX('Stat Boosts'!$D$2:$D$192,(D104/2+22)-9)-10))))</f>
        <v>0.56936491410723566</v>
      </c>
      <c r="I104" s="16">
        <f>IF((1.75-(($A104+5)/($A104+10))*(INDEX('Stat Boosts'!$D$2:$D$192,I$1-9)-10)/((INDEX('Stat Boosts'!$D$2:$D$192,(E104/2+22)-9)-10)))&lt;0.5,POWER(1.1,1.75-(($A104+5)/($A104+10))*(INDEX('Stat Boosts'!$D$2:$D$192,I$1-9)-10)/((INDEX('Stat Boosts'!$D$2:$D$192,(E104/2+22)-9)-10))-0.5)*0.5,(1.75-(($A104+5)/($A104+10))*(INDEX('Stat Boosts'!$D$2:$D$192,I$1-9)-10)/((INDEX('Stat Boosts'!$D$2:$D$192,(E104/2+22)-9)-10))))</f>
        <v>0.48739205495929455</v>
      </c>
      <c r="J104" s="16">
        <f>IF((1.75-(($A104+5)/($A104+10))*(INDEX('Stat Boosts'!$D$2:$D$192,J$1-9)-10)/((INDEX('Stat Boosts'!$D$2:$D$192,(F104/2+22)-9)-10)))&lt;0.5,POWER(1.1,1.75-(($A104+5)/($A104+10))*(INDEX('Stat Boosts'!$D$2:$D$192,J$1-9)-10)/((INDEX('Stat Boosts'!$D$2:$D$192,(F104/2+22)-9)-10))-0.5)*0.5,(1.75-(($A104+5)/($A104+10))*(INDEX('Stat Boosts'!$D$2:$D$192,J$1-9)-10)/((INDEX('Stat Boosts'!$D$2:$D$192,(F104/2+22)-9)-10))))</f>
        <v>0.47197140424912482</v>
      </c>
      <c r="K104" s="16">
        <f>IF((1.75-(($A104+5)/($A104+10))*(INDEX('Stat Boosts'!$D$2:$D$192,K$1-9)-10)/((INDEX('Stat Boosts'!$D$2:$D$192,(G104/2+22)-9)-10)))&lt;0.5,POWER(1.1,1.75-(($A104+5)/($A104+10))*(INDEX('Stat Boosts'!$D$2:$D$192,K$1-9)-10)/((INDEX('Stat Boosts'!$D$2:$D$192,(G104/2+22)-9)-10))-0.5)*0.5,(1.75-(($A104+5)/($A104+10))*(INDEX('Stat Boosts'!$D$2:$D$192,K$1-9)-10)/((INDEX('Stat Boosts'!$D$2:$D$192,(G104/2+22)-9)-10))))</f>
        <v>0.4378606480653699</v>
      </c>
      <c r="L104" s="16">
        <f>IF((1.75-(($A104+5)/($A104+10))*(INDEX('Stat Boosts'!$D$2:$D$192,L$1-9)-10)/((INDEX('Stat Boosts'!$D$2:$D$192,(H104/2+22)-9)-10)))&lt;0.5,POWER(1.1,1.75-(($A104+5)/($A104+10))*(INDEX('Stat Boosts'!$D$2:$D$192,L$1-9)-10)/((INDEX('Stat Boosts'!$D$2:$D$192,(H104/2+22)-9)-10))-0.5)*0.5,(1.75-(($A104+5)/($A104+10))*(INDEX('Stat Boosts'!$D$2:$D$192,L$1-9)-10)/((INDEX('Stat Boosts'!$D$2:$D$192,(H104/2+22)-9)-10))))</f>
        <v>0.42628522768020544</v>
      </c>
      <c r="M104" s="16">
        <f>IF((1.75-(($A104+5)/($A104+10))*(INDEX('Stat Boosts'!$D$2:$D$192,M$1-9)-10)/((INDEX('Stat Boosts'!$D$2:$D$192,(I104/2+22)-9)-10)))&lt;0.5,POWER(1.1,1.75-(($A104+5)/($A104+10))*(INDEX('Stat Boosts'!$D$2:$D$192,M$1-9)-10)/((INDEX('Stat Boosts'!$D$2:$D$192,(I104/2+22)-9)-10))-0.5)*0.5,(1.75-(($A104+5)/($A104+10))*(INDEX('Stat Boosts'!$D$2:$D$192,M$1-9)-10)/((INDEX('Stat Boosts'!$D$2:$D$192,(I104/2+22)-9)-10))))</f>
        <v>0.41059191895502234</v>
      </c>
      <c r="N104" s="16">
        <f>IF((1.75-(($A104+5)/($A104+10))*(INDEX('Stat Boosts'!$D$2:$D$192,N$1-9)-10)/((INDEX('Stat Boosts'!$D$2:$D$192,(J104/2+22)-9)-10)))&lt;0.5,POWER(1.1,1.75-(($A104+5)/($A104+10))*(INDEX('Stat Boosts'!$D$2:$D$192,N$1-9)-10)/((INDEX('Stat Boosts'!$D$2:$D$192,(J104/2+22)-9)-10))-0.5)*0.5,(1.75-(($A104+5)/($A104+10))*(INDEX('Stat Boosts'!$D$2:$D$192,N$1-9)-10)/((INDEX('Stat Boosts'!$D$2:$D$192,(J104/2+22)-9)-10))))</f>
        <v>0.39126072840925541</v>
      </c>
      <c r="O104" s="16">
        <f>IF((1.75-(($A104+5)/($A104+10))*(INDEX('Stat Boosts'!$D$2:$D$192,O$1-9)-10)/((INDEX('Stat Boosts'!$D$2:$D$192,(K104/2+22)-9)-10)))&lt;0.5,POWER(1.1,1.75-(($A104+5)/($A104+10))*(INDEX('Stat Boosts'!$D$2:$D$192,O$1-9)-10)/((INDEX('Stat Boosts'!$D$2:$D$192,(K104/2+22)-9)-10))-0.5)*0.5,(1.75-(($A104+5)/($A104+10))*(INDEX('Stat Boosts'!$D$2:$D$192,O$1-9)-10)/((INDEX('Stat Boosts'!$D$2:$D$192,(K104/2+22)-9)-10))))</f>
        <v>0.38091723800527955</v>
      </c>
      <c r="P104" s="16">
        <f>IF((1.75-(($A104+5)/($A104+10))*(INDEX('Stat Boosts'!$D$2:$D$192,P$1-9)-10)/((INDEX('Stat Boosts'!$D$2:$D$192,(L104/2+22)-9)-10)))&lt;0.5,POWER(1.1,1.75-(($A104+5)/($A104+10))*(INDEX('Stat Boosts'!$D$2:$D$192,P$1-9)-10)/((INDEX('Stat Boosts'!$D$2:$D$192,(L104/2+22)-9)-10))-0.5)*0.5,(1.75-(($A104+5)/($A104+10))*(INDEX('Stat Boosts'!$D$2:$D$192,P$1-9)-10)/((INDEX('Stat Boosts'!$D$2:$D$192,(L104/2+22)-9)-10))))</f>
        <v>0.36493340111300548</v>
      </c>
      <c r="Q104" s="16">
        <f>IF((1.75-(($A104+5)/($A104+10))*(INDEX('Stat Boosts'!$D$2:$D$192,Q$1-9)-10)/((INDEX('Stat Boosts'!$D$2:$D$192,(M104/2+22)-9)-10)))&lt;0.5,POWER(1.1,1.75-(($A104+5)/($A104+10))*(INDEX('Stat Boosts'!$D$2:$D$192,Q$1-9)-10)/((INDEX('Stat Boosts'!$D$2:$D$192,(M104/2+22)-9)-10))-0.5)*0.5,(1.75-(($A104+5)/($A104+10))*(INDEX('Stat Boosts'!$D$2:$D$192,Q$1-9)-10)/((INDEX('Stat Boosts'!$D$2:$D$192,(M104/2+22)-9)-10))))</f>
        <v>0.34962026907813482</v>
      </c>
      <c r="R104" s="16">
        <f>IF((1.75-(($A104+5)/($A104+10))*1.25*(INDEX('Stat Boosts'!$D$2:$D$192,R$1-9)-10)/((INDEX('Stat Boosts'!$D$2:$D$192,(N104/2+22)-9)-10)))&lt;0.5,POWER(1.1,1.75-(($A104+5)/($A104+10))*1.25*(INDEX('Stat Boosts'!$D$2:$D$192,R$1-9)-10)/((INDEX('Stat Boosts'!$D$2:$D$192,(N104/2+22)-9)-10))-0.5)*0.5,(1.75-(($A104+5)/($A104+10))*1.25*(INDEX('Stat Boosts'!$D$2:$D$192,R$1-9)-10)/((INDEX('Stat Boosts'!$D$2:$D$192,(N104/2+22)-9)-10))))</f>
        <v>0.29413504583534672</v>
      </c>
    </row>
    <row r="105" spans="1:18">
      <c r="A105" s="9">
        <v>104</v>
      </c>
      <c r="B105" s="16">
        <f t="shared" si="2"/>
        <v>63.6</v>
      </c>
      <c r="C105" s="16">
        <f t="shared" si="3"/>
        <v>7.462686567164179E-3</v>
      </c>
      <c r="E105" s="16">
        <f>IF((1.75-(($A105+5)/($A105+10))*(INDEX('Stat Boosts'!$D$2:$D$192,E$1-9)-10)/((INDEX('Stat Boosts'!$D$2:$D$192,(A105/2+22)-9)-10)))&lt;0.5,POWER(1.1,1.75-(($A105+5)/($A105+10))*(INDEX('Stat Boosts'!$D$2:$D$192,E$1-9)-10)/((INDEX('Stat Boosts'!$D$2:$D$192,(A105/2+22)-9)-10))-0.5)*0.5,(1.75-(($A105+5)/($A105+10))*(INDEX('Stat Boosts'!$D$2:$D$192,E$1-9)-10)/((INDEX('Stat Boosts'!$D$2:$D$192,(A105/2+22)-9)-10))))</f>
        <v>1.75</v>
      </c>
      <c r="F105" s="16">
        <f>IF((1.75-(($A105+5)/($A105+10))*(INDEX('Stat Boosts'!$D$2:$D$192,F$1-9)-10)/((INDEX('Stat Boosts'!$D$2:$D$192,(B105/2+22)-9)-10)))&lt;0.5,POWER(1.1,1.75-(($A105+5)/($A105+10))*(INDEX('Stat Boosts'!$D$2:$D$192,F$1-9)-10)/((INDEX('Stat Boosts'!$D$2:$D$192,(B105/2+22)-9)-10))-0.5)*0.5,(1.75-(($A105+5)/($A105+10))*(INDEX('Stat Boosts'!$D$2:$D$192,F$1-9)-10)/((INDEX('Stat Boosts'!$D$2:$D$192,(B105/2+22)-9)-10))))</f>
        <v>1.6325792551554323</v>
      </c>
      <c r="G105" s="16">
        <f>IF((1.75-(($A105+5)/($A105+10))*(INDEX('Stat Boosts'!$D$2:$D$192,G$1-9)-10)/((INDEX('Stat Boosts'!$D$2:$D$192,(C105/2+22)-9)-10)))&lt;0.5,POWER(1.1,1.75-(($A105+5)/($A105+10))*(INDEX('Stat Boosts'!$D$2:$D$192,G$1-9)-10)/((INDEX('Stat Boosts'!$D$2:$D$192,(C105/2+22)-9)-10))-0.5)*0.5,(1.75-(($A105+5)/($A105+10))*(INDEX('Stat Boosts'!$D$2:$D$192,G$1-9)-10)/((INDEX('Stat Boosts'!$D$2:$D$192,(C105/2+22)-9)-10))))</f>
        <v>0.96259029927760575</v>
      </c>
      <c r="H105" s="16">
        <f>IF((1.75-(($A105+5)/($A105+10))*(INDEX('Stat Boosts'!$D$2:$D$192,H$1-9)-10)/((INDEX('Stat Boosts'!$D$2:$D$192,(D105/2+22)-9)-10)))&lt;0.5,POWER(1.1,1.75-(($A105+5)/($A105+10))*(INDEX('Stat Boosts'!$D$2:$D$192,H$1-9)-10)/((INDEX('Stat Boosts'!$D$2:$D$192,(D105/2+22)-9)-10))-0.5)*0.5,(1.75-(($A105+5)/($A105+10))*(INDEX('Stat Boosts'!$D$2:$D$192,H$1-9)-10)/((INDEX('Stat Boosts'!$D$2:$D$192,(D105/2+22)-9)-10))))</f>
        <v>0.5688854489164088</v>
      </c>
      <c r="I105" s="16">
        <f>IF((1.75-(($A105+5)/($A105+10))*(INDEX('Stat Boosts'!$D$2:$D$192,I$1-9)-10)/((INDEX('Stat Boosts'!$D$2:$D$192,(E105/2+22)-9)-10)))&lt;0.5,POWER(1.1,1.75-(($A105+5)/($A105+10))*(INDEX('Stat Boosts'!$D$2:$D$192,I$1-9)-10)/((INDEX('Stat Boosts'!$D$2:$D$192,(E105/2+22)-9)-10))-0.5)*0.5,(1.75-(($A105+5)/($A105+10))*(INDEX('Stat Boosts'!$D$2:$D$192,I$1-9)-10)/((INDEX('Stat Boosts'!$D$2:$D$192,(E105/2+22)-9)-10))))</f>
        <v>0.48736341934340616</v>
      </c>
      <c r="J105" s="16">
        <f>IF((1.75-(($A105+5)/($A105+10))*(INDEX('Stat Boosts'!$D$2:$D$192,J$1-9)-10)/((INDEX('Stat Boosts'!$D$2:$D$192,(F105/2+22)-9)-10)))&lt;0.5,POWER(1.1,1.75-(($A105+5)/($A105+10))*(INDEX('Stat Boosts'!$D$2:$D$192,J$1-9)-10)/((INDEX('Stat Boosts'!$D$2:$D$192,(F105/2+22)-9)-10))-0.5)*0.5,(1.75-(($A105+5)/($A105+10))*(INDEX('Stat Boosts'!$D$2:$D$192,J$1-9)-10)/((INDEX('Stat Boosts'!$D$2:$D$192,(F105/2+22)-9)-10))))</f>
        <v>0.47193751272421569</v>
      </c>
      <c r="K105" s="16">
        <f>IF((1.75-(($A105+5)/($A105+10))*(INDEX('Stat Boosts'!$D$2:$D$192,K$1-9)-10)/((INDEX('Stat Boosts'!$D$2:$D$192,(G105/2+22)-9)-10)))&lt;0.5,POWER(1.1,1.75-(($A105+5)/($A105+10))*(INDEX('Stat Boosts'!$D$2:$D$192,K$1-9)-10)/((INDEX('Stat Boosts'!$D$2:$D$192,(G105/2+22)-9)-10))-0.5)*0.5,(1.75-(($A105+5)/($A105+10))*(INDEX('Stat Boosts'!$D$2:$D$192,K$1-9)-10)/((INDEX('Stat Boosts'!$D$2:$D$192,(G105/2+22)-9)-10))))</f>
        <v>0.43781586759597335</v>
      </c>
      <c r="L105" s="16">
        <f>IF((1.75-(($A105+5)/($A105+10))*(INDEX('Stat Boosts'!$D$2:$D$192,L$1-9)-10)/((INDEX('Stat Boosts'!$D$2:$D$192,(H105/2+22)-9)-10)))&lt;0.5,POWER(1.1,1.75-(($A105+5)/($A105+10))*(INDEX('Stat Boosts'!$D$2:$D$192,L$1-9)-10)/((INDEX('Stat Boosts'!$D$2:$D$192,(H105/2+22)-9)-10))-0.5)*0.5,(1.75-(($A105+5)/($A105+10))*(INDEX('Stat Boosts'!$D$2:$D$192,L$1-9)-10)/((INDEX('Stat Boosts'!$D$2:$D$192,(H105/2+22)-9)-10))))</f>
        <v>0.42623699336332255</v>
      </c>
      <c r="M105" s="16">
        <f>IF((1.75-(($A105+5)/($A105+10))*(INDEX('Stat Boosts'!$D$2:$D$192,M$1-9)-10)/((INDEX('Stat Boosts'!$D$2:$D$192,(I105/2+22)-9)-10)))&lt;0.5,POWER(1.1,1.75-(($A105+5)/($A105+10))*(INDEX('Stat Boosts'!$D$2:$D$192,M$1-9)-10)/((INDEX('Stat Boosts'!$D$2:$D$192,(I105/2+22)-9)-10))-0.5)*0.5,(1.75-(($A105+5)/($A105+10))*(INDEX('Stat Boosts'!$D$2:$D$192,M$1-9)-10)/((INDEX('Stat Boosts'!$D$2:$D$192,(I105/2+22)-9)-10))))</f>
        <v>0.4105392066986116</v>
      </c>
      <c r="N105" s="16">
        <f>IF((1.75-(($A105+5)/($A105+10))*(INDEX('Stat Boosts'!$D$2:$D$192,N$1-9)-10)/((INDEX('Stat Boosts'!$D$2:$D$192,(J105/2+22)-9)-10)))&lt;0.5,POWER(1.1,1.75-(($A105+5)/($A105+10))*(INDEX('Stat Boosts'!$D$2:$D$192,N$1-9)-10)/((INDEX('Stat Boosts'!$D$2:$D$192,(J105/2+22)-9)-10))-0.5)*0.5,(1.75-(($A105+5)/($A105+10))*(INDEX('Stat Boosts'!$D$2:$D$192,N$1-9)-10)/((INDEX('Stat Boosts'!$D$2:$D$192,(J105/2+22)-9)-10))))</f>
        <v>0.39120283620082719</v>
      </c>
      <c r="O105" s="16">
        <f>IF((1.75-(($A105+5)/($A105+10))*(INDEX('Stat Boosts'!$D$2:$D$192,O$1-9)-10)/((INDEX('Stat Boosts'!$D$2:$D$192,(K105/2+22)-9)-10)))&lt;0.5,POWER(1.1,1.75-(($A105+5)/($A105+10))*(INDEX('Stat Boosts'!$D$2:$D$192,O$1-9)-10)/((INDEX('Stat Boosts'!$D$2:$D$192,(K105/2+22)-9)-10))-0.5)*0.5,(1.75-(($A105+5)/($A105+10))*(INDEX('Stat Boosts'!$D$2:$D$192,O$1-9)-10)/((INDEX('Stat Boosts'!$D$2:$D$192,(K105/2+22)-9)-10))))</f>
        <v>0.38085673233598105</v>
      </c>
      <c r="P105" s="16">
        <f>IF((1.75-(($A105+5)/($A105+10))*(INDEX('Stat Boosts'!$D$2:$D$192,P$1-9)-10)/((INDEX('Stat Boosts'!$D$2:$D$192,(L105/2+22)-9)-10)))&lt;0.5,POWER(1.1,1.75-(($A105+5)/($A105+10))*(INDEX('Stat Boosts'!$D$2:$D$192,P$1-9)-10)/((INDEX('Stat Boosts'!$D$2:$D$192,(L105/2+22)-9)-10))-0.5)*0.5,(1.75-(($A105+5)/($A105+10))*(INDEX('Stat Boosts'!$D$2:$D$192,P$1-9)-10)/((INDEX('Stat Boosts'!$D$2:$D$192,(L105/2+22)-9)-10))))</f>
        <v>0.36486908238663335</v>
      </c>
      <c r="Q105" s="16">
        <f>IF((1.75-(($A105+5)/($A105+10))*(INDEX('Stat Boosts'!$D$2:$D$192,Q$1-9)-10)/((INDEX('Stat Boosts'!$D$2:$D$192,(M105/2+22)-9)-10)))&lt;0.5,POWER(1.1,1.75-(($A105+5)/($A105+10))*(INDEX('Stat Boosts'!$D$2:$D$192,Q$1-9)-10)/((INDEX('Stat Boosts'!$D$2:$D$192,(M105/2+22)-9)-10))-0.5)*0.5,(1.75-(($A105+5)/($A105+10))*(INDEX('Stat Boosts'!$D$2:$D$192,Q$1-9)-10)/((INDEX('Stat Boosts'!$D$2:$D$192,(M105/2+22)-9)-10))))</f>
        <v>0.34955256393950468</v>
      </c>
      <c r="R105" s="16">
        <f>IF((1.75-(($A105+5)/($A105+10))*1.25*(INDEX('Stat Boosts'!$D$2:$D$192,R$1-9)-10)/((INDEX('Stat Boosts'!$D$2:$D$192,(N105/2+22)-9)-10)))&lt;0.5,POWER(1.1,1.75-(($A105+5)/($A105+10))*1.25*(INDEX('Stat Boosts'!$D$2:$D$192,R$1-9)-10)/((INDEX('Stat Boosts'!$D$2:$D$192,(N105/2+22)-9)-10))-0.5)*0.5,(1.75-(($A105+5)/($A105+10))*1.25*(INDEX('Stat Boosts'!$D$2:$D$192,R$1-9)-10)/((INDEX('Stat Boosts'!$D$2:$D$192,(N105/2+22)-9)-10))))</f>
        <v>0.29405744823266894</v>
      </c>
    </row>
    <row r="106" spans="1:18">
      <c r="A106" s="9">
        <v>105</v>
      </c>
      <c r="B106" s="16">
        <f t="shared" si="2"/>
        <v>64</v>
      </c>
      <c r="C106" s="16">
        <f t="shared" si="3"/>
        <v>7.4074074074074077E-3</v>
      </c>
      <c r="E106" s="16">
        <f>IF((1.75-(($A106+5)/($A106+10))*(INDEX('Stat Boosts'!$D$2:$D$192,E$1-9)-10)/((INDEX('Stat Boosts'!$D$2:$D$192,(A106/2+22)-9)-10)))&lt;0.5,POWER(1.1,1.75-(($A106+5)/($A106+10))*(INDEX('Stat Boosts'!$D$2:$D$192,E$1-9)-10)/((INDEX('Stat Boosts'!$D$2:$D$192,(A106/2+22)-9)-10))-0.5)*0.5,(1.75-(($A106+5)/($A106+10))*(INDEX('Stat Boosts'!$D$2:$D$192,E$1-9)-10)/((INDEX('Stat Boosts'!$D$2:$D$192,(A106/2+22)-9)-10))))</f>
        <v>1.75</v>
      </c>
      <c r="F106" s="16">
        <f>IF((1.75-(($A106+5)/($A106+10))*(INDEX('Stat Boosts'!$D$2:$D$192,F$1-9)-10)/((INDEX('Stat Boosts'!$D$2:$D$192,(B106/2+22)-9)-10)))&lt;0.5,POWER(1.1,1.75-(($A106+5)/($A106+10))*(INDEX('Stat Boosts'!$D$2:$D$192,F$1-9)-10)/((INDEX('Stat Boosts'!$D$2:$D$192,(B106/2+22)-9)-10))-0.5)*0.5,(1.75-(($A106+5)/($A106+10))*(INDEX('Stat Boosts'!$D$2:$D$192,F$1-9)-10)/((INDEX('Stat Boosts'!$D$2:$D$192,(B106/2+22)-9)-10))))</f>
        <v>1.6345577211394302</v>
      </c>
      <c r="G106" s="16">
        <f>IF((1.75-(($A106+5)/($A106+10))*(INDEX('Stat Boosts'!$D$2:$D$192,G$1-9)-10)/((INDEX('Stat Boosts'!$D$2:$D$192,(C106/2+22)-9)-10)))&lt;0.5,POWER(1.1,1.75-(($A106+5)/($A106+10))*(INDEX('Stat Boosts'!$D$2:$D$192,G$1-9)-10)/((INDEX('Stat Boosts'!$D$2:$D$192,(C106/2+22)-9)-10))-0.5)*0.5,(1.75-(($A106+5)/($A106+10))*(INDEX('Stat Boosts'!$D$2:$D$192,G$1-9)-10)/((INDEX('Stat Boosts'!$D$2:$D$192,(C106/2+22)-9)-10))))</f>
        <v>0.96227621483375958</v>
      </c>
      <c r="H106" s="16">
        <f>IF((1.75-(($A106+5)/($A106+10))*(INDEX('Stat Boosts'!$D$2:$D$192,H$1-9)-10)/((INDEX('Stat Boosts'!$D$2:$D$192,(D106/2+22)-9)-10)))&lt;0.5,POWER(1.1,1.75-(($A106+5)/($A106+10))*(INDEX('Stat Boosts'!$D$2:$D$192,H$1-9)-10)/((INDEX('Stat Boosts'!$D$2:$D$192,(D106/2+22)-9)-10))-0.5)*0.5,(1.75-(($A106+5)/($A106+10))*(INDEX('Stat Boosts'!$D$2:$D$192,H$1-9)-10)/((INDEX('Stat Boosts'!$D$2:$D$192,(D106/2+22)-9)-10))))</f>
        <v>0.56841432225063926</v>
      </c>
      <c r="I106" s="16">
        <f>IF((1.75-(($A106+5)/($A106+10))*(INDEX('Stat Boosts'!$D$2:$D$192,I$1-9)-10)/((INDEX('Stat Boosts'!$D$2:$D$192,(E106/2+22)-9)-10)))&lt;0.5,POWER(1.1,1.75-(($A106+5)/($A106+10))*(INDEX('Stat Boosts'!$D$2:$D$192,I$1-9)-10)/((INDEX('Stat Boosts'!$D$2:$D$192,(E106/2+22)-9)-10))-0.5)*0.5,(1.75-(($A106+5)/($A106+10))*(INDEX('Stat Boosts'!$D$2:$D$192,I$1-9)-10)/((INDEX('Stat Boosts'!$D$2:$D$192,(E106/2+22)-9)-10))))</f>
        <v>0.48733528337701537</v>
      </c>
      <c r="J106" s="16">
        <f>IF((1.75-(($A106+5)/($A106+10))*(INDEX('Stat Boosts'!$D$2:$D$192,J$1-9)-10)/((INDEX('Stat Boosts'!$D$2:$D$192,(F106/2+22)-9)-10)))&lt;0.5,POWER(1.1,1.75-(($A106+5)/($A106+10))*(INDEX('Stat Boosts'!$D$2:$D$192,J$1-9)-10)/((INDEX('Stat Boosts'!$D$2:$D$192,(F106/2+22)-9)-10))-0.5)*0.5,(1.75-(($A106+5)/($A106+10))*(INDEX('Stat Boosts'!$D$2:$D$192,J$1-9)-10)/((INDEX('Stat Boosts'!$D$2:$D$192,(F106/2+22)-9)-10))))</f>
        <v>0.47190421298770957</v>
      </c>
      <c r="K106" s="16">
        <f>IF((1.75-(($A106+5)/($A106+10))*(INDEX('Stat Boosts'!$D$2:$D$192,K$1-9)-10)/((INDEX('Stat Boosts'!$D$2:$D$192,(G106/2+22)-9)-10)))&lt;0.5,POWER(1.1,1.75-(($A106+5)/($A106+10))*(INDEX('Stat Boosts'!$D$2:$D$192,K$1-9)-10)/((INDEX('Stat Boosts'!$D$2:$D$192,(G106/2+22)-9)-10))-0.5)*0.5,(1.75-(($A106+5)/($A106+10))*(INDEX('Stat Boosts'!$D$2:$D$192,K$1-9)-10)/((INDEX('Stat Boosts'!$D$2:$D$192,(G106/2+22)-9)-10))))</f>
        <v>0.43777187037831827</v>
      </c>
      <c r="L106" s="16">
        <f>IF((1.75-(($A106+5)/($A106+10))*(INDEX('Stat Boosts'!$D$2:$D$192,L$1-9)-10)/((INDEX('Stat Boosts'!$D$2:$D$192,(H106/2+22)-9)-10)))&lt;0.5,POWER(1.1,1.75-(($A106+5)/($A106+10))*(INDEX('Stat Boosts'!$D$2:$D$192,L$1-9)-10)/((INDEX('Stat Boosts'!$D$2:$D$192,(H106/2+22)-9)-10))-0.5)*0.5,(1.75-(($A106+5)/($A106+10))*(INDEX('Stat Boosts'!$D$2:$D$192,L$1-9)-10)/((INDEX('Stat Boosts'!$D$2:$D$192,(H106/2+22)-9)-10))))</f>
        <v>0.42618960322030702</v>
      </c>
      <c r="M106" s="16">
        <f>IF((1.75-(($A106+5)/($A106+10))*(INDEX('Stat Boosts'!$D$2:$D$192,M$1-9)-10)/((INDEX('Stat Boosts'!$D$2:$D$192,(I106/2+22)-9)-10)))&lt;0.5,POWER(1.1,1.75-(($A106+5)/($A106+10))*(INDEX('Stat Boosts'!$D$2:$D$192,M$1-9)-10)/((INDEX('Stat Boosts'!$D$2:$D$192,(I106/2+22)-9)-10))-0.5)*0.5,(1.75-(($A106+5)/($A106+10))*(INDEX('Stat Boosts'!$D$2:$D$192,M$1-9)-10)/((INDEX('Stat Boosts'!$D$2:$D$192,(I106/2+22)-9)-10))))</f>
        <v>0.41048741776884529</v>
      </c>
      <c r="N106" s="16">
        <f>IF((1.75-(($A106+5)/($A106+10))*(INDEX('Stat Boosts'!$D$2:$D$192,N$1-9)-10)/((INDEX('Stat Boosts'!$D$2:$D$192,(J106/2+22)-9)-10)))&lt;0.5,POWER(1.1,1.75-(($A106+5)/($A106+10))*(INDEX('Stat Boosts'!$D$2:$D$192,N$1-9)-10)/((INDEX('Stat Boosts'!$D$2:$D$192,(J106/2+22)-9)-10))-0.5)*0.5,(1.75-(($A106+5)/($A106+10))*(INDEX('Stat Boosts'!$D$2:$D$192,N$1-9)-10)/((INDEX('Stat Boosts'!$D$2:$D$192,(J106/2+22)-9)-10))))</f>
        <v>0.39114595915717815</v>
      </c>
      <c r="O106" s="16">
        <f>IF((1.75-(($A106+5)/($A106+10))*(INDEX('Stat Boosts'!$D$2:$D$192,O$1-9)-10)/((INDEX('Stat Boosts'!$D$2:$D$192,(K106/2+22)-9)-10)))&lt;0.5,POWER(1.1,1.75-(($A106+5)/($A106+10))*(INDEX('Stat Boosts'!$D$2:$D$192,O$1-9)-10)/((INDEX('Stat Boosts'!$D$2:$D$192,(K106/2+22)-9)-10))-0.5)*0.5,(1.75-(($A106+5)/($A106+10))*(INDEX('Stat Boosts'!$D$2:$D$192,O$1-9)-10)/((INDEX('Stat Boosts'!$D$2:$D$192,(K106/2+22)-9)-10))))</f>
        <v>0.38079728830078002</v>
      </c>
      <c r="P106" s="16">
        <f>IF((1.75-(($A106+5)/($A106+10))*(INDEX('Stat Boosts'!$D$2:$D$192,P$1-9)-10)/((INDEX('Stat Boosts'!$D$2:$D$192,(L106/2+22)-9)-10)))&lt;0.5,POWER(1.1,1.75-(($A106+5)/($A106+10))*(INDEX('Stat Boosts'!$D$2:$D$192,P$1-9)-10)/((INDEX('Stat Boosts'!$D$2:$D$192,(L106/2+22)-9)-10))-0.5)*0.5,(1.75-(($A106+5)/($A106+10))*(INDEX('Stat Boosts'!$D$2:$D$192,P$1-9)-10)/((INDEX('Stat Boosts'!$D$2:$D$192,(L106/2+22)-9)-10))))</f>
        <v>0.36480589328884677</v>
      </c>
      <c r="Q106" s="16">
        <f>IF((1.75-(($A106+5)/($A106+10))*(INDEX('Stat Boosts'!$D$2:$D$192,Q$1-9)-10)/((INDEX('Stat Boosts'!$D$2:$D$192,(M106/2+22)-9)-10)))&lt;0.5,POWER(1.1,1.75-(($A106+5)/($A106+10))*(INDEX('Stat Boosts'!$D$2:$D$192,Q$1-9)-10)/((INDEX('Stat Boosts'!$D$2:$D$192,(M106/2+22)-9)-10))-0.5)*0.5,(1.75-(($A106+5)/($A106+10))*(INDEX('Stat Boosts'!$D$2:$D$192,Q$1-9)-10)/((INDEX('Stat Boosts'!$D$2:$D$192,(M106/2+22)-9)-10))))</f>
        <v>0.34948604905283637</v>
      </c>
      <c r="R106" s="16">
        <f>IF((1.75-(($A106+5)/($A106+10))*1.25*(INDEX('Stat Boosts'!$D$2:$D$192,R$1-9)-10)/((INDEX('Stat Boosts'!$D$2:$D$192,(N106/2+22)-9)-10)))&lt;0.5,POWER(1.1,1.75-(($A106+5)/($A106+10))*1.25*(INDEX('Stat Boosts'!$D$2:$D$192,R$1-9)-10)/((INDEX('Stat Boosts'!$D$2:$D$192,(N106/2+22)-9)-10))-0.5)*0.5,(1.75-(($A106+5)/($A106+10))*1.25*(INDEX('Stat Boosts'!$D$2:$D$192,R$1-9)-10)/((INDEX('Stat Boosts'!$D$2:$D$192,(N106/2+22)-9)-10))))</f>
        <v>0.29398122009411098</v>
      </c>
    </row>
    <row r="107" spans="1:18">
      <c r="A107" s="9">
        <v>106</v>
      </c>
      <c r="B107" s="16">
        <f t="shared" si="2"/>
        <v>64.400000000000006</v>
      </c>
      <c r="C107" s="16">
        <f t="shared" si="3"/>
        <v>7.3529411764705881E-3</v>
      </c>
      <c r="E107" s="16">
        <f>IF((1.75-(($A107+5)/($A107+10))*(INDEX('Stat Boosts'!$D$2:$D$192,E$1-9)-10)/((INDEX('Stat Boosts'!$D$2:$D$192,(A107/2+22)-9)-10)))&lt;0.5,POWER(1.1,1.75-(($A107+5)/($A107+10))*(INDEX('Stat Boosts'!$D$2:$D$192,E$1-9)-10)/((INDEX('Stat Boosts'!$D$2:$D$192,(A107/2+22)-9)-10))-0.5)*0.5,(1.75-(($A107+5)/($A107+10))*(INDEX('Stat Boosts'!$D$2:$D$192,E$1-9)-10)/((INDEX('Stat Boosts'!$D$2:$D$192,(A107/2+22)-9)-10))))</f>
        <v>1.75</v>
      </c>
      <c r="F107" s="16">
        <f>IF((1.75-(($A107+5)/($A107+10))*(INDEX('Stat Boosts'!$D$2:$D$192,F$1-9)-10)/((INDEX('Stat Boosts'!$D$2:$D$192,(B107/2+22)-9)-10)))&lt;0.5,POWER(1.1,1.75-(($A107+5)/($A107+10))*(INDEX('Stat Boosts'!$D$2:$D$192,F$1-9)-10)/((INDEX('Stat Boosts'!$D$2:$D$192,(B107/2+22)-9)-10))-0.5)*0.5,(1.75-(($A107+5)/($A107+10))*(INDEX('Stat Boosts'!$D$2:$D$192,F$1-9)-10)/((INDEX('Stat Boosts'!$D$2:$D$192,(B107/2+22)-9)-10))))</f>
        <v>1.6345124851367421</v>
      </c>
      <c r="G107" s="16">
        <f>IF((1.75-(($A107+5)/($A107+10))*(INDEX('Stat Boosts'!$D$2:$D$192,G$1-9)-10)/((INDEX('Stat Boosts'!$D$2:$D$192,(C107/2+22)-9)-10)))&lt;0.5,POWER(1.1,1.75-(($A107+5)/($A107+10))*(INDEX('Stat Boosts'!$D$2:$D$192,G$1-9)-10)/((INDEX('Stat Boosts'!$D$2:$D$192,(C107/2+22)-9)-10))-0.5)*0.5,(1.75-(($A107+5)/($A107+10))*(INDEX('Stat Boosts'!$D$2:$D$192,G$1-9)-10)/((INDEX('Stat Boosts'!$D$2:$D$192,(C107/2+22)-9)-10))))</f>
        <v>0.96196754563894527</v>
      </c>
      <c r="H107" s="16">
        <f>IF((1.75-(($A107+5)/($A107+10))*(INDEX('Stat Boosts'!$D$2:$D$192,H$1-9)-10)/((INDEX('Stat Boosts'!$D$2:$D$192,(D107/2+22)-9)-10)))&lt;0.5,POWER(1.1,1.75-(($A107+5)/($A107+10))*(INDEX('Stat Boosts'!$D$2:$D$192,H$1-9)-10)/((INDEX('Stat Boosts'!$D$2:$D$192,(D107/2+22)-9)-10))-0.5)*0.5,(1.75-(($A107+5)/($A107+10))*(INDEX('Stat Boosts'!$D$2:$D$192,H$1-9)-10)/((INDEX('Stat Boosts'!$D$2:$D$192,(D107/2+22)-9)-10))))</f>
        <v>0.56795131845841773</v>
      </c>
      <c r="I107" s="16">
        <f>IF((1.75-(($A107+5)/($A107+10))*(INDEX('Stat Boosts'!$D$2:$D$192,I$1-9)-10)/((INDEX('Stat Boosts'!$D$2:$D$192,(E107/2+22)-9)-10)))&lt;0.5,POWER(1.1,1.75-(($A107+5)/($A107+10))*(INDEX('Stat Boosts'!$D$2:$D$192,I$1-9)-10)/((INDEX('Stat Boosts'!$D$2:$D$192,(E107/2+22)-9)-10))-0.5)*0.5,(1.75-(($A107+5)/($A107+10))*(INDEX('Stat Boosts'!$D$2:$D$192,I$1-9)-10)/((INDEX('Stat Boosts'!$D$2:$D$192,(E107/2+22)-9)-10))))</f>
        <v>0.48730763409604394</v>
      </c>
      <c r="J107" s="16">
        <f>IF((1.75-(($A107+5)/($A107+10))*(INDEX('Stat Boosts'!$D$2:$D$192,J$1-9)-10)/((INDEX('Stat Boosts'!$D$2:$D$192,(F107/2+22)-9)-10)))&lt;0.5,POWER(1.1,1.75-(($A107+5)/($A107+10))*(INDEX('Stat Boosts'!$D$2:$D$192,J$1-9)-10)/((INDEX('Stat Boosts'!$D$2:$D$192,(F107/2+22)-9)-10))-0.5)*0.5,(1.75-(($A107+5)/($A107+10))*(INDEX('Stat Boosts'!$D$2:$D$192,J$1-9)-10)/((INDEX('Stat Boosts'!$D$2:$D$192,(F107/2+22)-9)-10))))</f>
        <v>0.47187148967379267</v>
      </c>
      <c r="K107" s="16">
        <f>IF((1.75-(($A107+5)/($A107+10))*(INDEX('Stat Boosts'!$D$2:$D$192,K$1-9)-10)/((INDEX('Stat Boosts'!$D$2:$D$192,(G107/2+22)-9)-10)))&lt;0.5,POWER(1.1,1.75-(($A107+5)/($A107+10))*(INDEX('Stat Boosts'!$D$2:$D$192,K$1-9)-10)/((INDEX('Stat Boosts'!$D$2:$D$192,(G107/2+22)-9)-10))-0.5)*0.5,(1.75-(($A107+5)/($A107+10))*(INDEX('Stat Boosts'!$D$2:$D$192,K$1-9)-10)/((INDEX('Stat Boosts'!$D$2:$D$192,(G107/2+22)-9)-10))))</f>
        <v>0.43772863604108569</v>
      </c>
      <c r="L107" s="16">
        <f>IF((1.75-(($A107+5)/($A107+10))*(INDEX('Stat Boosts'!$D$2:$D$192,L$1-9)-10)/((INDEX('Stat Boosts'!$D$2:$D$192,(H107/2+22)-9)-10)))&lt;0.5,POWER(1.1,1.75-(($A107+5)/($A107+10))*(INDEX('Stat Boosts'!$D$2:$D$192,L$1-9)-10)/((INDEX('Stat Boosts'!$D$2:$D$192,(H107/2+22)-9)-10))-0.5)*0.5,(1.75-(($A107+5)/($A107+10))*(INDEX('Stat Boosts'!$D$2:$D$192,L$1-9)-10)/((INDEX('Stat Boosts'!$D$2:$D$192,(H107/2+22)-9)-10))))</f>
        <v>0.42614303528220293</v>
      </c>
      <c r="M107" s="16">
        <f>IF((1.75-(($A107+5)/($A107+10))*(INDEX('Stat Boosts'!$D$2:$D$192,M$1-9)-10)/((INDEX('Stat Boosts'!$D$2:$D$192,(I107/2+22)-9)-10)))&lt;0.5,POWER(1.1,1.75-(($A107+5)/($A107+10))*(INDEX('Stat Boosts'!$D$2:$D$192,M$1-9)-10)/((INDEX('Stat Boosts'!$D$2:$D$192,(I107/2+22)-9)-10))-0.5)*0.5,(1.75-(($A107+5)/($A107+10))*(INDEX('Stat Boosts'!$D$2:$D$192,M$1-9)-10)/((INDEX('Stat Boosts'!$D$2:$D$192,(I107/2+22)-9)-10))))</f>
        <v>0.41043652811677639</v>
      </c>
      <c r="N107" s="16">
        <f>IF((1.75-(($A107+5)/($A107+10))*(INDEX('Stat Boosts'!$D$2:$D$192,N$1-9)-10)/((INDEX('Stat Boosts'!$D$2:$D$192,(J107/2+22)-9)-10)))&lt;0.5,POWER(1.1,1.75-(($A107+5)/($A107+10))*(INDEX('Stat Boosts'!$D$2:$D$192,N$1-9)-10)/((INDEX('Stat Boosts'!$D$2:$D$192,(J107/2+22)-9)-10))-0.5)*0.5,(1.75-(($A107+5)/($A107+10))*(INDEX('Stat Boosts'!$D$2:$D$192,N$1-9)-10)/((INDEX('Stat Boosts'!$D$2:$D$192,(J107/2+22)-9)-10))))</f>
        <v>0.39109007080894825</v>
      </c>
      <c r="O107" s="16">
        <f>IF((1.75-(($A107+5)/($A107+10))*(INDEX('Stat Boosts'!$D$2:$D$192,O$1-9)-10)/((INDEX('Stat Boosts'!$D$2:$D$192,(K107/2+22)-9)-10)))&lt;0.5,POWER(1.1,1.75-(($A107+5)/($A107+10))*(INDEX('Stat Boosts'!$D$2:$D$192,O$1-9)-10)/((INDEX('Stat Boosts'!$D$2:$D$192,(K107/2+22)-9)-10))-0.5)*0.5,(1.75-(($A107+5)/($A107+10))*(INDEX('Stat Boosts'!$D$2:$D$192,O$1-9)-10)/((INDEX('Stat Boosts'!$D$2:$D$192,(K107/2+22)-9)-10))))</f>
        <v>0.38073887820218821</v>
      </c>
      <c r="P107" s="16">
        <f>IF((1.75-(($A107+5)/($A107+10))*(INDEX('Stat Boosts'!$D$2:$D$192,P$1-9)-10)/((INDEX('Stat Boosts'!$D$2:$D$192,(L107/2+22)-9)-10)))&lt;0.5,POWER(1.1,1.75-(($A107+5)/($A107+10))*(INDEX('Stat Boosts'!$D$2:$D$192,P$1-9)-10)/((INDEX('Stat Boosts'!$D$2:$D$192,(L107/2+22)-9)-10))-0.5)*0.5,(1.75-(($A107+5)/($A107+10))*(INDEX('Stat Boosts'!$D$2:$D$192,P$1-9)-10)/((INDEX('Stat Boosts'!$D$2:$D$192,(L107/2+22)-9)-10))))</f>
        <v>0.36474380432015818</v>
      </c>
      <c r="Q107" s="16">
        <f>IF((1.75-(($A107+5)/($A107+10))*(INDEX('Stat Boosts'!$D$2:$D$192,Q$1-9)-10)/((INDEX('Stat Boosts'!$D$2:$D$192,(M107/2+22)-9)-10)))&lt;0.5,POWER(1.1,1.75-(($A107+5)/($A107+10))*(INDEX('Stat Boosts'!$D$2:$D$192,Q$1-9)-10)/((INDEX('Stat Boosts'!$D$2:$D$192,(M107/2+22)-9)-10))-0.5)*0.5,(1.75-(($A107+5)/($A107+10))*(INDEX('Stat Boosts'!$D$2:$D$192,Q$1-9)-10)/((INDEX('Stat Boosts'!$D$2:$D$192,(M107/2+22)-9)-10))))</f>
        <v>0.34942069330595943</v>
      </c>
      <c r="R107" s="16">
        <f>IF((1.75-(($A107+5)/($A107+10))*1.25*(INDEX('Stat Boosts'!$D$2:$D$192,R$1-9)-10)/((INDEX('Stat Boosts'!$D$2:$D$192,(N107/2+22)-9)-10)))&lt;0.5,POWER(1.1,1.75-(($A107+5)/($A107+10))*1.25*(INDEX('Stat Boosts'!$D$2:$D$192,R$1-9)-10)/((INDEX('Stat Boosts'!$D$2:$D$192,(N107/2+22)-9)-10))-0.5)*0.5,(1.75-(($A107+5)/($A107+10))*1.25*(INDEX('Stat Boosts'!$D$2:$D$192,R$1-9)-10)/((INDEX('Stat Boosts'!$D$2:$D$192,(N107/2+22)-9)-10))))</f>
        <v>0.29390632548624529</v>
      </c>
    </row>
    <row r="108" spans="1:18">
      <c r="A108" s="9">
        <v>107</v>
      </c>
      <c r="B108" s="16">
        <f t="shared" si="2"/>
        <v>64.8</v>
      </c>
      <c r="C108" s="16">
        <f t="shared" si="3"/>
        <v>7.2992700729927014E-3</v>
      </c>
      <c r="E108" s="16">
        <f>IF((1.75-(($A108+5)/($A108+10))*(INDEX('Stat Boosts'!$D$2:$D$192,E$1-9)-10)/((INDEX('Stat Boosts'!$D$2:$D$192,(A108/2+22)-9)-10)))&lt;0.5,POWER(1.1,1.75-(($A108+5)/($A108+10))*(INDEX('Stat Boosts'!$D$2:$D$192,E$1-9)-10)/((INDEX('Stat Boosts'!$D$2:$D$192,(A108/2+22)-9)-10))-0.5)*0.5,(1.75-(($A108+5)/($A108+10))*(INDEX('Stat Boosts'!$D$2:$D$192,E$1-9)-10)/((INDEX('Stat Boosts'!$D$2:$D$192,(A108/2+22)-9)-10))))</f>
        <v>1.75</v>
      </c>
      <c r="F108" s="16">
        <f>IF((1.75-(($A108+5)/($A108+10))*(INDEX('Stat Boosts'!$D$2:$D$192,F$1-9)-10)/((INDEX('Stat Boosts'!$D$2:$D$192,(B108/2+22)-9)-10)))&lt;0.5,POWER(1.1,1.75-(($A108+5)/($A108+10))*(INDEX('Stat Boosts'!$D$2:$D$192,F$1-9)-10)/((INDEX('Stat Boosts'!$D$2:$D$192,(B108/2+22)-9)-10))-0.5)*0.5,(1.75-(($A108+5)/($A108+10))*(INDEX('Stat Boosts'!$D$2:$D$192,F$1-9)-10)/((INDEX('Stat Boosts'!$D$2:$D$192,(B108/2+22)-9)-10))))</f>
        <v>1.6344680223990569</v>
      </c>
      <c r="G108" s="16">
        <f>IF((1.75-(($A108+5)/($A108+10))*(INDEX('Stat Boosts'!$D$2:$D$192,G$1-9)-10)/((INDEX('Stat Boosts'!$D$2:$D$192,(C108/2+22)-9)-10)))&lt;0.5,POWER(1.1,1.75-(($A108+5)/($A108+10))*(INDEX('Stat Boosts'!$D$2:$D$192,G$1-9)-10)/((INDEX('Stat Boosts'!$D$2:$D$192,(C108/2+22)-9)-10))-0.5)*0.5,(1.75-(($A108+5)/($A108+10))*(INDEX('Stat Boosts'!$D$2:$D$192,G$1-9)-10)/((INDEX('Stat Boosts'!$D$2:$D$192,(C108/2+22)-9)-10))))</f>
        <v>0.96166415284062345</v>
      </c>
      <c r="H108" s="16">
        <f>IF((1.75-(($A108+5)/($A108+10))*(INDEX('Stat Boosts'!$D$2:$D$192,H$1-9)-10)/((INDEX('Stat Boosts'!$D$2:$D$192,(D108/2+22)-9)-10)))&lt;0.5,POWER(1.1,1.75-(($A108+5)/($A108+10))*(INDEX('Stat Boosts'!$D$2:$D$192,H$1-9)-10)/((INDEX('Stat Boosts'!$D$2:$D$192,(D108/2+22)-9)-10))-0.5)*0.5,(1.75-(($A108+5)/($A108+10))*(INDEX('Stat Boosts'!$D$2:$D$192,H$1-9)-10)/((INDEX('Stat Boosts'!$D$2:$D$192,(D108/2+22)-9)-10))))</f>
        <v>0.56749622926093513</v>
      </c>
      <c r="I108" s="16">
        <f>IF((1.75-(($A108+5)/($A108+10))*(INDEX('Stat Boosts'!$D$2:$D$192,I$1-9)-10)/((INDEX('Stat Boosts'!$D$2:$D$192,(E108/2+22)-9)-10)))&lt;0.5,POWER(1.1,1.75-(($A108+5)/($A108+10))*(INDEX('Stat Boosts'!$D$2:$D$192,I$1-9)-10)/((INDEX('Stat Boosts'!$D$2:$D$192,(E108/2+22)-9)-10))-0.5)*0.5,(1.75-(($A108+5)/($A108+10))*(INDEX('Stat Boosts'!$D$2:$D$192,I$1-9)-10)/((INDEX('Stat Boosts'!$D$2:$D$192,(E108/2+22)-9)-10))))</f>
        <v>0.48728045898106043</v>
      </c>
      <c r="J108" s="16">
        <f>IF((1.75-(($A108+5)/($A108+10))*(INDEX('Stat Boosts'!$D$2:$D$192,J$1-9)-10)/((INDEX('Stat Boosts'!$D$2:$D$192,(F108/2+22)-9)-10)))&lt;0.5,POWER(1.1,1.75-(($A108+5)/($A108+10))*(INDEX('Stat Boosts'!$D$2:$D$192,J$1-9)-10)/((INDEX('Stat Boosts'!$D$2:$D$192,(F108/2+22)-9)-10))-0.5)*0.5,(1.75-(($A108+5)/($A108+10))*(INDEX('Stat Boosts'!$D$2:$D$192,J$1-9)-10)/((INDEX('Stat Boosts'!$D$2:$D$192,(F108/2+22)-9)-10))))</f>
        <v>0.47183932794404959</v>
      </c>
      <c r="K108" s="16">
        <f>IF((1.75-(($A108+5)/($A108+10))*(INDEX('Stat Boosts'!$D$2:$D$192,K$1-9)-10)/((INDEX('Stat Boosts'!$D$2:$D$192,(G108/2+22)-9)-10)))&lt;0.5,POWER(1.1,1.75-(($A108+5)/($A108+10))*(INDEX('Stat Boosts'!$D$2:$D$192,K$1-9)-10)/((INDEX('Stat Boosts'!$D$2:$D$192,(G108/2+22)-9)-10))-0.5)*0.5,(1.75-(($A108+5)/($A108+10))*(INDEX('Stat Boosts'!$D$2:$D$192,K$1-9)-10)/((INDEX('Stat Boosts'!$D$2:$D$192,(G108/2+22)-9)-10))))</f>
        <v>0.43768614491331831</v>
      </c>
      <c r="L108" s="16">
        <f>IF((1.75-(($A108+5)/($A108+10))*(INDEX('Stat Boosts'!$D$2:$D$192,L$1-9)-10)/((INDEX('Stat Boosts'!$D$2:$D$192,(H108/2+22)-9)-10)))&lt;0.5,POWER(1.1,1.75-(($A108+5)/($A108+10))*(INDEX('Stat Boosts'!$D$2:$D$192,L$1-9)-10)/((INDEX('Stat Boosts'!$D$2:$D$192,(H108/2+22)-9)-10))-0.5)*0.5,(1.75-(($A108+5)/($A108+10))*(INDEX('Stat Boosts'!$D$2:$D$192,L$1-9)-10)/((INDEX('Stat Boosts'!$D$2:$D$192,(H108/2+22)-9)-10))))</f>
        <v>0.42609726833578859</v>
      </c>
      <c r="M108" s="16">
        <f>IF((1.75-(($A108+5)/($A108+10))*(INDEX('Stat Boosts'!$D$2:$D$192,M$1-9)-10)/((INDEX('Stat Boosts'!$D$2:$D$192,(I108/2+22)-9)-10)))&lt;0.5,POWER(1.1,1.75-(($A108+5)/($A108+10))*(INDEX('Stat Boosts'!$D$2:$D$192,M$1-9)-10)/((INDEX('Stat Boosts'!$D$2:$D$192,(I108/2+22)-9)-10))-0.5)*0.5,(1.75-(($A108+5)/($A108+10))*(INDEX('Stat Boosts'!$D$2:$D$192,M$1-9)-10)/((INDEX('Stat Boosts'!$D$2:$D$192,(I108/2+22)-9)-10))))</f>
        <v>0.4103865145214266</v>
      </c>
      <c r="N108" s="16">
        <f>IF((1.75-(($A108+5)/($A108+10))*(INDEX('Stat Boosts'!$D$2:$D$192,N$1-9)-10)/((INDEX('Stat Boosts'!$D$2:$D$192,(J108/2+22)-9)-10)))&lt;0.5,POWER(1.1,1.75-(($A108+5)/($A108+10))*(INDEX('Stat Boosts'!$D$2:$D$192,N$1-9)-10)/((INDEX('Stat Boosts'!$D$2:$D$192,(J108/2+22)-9)-10))-0.5)*0.5,(1.75-(($A108+5)/($A108+10))*(INDEX('Stat Boosts'!$D$2:$D$192,N$1-9)-10)/((INDEX('Stat Boosts'!$D$2:$D$192,(J108/2+22)-9)-10))))</f>
        <v>0.39103514559904345</v>
      </c>
      <c r="O108" s="16">
        <f>IF((1.75-(($A108+5)/($A108+10))*(INDEX('Stat Boosts'!$D$2:$D$192,O$1-9)-10)/((INDEX('Stat Boosts'!$D$2:$D$192,(K108/2+22)-9)-10)))&lt;0.5,POWER(1.1,1.75-(($A108+5)/($A108+10))*(INDEX('Stat Boosts'!$D$2:$D$192,O$1-9)-10)/((INDEX('Stat Boosts'!$D$2:$D$192,(K108/2+22)-9)-10))-0.5)*0.5,(1.75-(($A108+5)/($A108+10))*(INDEX('Stat Boosts'!$D$2:$D$192,O$1-9)-10)/((INDEX('Stat Boosts'!$D$2:$D$192,(K108/2+22)-9)-10))))</f>
        <v>0.38068147529787094</v>
      </c>
      <c r="P108" s="16">
        <f>IF((1.75-(($A108+5)/($A108+10))*(INDEX('Stat Boosts'!$D$2:$D$192,P$1-9)-10)/((INDEX('Stat Boosts'!$D$2:$D$192,(L108/2+22)-9)-10)))&lt;0.5,POWER(1.1,1.75-(($A108+5)/($A108+10))*(INDEX('Stat Boosts'!$D$2:$D$192,P$1-9)-10)/((INDEX('Stat Boosts'!$D$2:$D$192,(L108/2+22)-9)-10))-0.5)*0.5,(1.75-(($A108+5)/($A108+10))*(INDEX('Stat Boosts'!$D$2:$D$192,P$1-9)-10)/((INDEX('Stat Boosts'!$D$2:$D$192,(L108/2+22)-9)-10))))</f>
        <v>0.36468278699933049</v>
      </c>
      <c r="Q108" s="16">
        <f>IF((1.75-(($A108+5)/($A108+10))*(INDEX('Stat Boosts'!$D$2:$D$192,Q$1-9)-10)/((INDEX('Stat Boosts'!$D$2:$D$192,(M108/2+22)-9)-10)))&lt;0.5,POWER(1.1,1.75-(($A108+5)/($A108+10))*(INDEX('Stat Boosts'!$D$2:$D$192,Q$1-9)-10)/((INDEX('Stat Boosts'!$D$2:$D$192,(M108/2+22)-9)-10))-0.5)*0.5,(1.75-(($A108+5)/($A108+10))*(INDEX('Stat Boosts'!$D$2:$D$192,Q$1-9)-10)/((INDEX('Stat Boosts'!$D$2:$D$192,(M108/2+22)-9)-10))))</f>
        <v>0.34935646666162551</v>
      </c>
      <c r="R108" s="16">
        <f>IF((1.75-(($A108+5)/($A108+10))*1.25*(INDEX('Stat Boosts'!$D$2:$D$192,R$1-9)-10)/((INDEX('Stat Boosts'!$D$2:$D$192,(N108/2+22)-9)-10)))&lt;0.5,POWER(1.1,1.75-(($A108+5)/($A108+10))*1.25*(INDEX('Stat Boosts'!$D$2:$D$192,R$1-9)-10)/((INDEX('Stat Boosts'!$D$2:$D$192,(N108/2+22)-9)-10))-0.5)*0.5,(1.75-(($A108+5)/($A108+10))*1.25*(INDEX('Stat Boosts'!$D$2:$D$192,R$1-9)-10)/((INDEX('Stat Boosts'!$D$2:$D$192,(N108/2+22)-9)-10))))</f>
        <v>0.29383272972180513</v>
      </c>
    </row>
    <row r="109" spans="1:18">
      <c r="A109" s="9">
        <v>108</v>
      </c>
      <c r="B109" s="16">
        <f t="shared" si="2"/>
        <v>65.2</v>
      </c>
      <c r="C109" s="16">
        <f t="shared" si="3"/>
        <v>7.246376811594203E-3</v>
      </c>
      <c r="E109" s="16">
        <f>IF((1.75-(($A109+5)/($A109+10))*(INDEX('Stat Boosts'!$D$2:$D$192,E$1-9)-10)/((INDEX('Stat Boosts'!$D$2:$D$192,(A109/2+22)-9)-10)))&lt;0.5,POWER(1.1,1.75-(($A109+5)/($A109+10))*(INDEX('Stat Boosts'!$D$2:$D$192,E$1-9)-10)/((INDEX('Stat Boosts'!$D$2:$D$192,(A109/2+22)-9)-10))-0.5)*0.5,(1.75-(($A109+5)/($A109+10))*(INDEX('Stat Boosts'!$D$2:$D$192,E$1-9)-10)/((INDEX('Stat Boosts'!$D$2:$D$192,(A109/2+22)-9)-10))))</f>
        <v>1.75</v>
      </c>
      <c r="F109" s="16">
        <f>IF((1.75-(($A109+5)/($A109+10))*(INDEX('Stat Boosts'!$D$2:$D$192,F$1-9)-10)/((INDEX('Stat Boosts'!$D$2:$D$192,(B109/2+22)-9)-10)))&lt;0.5,POWER(1.1,1.75-(($A109+5)/($A109+10))*(INDEX('Stat Boosts'!$D$2:$D$192,F$1-9)-10)/((INDEX('Stat Boosts'!$D$2:$D$192,(B109/2+22)-9)-10))-0.5)*0.5,(1.75-(($A109+5)/($A109+10))*(INDEX('Stat Boosts'!$D$2:$D$192,F$1-9)-10)/((INDEX('Stat Boosts'!$D$2:$D$192,(B109/2+22)-9)-10))))</f>
        <v>1.6344243132670953</v>
      </c>
      <c r="G109" s="16">
        <f>IF((1.75-(($A109+5)/($A109+10))*(INDEX('Stat Boosts'!$D$2:$D$192,G$1-9)-10)/((INDEX('Stat Boosts'!$D$2:$D$192,(C109/2+22)-9)-10)))&lt;0.5,POWER(1.1,1.75-(($A109+5)/($A109+10))*(INDEX('Stat Boosts'!$D$2:$D$192,G$1-9)-10)/((INDEX('Stat Boosts'!$D$2:$D$192,(C109/2+22)-9)-10))-0.5)*0.5,(1.75-(($A109+5)/($A109+10))*(INDEX('Stat Boosts'!$D$2:$D$192,G$1-9)-10)/((INDEX('Stat Boosts'!$D$2:$D$192,(C109/2+22)-9)-10))))</f>
        <v>0.96136590229312058</v>
      </c>
      <c r="H109" s="16">
        <f>IF((1.75-(($A109+5)/($A109+10))*(INDEX('Stat Boosts'!$D$2:$D$192,H$1-9)-10)/((INDEX('Stat Boosts'!$D$2:$D$192,(D109/2+22)-9)-10)))&lt;0.5,POWER(1.1,1.75-(($A109+5)/($A109+10))*(INDEX('Stat Boosts'!$D$2:$D$192,H$1-9)-10)/((INDEX('Stat Boosts'!$D$2:$D$192,(D109/2+22)-9)-10))-0.5)*0.5,(1.75-(($A109+5)/($A109+10))*(INDEX('Stat Boosts'!$D$2:$D$192,H$1-9)-10)/((INDEX('Stat Boosts'!$D$2:$D$192,(D109/2+22)-9)-10))))</f>
        <v>0.56704885343968114</v>
      </c>
      <c r="I109" s="16">
        <f>IF((1.75-(($A109+5)/($A109+10))*(INDEX('Stat Boosts'!$D$2:$D$192,I$1-9)-10)/((INDEX('Stat Boosts'!$D$2:$D$192,(E109/2+22)-9)-10)))&lt;0.5,POWER(1.1,1.75-(($A109+5)/($A109+10))*(INDEX('Stat Boosts'!$D$2:$D$192,I$1-9)-10)/((INDEX('Stat Boosts'!$D$2:$D$192,(E109/2+22)-9)-10))-0.5)*0.5,(1.75-(($A109+5)/($A109+10))*(INDEX('Stat Boosts'!$D$2:$D$192,I$1-9)-10)/((INDEX('Stat Boosts'!$D$2:$D$192,(E109/2+22)-9)-10))))</f>
        <v>0.48725374593837895</v>
      </c>
      <c r="J109" s="16">
        <f>IF((1.75-(($A109+5)/($A109+10))*(INDEX('Stat Boosts'!$D$2:$D$192,J$1-9)-10)/((INDEX('Stat Boosts'!$D$2:$D$192,(F109/2+22)-9)-10)))&lt;0.5,POWER(1.1,1.75-(($A109+5)/($A109+10))*(INDEX('Stat Boosts'!$D$2:$D$192,J$1-9)-10)/((INDEX('Stat Boosts'!$D$2:$D$192,(F109/2+22)-9)-10))-0.5)*0.5,(1.75-(($A109+5)/($A109+10))*(INDEX('Stat Boosts'!$D$2:$D$192,J$1-9)-10)/((INDEX('Stat Boosts'!$D$2:$D$192,(F109/2+22)-9)-10))))</f>
        <v>0.47180771346502826</v>
      </c>
      <c r="K109" s="16">
        <f>IF((1.75-(($A109+5)/($A109+10))*(INDEX('Stat Boosts'!$D$2:$D$192,K$1-9)-10)/((INDEX('Stat Boosts'!$D$2:$D$192,(G109/2+22)-9)-10)))&lt;0.5,POWER(1.1,1.75-(($A109+5)/($A109+10))*(INDEX('Stat Boosts'!$D$2:$D$192,K$1-9)-10)/((INDEX('Stat Boosts'!$D$2:$D$192,(G109/2+22)-9)-10))-0.5)*0.5,(1.75-(($A109+5)/($A109+10))*(INDEX('Stat Boosts'!$D$2:$D$192,K$1-9)-10)/((INDEX('Stat Boosts'!$D$2:$D$192,(G109/2+22)-9)-10))))</f>
        <v>0.43764437799457917</v>
      </c>
      <c r="L109" s="16">
        <f>IF((1.75-(($A109+5)/($A109+10))*(INDEX('Stat Boosts'!$D$2:$D$192,L$1-9)-10)/((INDEX('Stat Boosts'!$D$2:$D$192,(H109/2+22)-9)-10)))&lt;0.5,POWER(1.1,1.75-(($A109+5)/($A109+10))*(INDEX('Stat Boosts'!$D$2:$D$192,L$1-9)-10)/((INDEX('Stat Boosts'!$D$2:$D$192,(H109/2+22)-9)-10))-0.5)*0.5,(1.75-(($A109+5)/($A109+10))*(INDEX('Stat Boosts'!$D$2:$D$192,L$1-9)-10)/((INDEX('Stat Boosts'!$D$2:$D$192,(H109/2+22)-9)-10))))</f>
        <v>0.42605228189135691</v>
      </c>
      <c r="M109" s="16">
        <f>IF((1.75-(($A109+5)/($A109+10))*(INDEX('Stat Boosts'!$D$2:$D$192,M$1-9)-10)/((INDEX('Stat Boosts'!$D$2:$D$192,(I109/2+22)-9)-10)))&lt;0.5,POWER(1.1,1.75-(($A109+5)/($A109+10))*(INDEX('Stat Boosts'!$D$2:$D$192,M$1-9)-10)/((INDEX('Stat Boosts'!$D$2:$D$192,(I109/2+22)-9)-10))-0.5)*0.5,(1.75-(($A109+5)/($A109+10))*(INDEX('Stat Boosts'!$D$2:$D$192,M$1-9)-10)/((INDEX('Stat Boosts'!$D$2:$D$192,(I109/2+22)-9)-10))))</f>
        <v>0.41033735455445969</v>
      </c>
      <c r="N109" s="16">
        <f>IF((1.75-(($A109+5)/($A109+10))*(INDEX('Stat Boosts'!$D$2:$D$192,N$1-9)-10)/((INDEX('Stat Boosts'!$D$2:$D$192,(J109/2+22)-9)-10)))&lt;0.5,POWER(1.1,1.75-(($A109+5)/($A109+10))*(INDEX('Stat Boosts'!$D$2:$D$192,N$1-9)-10)/((INDEX('Stat Boosts'!$D$2:$D$192,(J109/2+22)-9)-10))-0.5)*0.5,(1.75-(($A109+5)/($A109+10))*(INDEX('Stat Boosts'!$D$2:$D$192,N$1-9)-10)/((INDEX('Stat Boosts'!$D$2:$D$192,(J109/2+22)-9)-10))))</f>
        <v>0.39098115884367046</v>
      </c>
      <c r="O109" s="16">
        <f>IF((1.75-(($A109+5)/($A109+10))*(INDEX('Stat Boosts'!$D$2:$D$192,O$1-9)-10)/((INDEX('Stat Boosts'!$D$2:$D$192,(K109/2+22)-9)-10)))&lt;0.5,POWER(1.1,1.75-(($A109+5)/($A109+10))*(INDEX('Stat Boosts'!$D$2:$D$192,O$1-9)-10)/((INDEX('Stat Boosts'!$D$2:$D$192,(K109/2+22)-9)-10))-0.5)*0.5,(1.75-(($A109+5)/($A109+10))*(INDEX('Stat Boosts'!$D$2:$D$192,O$1-9)-10)/((INDEX('Stat Boosts'!$D$2:$D$192,(K109/2+22)-9)-10))))</f>
        <v>0.38062505375982741</v>
      </c>
      <c r="P109" s="16">
        <f>IF((1.75-(($A109+5)/($A109+10))*(INDEX('Stat Boosts'!$D$2:$D$192,P$1-9)-10)/((INDEX('Stat Boosts'!$D$2:$D$192,(L109/2+22)-9)-10)))&lt;0.5,POWER(1.1,1.75-(($A109+5)/($A109+10))*(INDEX('Stat Boosts'!$D$2:$D$192,P$1-9)-10)/((INDEX('Stat Boosts'!$D$2:$D$192,(L109/2+22)-9)-10))-0.5)*0.5,(1.75-(($A109+5)/($A109+10))*(INDEX('Stat Boosts'!$D$2:$D$192,P$1-9)-10)/((INDEX('Stat Boosts'!$D$2:$D$192,(L109/2+22)-9)-10))))</f>
        <v>0.36462281381982026</v>
      </c>
      <c r="Q109" s="16">
        <f>IF((1.75-(($A109+5)/($A109+10))*(INDEX('Stat Boosts'!$D$2:$D$192,Q$1-9)-10)/((INDEX('Stat Boosts'!$D$2:$D$192,(M109/2+22)-9)-10)))&lt;0.5,POWER(1.1,1.75-(($A109+5)/($A109+10))*(INDEX('Stat Boosts'!$D$2:$D$192,Q$1-9)-10)/((INDEX('Stat Boosts'!$D$2:$D$192,(M109/2+22)-9)-10))-0.5)*0.5,(1.75-(($A109+5)/($A109+10))*(INDEX('Stat Boosts'!$D$2:$D$192,Q$1-9)-10)/((INDEX('Stat Boosts'!$D$2:$D$192,(M109/2+22)-9)-10))))</f>
        <v>0.34929334011148416</v>
      </c>
      <c r="R109" s="16">
        <f>IF((1.75-(($A109+5)/($A109+10))*1.25*(INDEX('Stat Boosts'!$D$2:$D$192,R$1-9)-10)/((INDEX('Stat Boosts'!$D$2:$D$192,(N109/2+22)-9)-10)))&lt;0.5,POWER(1.1,1.75-(($A109+5)/($A109+10))*1.25*(INDEX('Stat Boosts'!$D$2:$D$192,R$1-9)-10)/((INDEX('Stat Boosts'!$D$2:$D$192,(N109/2+22)-9)-10))-0.5)*0.5,(1.75-(($A109+5)/($A109+10))*1.25*(INDEX('Stat Boosts'!$D$2:$D$192,R$1-9)-10)/((INDEX('Stat Boosts'!$D$2:$D$192,(N109/2+22)-9)-10))))</f>
        <v>0.29376039930613218</v>
      </c>
    </row>
    <row r="110" spans="1:18">
      <c r="A110" s="9">
        <v>109</v>
      </c>
      <c r="B110" s="16">
        <f t="shared" si="2"/>
        <v>65.599999999999994</v>
      </c>
      <c r="C110" s="16">
        <f t="shared" si="3"/>
        <v>7.194244604316548E-3</v>
      </c>
      <c r="E110" s="16">
        <f>IF((1.75-(($A110+5)/($A110+10))*(INDEX('Stat Boosts'!$D$2:$D$192,E$1-9)-10)/((INDEX('Stat Boosts'!$D$2:$D$192,(A110/2+22)-9)-10)))&lt;0.5,POWER(1.1,1.75-(($A110+5)/($A110+10))*(INDEX('Stat Boosts'!$D$2:$D$192,E$1-9)-10)/((INDEX('Stat Boosts'!$D$2:$D$192,(A110/2+22)-9)-10))-0.5)*0.5,(1.75-(($A110+5)/($A110+10))*(INDEX('Stat Boosts'!$D$2:$D$192,E$1-9)-10)/((INDEX('Stat Boosts'!$D$2:$D$192,(A110/2+22)-9)-10))))</f>
        <v>1.75</v>
      </c>
      <c r="F110" s="16">
        <f>IF((1.75-(($A110+5)/($A110+10))*(INDEX('Stat Boosts'!$D$2:$D$192,F$1-9)-10)/((INDEX('Stat Boosts'!$D$2:$D$192,(B110/2+22)-9)-10)))&lt;0.5,POWER(1.1,1.75-(($A110+5)/($A110+10))*(INDEX('Stat Boosts'!$D$2:$D$192,F$1-9)-10)/((INDEX('Stat Boosts'!$D$2:$D$192,(B110/2+22)-9)-10))-0.5)*0.5,(1.75-(($A110+5)/($A110+10))*(INDEX('Stat Boosts'!$D$2:$D$192,F$1-9)-10)/((INDEX('Stat Boosts'!$D$2:$D$192,(B110/2+22)-9)-10))))</f>
        <v>1.6343813387423936</v>
      </c>
      <c r="G110" s="16">
        <f>IF((1.75-(($A110+5)/($A110+10))*(INDEX('Stat Boosts'!$D$2:$D$192,G$1-9)-10)/((INDEX('Stat Boosts'!$D$2:$D$192,(C110/2+22)-9)-10)))&lt;0.5,POWER(1.1,1.75-(($A110+5)/($A110+10))*(INDEX('Stat Boosts'!$D$2:$D$192,G$1-9)-10)/((INDEX('Stat Boosts'!$D$2:$D$192,(C110/2+22)-9)-10))-0.5)*0.5,(1.75-(($A110+5)/($A110+10))*(INDEX('Stat Boosts'!$D$2:$D$192,G$1-9)-10)/((INDEX('Stat Boosts'!$D$2:$D$192,(C110/2+22)-9)-10))))</f>
        <v>0.96107266435986161</v>
      </c>
      <c r="H110" s="16">
        <f>IF((1.75-(($A110+5)/($A110+10))*(INDEX('Stat Boosts'!$D$2:$D$192,H$1-9)-10)/((INDEX('Stat Boosts'!$D$2:$D$192,(D110/2+22)-9)-10)))&lt;0.5,POWER(1.1,1.75-(($A110+5)/($A110+10))*(INDEX('Stat Boosts'!$D$2:$D$192,H$1-9)-10)/((INDEX('Stat Boosts'!$D$2:$D$192,(D110/2+22)-9)-10))-0.5)*0.5,(1.75-(($A110+5)/($A110+10))*(INDEX('Stat Boosts'!$D$2:$D$192,H$1-9)-10)/((INDEX('Stat Boosts'!$D$2:$D$192,(D110/2+22)-9)-10))))</f>
        <v>0.56660899653979246</v>
      </c>
      <c r="I110" s="16">
        <f>IF((1.75-(($A110+5)/($A110+10))*(INDEX('Stat Boosts'!$D$2:$D$192,I$1-9)-10)/((INDEX('Stat Boosts'!$D$2:$D$192,(E110/2+22)-9)-10)))&lt;0.5,POWER(1.1,1.75-(($A110+5)/($A110+10))*(INDEX('Stat Boosts'!$D$2:$D$192,I$1-9)-10)/((INDEX('Stat Boosts'!$D$2:$D$192,(E110/2+22)-9)-10))-0.5)*0.5,(1.75-(($A110+5)/($A110+10))*(INDEX('Stat Boosts'!$D$2:$D$192,I$1-9)-10)/((INDEX('Stat Boosts'!$D$2:$D$192,(E110/2+22)-9)-10))))</f>
        <v>0.48722748328211385</v>
      </c>
      <c r="J110" s="16">
        <f>IF((1.75-(($A110+5)/($A110+10))*(INDEX('Stat Boosts'!$D$2:$D$192,J$1-9)-10)/((INDEX('Stat Boosts'!$D$2:$D$192,(F110/2+22)-9)-10)))&lt;0.5,POWER(1.1,1.75-(($A110+5)/($A110+10))*(INDEX('Stat Boosts'!$D$2:$D$192,J$1-9)-10)/((INDEX('Stat Boosts'!$D$2:$D$192,(F110/2+22)-9)-10))-0.5)*0.5,(1.75-(($A110+5)/($A110+10))*(INDEX('Stat Boosts'!$D$2:$D$192,J$1-9)-10)/((INDEX('Stat Boosts'!$D$2:$D$192,(F110/2+22)-9)-10))))</f>
        <v>0.47177663238694079</v>
      </c>
      <c r="K110" s="16">
        <f>IF((1.75-(($A110+5)/($A110+10))*(INDEX('Stat Boosts'!$D$2:$D$192,K$1-9)-10)/((INDEX('Stat Boosts'!$D$2:$D$192,(G110/2+22)-9)-10)))&lt;0.5,POWER(1.1,1.75-(($A110+5)/($A110+10))*(INDEX('Stat Boosts'!$D$2:$D$192,K$1-9)-10)/((INDEX('Stat Boosts'!$D$2:$D$192,(G110/2+22)-9)-10))-0.5)*0.5,(1.75-(($A110+5)/($A110+10))*(INDEX('Stat Boosts'!$D$2:$D$192,K$1-9)-10)/((INDEX('Stat Boosts'!$D$2:$D$192,(G110/2+22)-9)-10))))</f>
        <v>0.43760331692662324</v>
      </c>
      <c r="L110" s="16">
        <f>IF((1.75-(($A110+5)/($A110+10))*(INDEX('Stat Boosts'!$D$2:$D$192,L$1-9)-10)/((INDEX('Stat Boosts'!$D$2:$D$192,(H110/2+22)-9)-10)))&lt;0.5,POWER(1.1,1.75-(($A110+5)/($A110+10))*(INDEX('Stat Boosts'!$D$2:$D$192,L$1-9)-10)/((INDEX('Stat Boosts'!$D$2:$D$192,(H110/2+22)-9)-10))-0.5)*0.5,(1.75-(($A110+5)/($A110+10))*(INDEX('Stat Boosts'!$D$2:$D$192,L$1-9)-10)/((INDEX('Stat Boosts'!$D$2:$D$192,(H110/2+22)-9)-10))))</f>
        <v>0.42600805615213128</v>
      </c>
      <c r="M110" s="16">
        <f>IF((1.75-(($A110+5)/($A110+10))*(INDEX('Stat Boosts'!$D$2:$D$192,M$1-9)-10)/((INDEX('Stat Boosts'!$D$2:$D$192,(I110/2+22)-9)-10)))&lt;0.5,POWER(1.1,1.75-(($A110+5)/($A110+10))*(INDEX('Stat Boosts'!$D$2:$D$192,M$1-9)-10)/((INDEX('Stat Boosts'!$D$2:$D$192,(I110/2+22)-9)-10))-0.5)*0.5,(1.75-(($A110+5)/($A110+10))*(INDEX('Stat Boosts'!$D$2:$D$192,M$1-9)-10)/((INDEX('Stat Boosts'!$D$2:$D$192,(I110/2+22)-9)-10))))</f>
        <v>0.41028902654664673</v>
      </c>
      <c r="N110" s="16">
        <f>IF((1.75-(($A110+5)/($A110+10))*(INDEX('Stat Boosts'!$D$2:$D$192,N$1-9)-10)/((INDEX('Stat Boosts'!$D$2:$D$192,(J110/2+22)-9)-10)))&lt;0.5,POWER(1.1,1.75-(($A110+5)/($A110+10))*(INDEX('Stat Boosts'!$D$2:$D$192,N$1-9)-10)/((INDEX('Stat Boosts'!$D$2:$D$192,(J110/2+22)-9)-10))-0.5)*0.5,(1.75-(($A110+5)/($A110+10))*(INDEX('Stat Boosts'!$D$2:$D$192,N$1-9)-10)/((INDEX('Stat Boosts'!$D$2:$D$192,(J110/2+22)-9)-10))))</f>
        <v>0.39092808669535217</v>
      </c>
      <c r="O110" s="16">
        <f>IF((1.75-(($A110+5)/($A110+10))*(INDEX('Stat Boosts'!$D$2:$D$192,O$1-9)-10)/((INDEX('Stat Boosts'!$D$2:$D$192,(K110/2+22)-9)-10)))&lt;0.5,POWER(1.1,1.75-(($A110+5)/($A110+10))*(INDEX('Stat Boosts'!$D$2:$D$192,O$1-9)-10)/((INDEX('Stat Boosts'!$D$2:$D$192,(K110/2+22)-9)-10))-0.5)*0.5,(1.75-(($A110+5)/($A110+10))*(INDEX('Stat Boosts'!$D$2:$D$192,O$1-9)-10)/((INDEX('Stat Boosts'!$D$2:$D$192,(K110/2+22)-9)-10))))</f>
        <v>0.38056958863564511</v>
      </c>
      <c r="P110" s="16">
        <f>IF((1.75-(($A110+5)/($A110+10))*(INDEX('Stat Boosts'!$D$2:$D$192,P$1-9)-10)/((INDEX('Stat Boosts'!$D$2:$D$192,(L110/2+22)-9)-10)))&lt;0.5,POWER(1.1,1.75-(($A110+5)/($A110+10))*(INDEX('Stat Boosts'!$D$2:$D$192,P$1-9)-10)/((INDEX('Stat Boosts'!$D$2:$D$192,(L110/2+22)-9)-10))-0.5)*0.5,(1.75-(($A110+5)/($A110+10))*(INDEX('Stat Boosts'!$D$2:$D$192,P$1-9)-10)/((INDEX('Stat Boosts'!$D$2:$D$192,(L110/2+22)-9)-10))))</f>
        <v>0.3645638582084369</v>
      </c>
      <c r="Q110" s="16">
        <f>IF((1.75-(($A110+5)/($A110+10))*(INDEX('Stat Boosts'!$D$2:$D$192,Q$1-9)-10)/((INDEX('Stat Boosts'!$D$2:$D$192,(M110/2+22)-9)-10)))&lt;0.5,POWER(1.1,1.75-(($A110+5)/($A110+10))*(INDEX('Stat Boosts'!$D$2:$D$192,Q$1-9)-10)/((INDEX('Stat Boosts'!$D$2:$D$192,(M110/2+22)-9)-10))-0.5)*0.5,(1.75-(($A110+5)/($A110+10))*(INDEX('Stat Boosts'!$D$2:$D$192,Q$1-9)-10)/((INDEX('Stat Boosts'!$D$2:$D$192,(M110/2+22)-9)-10))))</f>
        <v>0.34923128563240352</v>
      </c>
      <c r="R110" s="16">
        <f>IF((1.75-(($A110+5)/($A110+10))*1.25*(INDEX('Stat Boosts'!$D$2:$D$192,R$1-9)-10)/((INDEX('Stat Boosts'!$D$2:$D$192,(N110/2+22)-9)-10)))&lt;0.5,POWER(1.1,1.75-(($A110+5)/($A110+10))*1.25*(INDEX('Stat Boosts'!$D$2:$D$192,R$1-9)-10)/((INDEX('Stat Boosts'!$D$2:$D$192,(N110/2+22)-9)-10))-0.5)*0.5,(1.75-(($A110+5)/($A110+10))*1.25*(INDEX('Stat Boosts'!$D$2:$D$192,R$1-9)-10)/((INDEX('Stat Boosts'!$D$2:$D$192,(N110/2+22)-9)-10))))</f>
        <v>0.29368930188636139</v>
      </c>
    </row>
    <row r="111" spans="1:18">
      <c r="A111" s="9">
        <v>110</v>
      </c>
      <c r="B111" s="16">
        <f t="shared" si="2"/>
        <v>66</v>
      </c>
      <c r="C111" s="16">
        <f t="shared" si="3"/>
        <v>7.1428571428571435E-3</v>
      </c>
      <c r="E111" s="16">
        <f>IF((1.75-(($A111+5)/($A111+10))*(INDEX('Stat Boosts'!$D$2:$D$192,E$1-9)-10)/((INDEX('Stat Boosts'!$D$2:$D$192,(A111/2+22)-9)-10)))&lt;0.5,POWER(1.1,1.75-(($A111+5)/($A111+10))*(INDEX('Stat Boosts'!$D$2:$D$192,E$1-9)-10)/((INDEX('Stat Boosts'!$D$2:$D$192,(A111/2+22)-9)-10))-0.5)*0.5,(1.75-(($A111+5)/($A111+10))*(INDEX('Stat Boosts'!$D$2:$D$192,E$1-9)-10)/((INDEX('Stat Boosts'!$D$2:$D$192,(A111/2+22)-9)-10))))</f>
        <v>1.75</v>
      </c>
      <c r="F111" s="16">
        <f>IF((1.75-(($A111+5)/($A111+10))*(INDEX('Stat Boosts'!$D$2:$D$192,F$1-9)-10)/((INDEX('Stat Boosts'!$D$2:$D$192,(B111/2+22)-9)-10)))&lt;0.5,POWER(1.1,1.75-(($A111+5)/($A111+10))*(INDEX('Stat Boosts'!$D$2:$D$192,F$1-9)-10)/((INDEX('Stat Boosts'!$D$2:$D$192,(B111/2+22)-9)-10))-0.5)*0.5,(1.75-(($A111+5)/($A111+10))*(INDEX('Stat Boosts'!$D$2:$D$192,F$1-9)-10)/((INDEX('Stat Boosts'!$D$2:$D$192,(B111/2+22)-9)-10))))</f>
        <v>1.6362994350282485</v>
      </c>
      <c r="G111" s="16">
        <f>IF((1.75-(($A111+5)/($A111+10))*(INDEX('Stat Boosts'!$D$2:$D$192,G$1-9)-10)/((INDEX('Stat Boosts'!$D$2:$D$192,(C111/2+22)-9)-10)))&lt;0.5,POWER(1.1,1.75-(($A111+5)/($A111+10))*(INDEX('Stat Boosts'!$D$2:$D$192,G$1-9)-10)/((INDEX('Stat Boosts'!$D$2:$D$192,(C111/2+22)-9)-10))-0.5)*0.5,(1.75-(($A111+5)/($A111+10))*(INDEX('Stat Boosts'!$D$2:$D$192,G$1-9)-10)/((INDEX('Stat Boosts'!$D$2:$D$192,(C111/2+22)-9)-10))))</f>
        <v>0.96078431372549011</v>
      </c>
      <c r="H111" s="16">
        <f>IF((1.75-(($A111+5)/($A111+10))*(INDEX('Stat Boosts'!$D$2:$D$192,H$1-9)-10)/((INDEX('Stat Boosts'!$D$2:$D$192,(D111/2+22)-9)-10)))&lt;0.5,POWER(1.1,1.75-(($A111+5)/($A111+10))*(INDEX('Stat Boosts'!$D$2:$D$192,H$1-9)-10)/((INDEX('Stat Boosts'!$D$2:$D$192,(D111/2+22)-9)-10))-0.5)*0.5,(1.75-(($A111+5)/($A111+10))*(INDEX('Stat Boosts'!$D$2:$D$192,H$1-9)-10)/((INDEX('Stat Boosts'!$D$2:$D$192,(D111/2+22)-9)-10))))</f>
        <v>0.56617647058823528</v>
      </c>
      <c r="I111" s="16">
        <f>IF((1.75-(($A111+5)/($A111+10))*(INDEX('Stat Boosts'!$D$2:$D$192,I$1-9)-10)/((INDEX('Stat Boosts'!$D$2:$D$192,(E111/2+22)-9)-10)))&lt;0.5,POWER(1.1,1.75-(($A111+5)/($A111+10))*(INDEX('Stat Boosts'!$D$2:$D$192,I$1-9)-10)/((INDEX('Stat Boosts'!$D$2:$D$192,(E111/2+22)-9)-10))-0.5)*0.5,(1.75-(($A111+5)/($A111+10))*(INDEX('Stat Boosts'!$D$2:$D$192,I$1-9)-10)/((INDEX('Stat Boosts'!$D$2:$D$192,(E111/2+22)-9)-10))))</f>
        <v>0.48720165971713497</v>
      </c>
      <c r="J111" s="16">
        <f>IF((1.75-(($A111+5)/($A111+10))*(INDEX('Stat Boosts'!$D$2:$D$192,J$1-9)-10)/((INDEX('Stat Boosts'!$D$2:$D$192,(F111/2+22)-9)-10)))&lt;0.5,POWER(1.1,1.75-(($A111+5)/($A111+10))*(INDEX('Stat Boosts'!$D$2:$D$192,J$1-9)-10)/((INDEX('Stat Boosts'!$D$2:$D$192,(F111/2+22)-9)-10))-0.5)*0.5,(1.75-(($A111+5)/($A111+10))*(INDEX('Stat Boosts'!$D$2:$D$192,J$1-9)-10)/((INDEX('Stat Boosts'!$D$2:$D$192,(F111/2+22)-9)-10))))</f>
        <v>0.47174607132343377</v>
      </c>
      <c r="K111" s="16">
        <f>IF((1.75-(($A111+5)/($A111+10))*(INDEX('Stat Boosts'!$D$2:$D$192,K$1-9)-10)/((INDEX('Stat Boosts'!$D$2:$D$192,(G111/2+22)-9)-10)))&lt;0.5,POWER(1.1,1.75-(($A111+5)/($A111+10))*(INDEX('Stat Boosts'!$D$2:$D$192,K$1-9)-10)/((INDEX('Stat Boosts'!$D$2:$D$192,(G111/2+22)-9)-10))-0.5)*0.5,(1.75-(($A111+5)/($A111+10))*(INDEX('Stat Boosts'!$D$2:$D$192,K$1-9)-10)/((INDEX('Stat Boosts'!$D$2:$D$192,(G111/2+22)-9)-10))))</f>
        <v>0.43756294396649403</v>
      </c>
      <c r="L111" s="16">
        <f>IF((1.75-(($A111+5)/($A111+10))*(INDEX('Stat Boosts'!$D$2:$D$192,L$1-9)-10)/((INDEX('Stat Boosts'!$D$2:$D$192,(H111/2+22)-9)-10)))&lt;0.5,POWER(1.1,1.75-(($A111+5)/($A111+10))*(INDEX('Stat Boosts'!$D$2:$D$192,L$1-9)-10)/((INDEX('Stat Boosts'!$D$2:$D$192,(H111/2+22)-9)-10))-0.5)*0.5,(1.75-(($A111+5)/($A111+10))*(INDEX('Stat Boosts'!$D$2:$D$192,L$1-9)-10)/((INDEX('Stat Boosts'!$D$2:$D$192,(H111/2+22)-9)-10))))</f>
        <v>0.42596457198521859</v>
      </c>
      <c r="M111" s="16">
        <f>IF((1.75-(($A111+5)/($A111+10))*(INDEX('Stat Boosts'!$D$2:$D$192,M$1-9)-10)/((INDEX('Stat Boosts'!$D$2:$D$192,(I111/2+22)-9)-10)))&lt;0.5,POWER(1.1,1.75-(($A111+5)/($A111+10))*(INDEX('Stat Boosts'!$D$2:$D$192,M$1-9)-10)/((INDEX('Stat Boosts'!$D$2:$D$192,(I111/2+22)-9)-10))-0.5)*0.5,(1.75-(($A111+5)/($A111+10))*(INDEX('Stat Boosts'!$D$2:$D$192,M$1-9)-10)/((INDEX('Stat Boosts'!$D$2:$D$192,(I111/2+22)-9)-10))))</f>
        <v>0.41024150955602057</v>
      </c>
      <c r="N111" s="16">
        <f>IF((1.75-(($A111+5)/($A111+10))*(INDEX('Stat Boosts'!$D$2:$D$192,N$1-9)-10)/((INDEX('Stat Boosts'!$D$2:$D$192,(J111/2+22)-9)-10)))&lt;0.5,POWER(1.1,1.75-(($A111+5)/($A111+10))*(INDEX('Stat Boosts'!$D$2:$D$192,N$1-9)-10)/((INDEX('Stat Boosts'!$D$2:$D$192,(J111/2+22)-9)-10))-0.5)*0.5,(1.75-(($A111+5)/($A111+10))*(INDEX('Stat Boosts'!$D$2:$D$192,N$1-9)-10)/((INDEX('Stat Boosts'!$D$2:$D$192,(J111/2+22)-9)-10))))</f>
        <v>0.39087590610780654</v>
      </c>
      <c r="O111" s="16">
        <f>IF((1.75-(($A111+5)/($A111+10))*(INDEX('Stat Boosts'!$D$2:$D$192,O$1-9)-10)/((INDEX('Stat Boosts'!$D$2:$D$192,(K111/2+22)-9)-10)))&lt;0.5,POWER(1.1,1.75-(($A111+5)/($A111+10))*(INDEX('Stat Boosts'!$D$2:$D$192,O$1-9)-10)/((INDEX('Stat Boosts'!$D$2:$D$192,(K111/2+22)-9)-10))-0.5)*0.5,(1.75-(($A111+5)/($A111+10))*(INDEX('Stat Boosts'!$D$2:$D$192,O$1-9)-10)/((INDEX('Stat Boosts'!$D$2:$D$192,(K111/2+22)-9)-10))))</f>
        <v>0.38051505581170919</v>
      </c>
      <c r="P111" s="16">
        <f>IF((1.75-(($A111+5)/($A111+10))*(INDEX('Stat Boosts'!$D$2:$D$192,P$1-9)-10)/((INDEX('Stat Boosts'!$D$2:$D$192,(L111/2+22)-9)-10)))&lt;0.5,POWER(1.1,1.75-(($A111+5)/($A111+10))*(INDEX('Stat Boosts'!$D$2:$D$192,P$1-9)-10)/((INDEX('Stat Boosts'!$D$2:$D$192,(L111/2+22)-9)-10))-0.5)*0.5,(1.75-(($A111+5)/($A111+10))*(INDEX('Stat Boosts'!$D$2:$D$192,P$1-9)-10)/((INDEX('Stat Boosts'!$D$2:$D$192,(L111/2+22)-9)-10))))</f>
        <v>0.36450589448608872</v>
      </c>
      <c r="Q111" s="16">
        <f>IF((1.75-(($A111+5)/($A111+10))*(INDEX('Stat Boosts'!$D$2:$D$192,Q$1-9)-10)/((INDEX('Stat Boosts'!$D$2:$D$192,(M111/2+22)-9)-10)))&lt;0.5,POWER(1.1,1.75-(($A111+5)/($A111+10))*(INDEX('Stat Boosts'!$D$2:$D$192,Q$1-9)-10)/((INDEX('Stat Boosts'!$D$2:$D$192,(M111/2+22)-9)-10))-0.5)*0.5,(1.75-(($A111+5)/($A111+10))*(INDEX('Stat Boosts'!$D$2:$D$192,Q$1-9)-10)/((INDEX('Stat Boosts'!$D$2:$D$192,(M111/2+22)-9)-10))))</f>
        <v>0.34917027614499752</v>
      </c>
      <c r="R111" s="16">
        <f>IF((1.75-(($A111+5)/($A111+10))*1.25*(INDEX('Stat Boosts'!$D$2:$D$192,R$1-9)-10)/((INDEX('Stat Boosts'!$D$2:$D$192,(N111/2+22)-9)-10)))&lt;0.5,POWER(1.1,1.75-(($A111+5)/($A111+10))*1.25*(INDEX('Stat Boosts'!$D$2:$D$192,R$1-9)-10)/((INDEX('Stat Boosts'!$D$2:$D$192,(N111/2+22)-9)-10))-0.5)*0.5,(1.75-(($A111+5)/($A111+10))*1.25*(INDEX('Stat Boosts'!$D$2:$D$192,R$1-9)-10)/((INDEX('Stat Boosts'!$D$2:$D$192,(N111/2+22)-9)-10))))</f>
        <v>0.2936194062031825</v>
      </c>
    </row>
    <row r="112" spans="1:18">
      <c r="A112" s="9">
        <v>111</v>
      </c>
      <c r="B112" s="16">
        <f t="shared" si="2"/>
        <v>66.400000000000006</v>
      </c>
      <c r="C112" s="16">
        <f t="shared" si="3"/>
        <v>7.0921985815602835E-3</v>
      </c>
      <c r="E112" s="16">
        <f>IF((1.75-(($A112+5)/($A112+10))*(INDEX('Stat Boosts'!$D$2:$D$192,E$1-9)-10)/((INDEX('Stat Boosts'!$D$2:$D$192,(A112/2+22)-9)-10)))&lt;0.5,POWER(1.1,1.75-(($A112+5)/($A112+10))*(INDEX('Stat Boosts'!$D$2:$D$192,E$1-9)-10)/((INDEX('Stat Boosts'!$D$2:$D$192,(A112/2+22)-9)-10))-0.5)*0.5,(1.75-(($A112+5)/($A112+10))*(INDEX('Stat Boosts'!$D$2:$D$192,E$1-9)-10)/((INDEX('Stat Boosts'!$D$2:$D$192,(A112/2+22)-9)-10))))</f>
        <v>1.75</v>
      </c>
      <c r="F112" s="16">
        <f>IF((1.75-(($A112+5)/($A112+10))*(INDEX('Stat Boosts'!$D$2:$D$192,F$1-9)-10)/((INDEX('Stat Boosts'!$D$2:$D$192,(B112/2+22)-9)-10)))&lt;0.5,POWER(1.1,1.75-(($A112+5)/($A112+10))*(INDEX('Stat Boosts'!$D$2:$D$192,F$1-9)-10)/((INDEX('Stat Boosts'!$D$2:$D$192,(B112/2+22)-9)-10))-0.5)*0.5,(1.75-(($A112+5)/($A112+10))*(INDEX('Stat Boosts'!$D$2:$D$192,F$1-9)-10)/((INDEX('Stat Boosts'!$D$2:$D$192,(B112/2+22)-9)-10))))</f>
        <v>1.6362585796330018</v>
      </c>
      <c r="G112" s="16">
        <f>IF((1.75-(($A112+5)/($A112+10))*(INDEX('Stat Boosts'!$D$2:$D$192,G$1-9)-10)/((INDEX('Stat Boosts'!$D$2:$D$192,(C112/2+22)-9)-10)))&lt;0.5,POWER(1.1,1.75-(($A112+5)/($A112+10))*(INDEX('Stat Boosts'!$D$2:$D$192,G$1-9)-10)/((INDEX('Stat Boosts'!$D$2:$D$192,(C112/2+22)-9)-10))-0.5)*0.5,(1.75-(($A112+5)/($A112+10))*(INDEX('Stat Boosts'!$D$2:$D$192,G$1-9)-10)/((INDEX('Stat Boosts'!$D$2:$D$192,(C112/2+22)-9)-10))))</f>
        <v>0.96050072921730678</v>
      </c>
      <c r="H112" s="16">
        <f>IF((1.75-(($A112+5)/($A112+10))*(INDEX('Stat Boosts'!$D$2:$D$192,H$1-9)-10)/((INDEX('Stat Boosts'!$D$2:$D$192,(D112/2+22)-9)-10)))&lt;0.5,POWER(1.1,1.75-(($A112+5)/($A112+10))*(INDEX('Stat Boosts'!$D$2:$D$192,H$1-9)-10)/((INDEX('Stat Boosts'!$D$2:$D$192,(D112/2+22)-9)-10))-0.5)*0.5,(1.75-(($A112+5)/($A112+10))*(INDEX('Stat Boosts'!$D$2:$D$192,H$1-9)-10)/((INDEX('Stat Boosts'!$D$2:$D$192,(D112/2+22)-9)-10))))</f>
        <v>0.56575109382596023</v>
      </c>
      <c r="I112" s="16">
        <f>IF((1.75-(($A112+5)/($A112+10))*(INDEX('Stat Boosts'!$D$2:$D$192,I$1-9)-10)/((INDEX('Stat Boosts'!$D$2:$D$192,(E112/2+22)-9)-10)))&lt;0.5,POWER(1.1,1.75-(($A112+5)/($A112+10))*(INDEX('Stat Boosts'!$D$2:$D$192,I$1-9)-10)/((INDEX('Stat Boosts'!$D$2:$D$192,(E112/2+22)-9)-10))-0.5)*0.5,(1.75-(($A112+5)/($A112+10))*(INDEX('Stat Boosts'!$D$2:$D$192,I$1-9)-10)/((INDEX('Stat Boosts'!$D$2:$D$192,(E112/2+22)-9)-10))))</f>
        <v>0.48717626432286998</v>
      </c>
      <c r="J112" s="16">
        <f>IF((1.75-(($A112+5)/($A112+10))*(INDEX('Stat Boosts'!$D$2:$D$192,J$1-9)-10)/((INDEX('Stat Boosts'!$D$2:$D$192,(F112/2+22)-9)-10)))&lt;0.5,POWER(1.1,1.75-(($A112+5)/($A112+10))*(INDEX('Stat Boosts'!$D$2:$D$192,J$1-9)-10)/((INDEX('Stat Boosts'!$D$2:$D$192,(F112/2+22)-9)-10))-0.5)*0.5,(1.75-(($A112+5)/($A112+10))*(INDEX('Stat Boosts'!$D$2:$D$192,J$1-9)-10)/((INDEX('Stat Boosts'!$D$2:$D$192,(F112/2+22)-9)-10))))</f>
        <v>0.4717160173323649</v>
      </c>
      <c r="K112" s="16">
        <f>IF((1.75-(($A112+5)/($A112+10))*(INDEX('Stat Boosts'!$D$2:$D$192,K$1-9)-10)/((INDEX('Stat Boosts'!$D$2:$D$192,(G112/2+22)-9)-10)))&lt;0.5,POWER(1.1,1.75-(($A112+5)/($A112+10))*(INDEX('Stat Boosts'!$D$2:$D$192,K$1-9)-10)/((INDEX('Stat Boosts'!$D$2:$D$192,(G112/2+22)-9)-10))-0.5)*0.5,(1.75-(($A112+5)/($A112+10))*(INDEX('Stat Boosts'!$D$2:$D$192,K$1-9)-10)/((INDEX('Stat Boosts'!$D$2:$D$192,(G112/2+22)-9)-10))))</f>
        <v>0.43752324196096026</v>
      </c>
      <c r="L112" s="16">
        <f>IF((1.75-(($A112+5)/($A112+10))*(INDEX('Stat Boosts'!$D$2:$D$192,L$1-9)-10)/((INDEX('Stat Boosts'!$D$2:$D$192,(H112/2+22)-9)-10)))&lt;0.5,POWER(1.1,1.75-(($A112+5)/($A112+10))*(INDEX('Stat Boosts'!$D$2:$D$192,L$1-9)-10)/((INDEX('Stat Boosts'!$D$2:$D$192,(H112/2+22)-9)-10))-0.5)*0.5,(1.75-(($A112+5)/($A112+10))*(INDEX('Stat Boosts'!$D$2:$D$192,L$1-9)-10)/((INDEX('Stat Boosts'!$D$2:$D$192,(H112/2+22)-9)-10))))</f>
        <v>0.4259218108940121</v>
      </c>
      <c r="M112" s="16">
        <f>IF((1.75-(($A112+5)/($A112+10))*(INDEX('Stat Boosts'!$D$2:$D$192,M$1-9)-10)/((INDEX('Stat Boosts'!$D$2:$D$192,(I112/2+22)-9)-10)))&lt;0.5,POWER(1.1,1.75-(($A112+5)/($A112+10))*(INDEX('Stat Boosts'!$D$2:$D$192,M$1-9)-10)/((INDEX('Stat Boosts'!$D$2:$D$192,(I112/2+22)-9)-10))-0.5)*0.5,(1.75-(($A112+5)/($A112+10))*(INDEX('Stat Boosts'!$D$2:$D$192,M$1-9)-10)/((INDEX('Stat Boosts'!$D$2:$D$192,(I112/2+22)-9)-10))))</f>
        <v>0.41019478333761955</v>
      </c>
      <c r="N112" s="16">
        <f>IF((1.75-(($A112+5)/($A112+10))*(INDEX('Stat Boosts'!$D$2:$D$192,N$1-9)-10)/((INDEX('Stat Boosts'!$D$2:$D$192,(J112/2+22)-9)-10)))&lt;0.5,POWER(1.1,1.75-(($A112+5)/($A112+10))*(INDEX('Stat Boosts'!$D$2:$D$192,N$1-9)-10)/((INDEX('Stat Boosts'!$D$2:$D$192,(J112/2+22)-9)-10))-0.5)*0.5,(1.75-(($A112+5)/($A112+10))*(INDEX('Stat Boosts'!$D$2:$D$192,N$1-9)-10)/((INDEX('Stat Boosts'!$D$2:$D$192,(J112/2+22)-9)-10))))</f>
        <v>0.39082459480258069</v>
      </c>
      <c r="O112" s="16">
        <f>IF((1.75-(($A112+5)/($A112+10))*(INDEX('Stat Boosts'!$D$2:$D$192,O$1-9)-10)/((INDEX('Stat Boosts'!$D$2:$D$192,(K112/2+22)-9)-10)))&lt;0.5,POWER(1.1,1.75-(($A112+5)/($A112+10))*(INDEX('Stat Boosts'!$D$2:$D$192,O$1-9)-10)/((INDEX('Stat Boosts'!$D$2:$D$192,(K112/2+22)-9)-10))-0.5)*0.5,(1.75-(($A112+5)/($A112+10))*(INDEX('Stat Boosts'!$D$2:$D$192,O$1-9)-10)/((INDEX('Stat Boosts'!$D$2:$D$192,(K112/2+22)-9)-10))))</f>
        <v>0.38046143197825094</v>
      </c>
      <c r="P112" s="16">
        <f>IF((1.75-(($A112+5)/($A112+10))*(INDEX('Stat Boosts'!$D$2:$D$192,P$1-9)-10)/((INDEX('Stat Boosts'!$D$2:$D$192,(L112/2+22)-9)-10)))&lt;0.5,POWER(1.1,1.75-(($A112+5)/($A112+10))*(INDEX('Stat Boosts'!$D$2:$D$192,P$1-9)-10)/((INDEX('Stat Boosts'!$D$2:$D$192,(L112/2+22)-9)-10))-0.5)*0.5,(1.75-(($A112+5)/($A112+10))*(INDEX('Stat Boosts'!$D$2:$D$192,P$1-9)-10)/((INDEX('Stat Boosts'!$D$2:$D$192,(L112/2+22)-9)-10))))</f>
        <v>0.3644488978304935</v>
      </c>
      <c r="Q112" s="16">
        <f>IF((1.75-(($A112+5)/($A112+10))*(INDEX('Stat Boosts'!$D$2:$D$192,Q$1-9)-10)/((INDEX('Stat Boosts'!$D$2:$D$192,(M112/2+22)-9)-10)))&lt;0.5,POWER(1.1,1.75-(($A112+5)/($A112+10))*(INDEX('Stat Boosts'!$D$2:$D$192,Q$1-9)-10)/((INDEX('Stat Boosts'!$D$2:$D$192,(M112/2+22)-9)-10))-0.5)*0.5,(1.75-(($A112+5)/($A112+10))*(INDEX('Stat Boosts'!$D$2:$D$192,Q$1-9)-10)/((INDEX('Stat Boosts'!$D$2:$D$192,(M112/2+22)-9)-10))))</f>
        <v>0.3491102854742299</v>
      </c>
      <c r="R112" s="16">
        <f>IF((1.75-(($A112+5)/($A112+10))*1.25*(INDEX('Stat Boosts'!$D$2:$D$192,R$1-9)-10)/((INDEX('Stat Boosts'!$D$2:$D$192,(N112/2+22)-9)-10)))&lt;0.5,POWER(1.1,1.75-(($A112+5)/($A112+10))*1.25*(INDEX('Stat Boosts'!$D$2:$D$192,R$1-9)-10)/((INDEX('Stat Boosts'!$D$2:$D$192,(N112/2+22)-9)-10))-0.5)*0.5,(1.75-(($A112+5)/($A112+10))*1.25*(INDEX('Stat Boosts'!$D$2:$D$192,R$1-9)-10)/((INDEX('Stat Boosts'!$D$2:$D$192,(N112/2+22)-9)-10))))</f>
        <v>0.29355068204502566</v>
      </c>
    </row>
    <row r="113" spans="1:18">
      <c r="A113" s="9">
        <v>112</v>
      </c>
      <c r="B113" s="16">
        <f t="shared" si="2"/>
        <v>66.8</v>
      </c>
      <c r="C113" s="16">
        <f t="shared" si="3"/>
        <v>7.0422535211267616E-3</v>
      </c>
      <c r="E113" s="16">
        <f>IF((1.75-(($A113+5)/($A113+10))*(INDEX('Stat Boosts'!$D$2:$D$192,E$1-9)-10)/((INDEX('Stat Boosts'!$D$2:$D$192,(A113/2+22)-9)-10)))&lt;0.5,POWER(1.1,1.75-(($A113+5)/($A113+10))*(INDEX('Stat Boosts'!$D$2:$D$192,E$1-9)-10)/((INDEX('Stat Boosts'!$D$2:$D$192,(A113/2+22)-9)-10))-0.5)*0.5,(1.75-(($A113+5)/($A113+10))*(INDEX('Stat Boosts'!$D$2:$D$192,E$1-9)-10)/((INDEX('Stat Boosts'!$D$2:$D$192,(A113/2+22)-9)-10))))</f>
        <v>1.75</v>
      </c>
      <c r="F113" s="16">
        <f>IF((1.75-(($A113+5)/($A113+10))*(INDEX('Stat Boosts'!$D$2:$D$192,F$1-9)-10)/((INDEX('Stat Boosts'!$D$2:$D$192,(B113/2+22)-9)-10)))&lt;0.5,POWER(1.1,1.75-(($A113+5)/($A113+10))*(INDEX('Stat Boosts'!$D$2:$D$192,F$1-9)-10)/((INDEX('Stat Boosts'!$D$2:$D$192,(B113/2+22)-9)-10))-0.5)*0.5,(1.75-(($A113+5)/($A113+10))*(INDEX('Stat Boosts'!$D$2:$D$192,F$1-9)-10)/((INDEX('Stat Boosts'!$D$2:$D$192,(B113/2+22)-9)-10))))</f>
        <v>1.6362183939983328</v>
      </c>
      <c r="G113" s="16">
        <f>IF((1.75-(($A113+5)/($A113+10))*(INDEX('Stat Boosts'!$D$2:$D$192,G$1-9)-10)/((INDEX('Stat Boosts'!$D$2:$D$192,(C113/2+22)-9)-10)))&lt;0.5,POWER(1.1,1.75-(($A113+5)/($A113+10))*(INDEX('Stat Boosts'!$D$2:$D$192,G$1-9)-10)/((INDEX('Stat Boosts'!$D$2:$D$192,(C113/2+22)-9)-10))-0.5)*0.5,(1.75-(($A113+5)/($A113+10))*(INDEX('Stat Boosts'!$D$2:$D$192,G$1-9)-10)/((INDEX('Stat Boosts'!$D$2:$D$192,(C113/2+22)-9)-10))))</f>
        <v>0.96022179363548699</v>
      </c>
      <c r="H113" s="16">
        <f>IF((1.75-(($A113+5)/($A113+10))*(INDEX('Stat Boosts'!$D$2:$D$192,H$1-9)-10)/((INDEX('Stat Boosts'!$D$2:$D$192,(D113/2+22)-9)-10)))&lt;0.5,POWER(1.1,1.75-(($A113+5)/($A113+10))*(INDEX('Stat Boosts'!$D$2:$D$192,H$1-9)-10)/((INDEX('Stat Boosts'!$D$2:$D$192,(D113/2+22)-9)-10))-0.5)*0.5,(1.75-(($A113+5)/($A113+10))*(INDEX('Stat Boosts'!$D$2:$D$192,H$1-9)-10)/((INDEX('Stat Boosts'!$D$2:$D$192,(D113/2+22)-9)-10))))</f>
        <v>0.56533269045323054</v>
      </c>
      <c r="I113" s="16">
        <f>IF((1.75-(($A113+5)/($A113+10))*(INDEX('Stat Boosts'!$D$2:$D$192,I$1-9)-10)/((INDEX('Stat Boosts'!$D$2:$D$192,(E113/2+22)-9)-10)))&lt;0.5,POWER(1.1,1.75-(($A113+5)/($A113+10))*(INDEX('Stat Boosts'!$D$2:$D$192,I$1-9)-10)/((INDEX('Stat Boosts'!$D$2:$D$192,(E113/2+22)-9)-10))-0.5)*0.5,(1.75-(($A113+5)/($A113+10))*(INDEX('Stat Boosts'!$D$2:$D$192,I$1-9)-10)/((INDEX('Stat Boosts'!$D$2:$D$192,(E113/2+22)-9)-10))))</f>
        <v>0.48715128653790646</v>
      </c>
      <c r="J113" s="16">
        <f>IF((1.75-(($A113+5)/($A113+10))*(INDEX('Stat Boosts'!$D$2:$D$192,J$1-9)-10)/((INDEX('Stat Boosts'!$D$2:$D$192,(F113/2+22)-9)-10)))&lt;0.5,POWER(1.1,1.75-(($A113+5)/($A113+10))*(INDEX('Stat Boosts'!$D$2:$D$192,J$1-9)-10)/((INDEX('Stat Boosts'!$D$2:$D$192,(F113/2+22)-9)-10))-0.5)*0.5,(1.75-(($A113+5)/($A113+10))*(INDEX('Stat Boosts'!$D$2:$D$192,J$1-9)-10)/((INDEX('Stat Boosts'!$D$2:$D$192,(F113/2+22)-9)-10))))</f>
        <v>0.47168645789752911</v>
      </c>
      <c r="K113" s="16">
        <f>IF((1.75-(($A113+5)/($A113+10))*(INDEX('Stat Boosts'!$D$2:$D$192,K$1-9)-10)/((INDEX('Stat Boosts'!$D$2:$D$192,(G113/2+22)-9)-10)))&lt;0.5,POWER(1.1,1.75-(($A113+5)/($A113+10))*(INDEX('Stat Boosts'!$D$2:$D$192,K$1-9)-10)/((INDEX('Stat Boosts'!$D$2:$D$192,(G113/2+22)-9)-10))-0.5)*0.5,(1.75-(($A113+5)/($A113+10))*(INDEX('Stat Boosts'!$D$2:$D$192,K$1-9)-10)/((INDEX('Stat Boosts'!$D$2:$D$192,(G113/2+22)-9)-10))))</f>
        <v>0.43748419432221708</v>
      </c>
      <c r="L113" s="16">
        <f>IF((1.75-(($A113+5)/($A113+10))*(INDEX('Stat Boosts'!$D$2:$D$192,L$1-9)-10)/((INDEX('Stat Boosts'!$D$2:$D$192,(H113/2+22)-9)-10)))&lt;0.5,POWER(1.1,1.75-(($A113+5)/($A113+10))*(INDEX('Stat Boosts'!$D$2:$D$192,L$1-9)-10)/((INDEX('Stat Boosts'!$D$2:$D$192,(H113/2+22)-9)-10))-0.5)*0.5,(1.75-(($A113+5)/($A113+10))*(INDEX('Stat Boosts'!$D$2:$D$192,L$1-9)-10)/((INDEX('Stat Boosts'!$D$2:$D$192,(H113/2+22)-9)-10))))</f>
        <v>0.42587975499195957</v>
      </c>
      <c r="M113" s="16">
        <f>IF((1.75-(($A113+5)/($A113+10))*(INDEX('Stat Boosts'!$D$2:$D$192,M$1-9)-10)/((INDEX('Stat Boosts'!$D$2:$D$192,(I113/2+22)-9)-10)))&lt;0.5,POWER(1.1,1.75-(($A113+5)/($A113+10))*(INDEX('Stat Boosts'!$D$2:$D$192,M$1-9)-10)/((INDEX('Stat Boosts'!$D$2:$D$192,(I113/2+22)-9)-10))-0.5)*0.5,(1.75-(($A113+5)/($A113+10))*(INDEX('Stat Boosts'!$D$2:$D$192,M$1-9)-10)/((INDEX('Stat Boosts'!$D$2:$D$192,(I113/2+22)-9)-10))))</f>
        <v>0.41014882831472971</v>
      </c>
      <c r="N113" s="16">
        <f>IF((1.75-(($A113+5)/($A113+10))*(INDEX('Stat Boosts'!$D$2:$D$192,N$1-9)-10)/((INDEX('Stat Boosts'!$D$2:$D$192,(J113/2+22)-9)-10)))&lt;0.5,POWER(1.1,1.75-(($A113+5)/($A113+10))*(INDEX('Stat Boosts'!$D$2:$D$192,N$1-9)-10)/((INDEX('Stat Boosts'!$D$2:$D$192,(J113/2+22)-9)-10))-0.5)*0.5,(1.75-(($A113+5)/($A113+10))*(INDEX('Stat Boosts'!$D$2:$D$192,N$1-9)-10)/((INDEX('Stat Boosts'!$D$2:$D$192,(J113/2+22)-9)-10))))</f>
        <v>0.39077413123733873</v>
      </c>
      <c r="O113" s="16">
        <f>IF((1.75-(($A113+5)/($A113+10))*(INDEX('Stat Boosts'!$D$2:$D$192,O$1-9)-10)/((INDEX('Stat Boosts'!$D$2:$D$192,(K113/2+22)-9)-10)))&lt;0.5,POWER(1.1,1.75-(($A113+5)/($A113+10))*(INDEX('Stat Boosts'!$D$2:$D$192,O$1-9)-10)/((INDEX('Stat Boosts'!$D$2:$D$192,(K113/2+22)-9)-10))-0.5)*0.5,(1.75-(($A113+5)/($A113+10))*(INDEX('Stat Boosts'!$D$2:$D$192,O$1-9)-10)/((INDEX('Stat Boosts'!$D$2:$D$192,(K113/2+22)-9)-10))))</f>
        <v>0.38040869459612864</v>
      </c>
      <c r="P113" s="16">
        <f>IF((1.75-(($A113+5)/($A113+10))*(INDEX('Stat Boosts'!$D$2:$D$192,P$1-9)-10)/((INDEX('Stat Boosts'!$D$2:$D$192,(L113/2+22)-9)-10)))&lt;0.5,POWER(1.1,1.75-(($A113+5)/($A113+10))*(INDEX('Stat Boosts'!$D$2:$D$192,P$1-9)-10)/((INDEX('Stat Boosts'!$D$2:$D$192,(L113/2+22)-9)-10))-0.5)*0.5,(1.75-(($A113+5)/($A113+10))*(INDEX('Stat Boosts'!$D$2:$D$192,P$1-9)-10)/((INDEX('Stat Boosts'!$D$2:$D$192,(L113/2+22)-9)-10))))</f>
        <v>0.36439284424073953</v>
      </c>
      <c r="Q113" s="16">
        <f>IF((1.75-(($A113+5)/($A113+10))*(INDEX('Stat Boosts'!$D$2:$D$192,Q$1-9)-10)/((INDEX('Stat Boosts'!$D$2:$D$192,(M113/2+22)-9)-10)))&lt;0.5,POWER(1.1,1.75-(($A113+5)/($A113+10))*(INDEX('Stat Boosts'!$D$2:$D$192,Q$1-9)-10)/((INDEX('Stat Boosts'!$D$2:$D$192,(M113/2+22)-9)-10))-0.5)*0.5,(1.75-(($A113+5)/($A113+10))*(INDEX('Stat Boosts'!$D$2:$D$192,Q$1-9)-10)/((INDEX('Stat Boosts'!$D$2:$D$192,(M113/2+22)-9)-10))))</f>
        <v>0.34905128831197635</v>
      </c>
      <c r="R113" s="16">
        <f>IF((1.75-(($A113+5)/($A113+10))*1.25*(INDEX('Stat Boosts'!$D$2:$D$192,R$1-9)-10)/((INDEX('Stat Boosts'!$D$2:$D$192,(N113/2+22)-9)-10)))&lt;0.5,POWER(1.1,1.75-(($A113+5)/($A113+10))*1.25*(INDEX('Stat Boosts'!$D$2:$D$192,R$1-9)-10)/((INDEX('Stat Boosts'!$D$2:$D$192,(N113/2+22)-9)-10))-0.5)*0.5,(1.75-(($A113+5)/($A113+10))*1.25*(INDEX('Stat Boosts'!$D$2:$D$192,R$1-9)-10)/((INDEX('Stat Boosts'!$D$2:$D$192,(N113/2+22)-9)-10))))</f>
        <v>0.29348310020453211</v>
      </c>
    </row>
    <row r="114" spans="1:18">
      <c r="A114" s="9">
        <v>113</v>
      </c>
      <c r="B114" s="16">
        <f t="shared" si="2"/>
        <v>67.2</v>
      </c>
      <c r="C114" s="16">
        <f t="shared" si="3"/>
        <v>6.993006993006993E-3</v>
      </c>
      <c r="E114" s="16">
        <f>IF((1.75-(($A114+5)/($A114+10))*(INDEX('Stat Boosts'!$D$2:$D$192,E$1-9)-10)/((INDEX('Stat Boosts'!$D$2:$D$192,(A114/2+22)-9)-10)))&lt;0.5,POWER(1.1,1.75-(($A114+5)/($A114+10))*(INDEX('Stat Boosts'!$D$2:$D$192,E$1-9)-10)/((INDEX('Stat Boosts'!$D$2:$D$192,(A114/2+22)-9)-10))-0.5)*0.5,(1.75-(($A114+5)/($A114+10))*(INDEX('Stat Boosts'!$D$2:$D$192,E$1-9)-10)/((INDEX('Stat Boosts'!$D$2:$D$192,(A114/2+22)-9)-10))))</f>
        <v>1.75</v>
      </c>
      <c r="F114" s="16">
        <f>IF((1.75-(($A114+5)/($A114+10))*(INDEX('Stat Boosts'!$D$2:$D$192,F$1-9)-10)/((INDEX('Stat Boosts'!$D$2:$D$192,(B114/2+22)-9)-10)))&lt;0.5,POWER(1.1,1.75-(($A114+5)/($A114+10))*(INDEX('Stat Boosts'!$D$2:$D$192,F$1-9)-10)/((INDEX('Stat Boosts'!$D$2:$D$192,(B114/2+22)-9)-10))-0.5)*0.5,(1.75-(($A114+5)/($A114+10))*(INDEX('Stat Boosts'!$D$2:$D$192,F$1-9)-10)/((INDEX('Stat Boosts'!$D$2:$D$192,(B114/2+22)-9)-10))))</f>
        <v>1.6361788617886179</v>
      </c>
      <c r="G114" s="16">
        <f>IF((1.75-(($A114+5)/($A114+10))*(INDEX('Stat Boosts'!$D$2:$D$192,G$1-9)-10)/((INDEX('Stat Boosts'!$D$2:$D$192,(C114/2+22)-9)-10)))&lt;0.5,POWER(1.1,1.75-(($A114+5)/($A114+10))*(INDEX('Stat Boosts'!$D$2:$D$192,G$1-9)-10)/((INDEX('Stat Boosts'!$D$2:$D$192,(C114/2+22)-9)-10))-0.5)*0.5,(1.75-(($A114+5)/($A114+10))*(INDEX('Stat Boosts'!$D$2:$D$192,G$1-9)-10)/((INDEX('Stat Boosts'!$D$2:$D$192,(C114/2+22)-9)-10))))</f>
        <v>0.95994739359158299</v>
      </c>
      <c r="H114" s="16">
        <f>IF((1.75-(($A114+5)/($A114+10))*(INDEX('Stat Boosts'!$D$2:$D$192,H$1-9)-10)/((INDEX('Stat Boosts'!$D$2:$D$192,(D114/2+22)-9)-10)))&lt;0.5,POWER(1.1,1.75-(($A114+5)/($A114+10))*(INDEX('Stat Boosts'!$D$2:$D$192,H$1-9)-10)/((INDEX('Stat Boosts'!$D$2:$D$192,(D114/2+22)-9)-10))-0.5)*0.5,(1.75-(($A114+5)/($A114+10))*(INDEX('Stat Boosts'!$D$2:$D$192,H$1-9)-10)/((INDEX('Stat Boosts'!$D$2:$D$192,(D114/2+22)-9)-10))))</f>
        <v>0.56492109038737448</v>
      </c>
      <c r="I114" s="16">
        <f>IF((1.75-(($A114+5)/($A114+10))*(INDEX('Stat Boosts'!$D$2:$D$192,I$1-9)-10)/((INDEX('Stat Boosts'!$D$2:$D$192,(E114/2+22)-9)-10)))&lt;0.5,POWER(1.1,1.75-(($A114+5)/($A114+10))*(INDEX('Stat Boosts'!$D$2:$D$192,I$1-9)-10)/((INDEX('Stat Boosts'!$D$2:$D$192,(E114/2+22)-9)-10))-0.5)*0.5,(1.75-(($A114+5)/($A114+10))*(INDEX('Stat Boosts'!$D$2:$D$192,I$1-9)-10)/((INDEX('Stat Boosts'!$D$2:$D$192,(E114/2+22)-9)-10))))</f>
        <v>0.48712671614534708</v>
      </c>
      <c r="J114" s="16">
        <f>IF((1.75-(($A114+5)/($A114+10))*(INDEX('Stat Boosts'!$D$2:$D$192,J$1-9)-10)/((INDEX('Stat Boosts'!$D$2:$D$192,(F114/2+22)-9)-10)))&lt;0.5,POWER(1.1,1.75-(($A114+5)/($A114+10))*(INDEX('Stat Boosts'!$D$2:$D$192,J$1-9)-10)/((INDEX('Stat Boosts'!$D$2:$D$192,(F114/2+22)-9)-10))-0.5)*0.5,(1.75-(($A114+5)/($A114+10))*(INDEX('Stat Boosts'!$D$2:$D$192,J$1-9)-10)/((INDEX('Stat Boosts'!$D$2:$D$192,(F114/2+22)-9)-10))))</f>
        <v>0.47165738091127879</v>
      </c>
      <c r="K114" s="16">
        <f>IF((1.75-(($A114+5)/($A114+10))*(INDEX('Stat Boosts'!$D$2:$D$192,K$1-9)-10)/((INDEX('Stat Boosts'!$D$2:$D$192,(G114/2+22)-9)-10)))&lt;0.5,POWER(1.1,1.75-(($A114+5)/($A114+10))*(INDEX('Stat Boosts'!$D$2:$D$192,K$1-9)-10)/((INDEX('Stat Boosts'!$D$2:$D$192,(G114/2+22)-9)-10))-0.5)*0.5,(1.75-(($A114+5)/($A114+10))*(INDEX('Stat Boosts'!$D$2:$D$192,K$1-9)-10)/((INDEX('Stat Boosts'!$D$2:$D$192,(G114/2+22)-9)-10))))</f>
        <v>0.43744578500477893</v>
      </c>
      <c r="L114" s="16">
        <f>IF((1.75-(($A114+5)/($A114+10))*(INDEX('Stat Boosts'!$D$2:$D$192,L$1-9)-10)/((INDEX('Stat Boosts'!$D$2:$D$192,(H114/2+22)-9)-10)))&lt;0.5,POWER(1.1,1.75-(($A114+5)/($A114+10))*(INDEX('Stat Boosts'!$D$2:$D$192,L$1-9)-10)/((INDEX('Stat Boosts'!$D$2:$D$192,(H114/2+22)-9)-10))-0.5)*0.5,(1.75-(($A114+5)/($A114+10))*(INDEX('Stat Boosts'!$D$2:$D$192,L$1-9)-10)/((INDEX('Stat Boosts'!$D$2:$D$192,(H114/2+22)-9)-10))))</f>
        <v>0.4258383869776175</v>
      </c>
      <c r="M114" s="16">
        <f>IF((1.75-(($A114+5)/($A114+10))*(INDEX('Stat Boosts'!$D$2:$D$192,M$1-9)-10)/((INDEX('Stat Boosts'!$D$2:$D$192,(I114/2+22)-9)-10)))&lt;0.5,POWER(1.1,1.75-(($A114+5)/($A114+10))*(INDEX('Stat Boosts'!$D$2:$D$192,M$1-9)-10)/((INDEX('Stat Boosts'!$D$2:$D$192,(I114/2+22)-9)-10))-0.5)*0.5,(1.75-(($A114+5)/($A114+10))*(INDEX('Stat Boosts'!$D$2:$D$192,M$1-9)-10)/((INDEX('Stat Boosts'!$D$2:$D$192,(I114/2+22)-9)-10))))</f>
        <v>0.41010362555153845</v>
      </c>
      <c r="N114" s="16">
        <f>IF((1.75-(($A114+5)/($A114+10))*(INDEX('Stat Boosts'!$D$2:$D$192,N$1-9)-10)/((INDEX('Stat Boosts'!$D$2:$D$192,(J114/2+22)-9)-10)))&lt;0.5,POWER(1.1,1.75-(($A114+5)/($A114+10))*(INDEX('Stat Boosts'!$D$2:$D$192,N$1-9)-10)/((INDEX('Stat Boosts'!$D$2:$D$192,(J114/2+22)-9)-10))-0.5)*0.5,(1.75-(($A114+5)/($A114+10))*(INDEX('Stat Boosts'!$D$2:$D$192,N$1-9)-10)/((INDEX('Stat Boosts'!$D$2:$D$192,(J114/2+22)-9)-10))))</f>
        <v>0.39072449457570818</v>
      </c>
      <c r="O114" s="16">
        <f>IF((1.75-(($A114+5)/($A114+10))*(INDEX('Stat Boosts'!$D$2:$D$192,O$1-9)-10)/((INDEX('Stat Boosts'!$D$2:$D$192,(K114/2+22)-9)-10)))&lt;0.5,POWER(1.1,1.75-(($A114+5)/($A114+10))*(INDEX('Stat Boosts'!$D$2:$D$192,O$1-9)-10)/((INDEX('Stat Boosts'!$D$2:$D$192,(K114/2+22)-9)-10))-0.5)*0.5,(1.75-(($A114+5)/($A114+10))*(INDEX('Stat Boosts'!$D$2:$D$192,O$1-9)-10)/((INDEX('Stat Boosts'!$D$2:$D$192,(K114/2+22)-9)-10))))</f>
        <v>0.38035682186524372</v>
      </c>
      <c r="P114" s="16">
        <f>IF((1.75-(($A114+5)/($A114+10))*(INDEX('Stat Boosts'!$D$2:$D$192,P$1-9)-10)/((INDEX('Stat Boosts'!$D$2:$D$192,(L114/2+22)-9)-10)))&lt;0.5,POWER(1.1,1.75-(($A114+5)/($A114+10))*(INDEX('Stat Boosts'!$D$2:$D$192,P$1-9)-10)/((INDEX('Stat Boosts'!$D$2:$D$192,(L114/2+22)-9)-10))-0.5)*0.5,(1.75-(($A114+5)/($A114+10))*(INDEX('Stat Boosts'!$D$2:$D$192,P$1-9)-10)/((INDEX('Stat Boosts'!$D$2:$D$192,(L114/2+22)-9)-10))))</f>
        <v>0.36433771050359132</v>
      </c>
      <c r="Q114" s="16">
        <f>IF((1.75-(($A114+5)/($A114+10))*(INDEX('Stat Boosts'!$D$2:$D$192,Q$1-9)-10)/((INDEX('Stat Boosts'!$D$2:$D$192,(M114/2+22)-9)-10)))&lt;0.5,POWER(1.1,1.75-(($A114+5)/($A114+10))*(INDEX('Stat Boosts'!$D$2:$D$192,Q$1-9)-10)/((INDEX('Stat Boosts'!$D$2:$D$192,(M114/2+22)-9)-10))-0.5)*0.5,(1.75-(($A114+5)/($A114+10))*(INDEX('Stat Boosts'!$D$2:$D$192,Q$1-9)-10)/((INDEX('Stat Boosts'!$D$2:$D$192,(M114/2+22)-9)-10))))</f>
        <v>0.34899326018142973</v>
      </c>
      <c r="R114" s="16">
        <f>IF((1.75-(($A114+5)/($A114+10))*1.25*(INDEX('Stat Boosts'!$D$2:$D$192,R$1-9)-10)/((INDEX('Stat Boosts'!$D$2:$D$192,(N114/2+22)-9)-10)))&lt;0.5,POWER(1.1,1.75-(($A114+5)/($A114+10))*1.25*(INDEX('Stat Boosts'!$D$2:$D$192,R$1-9)-10)/((INDEX('Stat Boosts'!$D$2:$D$192,(N114/2+22)-9)-10))-0.5)*0.5,(1.75-(($A114+5)/($A114+10))*1.25*(INDEX('Stat Boosts'!$D$2:$D$192,R$1-9)-10)/((INDEX('Stat Boosts'!$D$2:$D$192,(N114/2+22)-9)-10))))</f>
        <v>0.29341663243717592</v>
      </c>
    </row>
    <row r="115" spans="1:18">
      <c r="A115" s="9">
        <v>114</v>
      </c>
      <c r="B115" s="16">
        <f t="shared" si="2"/>
        <v>67.599999999999994</v>
      </c>
      <c r="C115" s="16">
        <f t="shared" si="3"/>
        <v>6.9444444444444458E-3</v>
      </c>
      <c r="E115" s="16">
        <f>IF((1.75-(($A115+5)/($A115+10))*(INDEX('Stat Boosts'!$D$2:$D$192,E$1-9)-10)/((INDEX('Stat Boosts'!$D$2:$D$192,(A115/2+22)-9)-10)))&lt;0.5,POWER(1.1,1.75-(($A115+5)/($A115+10))*(INDEX('Stat Boosts'!$D$2:$D$192,E$1-9)-10)/((INDEX('Stat Boosts'!$D$2:$D$192,(A115/2+22)-9)-10))-0.5)*0.5,(1.75-(($A115+5)/($A115+10))*(INDEX('Stat Boosts'!$D$2:$D$192,E$1-9)-10)/((INDEX('Stat Boosts'!$D$2:$D$192,(A115/2+22)-9)-10))))</f>
        <v>1.75</v>
      </c>
      <c r="F115" s="16">
        <f>IF((1.75-(($A115+5)/($A115+10))*(INDEX('Stat Boosts'!$D$2:$D$192,F$1-9)-10)/((INDEX('Stat Boosts'!$D$2:$D$192,(B115/2+22)-9)-10)))&lt;0.5,POWER(1.1,1.75-(($A115+5)/($A115+10))*(INDEX('Stat Boosts'!$D$2:$D$192,F$1-9)-10)/((INDEX('Stat Boosts'!$D$2:$D$192,(B115/2+22)-9)-10))-0.5)*0.5,(1.75-(($A115+5)/($A115+10))*(INDEX('Stat Boosts'!$D$2:$D$192,F$1-9)-10)/((INDEX('Stat Boosts'!$D$2:$D$192,(B115/2+22)-9)-10))))</f>
        <v>1.6361399671951886</v>
      </c>
      <c r="G115" s="16">
        <f>IF((1.75-(($A115+5)/($A115+10))*(INDEX('Stat Boosts'!$D$2:$D$192,G$1-9)-10)/((INDEX('Stat Boosts'!$D$2:$D$192,(C115/2+22)-9)-10)))&lt;0.5,POWER(1.1,1.75-(($A115+5)/($A115+10))*(INDEX('Stat Boosts'!$D$2:$D$192,G$1-9)-10)/((INDEX('Stat Boosts'!$D$2:$D$192,(C115/2+22)-9)-10))-0.5)*0.5,(1.75-(($A115+5)/($A115+10))*(INDEX('Stat Boosts'!$D$2:$D$192,G$1-9)-10)/((INDEX('Stat Boosts'!$D$2:$D$192,(C115/2+22)-9)-10))))</f>
        <v>0.95967741935483875</v>
      </c>
      <c r="H115" s="16">
        <f>IF((1.75-(($A115+5)/($A115+10))*(INDEX('Stat Boosts'!$D$2:$D$192,H$1-9)-10)/((INDEX('Stat Boosts'!$D$2:$D$192,(D115/2+22)-9)-10)))&lt;0.5,POWER(1.1,1.75-(($A115+5)/($A115+10))*(INDEX('Stat Boosts'!$D$2:$D$192,H$1-9)-10)/((INDEX('Stat Boosts'!$D$2:$D$192,(D115/2+22)-9)-10))-0.5)*0.5,(1.75-(($A115+5)/($A115+10))*(INDEX('Stat Boosts'!$D$2:$D$192,H$1-9)-10)/((INDEX('Stat Boosts'!$D$2:$D$192,(D115/2+22)-9)-10))))</f>
        <v>0.56451612903225801</v>
      </c>
      <c r="I115" s="16">
        <f>IF((1.75-(($A115+5)/($A115+10))*(INDEX('Stat Boosts'!$D$2:$D$192,I$1-9)-10)/((INDEX('Stat Boosts'!$D$2:$D$192,(E115/2+22)-9)-10)))&lt;0.5,POWER(1.1,1.75-(($A115+5)/($A115+10))*(INDEX('Stat Boosts'!$D$2:$D$192,I$1-9)-10)/((INDEX('Stat Boosts'!$D$2:$D$192,(E115/2+22)-9)-10))-0.5)*0.5,(1.75-(($A115+5)/($A115+10))*(INDEX('Stat Boosts'!$D$2:$D$192,I$1-9)-10)/((INDEX('Stat Boosts'!$D$2:$D$192,(E115/2+22)-9)-10))))</f>
        <v>0.48710254325887542</v>
      </c>
      <c r="J115" s="16">
        <f>IF((1.75-(($A115+5)/($A115+10))*(INDEX('Stat Boosts'!$D$2:$D$192,J$1-9)-10)/((INDEX('Stat Boosts'!$D$2:$D$192,(F115/2+22)-9)-10)))&lt;0.5,POWER(1.1,1.75-(($A115+5)/($A115+10))*(INDEX('Stat Boosts'!$D$2:$D$192,J$1-9)-10)/((INDEX('Stat Boosts'!$D$2:$D$192,(F115/2+22)-9)-10))-0.5)*0.5,(1.75-(($A115+5)/($A115+10))*(INDEX('Stat Boosts'!$D$2:$D$192,J$1-9)-10)/((INDEX('Stat Boosts'!$D$2:$D$192,(F115/2+22)-9)-10))))</f>
        <v>0.47162877465798897</v>
      </c>
      <c r="K115" s="16">
        <f>IF((1.75-(($A115+5)/($A115+10))*(INDEX('Stat Boosts'!$D$2:$D$192,K$1-9)-10)/((INDEX('Stat Boosts'!$D$2:$D$192,(G115/2+22)-9)-10)))&lt;0.5,POWER(1.1,1.75-(($A115+5)/($A115+10))*(INDEX('Stat Boosts'!$D$2:$D$192,K$1-9)-10)/((INDEX('Stat Boosts'!$D$2:$D$192,(G115/2+22)-9)-10))-0.5)*0.5,(1.75-(($A115+5)/($A115+10))*(INDEX('Stat Boosts'!$D$2:$D$192,K$1-9)-10)/((INDEX('Stat Boosts'!$D$2:$D$192,(G115/2+22)-9)-10))))</f>
        <v>0.43740799848349649</v>
      </c>
      <c r="L115" s="16">
        <f>IF((1.75-(($A115+5)/($A115+10))*(INDEX('Stat Boosts'!$D$2:$D$192,L$1-9)-10)/((INDEX('Stat Boosts'!$D$2:$D$192,(H115/2+22)-9)-10)))&lt;0.5,POWER(1.1,1.75-(($A115+5)/($A115+10))*(INDEX('Stat Boosts'!$D$2:$D$192,L$1-9)-10)/((INDEX('Stat Boosts'!$D$2:$D$192,(H115/2+22)-9)-10))-0.5)*0.5,(1.75-(($A115+5)/($A115+10))*(INDEX('Stat Boosts'!$D$2:$D$192,L$1-9)-10)/((INDEX('Stat Boosts'!$D$2:$D$192,(H115/2+22)-9)-10))))</f>
        <v>0.42579769011092095</v>
      </c>
      <c r="M115" s="16">
        <f>IF((1.75-(($A115+5)/($A115+10))*(INDEX('Stat Boosts'!$D$2:$D$192,M$1-9)-10)/((INDEX('Stat Boosts'!$D$2:$D$192,(I115/2+22)-9)-10)))&lt;0.5,POWER(1.1,1.75-(($A115+5)/($A115+10))*(INDEX('Stat Boosts'!$D$2:$D$192,M$1-9)-10)/((INDEX('Stat Boosts'!$D$2:$D$192,(I115/2+22)-9)-10))-0.5)*0.5,(1.75-(($A115+5)/($A115+10))*(INDEX('Stat Boosts'!$D$2:$D$192,M$1-9)-10)/((INDEX('Stat Boosts'!$D$2:$D$192,(I115/2+22)-9)-10))))</f>
        <v>0.41005915672712101</v>
      </c>
      <c r="N115" s="16">
        <f>IF((1.75-(($A115+5)/($A115+10))*(INDEX('Stat Boosts'!$D$2:$D$192,N$1-9)-10)/((INDEX('Stat Boosts'!$D$2:$D$192,(J115/2+22)-9)-10)))&lt;0.5,POWER(1.1,1.75-(($A115+5)/($A115+10))*(INDEX('Stat Boosts'!$D$2:$D$192,N$1-9)-10)/((INDEX('Stat Boosts'!$D$2:$D$192,(J115/2+22)-9)-10))-0.5)*0.5,(1.75-(($A115+5)/($A115+10))*(INDEX('Stat Boosts'!$D$2:$D$192,N$1-9)-10)/((INDEX('Stat Boosts'!$D$2:$D$192,(J115/2+22)-9)-10))))</f>
        <v>0.39067566465859638</v>
      </c>
      <c r="O115" s="16">
        <f>IF((1.75-(($A115+5)/($A115+10))*(INDEX('Stat Boosts'!$D$2:$D$192,O$1-9)-10)/((INDEX('Stat Boosts'!$D$2:$D$192,(K115/2+22)-9)-10)))&lt;0.5,POWER(1.1,1.75-(($A115+5)/($A115+10))*(INDEX('Stat Boosts'!$D$2:$D$192,O$1-9)-10)/((INDEX('Stat Boosts'!$D$2:$D$192,(K115/2+22)-9)-10))-0.5)*0.5,(1.75-(($A115+5)/($A115+10))*(INDEX('Stat Boosts'!$D$2:$D$192,O$1-9)-10)/((INDEX('Stat Boosts'!$D$2:$D$192,(K115/2+22)-9)-10))))</f>
        <v>0.38030579269449616</v>
      </c>
      <c r="P115" s="16">
        <f>IF((1.75-(($A115+5)/($A115+10))*(INDEX('Stat Boosts'!$D$2:$D$192,P$1-9)-10)/((INDEX('Stat Boosts'!$D$2:$D$192,(L115/2+22)-9)-10)))&lt;0.5,POWER(1.1,1.75-(($A115+5)/($A115+10))*(INDEX('Stat Boosts'!$D$2:$D$192,P$1-9)-10)/((INDEX('Stat Boosts'!$D$2:$D$192,(L115/2+22)-9)-10))-0.5)*0.5,(1.75-(($A115+5)/($A115+10))*(INDEX('Stat Boosts'!$D$2:$D$192,P$1-9)-10)/((INDEX('Stat Boosts'!$D$2:$D$192,(L115/2+22)-9)-10))))</f>
        <v>0.36428347416144041</v>
      </c>
      <c r="Q115" s="16">
        <f>IF((1.75-(($A115+5)/($A115+10))*(INDEX('Stat Boosts'!$D$2:$D$192,Q$1-9)-10)/((INDEX('Stat Boosts'!$D$2:$D$192,(M115/2+22)-9)-10)))&lt;0.5,POWER(1.1,1.75-(($A115+5)/($A115+10))*(INDEX('Stat Boosts'!$D$2:$D$192,Q$1-9)-10)/((INDEX('Stat Boosts'!$D$2:$D$192,(M115/2+22)-9)-10))-0.5)*0.5,(1.75-(($A115+5)/($A115+10))*(INDEX('Stat Boosts'!$D$2:$D$192,Q$1-9)-10)/((INDEX('Stat Boosts'!$D$2:$D$192,(M115/2+22)-9)-10))))</f>
        <v>0.34893617740324595</v>
      </c>
      <c r="R115" s="16">
        <f>IF((1.75-(($A115+5)/($A115+10))*1.25*(INDEX('Stat Boosts'!$D$2:$D$192,R$1-9)-10)/((INDEX('Stat Boosts'!$D$2:$D$192,(N115/2+22)-9)-10)))&lt;0.5,POWER(1.1,1.75-(($A115+5)/($A115+10))*1.25*(INDEX('Stat Boosts'!$D$2:$D$192,R$1-9)-10)/((INDEX('Stat Boosts'!$D$2:$D$192,(N115/2+22)-9)-10))-0.5)*0.5,(1.75-(($A115+5)/($A115+10))*1.25*(INDEX('Stat Boosts'!$D$2:$D$192,R$1-9)-10)/((INDEX('Stat Boosts'!$D$2:$D$192,(N115/2+22)-9)-10))))</f>
        <v>0.29335125142191604</v>
      </c>
    </row>
    <row r="116" spans="1:18">
      <c r="A116" s="9">
        <v>115</v>
      </c>
      <c r="B116" s="16">
        <f t="shared" si="2"/>
        <v>68</v>
      </c>
      <c r="C116" s="16">
        <f t="shared" si="3"/>
        <v>6.8965517241379318E-3</v>
      </c>
      <c r="E116" s="16">
        <f>IF((1.75-(($A116+5)/($A116+10))*(INDEX('Stat Boosts'!$D$2:$D$192,E$1-9)-10)/((INDEX('Stat Boosts'!$D$2:$D$192,(A116/2+22)-9)-10)))&lt;0.5,POWER(1.1,1.75-(($A116+5)/($A116+10))*(INDEX('Stat Boosts'!$D$2:$D$192,E$1-9)-10)/((INDEX('Stat Boosts'!$D$2:$D$192,(A116/2+22)-9)-10))-0.5)*0.5,(1.75-(($A116+5)/($A116+10))*(INDEX('Stat Boosts'!$D$2:$D$192,E$1-9)-10)/((INDEX('Stat Boosts'!$D$2:$D$192,(A116/2+22)-9)-10))))</f>
        <v>1.75</v>
      </c>
      <c r="F116" s="16">
        <f>IF((1.75-(($A116+5)/($A116+10))*(INDEX('Stat Boosts'!$D$2:$D$192,F$1-9)-10)/((INDEX('Stat Boosts'!$D$2:$D$192,(B116/2+22)-9)-10)))&lt;0.5,POWER(1.1,1.75-(($A116+5)/($A116+10))*(INDEX('Stat Boosts'!$D$2:$D$192,F$1-9)-10)/((INDEX('Stat Boosts'!$D$2:$D$192,(B116/2+22)-9)-10))-0.5)*0.5,(1.75-(($A116+5)/($A116+10))*(INDEX('Stat Boosts'!$D$2:$D$192,F$1-9)-10)/((INDEX('Stat Boosts'!$D$2:$D$192,(B116/2+22)-9)-10))))</f>
        <v>1.6379999999999999</v>
      </c>
      <c r="G116" s="16">
        <f>IF((1.75-(($A116+5)/($A116+10))*(INDEX('Stat Boosts'!$D$2:$D$192,G$1-9)-10)/((INDEX('Stat Boosts'!$D$2:$D$192,(C116/2+22)-9)-10)))&lt;0.5,POWER(1.1,1.75-(($A116+5)/($A116+10))*(INDEX('Stat Boosts'!$D$2:$D$192,G$1-9)-10)/((INDEX('Stat Boosts'!$D$2:$D$192,(C116/2+22)-9)-10))-0.5)*0.5,(1.75-(($A116+5)/($A116+10))*(INDEX('Stat Boosts'!$D$2:$D$192,G$1-9)-10)/((INDEX('Stat Boosts'!$D$2:$D$192,(C116/2+22)-9)-10))))</f>
        <v>0.95941176470588241</v>
      </c>
      <c r="H116" s="16">
        <f>IF((1.75-(($A116+5)/($A116+10))*(INDEX('Stat Boosts'!$D$2:$D$192,H$1-9)-10)/((INDEX('Stat Boosts'!$D$2:$D$192,(D116/2+22)-9)-10)))&lt;0.5,POWER(1.1,1.75-(($A116+5)/($A116+10))*(INDEX('Stat Boosts'!$D$2:$D$192,H$1-9)-10)/((INDEX('Stat Boosts'!$D$2:$D$192,(D116/2+22)-9)-10))-0.5)*0.5,(1.75-(($A116+5)/($A116+10))*(INDEX('Stat Boosts'!$D$2:$D$192,H$1-9)-10)/((INDEX('Stat Boosts'!$D$2:$D$192,(D116/2+22)-9)-10))))</f>
        <v>0.56411764705882361</v>
      </c>
      <c r="I116" s="16">
        <f>IF((1.75-(($A116+5)/($A116+10))*(INDEX('Stat Boosts'!$D$2:$D$192,I$1-9)-10)/((INDEX('Stat Boosts'!$D$2:$D$192,(E116/2+22)-9)-10)))&lt;0.5,POWER(1.1,1.75-(($A116+5)/($A116+10))*(INDEX('Stat Boosts'!$D$2:$D$192,I$1-9)-10)/((INDEX('Stat Boosts'!$D$2:$D$192,(E116/2+22)-9)-10))-0.5)*0.5,(1.75-(($A116+5)/($A116+10))*(INDEX('Stat Boosts'!$D$2:$D$192,I$1-9)-10)/((INDEX('Stat Boosts'!$D$2:$D$192,(E116/2+22)-9)-10))))</f>
        <v>0.48707875830949315</v>
      </c>
      <c r="J116" s="16">
        <f>IF((1.75-(($A116+5)/($A116+10))*(INDEX('Stat Boosts'!$D$2:$D$192,J$1-9)-10)/((INDEX('Stat Boosts'!$D$2:$D$192,(F116/2+22)-9)-10)))&lt;0.5,POWER(1.1,1.75-(($A116+5)/($A116+10))*(INDEX('Stat Boosts'!$D$2:$D$192,J$1-9)-10)/((INDEX('Stat Boosts'!$D$2:$D$192,(F116/2+22)-9)-10))-0.5)*0.5,(1.75-(($A116+5)/($A116+10))*(INDEX('Stat Boosts'!$D$2:$D$192,J$1-9)-10)/((INDEX('Stat Boosts'!$D$2:$D$192,(F116/2+22)-9)-10))))</f>
        <v>0.47160062779831818</v>
      </c>
      <c r="K116" s="16">
        <f>IF((1.75-(($A116+5)/($A116+10))*(INDEX('Stat Boosts'!$D$2:$D$192,K$1-9)-10)/((INDEX('Stat Boosts'!$D$2:$D$192,(G116/2+22)-9)-10)))&lt;0.5,POWER(1.1,1.75-(($A116+5)/($A116+10))*(INDEX('Stat Boosts'!$D$2:$D$192,K$1-9)-10)/((INDEX('Stat Boosts'!$D$2:$D$192,(G116/2+22)-9)-10))-0.5)*0.5,(1.75-(($A116+5)/($A116+10))*(INDEX('Stat Boosts'!$D$2:$D$192,K$1-9)-10)/((INDEX('Stat Boosts'!$D$2:$D$192,(G116/2+22)-9)-10))))</f>
        <v>0.43737081973263364</v>
      </c>
      <c r="L116" s="16">
        <f>IF((1.75-(($A116+5)/($A116+10))*(INDEX('Stat Boosts'!$D$2:$D$192,L$1-9)-10)/((INDEX('Stat Boosts'!$D$2:$D$192,(H116/2+22)-9)-10)))&lt;0.5,POWER(1.1,1.75-(($A116+5)/($A116+10))*(INDEX('Stat Boosts'!$D$2:$D$192,L$1-9)-10)/((INDEX('Stat Boosts'!$D$2:$D$192,(H116/2+22)-9)-10))-0.5)*0.5,(1.75-(($A116+5)/($A116+10))*(INDEX('Stat Boosts'!$D$2:$D$192,L$1-9)-10)/((INDEX('Stat Boosts'!$D$2:$D$192,(H116/2+22)-9)-10))))</f>
        <v>0.42575764819059791</v>
      </c>
      <c r="M116" s="16">
        <f>IF((1.75-(($A116+5)/($A116+10))*(INDEX('Stat Boosts'!$D$2:$D$192,M$1-9)-10)/((INDEX('Stat Boosts'!$D$2:$D$192,(I116/2+22)-9)-10)))&lt;0.5,POWER(1.1,1.75-(($A116+5)/($A116+10))*(INDEX('Stat Boosts'!$D$2:$D$192,M$1-9)-10)/((INDEX('Stat Boosts'!$D$2:$D$192,(I116/2+22)-9)-10))-0.5)*0.5,(1.75-(($A116+5)/($A116+10))*(INDEX('Stat Boosts'!$D$2:$D$192,M$1-9)-10)/((INDEX('Stat Boosts'!$D$2:$D$192,(I116/2+22)-9)-10))))</f>
        <v>0.4100154041106831</v>
      </c>
      <c r="N116" s="16">
        <f>IF((1.75-(($A116+5)/($A116+10))*(INDEX('Stat Boosts'!$D$2:$D$192,N$1-9)-10)/((INDEX('Stat Boosts'!$D$2:$D$192,(J116/2+22)-9)-10)))&lt;0.5,POWER(1.1,1.75-(($A116+5)/($A116+10))*(INDEX('Stat Boosts'!$D$2:$D$192,N$1-9)-10)/((INDEX('Stat Boosts'!$D$2:$D$192,(J116/2+22)-9)-10))-0.5)*0.5,(1.75-(($A116+5)/($A116+10))*(INDEX('Stat Boosts'!$D$2:$D$192,N$1-9)-10)/((INDEX('Stat Boosts'!$D$2:$D$192,(J116/2+22)-9)-10))))</f>
        <v>0.39062762197689505</v>
      </c>
      <c r="O116" s="16">
        <f>IF((1.75-(($A116+5)/($A116+10))*(INDEX('Stat Boosts'!$D$2:$D$192,O$1-9)-10)/((INDEX('Stat Boosts'!$D$2:$D$192,(K116/2+22)-9)-10)))&lt;0.5,POWER(1.1,1.75-(($A116+5)/($A116+10))*(INDEX('Stat Boosts'!$D$2:$D$192,O$1-9)-10)/((INDEX('Stat Boosts'!$D$2:$D$192,(K116/2+22)-9)-10))-0.5)*0.5,(1.75-(($A116+5)/($A116+10))*(INDEX('Stat Boosts'!$D$2:$D$192,O$1-9)-10)/((INDEX('Stat Boosts'!$D$2:$D$192,(K116/2+22)-9)-10))))</f>
        <v>0.38025558667319492</v>
      </c>
      <c r="P116" s="16">
        <f>IF((1.75-(($A116+5)/($A116+10))*(INDEX('Stat Boosts'!$D$2:$D$192,P$1-9)-10)/((INDEX('Stat Boosts'!$D$2:$D$192,(L116/2+22)-9)-10)))&lt;0.5,POWER(1.1,1.75-(($A116+5)/($A116+10))*(INDEX('Stat Boosts'!$D$2:$D$192,P$1-9)-10)/((INDEX('Stat Boosts'!$D$2:$D$192,(L116/2+22)-9)-10))-0.5)*0.5,(1.75-(($A116+5)/($A116+10))*(INDEX('Stat Boosts'!$D$2:$D$192,P$1-9)-10)/((INDEX('Stat Boosts'!$D$2:$D$192,(L116/2+22)-9)-10))))</f>
        <v>0.36423011348180828</v>
      </c>
      <c r="Q116" s="16">
        <f>IF((1.75-(($A116+5)/($A116+10))*(INDEX('Stat Boosts'!$D$2:$D$192,Q$1-9)-10)/((INDEX('Stat Boosts'!$D$2:$D$192,(M116/2+22)-9)-10)))&lt;0.5,POWER(1.1,1.75-(($A116+5)/($A116+10))*(INDEX('Stat Boosts'!$D$2:$D$192,Q$1-9)-10)/((INDEX('Stat Boosts'!$D$2:$D$192,(M116/2+22)-9)-10))-0.5)*0.5,(1.75-(($A116+5)/($A116+10))*(INDEX('Stat Boosts'!$D$2:$D$192,Q$1-9)-10)/((INDEX('Stat Boosts'!$D$2:$D$192,(M116/2+22)-9)-10))))</f>
        <v>0.34888001706333038</v>
      </c>
      <c r="R116" s="16">
        <f>IF((1.75-(($A116+5)/($A116+10))*1.25*(INDEX('Stat Boosts'!$D$2:$D$192,R$1-9)-10)/((INDEX('Stat Boosts'!$D$2:$D$192,(N116/2+22)-9)-10)))&lt;0.5,POWER(1.1,1.75-(($A116+5)/($A116+10))*1.25*(INDEX('Stat Boosts'!$D$2:$D$192,R$1-9)-10)/((INDEX('Stat Boosts'!$D$2:$D$192,(N116/2+22)-9)-10))-0.5)*0.5,(1.75-(($A116+5)/($A116+10))*1.25*(INDEX('Stat Boosts'!$D$2:$D$192,R$1-9)-10)/((INDEX('Stat Boosts'!$D$2:$D$192,(N116/2+22)-9)-10))))</f>
        <v>0.29328693072376089</v>
      </c>
    </row>
    <row r="117" spans="1:18">
      <c r="A117" s="9">
        <v>116</v>
      </c>
      <c r="B117" s="16">
        <f t="shared" si="2"/>
        <v>68.400000000000006</v>
      </c>
      <c r="C117" s="16">
        <f t="shared" si="3"/>
        <v>6.8493150684931503E-3</v>
      </c>
      <c r="E117" s="16">
        <f>IF((1.75-(($A117+5)/($A117+10))*(INDEX('Stat Boosts'!$D$2:$D$192,E$1-9)-10)/((INDEX('Stat Boosts'!$D$2:$D$192,(A117/2+22)-9)-10)))&lt;0.5,POWER(1.1,1.75-(($A117+5)/($A117+10))*(INDEX('Stat Boosts'!$D$2:$D$192,E$1-9)-10)/((INDEX('Stat Boosts'!$D$2:$D$192,(A117/2+22)-9)-10))-0.5)*0.5,(1.75-(($A117+5)/($A117+10))*(INDEX('Stat Boosts'!$D$2:$D$192,E$1-9)-10)/((INDEX('Stat Boosts'!$D$2:$D$192,(A117/2+22)-9)-10))))</f>
        <v>1.75</v>
      </c>
      <c r="F117" s="16">
        <f>IF((1.75-(($A117+5)/($A117+10))*(INDEX('Stat Boosts'!$D$2:$D$192,F$1-9)-10)/((INDEX('Stat Boosts'!$D$2:$D$192,(B117/2+22)-9)-10)))&lt;0.5,POWER(1.1,1.75-(($A117+5)/($A117+10))*(INDEX('Stat Boosts'!$D$2:$D$192,F$1-9)-10)/((INDEX('Stat Boosts'!$D$2:$D$192,(B117/2+22)-9)-10))-0.5)*0.5,(1.75-(($A117+5)/($A117+10))*(INDEX('Stat Boosts'!$D$2:$D$192,F$1-9)-10)/((INDEX('Stat Boosts'!$D$2:$D$192,(B117/2+22)-9)-10))))</f>
        <v>1.6379629629629631</v>
      </c>
      <c r="G117" s="16">
        <f>IF((1.75-(($A117+5)/($A117+10))*(INDEX('Stat Boosts'!$D$2:$D$192,G$1-9)-10)/((INDEX('Stat Boosts'!$D$2:$D$192,(C117/2+22)-9)-10)))&lt;0.5,POWER(1.1,1.75-(($A117+5)/($A117+10))*(INDEX('Stat Boosts'!$D$2:$D$192,G$1-9)-10)/((INDEX('Stat Boosts'!$D$2:$D$192,(C117/2+22)-9)-10))-0.5)*0.5,(1.75-(($A117+5)/($A117+10))*(INDEX('Stat Boosts'!$D$2:$D$192,G$1-9)-10)/((INDEX('Stat Boosts'!$D$2:$D$192,(C117/2+22)-9)-10))))</f>
        <v>0.95915032679738566</v>
      </c>
      <c r="H117" s="16">
        <f>IF((1.75-(($A117+5)/($A117+10))*(INDEX('Stat Boosts'!$D$2:$D$192,H$1-9)-10)/((INDEX('Stat Boosts'!$D$2:$D$192,(D117/2+22)-9)-10)))&lt;0.5,POWER(1.1,1.75-(($A117+5)/($A117+10))*(INDEX('Stat Boosts'!$D$2:$D$192,H$1-9)-10)/((INDEX('Stat Boosts'!$D$2:$D$192,(D117/2+22)-9)-10))-0.5)*0.5,(1.75-(($A117+5)/($A117+10))*(INDEX('Stat Boosts'!$D$2:$D$192,H$1-9)-10)/((INDEX('Stat Boosts'!$D$2:$D$192,(D117/2+22)-9)-10))))</f>
        <v>0.56372549019607843</v>
      </c>
      <c r="I117" s="16">
        <f>IF((1.75-(($A117+5)/($A117+10))*(INDEX('Stat Boosts'!$D$2:$D$192,I$1-9)-10)/((INDEX('Stat Boosts'!$D$2:$D$192,(E117/2+22)-9)-10)))&lt;0.5,POWER(1.1,1.75-(($A117+5)/($A117+10))*(INDEX('Stat Boosts'!$D$2:$D$192,I$1-9)-10)/((INDEX('Stat Boosts'!$D$2:$D$192,(E117/2+22)-9)-10))-0.5)*0.5,(1.75-(($A117+5)/($A117+10))*(INDEX('Stat Boosts'!$D$2:$D$192,I$1-9)-10)/((INDEX('Stat Boosts'!$D$2:$D$192,(E117/2+22)-9)-10))))</f>
        <v>0.48705535203288997</v>
      </c>
      <c r="J117" s="16">
        <f>IF((1.75-(($A117+5)/($A117+10))*(INDEX('Stat Boosts'!$D$2:$D$192,J$1-9)-10)/((INDEX('Stat Boosts'!$D$2:$D$192,(F117/2+22)-9)-10)))&lt;0.5,POWER(1.1,1.75-(($A117+5)/($A117+10))*(INDEX('Stat Boosts'!$D$2:$D$192,J$1-9)-10)/((INDEX('Stat Boosts'!$D$2:$D$192,(F117/2+22)-9)-10))-0.5)*0.5,(1.75-(($A117+5)/($A117+10))*(INDEX('Stat Boosts'!$D$2:$D$192,J$1-9)-10)/((INDEX('Stat Boosts'!$D$2:$D$192,(F117/2+22)-9)-10))))</f>
        <v>0.47157292935422229</v>
      </c>
      <c r="K117" s="16">
        <f>IF((1.75-(($A117+5)/($A117+10))*(INDEX('Stat Boosts'!$D$2:$D$192,K$1-9)-10)/((INDEX('Stat Boosts'!$D$2:$D$192,(G117/2+22)-9)-10)))&lt;0.5,POWER(1.1,1.75-(($A117+5)/($A117+10))*(INDEX('Stat Boosts'!$D$2:$D$192,K$1-9)-10)/((INDEX('Stat Boosts'!$D$2:$D$192,(G117/2+22)-9)-10))-0.5)*0.5,(1.75-(($A117+5)/($A117+10))*(INDEX('Stat Boosts'!$D$2:$D$192,K$1-9)-10)/((INDEX('Stat Boosts'!$D$2:$D$192,(G117/2+22)-9)-10))))</f>
        <v>0.43733423420594697</v>
      </c>
      <c r="L117" s="16">
        <f>IF((1.75-(($A117+5)/($A117+10))*(INDEX('Stat Boosts'!$D$2:$D$192,L$1-9)-10)/((INDEX('Stat Boosts'!$D$2:$D$192,(H117/2+22)-9)-10)))&lt;0.5,POWER(1.1,1.75-(($A117+5)/($A117+10))*(INDEX('Stat Boosts'!$D$2:$D$192,L$1-9)-10)/((INDEX('Stat Boosts'!$D$2:$D$192,(H117/2+22)-9)-10))-0.5)*0.5,(1.75-(($A117+5)/($A117+10))*(INDEX('Stat Boosts'!$D$2:$D$192,L$1-9)-10)/((INDEX('Stat Boosts'!$D$2:$D$192,(H117/2+22)-9)-10))))</f>
        <v>0.42571824553266574</v>
      </c>
      <c r="M117" s="16">
        <f>IF((1.75-(($A117+5)/($A117+10))*(INDEX('Stat Boosts'!$D$2:$D$192,M$1-9)-10)/((INDEX('Stat Boosts'!$D$2:$D$192,(I117/2+22)-9)-10)))&lt;0.5,POWER(1.1,1.75-(($A117+5)/($A117+10))*(INDEX('Stat Boosts'!$D$2:$D$192,M$1-9)-10)/((INDEX('Stat Boosts'!$D$2:$D$192,(I117/2+22)-9)-10))-0.5)*0.5,(1.75-(($A117+5)/($A117+10))*(INDEX('Stat Boosts'!$D$2:$D$192,M$1-9)-10)/((INDEX('Stat Boosts'!$D$2:$D$192,(I117/2+22)-9)-10))))</f>
        <v>0.40997235053799025</v>
      </c>
      <c r="N117" s="16">
        <f>IF((1.75-(($A117+5)/($A117+10))*(INDEX('Stat Boosts'!$D$2:$D$192,N$1-9)-10)/((INDEX('Stat Boosts'!$D$2:$D$192,(J117/2+22)-9)-10)))&lt;0.5,POWER(1.1,1.75-(($A117+5)/($A117+10))*(INDEX('Stat Boosts'!$D$2:$D$192,N$1-9)-10)/((INDEX('Stat Boosts'!$D$2:$D$192,(J117/2+22)-9)-10))-0.5)*0.5,(1.75-(($A117+5)/($A117+10))*(INDEX('Stat Boosts'!$D$2:$D$192,N$1-9)-10)/((INDEX('Stat Boosts'!$D$2:$D$192,(J117/2+22)-9)-10))))</f>
        <v>0.39058034764549293</v>
      </c>
      <c r="O117" s="16">
        <f>IF((1.75-(($A117+5)/($A117+10))*(INDEX('Stat Boosts'!$D$2:$D$192,O$1-9)-10)/((INDEX('Stat Boosts'!$D$2:$D$192,(K117/2+22)-9)-10)))&lt;0.5,POWER(1.1,1.75-(($A117+5)/($A117+10))*(INDEX('Stat Boosts'!$D$2:$D$192,O$1-9)-10)/((INDEX('Stat Boosts'!$D$2:$D$192,(K117/2+22)-9)-10))-0.5)*0.5,(1.75-(($A117+5)/($A117+10))*(INDEX('Stat Boosts'!$D$2:$D$192,O$1-9)-10)/((INDEX('Stat Boosts'!$D$2:$D$192,(K117/2+22)-9)-10))))</f>
        <v>0.38020618404383955</v>
      </c>
      <c r="P117" s="16">
        <f>IF((1.75-(($A117+5)/($A117+10))*(INDEX('Stat Boosts'!$D$2:$D$192,P$1-9)-10)/((INDEX('Stat Boosts'!$D$2:$D$192,(L117/2+22)-9)-10)))&lt;0.5,POWER(1.1,1.75-(($A117+5)/($A117+10))*(INDEX('Stat Boosts'!$D$2:$D$192,P$1-9)-10)/((INDEX('Stat Boosts'!$D$2:$D$192,(L117/2+22)-9)-10))-0.5)*0.5,(1.75-(($A117+5)/($A117+10))*(INDEX('Stat Boosts'!$D$2:$D$192,P$1-9)-10)/((INDEX('Stat Boosts'!$D$2:$D$192,(L117/2+22)-9)-10))))</f>
        <v>0.36417760742831456</v>
      </c>
      <c r="Q117" s="16">
        <f>IF((1.75-(($A117+5)/($A117+10))*(INDEX('Stat Boosts'!$D$2:$D$192,Q$1-9)-10)/((INDEX('Stat Boosts'!$D$2:$D$192,(M117/2+22)-9)-10)))&lt;0.5,POWER(1.1,1.75-(($A117+5)/($A117+10))*(INDEX('Stat Boosts'!$D$2:$D$192,Q$1-9)-10)/((INDEX('Stat Boosts'!$D$2:$D$192,(M117/2+22)-9)-10))-0.5)*0.5,(1.75-(($A117+5)/($A117+10))*(INDEX('Stat Boosts'!$D$2:$D$192,Q$1-9)-10)/((INDEX('Stat Boosts'!$D$2:$D$192,(M117/2+22)-9)-10))))</f>
        <v>0.34882475698217275</v>
      </c>
      <c r="R117" s="16">
        <f>IF((1.75-(($A117+5)/($A117+10))*1.25*(INDEX('Stat Boosts'!$D$2:$D$192,R$1-9)-10)/((INDEX('Stat Boosts'!$D$2:$D$192,(N117/2+22)-9)-10)))&lt;0.5,POWER(1.1,1.75-(($A117+5)/($A117+10))*1.25*(INDEX('Stat Boosts'!$D$2:$D$192,R$1-9)-10)/((INDEX('Stat Boosts'!$D$2:$D$192,(N117/2+22)-9)-10))-0.5)*0.5,(1.75-(($A117+5)/($A117+10))*1.25*(INDEX('Stat Boosts'!$D$2:$D$192,R$1-9)-10)/((INDEX('Stat Boosts'!$D$2:$D$192,(N117/2+22)-9)-10))))</f>
        <v>0.29322364475814028</v>
      </c>
    </row>
    <row r="118" spans="1:18">
      <c r="A118" s="9">
        <v>117</v>
      </c>
      <c r="B118" s="16">
        <f t="shared" si="2"/>
        <v>68.8</v>
      </c>
      <c r="C118" s="16">
        <f t="shared" si="3"/>
        <v>6.8027210884353748E-3</v>
      </c>
      <c r="E118" s="16">
        <f>IF((1.75-(($A118+5)/($A118+10))*(INDEX('Stat Boosts'!$D$2:$D$192,E$1-9)-10)/((INDEX('Stat Boosts'!$D$2:$D$192,(A118/2+22)-9)-10)))&lt;0.5,POWER(1.1,1.75-(($A118+5)/($A118+10))*(INDEX('Stat Boosts'!$D$2:$D$192,E$1-9)-10)/((INDEX('Stat Boosts'!$D$2:$D$192,(A118/2+22)-9)-10))-0.5)*0.5,(1.75-(($A118+5)/($A118+10))*(INDEX('Stat Boosts'!$D$2:$D$192,E$1-9)-10)/((INDEX('Stat Boosts'!$D$2:$D$192,(A118/2+22)-9)-10))))</f>
        <v>1.75</v>
      </c>
      <c r="F118" s="16">
        <f>IF((1.75-(($A118+5)/($A118+10))*(INDEX('Stat Boosts'!$D$2:$D$192,F$1-9)-10)/((INDEX('Stat Boosts'!$D$2:$D$192,(B118/2+22)-9)-10)))&lt;0.5,POWER(1.1,1.75-(($A118+5)/($A118+10))*(INDEX('Stat Boosts'!$D$2:$D$192,F$1-9)-10)/((INDEX('Stat Boosts'!$D$2:$D$192,(B118/2+22)-9)-10))-0.5)*0.5,(1.75-(($A118+5)/($A118+10))*(INDEX('Stat Boosts'!$D$2:$D$192,F$1-9)-10)/((INDEX('Stat Boosts'!$D$2:$D$192,(B118/2+22)-9)-10))))</f>
        <v>1.6379265091863517</v>
      </c>
      <c r="G118" s="16">
        <f>IF((1.75-(($A118+5)/($A118+10))*(INDEX('Stat Boosts'!$D$2:$D$192,G$1-9)-10)/((INDEX('Stat Boosts'!$D$2:$D$192,(C118/2+22)-9)-10)))&lt;0.5,POWER(1.1,1.75-(($A118+5)/($A118+10))*(INDEX('Stat Boosts'!$D$2:$D$192,G$1-9)-10)/((INDEX('Stat Boosts'!$D$2:$D$192,(C118/2+22)-9)-10))-0.5)*0.5,(1.75-(($A118+5)/($A118+10))*(INDEX('Stat Boosts'!$D$2:$D$192,G$1-9)-10)/((INDEX('Stat Boosts'!$D$2:$D$192,(C118/2+22)-9)-10))))</f>
        <v>0.95889300602130623</v>
      </c>
      <c r="H118" s="16">
        <f>IF((1.75-(($A118+5)/($A118+10))*(INDEX('Stat Boosts'!$D$2:$D$192,H$1-9)-10)/((INDEX('Stat Boosts'!$D$2:$D$192,(D118/2+22)-9)-10)))&lt;0.5,POWER(1.1,1.75-(($A118+5)/($A118+10))*(INDEX('Stat Boosts'!$D$2:$D$192,H$1-9)-10)/((INDEX('Stat Boosts'!$D$2:$D$192,(D118/2+22)-9)-10))-0.5)*0.5,(1.75-(($A118+5)/($A118+10))*(INDEX('Stat Boosts'!$D$2:$D$192,H$1-9)-10)/((INDEX('Stat Boosts'!$D$2:$D$192,(D118/2+22)-9)-10))))</f>
        <v>0.56333950903195928</v>
      </c>
      <c r="I118" s="16">
        <f>IF((1.75-(($A118+5)/($A118+10))*(INDEX('Stat Boosts'!$D$2:$D$192,I$1-9)-10)/((INDEX('Stat Boosts'!$D$2:$D$192,(E118/2+22)-9)-10)))&lt;0.5,POWER(1.1,1.75-(($A118+5)/($A118+10))*(INDEX('Stat Boosts'!$D$2:$D$192,I$1-9)-10)/((INDEX('Stat Boosts'!$D$2:$D$192,(E118/2+22)-9)-10))-0.5)*0.5,(1.75-(($A118+5)/($A118+10))*(INDEX('Stat Boosts'!$D$2:$D$192,I$1-9)-10)/((INDEX('Stat Boosts'!$D$2:$D$192,(E118/2+22)-9)-10))))</f>
        <v>0.48703231545741282</v>
      </c>
      <c r="J118" s="16">
        <f>IF((1.75-(($A118+5)/($A118+10))*(INDEX('Stat Boosts'!$D$2:$D$192,J$1-9)-10)/((INDEX('Stat Boosts'!$D$2:$D$192,(F118/2+22)-9)-10)))&lt;0.5,POWER(1.1,1.75-(($A118+5)/($A118+10))*(INDEX('Stat Boosts'!$D$2:$D$192,J$1-9)-10)/((INDEX('Stat Boosts'!$D$2:$D$192,(F118/2+22)-9)-10))-0.5)*0.5,(1.75-(($A118+5)/($A118+10))*(INDEX('Stat Boosts'!$D$2:$D$192,J$1-9)-10)/((INDEX('Stat Boosts'!$D$2:$D$192,(F118/2+22)-9)-10))))</f>
        <v>0.47154566869467834</v>
      </c>
      <c r="K118" s="16">
        <f>IF((1.75-(($A118+5)/($A118+10))*(INDEX('Stat Boosts'!$D$2:$D$192,K$1-9)-10)/((INDEX('Stat Boosts'!$D$2:$D$192,(G118/2+22)-9)-10)))&lt;0.5,POWER(1.1,1.75-(($A118+5)/($A118+10))*(INDEX('Stat Boosts'!$D$2:$D$192,K$1-9)-10)/((INDEX('Stat Boosts'!$D$2:$D$192,(G118/2+22)-9)-10))-0.5)*0.5,(1.75-(($A118+5)/($A118+10))*(INDEX('Stat Boosts'!$D$2:$D$192,K$1-9)-10)/((INDEX('Stat Boosts'!$D$2:$D$192,(G118/2+22)-9)-10))))</f>
        <v>0.43729822781771016</v>
      </c>
      <c r="L118" s="16">
        <f>IF((1.75-(($A118+5)/($A118+10))*(INDEX('Stat Boosts'!$D$2:$D$192,L$1-9)-10)/((INDEX('Stat Boosts'!$D$2:$D$192,(H118/2+22)-9)-10)))&lt;0.5,POWER(1.1,1.75-(($A118+5)/($A118+10))*(INDEX('Stat Boosts'!$D$2:$D$192,L$1-9)-10)/((INDEX('Stat Boosts'!$D$2:$D$192,(H118/2+22)-9)-10))-0.5)*0.5,(1.75-(($A118+5)/($A118+10))*(INDEX('Stat Boosts'!$D$2:$D$192,L$1-9)-10)/((INDEX('Stat Boosts'!$D$2:$D$192,(H118/2+22)-9)-10))))</f>
        <v>0.42567946694994913</v>
      </c>
      <c r="M118" s="16">
        <f>IF((1.75-(($A118+5)/($A118+10))*(INDEX('Stat Boosts'!$D$2:$D$192,M$1-9)-10)/((INDEX('Stat Boosts'!$D$2:$D$192,(I118/2+22)-9)-10)))&lt;0.5,POWER(1.1,1.75-(($A118+5)/($A118+10))*(INDEX('Stat Boosts'!$D$2:$D$192,M$1-9)-10)/((INDEX('Stat Boosts'!$D$2:$D$192,(I118/2+22)-9)-10))-0.5)*0.5,(1.75-(($A118+5)/($A118+10))*(INDEX('Stat Boosts'!$D$2:$D$192,M$1-9)-10)/((INDEX('Stat Boosts'!$D$2:$D$192,(I118/2+22)-9)-10))))</f>
        <v>0.40992997938891834</v>
      </c>
      <c r="N118" s="16">
        <f>IF((1.75-(($A118+5)/($A118+10))*(INDEX('Stat Boosts'!$D$2:$D$192,N$1-9)-10)/((INDEX('Stat Boosts'!$D$2:$D$192,(J118/2+22)-9)-10)))&lt;0.5,POWER(1.1,1.75-(($A118+5)/($A118+10))*(INDEX('Stat Boosts'!$D$2:$D$192,N$1-9)-10)/((INDEX('Stat Boosts'!$D$2:$D$192,(J118/2+22)-9)-10))-0.5)*0.5,(1.75-(($A118+5)/($A118+10))*(INDEX('Stat Boosts'!$D$2:$D$192,N$1-9)-10)/((INDEX('Stat Boosts'!$D$2:$D$192,(J118/2+22)-9)-10))))</f>
        <v>0.39053382337852627</v>
      </c>
      <c r="O118" s="16">
        <f>IF((1.75-(($A118+5)/($A118+10))*(INDEX('Stat Boosts'!$D$2:$D$192,O$1-9)-10)/((INDEX('Stat Boosts'!$D$2:$D$192,(K118/2+22)-9)-10)))&lt;0.5,POWER(1.1,1.75-(($A118+5)/($A118+10))*(INDEX('Stat Boosts'!$D$2:$D$192,O$1-9)-10)/((INDEX('Stat Boosts'!$D$2:$D$192,(K118/2+22)-9)-10))-0.5)*0.5,(1.75-(($A118+5)/($A118+10))*(INDEX('Stat Boosts'!$D$2:$D$192,O$1-9)-10)/((INDEX('Stat Boosts'!$D$2:$D$192,(K118/2+22)-9)-10))))</f>
        <v>0.38015756567619918</v>
      </c>
      <c r="P118" s="16">
        <f>IF((1.75-(($A118+5)/($A118+10))*(INDEX('Stat Boosts'!$D$2:$D$192,P$1-9)-10)/((INDEX('Stat Boosts'!$D$2:$D$192,(L118/2+22)-9)-10)))&lt;0.5,POWER(1.1,1.75-(($A118+5)/($A118+10))*(INDEX('Stat Boosts'!$D$2:$D$192,P$1-9)-10)/((INDEX('Stat Boosts'!$D$2:$D$192,(L118/2+22)-9)-10))-0.5)*0.5,(1.75-(($A118+5)/($A118+10))*(INDEX('Stat Boosts'!$D$2:$D$192,P$1-9)-10)/((INDEX('Stat Boosts'!$D$2:$D$192,(L118/2+22)-9)-10))))</f>
        <v>0.36412593563302875</v>
      </c>
      <c r="Q118" s="16">
        <f>IF((1.75-(($A118+5)/($A118+10))*(INDEX('Stat Boosts'!$D$2:$D$192,Q$1-9)-10)/((INDEX('Stat Boosts'!$D$2:$D$192,(M118/2+22)-9)-10)))&lt;0.5,POWER(1.1,1.75-(($A118+5)/($A118+10))*(INDEX('Stat Boosts'!$D$2:$D$192,Q$1-9)-10)/((INDEX('Stat Boosts'!$D$2:$D$192,(M118/2+22)-9)-10))-0.5)*0.5,(1.75-(($A118+5)/($A118+10))*(INDEX('Stat Boosts'!$D$2:$D$192,Q$1-9)-10)/((INDEX('Stat Boosts'!$D$2:$D$192,(M118/2+22)-9)-10))))</f>
        <v>0.34877037568564595</v>
      </c>
      <c r="R118" s="16">
        <f>IF((1.75-(($A118+5)/($A118+10))*1.25*(INDEX('Stat Boosts'!$D$2:$D$192,R$1-9)-10)/((INDEX('Stat Boosts'!$D$2:$D$192,(N118/2+22)-9)-10)))&lt;0.5,POWER(1.1,1.75-(($A118+5)/($A118+10))*1.25*(INDEX('Stat Boosts'!$D$2:$D$192,R$1-9)-10)/((INDEX('Stat Boosts'!$D$2:$D$192,(N118/2+22)-9)-10))-0.5)*0.5,(1.75-(($A118+5)/($A118+10))*1.25*(INDEX('Stat Boosts'!$D$2:$D$192,R$1-9)-10)/((INDEX('Stat Boosts'!$D$2:$D$192,(N118/2+22)-9)-10))))</f>
        <v>0.29316136875698251</v>
      </c>
    </row>
    <row r="119" spans="1:18">
      <c r="A119" s="9">
        <v>118</v>
      </c>
      <c r="B119" s="16">
        <f t="shared" si="2"/>
        <v>69.2</v>
      </c>
      <c r="C119" s="16">
        <f t="shared" si="3"/>
        <v>6.7567567567567571E-3</v>
      </c>
      <c r="E119" s="16">
        <f>IF((1.75-(($A119+5)/($A119+10))*(INDEX('Stat Boosts'!$D$2:$D$192,E$1-9)-10)/((INDEX('Stat Boosts'!$D$2:$D$192,(A119/2+22)-9)-10)))&lt;0.5,POWER(1.1,1.75-(($A119+5)/($A119+10))*(INDEX('Stat Boosts'!$D$2:$D$192,E$1-9)-10)/((INDEX('Stat Boosts'!$D$2:$D$192,(A119/2+22)-9)-10))-0.5)*0.5,(1.75-(($A119+5)/($A119+10))*(INDEX('Stat Boosts'!$D$2:$D$192,E$1-9)-10)/((INDEX('Stat Boosts'!$D$2:$D$192,(A119/2+22)-9)-10))))</f>
        <v>1.75</v>
      </c>
      <c r="F119" s="16">
        <f>IF((1.75-(($A119+5)/($A119+10))*(INDEX('Stat Boosts'!$D$2:$D$192,F$1-9)-10)/((INDEX('Stat Boosts'!$D$2:$D$192,(B119/2+22)-9)-10)))&lt;0.5,POWER(1.1,1.75-(($A119+5)/($A119+10))*(INDEX('Stat Boosts'!$D$2:$D$192,F$1-9)-10)/((INDEX('Stat Boosts'!$D$2:$D$192,(B119/2+22)-9)-10))-0.5)*0.5,(1.75-(($A119+5)/($A119+10))*(INDEX('Stat Boosts'!$D$2:$D$192,F$1-9)-10)/((INDEX('Stat Boosts'!$D$2:$D$192,(B119/2+22)-9)-10))))</f>
        <v>1.637890625</v>
      </c>
      <c r="G119" s="16">
        <f>IF((1.75-(($A119+5)/($A119+10))*(INDEX('Stat Boosts'!$D$2:$D$192,G$1-9)-10)/((INDEX('Stat Boosts'!$D$2:$D$192,(C119/2+22)-9)-10)))&lt;0.5,POWER(1.1,1.75-(($A119+5)/($A119+10))*(INDEX('Stat Boosts'!$D$2:$D$192,G$1-9)-10)/((INDEX('Stat Boosts'!$D$2:$D$192,(C119/2+22)-9)-10))-0.5)*0.5,(1.75-(($A119+5)/($A119+10))*(INDEX('Stat Boosts'!$D$2:$D$192,G$1-9)-10)/((INDEX('Stat Boosts'!$D$2:$D$192,(C119/2+22)-9)-10))))</f>
        <v>0.95863970588235292</v>
      </c>
      <c r="H119" s="16">
        <f>IF((1.75-(($A119+5)/($A119+10))*(INDEX('Stat Boosts'!$D$2:$D$192,H$1-9)-10)/((INDEX('Stat Boosts'!$D$2:$D$192,(D119/2+22)-9)-10)))&lt;0.5,POWER(1.1,1.75-(($A119+5)/($A119+10))*(INDEX('Stat Boosts'!$D$2:$D$192,H$1-9)-10)/((INDEX('Stat Boosts'!$D$2:$D$192,(D119/2+22)-9)-10))-0.5)*0.5,(1.75-(($A119+5)/($A119+10))*(INDEX('Stat Boosts'!$D$2:$D$192,H$1-9)-10)/((INDEX('Stat Boosts'!$D$2:$D$192,(D119/2+22)-9)-10))))</f>
        <v>0.56295955882352944</v>
      </c>
      <c r="I119" s="16">
        <f>IF((1.75-(($A119+5)/($A119+10))*(INDEX('Stat Boosts'!$D$2:$D$192,I$1-9)-10)/((INDEX('Stat Boosts'!$D$2:$D$192,(E119/2+22)-9)-10)))&lt;0.5,POWER(1.1,1.75-(($A119+5)/($A119+10))*(INDEX('Stat Boosts'!$D$2:$D$192,I$1-9)-10)/((INDEX('Stat Boosts'!$D$2:$D$192,(E119/2+22)-9)-10))-0.5)*0.5,(1.75-(($A119+5)/($A119+10))*(INDEX('Stat Boosts'!$D$2:$D$192,I$1-9)-10)/((INDEX('Stat Boosts'!$D$2:$D$192,(E119/2+22)-9)-10))))</f>
        <v>0.48700963989259982</v>
      </c>
      <c r="J119" s="16">
        <f>IF((1.75-(($A119+5)/($A119+10))*(INDEX('Stat Boosts'!$D$2:$D$192,J$1-9)-10)/((INDEX('Stat Boosts'!$D$2:$D$192,(F119/2+22)-9)-10)))&lt;0.5,POWER(1.1,1.75-(($A119+5)/($A119+10))*(INDEX('Stat Boosts'!$D$2:$D$192,J$1-9)-10)/((INDEX('Stat Boosts'!$D$2:$D$192,(F119/2+22)-9)-10))-0.5)*0.5,(1.75-(($A119+5)/($A119+10))*(INDEX('Stat Boosts'!$D$2:$D$192,J$1-9)-10)/((INDEX('Stat Boosts'!$D$2:$D$192,(F119/2+22)-9)-10))))</f>
        <v>0.47151883552208051</v>
      </c>
      <c r="K119" s="16">
        <f>IF((1.75-(($A119+5)/($A119+10))*(INDEX('Stat Boosts'!$D$2:$D$192,K$1-9)-10)/((INDEX('Stat Boosts'!$D$2:$D$192,(G119/2+22)-9)-10)))&lt;0.5,POWER(1.1,1.75-(($A119+5)/($A119+10))*(INDEX('Stat Boosts'!$D$2:$D$192,K$1-9)-10)/((INDEX('Stat Boosts'!$D$2:$D$192,(G119/2+22)-9)-10))-0.5)*0.5,(1.75-(($A119+5)/($A119+10))*(INDEX('Stat Boosts'!$D$2:$D$192,K$1-9)-10)/((INDEX('Stat Boosts'!$D$2:$D$192,(G119/2+22)-9)-10))))</f>
        <v>0.4372627869246335</v>
      </c>
      <c r="L119" s="16">
        <f>IF((1.75-(($A119+5)/($A119+10))*(INDEX('Stat Boosts'!$D$2:$D$192,L$1-9)-10)/((INDEX('Stat Boosts'!$D$2:$D$192,(H119/2+22)-9)-10)))&lt;0.5,POWER(1.1,1.75-(($A119+5)/($A119+10))*(INDEX('Stat Boosts'!$D$2:$D$192,L$1-9)-10)/((INDEX('Stat Boosts'!$D$2:$D$192,(H119/2+22)-9)-10))-0.5)*0.5,(1.75-(($A119+5)/($A119+10))*(INDEX('Stat Boosts'!$D$2:$D$192,L$1-9)-10)/((INDEX('Stat Boosts'!$D$2:$D$192,(H119/2+22)-9)-10))))</f>
        <v>0.42564129773256404</v>
      </c>
      <c r="M119" s="16">
        <f>IF((1.75-(($A119+5)/($A119+10))*(INDEX('Stat Boosts'!$D$2:$D$192,M$1-9)-10)/((INDEX('Stat Boosts'!$D$2:$D$192,(I119/2+22)-9)-10)))&lt;0.5,POWER(1.1,1.75-(($A119+5)/($A119+10))*(INDEX('Stat Boosts'!$D$2:$D$192,M$1-9)-10)/((INDEX('Stat Boosts'!$D$2:$D$192,(I119/2+22)-9)-10))-0.5)*0.5,(1.75-(($A119+5)/($A119+10))*(INDEX('Stat Boosts'!$D$2:$D$192,M$1-9)-10)/((INDEX('Stat Boosts'!$D$2:$D$192,(I119/2+22)-9)-10))))</f>
        <v>0.4098882745660628</v>
      </c>
      <c r="N119" s="16">
        <f>IF((1.75-(($A119+5)/($A119+10))*(INDEX('Stat Boosts'!$D$2:$D$192,N$1-9)-10)/((INDEX('Stat Boosts'!$D$2:$D$192,(J119/2+22)-9)-10)))&lt;0.5,POWER(1.1,1.75-(($A119+5)/($A119+10))*(INDEX('Stat Boosts'!$D$2:$D$192,N$1-9)-10)/((INDEX('Stat Boosts'!$D$2:$D$192,(J119/2+22)-9)-10))-0.5)*0.5,(1.75-(($A119+5)/($A119+10))*(INDEX('Stat Boosts'!$D$2:$D$192,N$1-9)-10)/((INDEX('Stat Boosts'!$D$2:$D$192,(J119/2+22)-9)-10))))</f>
        <v>0.39048803146579802</v>
      </c>
      <c r="O119" s="16">
        <f>IF((1.75-(($A119+5)/($A119+10))*(INDEX('Stat Boosts'!$D$2:$D$192,O$1-9)-10)/((INDEX('Stat Boosts'!$D$2:$D$192,(K119/2+22)-9)-10)))&lt;0.5,POWER(1.1,1.75-(($A119+5)/($A119+10))*(INDEX('Stat Boosts'!$D$2:$D$192,O$1-9)-10)/((INDEX('Stat Boosts'!$D$2:$D$192,(K119/2+22)-9)-10))-0.5)*0.5,(1.75-(($A119+5)/($A119+10))*(INDEX('Stat Boosts'!$D$2:$D$192,O$1-9)-10)/((INDEX('Stat Boosts'!$D$2:$D$192,(K119/2+22)-9)-10))))</f>
        <v>0.38010971304261504</v>
      </c>
      <c r="P119" s="16">
        <f>IF((1.75-(($A119+5)/($A119+10))*(INDEX('Stat Boosts'!$D$2:$D$192,P$1-9)-10)/((INDEX('Stat Boosts'!$D$2:$D$192,(L119/2+22)-9)-10)))&lt;0.5,POWER(1.1,1.75-(($A119+5)/($A119+10))*(INDEX('Stat Boosts'!$D$2:$D$192,P$1-9)-10)/((INDEX('Stat Boosts'!$D$2:$D$192,(L119/2+22)-9)-10))-0.5)*0.5,(1.75-(($A119+5)/($A119+10))*(INDEX('Stat Boosts'!$D$2:$D$192,P$1-9)-10)/((INDEX('Stat Boosts'!$D$2:$D$192,(L119/2+22)-9)-10))))</f>
        <v>0.36407507837012942</v>
      </c>
      <c r="Q119" s="16">
        <f>IF((1.75-(($A119+5)/($A119+10))*(INDEX('Stat Boosts'!$D$2:$D$192,Q$1-9)-10)/((INDEX('Stat Boosts'!$D$2:$D$192,(M119/2+22)-9)-10)))&lt;0.5,POWER(1.1,1.75-(($A119+5)/($A119+10))*(INDEX('Stat Boosts'!$D$2:$D$192,Q$1-9)-10)/((INDEX('Stat Boosts'!$D$2:$D$192,(M119/2+22)-9)-10))-0.5)*0.5,(1.75-(($A119+5)/($A119+10))*(INDEX('Stat Boosts'!$D$2:$D$192,Q$1-9)-10)/((INDEX('Stat Boosts'!$D$2:$D$192,(M119/2+22)-9)-10))))</f>
        <v>0.34871685237718536</v>
      </c>
      <c r="R119" s="16">
        <f>IF((1.75-(($A119+5)/($A119+10))*1.25*(INDEX('Stat Boosts'!$D$2:$D$192,R$1-9)-10)/((INDEX('Stat Boosts'!$D$2:$D$192,(N119/2+22)-9)-10)))&lt;0.5,POWER(1.1,1.75-(($A119+5)/($A119+10))*1.25*(INDEX('Stat Boosts'!$D$2:$D$192,R$1-9)-10)/((INDEX('Stat Boosts'!$D$2:$D$192,(N119/2+22)-9)-10))-0.5)*0.5,(1.75-(($A119+5)/($A119+10))*1.25*(INDEX('Stat Boosts'!$D$2:$D$192,R$1-9)-10)/((INDEX('Stat Boosts'!$D$2:$D$192,(N119/2+22)-9)-10))))</f>
        <v>0.29310007873640154</v>
      </c>
    </row>
    <row r="120" spans="1:18">
      <c r="A120" s="9">
        <v>119</v>
      </c>
      <c r="B120" s="16">
        <f t="shared" si="2"/>
        <v>69.599999999999994</v>
      </c>
      <c r="C120" s="16">
        <f t="shared" si="3"/>
        <v>6.7114093959731551E-3</v>
      </c>
      <c r="E120" s="16">
        <f>IF((1.75-(($A120+5)/($A120+10))*(INDEX('Stat Boosts'!$D$2:$D$192,E$1-9)-10)/((INDEX('Stat Boosts'!$D$2:$D$192,(A120/2+22)-9)-10)))&lt;0.5,POWER(1.1,1.75-(($A120+5)/($A120+10))*(INDEX('Stat Boosts'!$D$2:$D$192,E$1-9)-10)/((INDEX('Stat Boosts'!$D$2:$D$192,(A120/2+22)-9)-10))-0.5)*0.5,(1.75-(($A120+5)/($A120+10))*(INDEX('Stat Boosts'!$D$2:$D$192,E$1-9)-10)/((INDEX('Stat Boosts'!$D$2:$D$192,(A120/2+22)-9)-10))))</f>
        <v>1.75</v>
      </c>
      <c r="F120" s="16">
        <f>IF((1.75-(($A120+5)/($A120+10))*(INDEX('Stat Boosts'!$D$2:$D$192,F$1-9)-10)/((INDEX('Stat Boosts'!$D$2:$D$192,(B120/2+22)-9)-10)))&lt;0.5,POWER(1.1,1.75-(($A120+5)/($A120+10))*(INDEX('Stat Boosts'!$D$2:$D$192,F$1-9)-10)/((INDEX('Stat Boosts'!$D$2:$D$192,(B120/2+22)-9)-10))-0.5)*0.5,(1.75-(($A120+5)/($A120+10))*(INDEX('Stat Boosts'!$D$2:$D$192,F$1-9)-10)/((INDEX('Stat Boosts'!$D$2:$D$192,(B120/2+22)-9)-10))))</f>
        <v>1.6378552971576228</v>
      </c>
      <c r="G120" s="16">
        <f>IF((1.75-(($A120+5)/($A120+10))*(INDEX('Stat Boosts'!$D$2:$D$192,G$1-9)-10)/((INDEX('Stat Boosts'!$D$2:$D$192,(C120/2+22)-9)-10)))&lt;0.5,POWER(1.1,1.75-(($A120+5)/($A120+10))*(INDEX('Stat Boosts'!$D$2:$D$192,G$1-9)-10)/((INDEX('Stat Boosts'!$D$2:$D$192,(C120/2+22)-9)-10))-0.5)*0.5,(1.75-(($A120+5)/($A120+10))*(INDEX('Stat Boosts'!$D$2:$D$192,G$1-9)-10)/((INDEX('Stat Boosts'!$D$2:$D$192,(C120/2+22)-9)-10))))</f>
        <v>0.95839033287733688</v>
      </c>
      <c r="H120" s="16">
        <f>IF((1.75-(($A120+5)/($A120+10))*(INDEX('Stat Boosts'!$D$2:$D$192,H$1-9)-10)/((INDEX('Stat Boosts'!$D$2:$D$192,(D120/2+22)-9)-10)))&lt;0.5,POWER(1.1,1.75-(($A120+5)/($A120+10))*(INDEX('Stat Boosts'!$D$2:$D$192,H$1-9)-10)/((INDEX('Stat Boosts'!$D$2:$D$192,(D120/2+22)-9)-10))-0.5)*0.5,(1.75-(($A120+5)/($A120+10))*(INDEX('Stat Boosts'!$D$2:$D$192,H$1-9)-10)/((INDEX('Stat Boosts'!$D$2:$D$192,(D120/2+22)-9)-10))))</f>
        <v>0.56258549931600554</v>
      </c>
      <c r="I120" s="16">
        <f>IF((1.75-(($A120+5)/($A120+10))*(INDEX('Stat Boosts'!$D$2:$D$192,I$1-9)-10)/((INDEX('Stat Boosts'!$D$2:$D$192,(E120/2+22)-9)-10)))&lt;0.5,POWER(1.1,1.75-(($A120+5)/($A120+10))*(INDEX('Stat Boosts'!$D$2:$D$192,I$1-9)-10)/((INDEX('Stat Boosts'!$D$2:$D$192,(E120/2+22)-9)-10))-0.5)*0.5,(1.75-(($A120+5)/($A120+10))*(INDEX('Stat Boosts'!$D$2:$D$192,I$1-9)-10)/((INDEX('Stat Boosts'!$D$2:$D$192,(E120/2+22)-9)-10))))</f>
        <v>0.48698731691824976</v>
      </c>
      <c r="J120" s="16">
        <f>IF((1.75-(($A120+5)/($A120+10))*(INDEX('Stat Boosts'!$D$2:$D$192,J$1-9)-10)/((INDEX('Stat Boosts'!$D$2:$D$192,(F120/2+22)-9)-10)))&lt;0.5,POWER(1.1,1.75-(($A120+5)/($A120+10))*(INDEX('Stat Boosts'!$D$2:$D$192,J$1-9)-10)/((INDEX('Stat Boosts'!$D$2:$D$192,(F120/2+22)-9)-10))-0.5)*0.5,(1.75-(($A120+5)/($A120+10))*(INDEX('Stat Boosts'!$D$2:$D$192,J$1-9)-10)/((INDEX('Stat Boosts'!$D$2:$D$192,(F120/2+22)-9)-10))))</f>
        <v>0.47149241985927026</v>
      </c>
      <c r="K120" s="16">
        <f>IF((1.75-(($A120+5)/($A120+10))*(INDEX('Stat Boosts'!$D$2:$D$192,K$1-9)-10)/((INDEX('Stat Boosts'!$D$2:$D$192,(G120/2+22)-9)-10)))&lt;0.5,POWER(1.1,1.75-(($A120+5)/($A120+10))*(INDEX('Stat Boosts'!$D$2:$D$192,K$1-9)-10)/((INDEX('Stat Boosts'!$D$2:$D$192,(G120/2+22)-9)-10))-0.5)*0.5,(1.75-(($A120+5)/($A120+10))*(INDEX('Stat Boosts'!$D$2:$D$192,K$1-9)-10)/((INDEX('Stat Boosts'!$D$2:$D$192,(G120/2+22)-9)-10))))</f>
        <v>0.43722789830862768</v>
      </c>
      <c r="L120" s="16">
        <f>IF((1.75-(($A120+5)/($A120+10))*(INDEX('Stat Boosts'!$D$2:$D$192,L$1-9)-10)/((INDEX('Stat Boosts'!$D$2:$D$192,(H120/2+22)-9)-10)))&lt;0.5,POWER(1.1,1.75-(($A120+5)/($A120+10))*(INDEX('Stat Boosts'!$D$2:$D$192,L$1-9)-10)/((INDEX('Stat Boosts'!$D$2:$D$192,(H120/2+22)-9)-10))-0.5)*0.5,(1.75-(($A120+5)/($A120+10))*(INDEX('Stat Boosts'!$D$2:$D$192,L$1-9)-10)/((INDEX('Stat Boosts'!$D$2:$D$192,(H120/2+22)-9)-10))))</f>
        <v>0.42560372362931359</v>
      </c>
      <c r="M120" s="16">
        <f>IF((1.75-(($A120+5)/($A120+10))*(INDEX('Stat Boosts'!$D$2:$D$192,M$1-9)-10)/((INDEX('Stat Boosts'!$D$2:$D$192,(I120/2+22)-9)-10)))&lt;0.5,POWER(1.1,1.75-(($A120+5)/($A120+10))*(INDEX('Stat Boosts'!$D$2:$D$192,M$1-9)-10)/((INDEX('Stat Boosts'!$D$2:$D$192,(I120/2+22)-9)-10))-0.5)*0.5,(1.75-(($A120+5)/($A120+10))*(INDEX('Stat Boosts'!$D$2:$D$192,M$1-9)-10)/((INDEX('Stat Boosts'!$D$2:$D$192,(I120/2+22)-9)-10))))</f>
        <v>0.40984722047434896</v>
      </c>
      <c r="N120" s="16">
        <f>IF((1.75-(($A120+5)/($A120+10))*(INDEX('Stat Boosts'!$D$2:$D$192,N$1-9)-10)/((INDEX('Stat Boosts'!$D$2:$D$192,(J120/2+22)-9)-10)))&lt;0.5,POWER(1.1,1.75-(($A120+5)/($A120+10))*(INDEX('Stat Boosts'!$D$2:$D$192,N$1-9)-10)/((INDEX('Stat Boosts'!$D$2:$D$192,(J120/2+22)-9)-10))-0.5)*0.5,(1.75-(($A120+5)/($A120+10))*(INDEX('Stat Boosts'!$D$2:$D$192,N$1-9)-10)/((INDEX('Stat Boosts'!$D$2:$D$192,(J120/2+22)-9)-10))))</f>
        <v>0.39044295475030122</v>
      </c>
      <c r="O120" s="16">
        <f>IF((1.75-(($A120+5)/($A120+10))*(INDEX('Stat Boosts'!$D$2:$D$192,O$1-9)-10)/((INDEX('Stat Boosts'!$D$2:$D$192,(K120/2+22)-9)-10)))&lt;0.5,POWER(1.1,1.75-(($A120+5)/($A120+10))*(INDEX('Stat Boosts'!$D$2:$D$192,O$1-9)-10)/((INDEX('Stat Boosts'!$D$2:$D$192,(K120/2+22)-9)-10))-0.5)*0.5,(1.75-(($A120+5)/($A120+10))*(INDEX('Stat Boosts'!$D$2:$D$192,O$1-9)-10)/((INDEX('Stat Boosts'!$D$2:$D$192,(K120/2+22)-9)-10))))</f>
        <v>0.38006260819446136</v>
      </c>
      <c r="P120" s="16">
        <f>IF((1.75-(($A120+5)/($A120+10))*(INDEX('Stat Boosts'!$D$2:$D$192,P$1-9)-10)/((INDEX('Stat Boosts'!$D$2:$D$192,(L120/2+22)-9)-10)))&lt;0.5,POWER(1.1,1.75-(($A120+5)/($A120+10))*(INDEX('Stat Boosts'!$D$2:$D$192,P$1-9)-10)/((INDEX('Stat Boosts'!$D$2:$D$192,(L120/2+22)-9)-10))-0.5)*0.5,(1.75-(($A120+5)/($A120+10))*(INDEX('Stat Boosts'!$D$2:$D$192,P$1-9)-10)/((INDEX('Stat Boosts'!$D$2:$D$192,(L120/2+22)-9)-10))))</f>
        <v>0.36402501653079911</v>
      </c>
      <c r="Q120" s="16">
        <f>IF((1.75-(($A120+5)/($A120+10))*(INDEX('Stat Boosts'!$D$2:$D$192,Q$1-9)-10)/((INDEX('Stat Boosts'!$D$2:$D$192,(M120/2+22)-9)-10)))&lt;0.5,POWER(1.1,1.75-(($A120+5)/($A120+10))*(INDEX('Stat Boosts'!$D$2:$D$192,Q$1-9)-10)/((INDEX('Stat Boosts'!$D$2:$D$192,(M120/2+22)-9)-10))-0.5)*0.5,(1.75-(($A120+5)/($A120+10))*(INDEX('Stat Boosts'!$D$2:$D$192,Q$1-9)-10)/((INDEX('Stat Boosts'!$D$2:$D$192,(M120/2+22)-9)-10))))</f>
        <v>0.348664166911276</v>
      </c>
      <c r="R120" s="16">
        <f>IF((1.75-(($A120+5)/($A120+10))*1.25*(INDEX('Stat Boosts'!$D$2:$D$192,R$1-9)-10)/((INDEX('Stat Boosts'!$D$2:$D$192,(N120/2+22)-9)-10)))&lt;0.5,POWER(1.1,1.75-(($A120+5)/($A120+10))*1.25*(INDEX('Stat Boosts'!$D$2:$D$192,R$1-9)-10)/((INDEX('Stat Boosts'!$D$2:$D$192,(N120/2+22)-9)-10))-0.5)*0.5,(1.75-(($A120+5)/($A120+10))*1.25*(INDEX('Stat Boosts'!$D$2:$D$192,R$1-9)-10)/((INDEX('Stat Boosts'!$D$2:$D$192,(N120/2+22)-9)-10))))</f>
        <v>0.29303975146590761</v>
      </c>
    </row>
    <row r="121" spans="1:18">
      <c r="A121" s="9">
        <v>120</v>
      </c>
      <c r="B121" s="16">
        <f t="shared" si="2"/>
        <v>70</v>
      </c>
      <c r="C121" s="16">
        <f t="shared" si="3"/>
        <v>6.6666666666666671E-3</v>
      </c>
      <c r="E121" s="16">
        <f>IF((1.75-(($A121+5)/($A121+10))*(INDEX('Stat Boosts'!$D$2:$D$192,E$1-9)-10)/((INDEX('Stat Boosts'!$D$2:$D$192,(A121/2+22)-9)-10)))&lt;0.5,POWER(1.1,1.75-(($A121+5)/($A121+10))*(INDEX('Stat Boosts'!$D$2:$D$192,E$1-9)-10)/((INDEX('Stat Boosts'!$D$2:$D$192,(A121/2+22)-9)-10))-0.5)*0.5,(1.75-(($A121+5)/($A121+10))*(INDEX('Stat Boosts'!$D$2:$D$192,E$1-9)-10)/((INDEX('Stat Boosts'!$D$2:$D$192,(A121/2+22)-9)-10))))</f>
        <v>1.75</v>
      </c>
      <c r="F121" s="16">
        <f>IF((1.75-(($A121+5)/($A121+10))*(INDEX('Stat Boosts'!$D$2:$D$192,F$1-9)-10)/((INDEX('Stat Boosts'!$D$2:$D$192,(B121/2+22)-9)-10)))&lt;0.5,POWER(1.1,1.75-(($A121+5)/($A121+10))*(INDEX('Stat Boosts'!$D$2:$D$192,F$1-9)-10)/((INDEX('Stat Boosts'!$D$2:$D$192,(B121/2+22)-9)-10))-0.5)*0.5,(1.75-(($A121+5)/($A121+10))*(INDEX('Stat Boosts'!$D$2:$D$192,F$1-9)-10)/((INDEX('Stat Boosts'!$D$2:$D$192,(B121/2+22)-9)-10))))</f>
        <v>1.6431623931623931</v>
      </c>
      <c r="G121" s="16">
        <f>IF((1.75-(($A121+5)/($A121+10))*(INDEX('Stat Boosts'!$D$2:$D$192,G$1-9)-10)/((INDEX('Stat Boosts'!$D$2:$D$192,(C121/2+22)-9)-10)))&lt;0.5,POWER(1.1,1.75-(($A121+5)/($A121+10))*(INDEX('Stat Boosts'!$D$2:$D$192,G$1-9)-10)/((INDEX('Stat Boosts'!$D$2:$D$192,(C121/2+22)-9)-10))-0.5)*0.5,(1.75-(($A121+5)/($A121+10))*(INDEX('Stat Boosts'!$D$2:$D$192,G$1-9)-10)/((INDEX('Stat Boosts'!$D$2:$D$192,(C121/2+22)-9)-10))))</f>
        <v>0.95814479638009054</v>
      </c>
      <c r="H121" s="16">
        <f>IF((1.75-(($A121+5)/($A121+10))*(INDEX('Stat Boosts'!$D$2:$D$192,H$1-9)-10)/((INDEX('Stat Boosts'!$D$2:$D$192,(D121/2+22)-9)-10)))&lt;0.5,POWER(1.1,1.75-(($A121+5)/($A121+10))*(INDEX('Stat Boosts'!$D$2:$D$192,H$1-9)-10)/((INDEX('Stat Boosts'!$D$2:$D$192,(D121/2+22)-9)-10))-0.5)*0.5,(1.75-(($A121+5)/($A121+10))*(INDEX('Stat Boosts'!$D$2:$D$192,H$1-9)-10)/((INDEX('Stat Boosts'!$D$2:$D$192,(D121/2+22)-9)-10))))</f>
        <v>0.56221719457013575</v>
      </c>
      <c r="I121" s="16">
        <f>IF((1.75-(($A121+5)/($A121+10))*(INDEX('Stat Boosts'!$D$2:$D$192,I$1-9)-10)/((INDEX('Stat Boosts'!$D$2:$D$192,(E121/2+22)-9)-10)))&lt;0.5,POWER(1.1,1.75-(($A121+5)/($A121+10))*(INDEX('Stat Boosts'!$D$2:$D$192,I$1-9)-10)/((INDEX('Stat Boosts'!$D$2:$D$192,(E121/2+22)-9)-10))-0.5)*0.5,(1.75-(($A121+5)/($A121+10))*(INDEX('Stat Boosts'!$D$2:$D$192,I$1-9)-10)/((INDEX('Stat Boosts'!$D$2:$D$192,(E121/2+22)-9)-10))))</f>
        <v>0.48696533837399714</v>
      </c>
      <c r="J121" s="16">
        <f>IF((1.75-(($A121+5)/($A121+10))*(INDEX('Stat Boosts'!$D$2:$D$192,J$1-9)-10)/((INDEX('Stat Boosts'!$D$2:$D$192,(F121/2+22)-9)-10)))&lt;0.5,POWER(1.1,1.75-(($A121+5)/($A121+10))*(INDEX('Stat Boosts'!$D$2:$D$192,J$1-9)-10)/((INDEX('Stat Boosts'!$D$2:$D$192,(F121/2+22)-9)-10))-0.5)*0.5,(1.75-(($A121+5)/($A121+10))*(INDEX('Stat Boosts'!$D$2:$D$192,J$1-9)-10)/((INDEX('Stat Boosts'!$D$2:$D$192,(F121/2+22)-9)-10))))</f>
        <v>0.47146641203716866</v>
      </c>
      <c r="K121" s="16">
        <f>IF((1.75-(($A121+5)/($A121+10))*(INDEX('Stat Boosts'!$D$2:$D$192,K$1-9)-10)/((INDEX('Stat Boosts'!$D$2:$D$192,(G121/2+22)-9)-10)))&lt;0.5,POWER(1.1,1.75-(($A121+5)/($A121+10))*(INDEX('Stat Boosts'!$D$2:$D$192,K$1-9)-10)/((INDEX('Stat Boosts'!$D$2:$D$192,(G121/2+22)-9)-10))-0.5)*0.5,(1.75-(($A121+5)/($A121+10))*(INDEX('Stat Boosts'!$D$2:$D$192,K$1-9)-10)/((INDEX('Stat Boosts'!$D$2:$D$192,(G121/2+22)-9)-10))))</f>
        <v>0.43719354916036762</v>
      </c>
      <c r="L121" s="16">
        <f>IF((1.75-(($A121+5)/($A121+10))*(INDEX('Stat Boosts'!$D$2:$D$192,L$1-9)-10)/((INDEX('Stat Boosts'!$D$2:$D$192,(H121/2+22)-9)-10)))&lt;0.5,POWER(1.1,1.75-(($A121+5)/($A121+10))*(INDEX('Stat Boosts'!$D$2:$D$192,L$1-9)-10)/((INDEX('Stat Boosts'!$D$2:$D$192,(H121/2+22)-9)-10))-0.5)*0.5,(1.75-(($A121+5)/($A121+10))*(INDEX('Stat Boosts'!$D$2:$D$192,L$1-9)-10)/((INDEX('Stat Boosts'!$D$2:$D$192,(H121/2+22)-9)-10))))</f>
        <v>0.4255667308299485</v>
      </c>
      <c r="M121" s="16">
        <f>IF((1.75-(($A121+5)/($A121+10))*(INDEX('Stat Boosts'!$D$2:$D$192,M$1-9)-10)/((INDEX('Stat Boosts'!$D$2:$D$192,(I121/2+22)-9)-10)))&lt;0.5,POWER(1.1,1.75-(($A121+5)/($A121+10))*(INDEX('Stat Boosts'!$D$2:$D$192,M$1-9)-10)/((INDEX('Stat Boosts'!$D$2:$D$192,(I121/2+22)-9)-10))-0.5)*0.5,(1.75-(($A121+5)/($A121+10))*(INDEX('Stat Boosts'!$D$2:$D$192,M$1-9)-10)/((INDEX('Stat Boosts'!$D$2:$D$192,(I121/2+22)-9)-10))))</f>
        <v>0.40980680200158964</v>
      </c>
      <c r="N121" s="16">
        <f>IF((1.75-(($A121+5)/($A121+10))*(INDEX('Stat Boosts'!$D$2:$D$192,N$1-9)-10)/((INDEX('Stat Boosts'!$D$2:$D$192,(J121/2+22)-9)-10)))&lt;0.5,POWER(1.1,1.75-(($A121+5)/($A121+10))*(INDEX('Stat Boosts'!$D$2:$D$192,N$1-9)-10)/((INDEX('Stat Boosts'!$D$2:$D$192,(J121/2+22)-9)-10))-0.5)*0.5,(1.75-(($A121+5)/($A121+10))*(INDEX('Stat Boosts'!$D$2:$D$192,N$1-9)-10)/((INDEX('Stat Boosts'!$D$2:$D$192,(J121/2+22)-9)-10))))</f>
        <v>0.39039857660678767</v>
      </c>
      <c r="O121" s="16">
        <f>IF((1.75-(($A121+5)/($A121+10))*(INDEX('Stat Boosts'!$D$2:$D$192,O$1-9)-10)/((INDEX('Stat Boosts'!$D$2:$D$192,(K121/2+22)-9)-10)))&lt;0.5,POWER(1.1,1.75-(($A121+5)/($A121+10))*(INDEX('Stat Boosts'!$D$2:$D$192,O$1-9)-10)/((INDEX('Stat Boosts'!$D$2:$D$192,(K121/2+22)-9)-10))-0.5)*0.5,(1.75-(($A121+5)/($A121+10))*(INDEX('Stat Boosts'!$D$2:$D$192,O$1-9)-10)/((INDEX('Stat Boosts'!$D$2:$D$192,(K121/2+22)-9)-10))))</f>
        <v>0.38001623373970128</v>
      </c>
      <c r="P121" s="16">
        <f>IF((1.75-(($A121+5)/($A121+10))*(INDEX('Stat Boosts'!$D$2:$D$192,P$1-9)-10)/((INDEX('Stat Boosts'!$D$2:$D$192,(L121/2+22)-9)-10)))&lt;0.5,POWER(1.1,1.75-(($A121+5)/($A121+10))*(INDEX('Stat Boosts'!$D$2:$D$192,P$1-9)-10)/((INDEX('Stat Boosts'!$D$2:$D$192,(L121/2+22)-9)-10))-0.5)*0.5,(1.75-(($A121+5)/($A121+10))*(INDEX('Stat Boosts'!$D$2:$D$192,P$1-9)-10)/((INDEX('Stat Boosts'!$D$2:$D$192,(L121/2+22)-9)-10))))</f>
        <v>0.36397573159928831</v>
      </c>
      <c r="Q121" s="16">
        <f>IF((1.75-(($A121+5)/($A121+10))*(INDEX('Stat Boosts'!$D$2:$D$192,Q$1-9)-10)/((INDEX('Stat Boosts'!$D$2:$D$192,(M121/2+22)-9)-10)))&lt;0.5,POWER(1.1,1.75-(($A121+5)/($A121+10))*(INDEX('Stat Boosts'!$D$2:$D$192,Q$1-9)-10)/((INDEX('Stat Boosts'!$D$2:$D$192,(M121/2+22)-9)-10))-0.5)*0.5,(1.75-(($A121+5)/($A121+10))*(INDEX('Stat Boosts'!$D$2:$D$192,Q$1-9)-10)/((INDEX('Stat Boosts'!$D$2:$D$192,(M121/2+22)-9)-10))))</f>
        <v>0.34861229976817376</v>
      </c>
      <c r="R121" s="16">
        <f>IF((1.75-(($A121+5)/($A121+10))*1.25*(INDEX('Stat Boosts'!$D$2:$D$192,R$1-9)-10)/((INDEX('Stat Boosts'!$D$2:$D$192,(N121/2+22)-9)-10)))&lt;0.5,POWER(1.1,1.75-(($A121+5)/($A121+10))*1.25*(INDEX('Stat Boosts'!$D$2:$D$192,R$1-9)-10)/((INDEX('Stat Boosts'!$D$2:$D$192,(N121/2+22)-9)-10))-0.5)*0.5,(1.75-(($A121+5)/($A121+10))*1.25*(INDEX('Stat Boosts'!$D$2:$D$192,R$1-9)-10)/((INDEX('Stat Boosts'!$D$2:$D$192,(N121/2+22)-9)-10))))</f>
        <v>0.29298036443905662</v>
      </c>
    </row>
    <row r="122" spans="1:18">
      <c r="A122" s="9">
        <v>121</v>
      </c>
      <c r="B122" s="16">
        <f t="shared" si="2"/>
        <v>70.400000000000006</v>
      </c>
      <c r="C122" s="16">
        <f t="shared" si="3"/>
        <v>6.6225165562913907E-3</v>
      </c>
      <c r="E122" s="16">
        <f>IF((1.75-(($A122+5)/($A122+10))*(INDEX('Stat Boosts'!$D$2:$D$192,E$1-9)-10)/((INDEX('Stat Boosts'!$D$2:$D$192,(A122/2+22)-9)-10)))&lt;0.5,POWER(1.1,1.75-(($A122+5)/($A122+10))*(INDEX('Stat Boosts'!$D$2:$D$192,E$1-9)-10)/((INDEX('Stat Boosts'!$D$2:$D$192,(A122/2+22)-9)-10))-0.5)*0.5,(1.75-(($A122+5)/($A122+10))*(INDEX('Stat Boosts'!$D$2:$D$192,E$1-9)-10)/((INDEX('Stat Boosts'!$D$2:$D$192,(A122/2+22)-9)-10))))</f>
        <v>1.75</v>
      </c>
      <c r="F122" s="16">
        <f>IF((1.75-(($A122+5)/($A122+10))*(INDEX('Stat Boosts'!$D$2:$D$192,F$1-9)-10)/((INDEX('Stat Boosts'!$D$2:$D$192,(B122/2+22)-9)-10)))&lt;0.5,POWER(1.1,1.75-(($A122+5)/($A122+10))*(INDEX('Stat Boosts'!$D$2:$D$192,F$1-9)-10)/((INDEX('Stat Boosts'!$D$2:$D$192,(B122/2+22)-9)-10))-0.5)*0.5,(1.75-(($A122+5)/($A122+10))*(INDEX('Stat Boosts'!$D$2:$D$192,F$1-9)-10)/((INDEX('Stat Boosts'!$D$2:$D$192,(B122/2+22)-9)-10))))</f>
        <v>1.6431297709923665</v>
      </c>
      <c r="G122" s="16">
        <f>IF((1.75-(($A122+5)/($A122+10))*(INDEX('Stat Boosts'!$D$2:$D$192,G$1-9)-10)/((INDEX('Stat Boosts'!$D$2:$D$192,(C122/2+22)-9)-10)))&lt;0.5,POWER(1.1,1.75-(($A122+5)/($A122+10))*(INDEX('Stat Boosts'!$D$2:$D$192,G$1-9)-10)/((INDEX('Stat Boosts'!$D$2:$D$192,(C122/2+22)-9)-10))-0.5)*0.5,(1.75-(($A122+5)/($A122+10))*(INDEX('Stat Boosts'!$D$2:$D$192,G$1-9)-10)/((INDEX('Stat Boosts'!$D$2:$D$192,(C122/2+22)-9)-10))))</f>
        <v>0.95790300853165689</v>
      </c>
      <c r="H122" s="16">
        <f>IF((1.75-(($A122+5)/($A122+10))*(INDEX('Stat Boosts'!$D$2:$D$192,H$1-9)-10)/((INDEX('Stat Boosts'!$D$2:$D$192,(D122/2+22)-9)-10)))&lt;0.5,POWER(1.1,1.75-(($A122+5)/($A122+10))*(INDEX('Stat Boosts'!$D$2:$D$192,H$1-9)-10)/((INDEX('Stat Boosts'!$D$2:$D$192,(D122/2+22)-9)-10))-0.5)*0.5,(1.75-(($A122+5)/($A122+10))*(INDEX('Stat Boosts'!$D$2:$D$192,H$1-9)-10)/((INDEX('Stat Boosts'!$D$2:$D$192,(D122/2+22)-9)-10))))</f>
        <v>0.56185451279748544</v>
      </c>
      <c r="I122" s="16">
        <f>IF((1.75-(($A122+5)/($A122+10))*(INDEX('Stat Boosts'!$D$2:$D$192,I$1-9)-10)/((INDEX('Stat Boosts'!$D$2:$D$192,(E122/2+22)-9)-10)))&lt;0.5,POWER(1.1,1.75-(($A122+5)/($A122+10))*(INDEX('Stat Boosts'!$D$2:$D$192,I$1-9)-10)/((INDEX('Stat Boosts'!$D$2:$D$192,(E122/2+22)-9)-10))-0.5)*0.5,(1.75-(($A122+5)/($A122+10))*(INDEX('Stat Boosts'!$D$2:$D$192,I$1-9)-10)/((INDEX('Stat Boosts'!$D$2:$D$192,(E122/2+22)-9)-10))))</f>
        <v>0.48694369634936646</v>
      </c>
      <c r="J122" s="16">
        <f>IF((1.75-(($A122+5)/($A122+10))*(INDEX('Stat Boosts'!$D$2:$D$192,J$1-9)-10)/((INDEX('Stat Boosts'!$D$2:$D$192,(F122/2+22)-9)-10)))&lt;0.5,POWER(1.1,1.75-(($A122+5)/($A122+10))*(INDEX('Stat Boosts'!$D$2:$D$192,J$1-9)-10)/((INDEX('Stat Boosts'!$D$2:$D$192,(F122/2+22)-9)-10))-0.5)*0.5,(1.75-(($A122+5)/($A122+10))*(INDEX('Stat Boosts'!$D$2:$D$192,J$1-9)-10)/((INDEX('Stat Boosts'!$D$2:$D$192,(F122/2+22)-9)-10))))</f>
        <v>0.47144080268297539</v>
      </c>
      <c r="K122" s="16">
        <f>IF((1.75-(($A122+5)/($A122+10))*(INDEX('Stat Boosts'!$D$2:$D$192,K$1-9)-10)/((INDEX('Stat Boosts'!$D$2:$D$192,(G122/2+22)-9)-10)))&lt;0.5,POWER(1.1,1.75-(($A122+5)/($A122+10))*(INDEX('Stat Boosts'!$D$2:$D$192,K$1-9)-10)/((INDEX('Stat Boosts'!$D$2:$D$192,(G122/2+22)-9)-10))-0.5)*0.5,(1.75-(($A122+5)/($A122+10))*(INDEX('Stat Boosts'!$D$2:$D$192,K$1-9)-10)/((INDEX('Stat Boosts'!$D$2:$D$192,(G122/2+22)-9)-10))))</f>
        <v>0.43715972706361272</v>
      </c>
      <c r="L122" s="16">
        <f>IF((1.75-(($A122+5)/($A122+10))*(INDEX('Stat Boosts'!$D$2:$D$192,L$1-9)-10)/((INDEX('Stat Boosts'!$D$2:$D$192,(H122/2+22)-9)-10)))&lt;0.5,POWER(1.1,1.75-(($A122+5)/($A122+10))*(INDEX('Stat Boosts'!$D$2:$D$192,L$1-9)-10)/((INDEX('Stat Boosts'!$D$2:$D$192,(H122/2+22)-9)-10))-0.5)*0.5,(1.75-(($A122+5)/($A122+10))*(INDEX('Stat Boosts'!$D$2:$D$192,L$1-9)-10)/((INDEX('Stat Boosts'!$D$2:$D$192,(H122/2+22)-9)-10))))</f>
        <v>0.42553030594824365</v>
      </c>
      <c r="M122" s="16">
        <f>IF((1.75-(($A122+5)/($A122+10))*(INDEX('Stat Boosts'!$D$2:$D$192,M$1-9)-10)/((INDEX('Stat Boosts'!$D$2:$D$192,(I122/2+22)-9)-10)))&lt;0.5,POWER(1.1,1.75-(($A122+5)/($A122+10))*(INDEX('Stat Boosts'!$D$2:$D$192,M$1-9)-10)/((INDEX('Stat Boosts'!$D$2:$D$192,(I122/2+22)-9)-10))-0.5)*0.5,(1.75-(($A122+5)/($A122+10))*(INDEX('Stat Boosts'!$D$2:$D$192,M$1-9)-10)/((INDEX('Stat Boosts'!$D$2:$D$192,(I122/2+22)-9)-10))))</f>
        <v>0.40976700449993902</v>
      </c>
      <c r="N122" s="16">
        <f>IF((1.75-(($A122+5)/($A122+10))*(INDEX('Stat Boosts'!$D$2:$D$192,N$1-9)-10)/((INDEX('Stat Boosts'!$D$2:$D$192,(J122/2+22)-9)-10)))&lt;0.5,POWER(1.1,1.75-(($A122+5)/($A122+10))*(INDEX('Stat Boosts'!$D$2:$D$192,N$1-9)-10)/((INDEX('Stat Boosts'!$D$2:$D$192,(J122/2+22)-9)-10))-0.5)*0.5,(1.75-(($A122+5)/($A122+10))*(INDEX('Stat Boosts'!$D$2:$D$192,N$1-9)-10)/((INDEX('Stat Boosts'!$D$2:$D$192,(J122/2+22)-9)-10))))</f>
        <v>0.39035488092132542</v>
      </c>
      <c r="O122" s="16">
        <f>IF((1.75-(($A122+5)/($A122+10))*(INDEX('Stat Boosts'!$D$2:$D$192,O$1-9)-10)/((INDEX('Stat Boosts'!$D$2:$D$192,(K122/2+22)-9)-10)))&lt;0.5,POWER(1.1,1.75-(($A122+5)/($A122+10))*(INDEX('Stat Boosts'!$D$2:$D$192,O$1-9)-10)/((INDEX('Stat Boosts'!$D$2:$D$192,(K122/2+22)-9)-10))-0.5)*0.5,(1.75-(($A122+5)/($A122+10))*(INDEX('Stat Boosts'!$D$2:$D$192,O$1-9)-10)/((INDEX('Stat Boosts'!$D$2:$D$192,(K122/2+22)-9)-10))))</f>
        <v>0.37997057282147789</v>
      </c>
      <c r="P122" s="16">
        <f>IF((1.75-(($A122+5)/($A122+10))*(INDEX('Stat Boosts'!$D$2:$D$192,P$1-9)-10)/((INDEX('Stat Boosts'!$D$2:$D$192,(L122/2+22)-9)-10)))&lt;0.5,POWER(1.1,1.75-(($A122+5)/($A122+10))*(INDEX('Stat Boosts'!$D$2:$D$192,P$1-9)-10)/((INDEX('Stat Boosts'!$D$2:$D$192,(L122/2+22)-9)-10))-0.5)*0.5,(1.75-(($A122+5)/($A122+10))*(INDEX('Stat Boosts'!$D$2:$D$192,P$1-9)-10)/((INDEX('Stat Boosts'!$D$2:$D$192,(L122/2+22)-9)-10))))</f>
        <v>0.36392720563008424</v>
      </c>
      <c r="Q122" s="16">
        <f>IF((1.75-(($A122+5)/($A122+10))*(INDEX('Stat Boosts'!$D$2:$D$192,Q$1-9)-10)/((INDEX('Stat Boosts'!$D$2:$D$192,(M122/2+22)-9)-10)))&lt;0.5,POWER(1.1,1.75-(($A122+5)/($A122+10))*(INDEX('Stat Boosts'!$D$2:$D$192,Q$1-9)-10)/((INDEX('Stat Boosts'!$D$2:$D$192,(M122/2+22)-9)-10))-0.5)*0.5,(1.75-(($A122+5)/($A122+10))*(INDEX('Stat Boosts'!$D$2:$D$192,Q$1-9)-10)/((INDEX('Stat Boosts'!$D$2:$D$192,(M122/2+22)-9)-10))))</f>
        <v>0.348561232029796</v>
      </c>
      <c r="R122" s="16">
        <f>IF((1.75-(($A122+5)/($A122+10))*1.25*(INDEX('Stat Boosts'!$D$2:$D$192,R$1-9)-10)/((INDEX('Stat Boosts'!$D$2:$D$192,(N122/2+22)-9)-10)))&lt;0.5,POWER(1.1,1.75-(($A122+5)/($A122+10))*1.25*(INDEX('Stat Boosts'!$D$2:$D$192,R$1-9)-10)/((INDEX('Stat Boosts'!$D$2:$D$192,(N122/2+22)-9)-10))-0.5)*0.5,(1.75-(($A122+5)/($A122+10))*1.25*(INDEX('Stat Boosts'!$D$2:$D$192,R$1-9)-10)/((INDEX('Stat Boosts'!$D$2:$D$192,(N122/2+22)-9)-10))))</f>
        <v>0.29292189584546047</v>
      </c>
    </row>
    <row r="123" spans="1:18">
      <c r="A123" s="9">
        <v>122</v>
      </c>
      <c r="B123" s="16">
        <f t="shared" si="2"/>
        <v>70.8</v>
      </c>
      <c r="C123" s="16">
        <f t="shared" si="3"/>
        <v>6.5789473684210531E-3</v>
      </c>
      <c r="E123" s="16">
        <f>IF((1.75-(($A123+5)/($A123+10))*(INDEX('Stat Boosts'!$D$2:$D$192,E$1-9)-10)/((INDEX('Stat Boosts'!$D$2:$D$192,(A123/2+22)-9)-10)))&lt;0.5,POWER(1.1,1.75-(($A123+5)/($A123+10))*(INDEX('Stat Boosts'!$D$2:$D$192,E$1-9)-10)/((INDEX('Stat Boosts'!$D$2:$D$192,(A123/2+22)-9)-10))-0.5)*0.5,(1.75-(($A123+5)/($A123+10))*(INDEX('Stat Boosts'!$D$2:$D$192,E$1-9)-10)/((INDEX('Stat Boosts'!$D$2:$D$192,(A123/2+22)-9)-10))))</f>
        <v>1.75</v>
      </c>
      <c r="F123" s="16">
        <f>IF((1.75-(($A123+5)/($A123+10))*(INDEX('Stat Boosts'!$D$2:$D$192,F$1-9)-10)/((INDEX('Stat Boosts'!$D$2:$D$192,(B123/2+22)-9)-10)))&lt;0.5,POWER(1.1,1.75-(($A123+5)/($A123+10))*(INDEX('Stat Boosts'!$D$2:$D$192,F$1-9)-10)/((INDEX('Stat Boosts'!$D$2:$D$192,(B123/2+22)-9)-10))-0.5)*0.5,(1.75-(($A123+5)/($A123+10))*(INDEX('Stat Boosts'!$D$2:$D$192,F$1-9)-10)/((INDEX('Stat Boosts'!$D$2:$D$192,(B123/2+22)-9)-10))))</f>
        <v>1.6430976430976432</v>
      </c>
      <c r="G123" s="16">
        <f>IF((1.75-(($A123+5)/($A123+10))*(INDEX('Stat Boosts'!$D$2:$D$192,G$1-9)-10)/((INDEX('Stat Boosts'!$D$2:$D$192,(C123/2+22)-9)-10)))&lt;0.5,POWER(1.1,1.75-(($A123+5)/($A123+10))*(INDEX('Stat Boosts'!$D$2:$D$192,G$1-9)-10)/((INDEX('Stat Boosts'!$D$2:$D$192,(C123/2+22)-9)-10))-0.5)*0.5,(1.75-(($A123+5)/($A123+10))*(INDEX('Stat Boosts'!$D$2:$D$192,G$1-9)-10)/((INDEX('Stat Boosts'!$D$2:$D$192,(C123/2+22)-9)-10))))</f>
        <v>0.95766488413547235</v>
      </c>
      <c r="H123" s="16">
        <f>IF((1.75-(($A123+5)/($A123+10))*(INDEX('Stat Boosts'!$D$2:$D$192,H$1-9)-10)/((INDEX('Stat Boosts'!$D$2:$D$192,(D123/2+22)-9)-10)))&lt;0.5,POWER(1.1,1.75-(($A123+5)/($A123+10))*(INDEX('Stat Boosts'!$D$2:$D$192,H$1-9)-10)/((INDEX('Stat Boosts'!$D$2:$D$192,(D123/2+22)-9)-10))-0.5)*0.5,(1.75-(($A123+5)/($A123+10))*(INDEX('Stat Boosts'!$D$2:$D$192,H$1-9)-10)/((INDEX('Stat Boosts'!$D$2:$D$192,(D123/2+22)-9)-10))))</f>
        <v>0.56149732620320836</v>
      </c>
      <c r="I123" s="16">
        <f>IF((1.75-(($A123+5)/($A123+10))*(INDEX('Stat Boosts'!$D$2:$D$192,I$1-9)-10)/((INDEX('Stat Boosts'!$D$2:$D$192,(E123/2+22)-9)-10)))&lt;0.5,POWER(1.1,1.75-(($A123+5)/($A123+10))*(INDEX('Stat Boosts'!$D$2:$D$192,I$1-9)-10)/((INDEX('Stat Boosts'!$D$2:$D$192,(E123/2+22)-9)-10))-0.5)*0.5,(1.75-(($A123+5)/($A123+10))*(INDEX('Stat Boosts'!$D$2:$D$192,I$1-9)-10)/((INDEX('Stat Boosts'!$D$2:$D$192,(E123/2+22)-9)-10))))</f>
        <v>0.48692238317427955</v>
      </c>
      <c r="J123" s="16">
        <f>IF((1.75-(($A123+5)/($A123+10))*(INDEX('Stat Boosts'!$D$2:$D$192,J$1-9)-10)/((INDEX('Stat Boosts'!$D$2:$D$192,(F123/2+22)-9)-10)))&lt;0.5,POWER(1.1,1.75-(($A123+5)/($A123+10))*(INDEX('Stat Boosts'!$D$2:$D$192,J$1-9)-10)/((INDEX('Stat Boosts'!$D$2:$D$192,(F123/2+22)-9)-10))-0.5)*0.5,(1.75-(($A123+5)/($A123+10))*(INDEX('Stat Boosts'!$D$2:$D$192,J$1-9)-10)/((INDEX('Stat Boosts'!$D$2:$D$192,(F123/2+22)-9)-10))))</f>
        <v>0.4714155827089071</v>
      </c>
      <c r="K123" s="16">
        <f>IF((1.75-(($A123+5)/($A123+10))*(INDEX('Stat Boosts'!$D$2:$D$192,K$1-9)-10)/((INDEX('Stat Boosts'!$D$2:$D$192,(G123/2+22)-9)-10)))&lt;0.5,POWER(1.1,1.75-(($A123+5)/($A123+10))*(INDEX('Stat Boosts'!$D$2:$D$192,K$1-9)-10)/((INDEX('Stat Boosts'!$D$2:$D$192,(G123/2+22)-9)-10))-0.5)*0.5,(1.75-(($A123+5)/($A123+10))*(INDEX('Stat Boosts'!$D$2:$D$192,K$1-9)-10)/((INDEX('Stat Boosts'!$D$2:$D$192,(G123/2+22)-9)-10))))</f>
        <v>0.43712641998024326</v>
      </c>
      <c r="L123" s="16">
        <f>IF((1.75-(($A123+5)/($A123+10))*(INDEX('Stat Boosts'!$D$2:$D$192,L$1-9)-10)/((INDEX('Stat Boosts'!$D$2:$D$192,(H123/2+22)-9)-10)))&lt;0.5,POWER(1.1,1.75-(($A123+5)/($A123+10))*(INDEX('Stat Boosts'!$D$2:$D$192,L$1-9)-10)/((INDEX('Stat Boosts'!$D$2:$D$192,(H123/2+22)-9)-10))-0.5)*0.5,(1.75-(($A123+5)/($A123+10))*(INDEX('Stat Boosts'!$D$2:$D$192,L$1-9)-10)/((INDEX('Stat Boosts'!$D$2:$D$192,(H123/2+22)-9)-10))))</f>
        <v>0.42549443600584824</v>
      </c>
      <c r="M123" s="16">
        <f>IF((1.75-(($A123+5)/($A123+10))*(INDEX('Stat Boosts'!$D$2:$D$192,M$1-9)-10)/((INDEX('Stat Boosts'!$D$2:$D$192,(I123/2+22)-9)-10)))&lt;0.5,POWER(1.1,1.75-(($A123+5)/($A123+10))*(INDEX('Stat Boosts'!$D$2:$D$192,M$1-9)-10)/((INDEX('Stat Boosts'!$D$2:$D$192,(I123/2+22)-9)-10))-0.5)*0.5,(1.75-(($A123+5)/($A123+10))*(INDEX('Stat Boosts'!$D$2:$D$192,M$1-9)-10)/((INDEX('Stat Boosts'!$D$2:$D$192,(I123/2+22)-9)-10))))</f>
        <v>0.40972781376819395</v>
      </c>
      <c r="N123" s="16">
        <f>IF((1.75-(($A123+5)/($A123+10))*(INDEX('Stat Boosts'!$D$2:$D$192,N$1-9)-10)/((INDEX('Stat Boosts'!$D$2:$D$192,(J123/2+22)-9)-10)))&lt;0.5,POWER(1.1,1.75-(($A123+5)/($A123+10))*(INDEX('Stat Boosts'!$D$2:$D$192,N$1-9)-10)/((INDEX('Stat Boosts'!$D$2:$D$192,(J123/2+22)-9)-10))-0.5)*0.5,(1.75-(($A123+5)/($A123+10))*(INDEX('Stat Boosts'!$D$2:$D$192,N$1-9)-10)/((INDEX('Stat Boosts'!$D$2:$D$192,(J123/2+22)-9)-10))))</f>
        <v>0.39031185207179192</v>
      </c>
      <c r="O123" s="16">
        <f>IF((1.75-(($A123+5)/($A123+10))*(INDEX('Stat Boosts'!$D$2:$D$192,O$1-9)-10)/((INDEX('Stat Boosts'!$D$2:$D$192,(K123/2+22)-9)-10)))&lt;0.5,POWER(1.1,1.75-(($A123+5)/($A123+10))*(INDEX('Stat Boosts'!$D$2:$D$192,O$1-9)-10)/((INDEX('Stat Boosts'!$D$2:$D$192,(K123/2+22)-9)-10))-0.5)*0.5,(1.75-(($A123+5)/($A123+10))*(INDEX('Stat Boosts'!$D$2:$D$192,O$1-9)-10)/((INDEX('Stat Boosts'!$D$2:$D$192,(K123/2+22)-9)-10))))</f>
        <v>0.37992560909768675</v>
      </c>
      <c r="P123" s="16">
        <f>IF((1.75-(($A123+5)/($A123+10))*(INDEX('Stat Boosts'!$D$2:$D$192,P$1-9)-10)/((INDEX('Stat Boosts'!$D$2:$D$192,(L123/2+22)-9)-10)))&lt;0.5,POWER(1.1,1.75-(($A123+5)/($A123+10))*(INDEX('Stat Boosts'!$D$2:$D$192,P$1-9)-10)/((INDEX('Stat Boosts'!$D$2:$D$192,(L123/2+22)-9)-10))-0.5)*0.5,(1.75-(($A123+5)/($A123+10))*(INDEX('Stat Boosts'!$D$2:$D$192,P$1-9)-10)/((INDEX('Stat Boosts'!$D$2:$D$192,(L123/2+22)-9)-10))))</f>
        <v>0.36387942122612776</v>
      </c>
      <c r="Q123" s="16">
        <f>IF((1.75-(($A123+5)/($A123+10))*(INDEX('Stat Boosts'!$D$2:$D$192,Q$1-9)-10)/((INDEX('Stat Boosts'!$D$2:$D$192,(M123/2+22)-9)-10)))&lt;0.5,POWER(1.1,1.75-(($A123+5)/($A123+10))*(INDEX('Stat Boosts'!$D$2:$D$192,Q$1-9)-10)/((INDEX('Stat Boosts'!$D$2:$D$192,(M123/2+22)-9)-10))-0.5)*0.5,(1.75-(($A123+5)/($A123+10))*(INDEX('Stat Boosts'!$D$2:$D$192,Q$1-9)-10)/((INDEX('Stat Boosts'!$D$2:$D$192,(M123/2+22)-9)-10))))</f>
        <v>0.34851094535671806</v>
      </c>
      <c r="R123" s="16">
        <f>IF((1.75-(($A123+5)/($A123+10))*1.25*(INDEX('Stat Boosts'!$D$2:$D$192,R$1-9)-10)/((INDEX('Stat Boosts'!$D$2:$D$192,(N123/2+22)-9)-10)))&lt;0.5,POWER(1.1,1.75-(($A123+5)/($A123+10))*1.25*(INDEX('Stat Boosts'!$D$2:$D$192,R$1-9)-10)/((INDEX('Stat Boosts'!$D$2:$D$192,(N123/2+22)-9)-10))-0.5)*0.5,(1.75-(($A123+5)/($A123+10))*1.25*(INDEX('Stat Boosts'!$D$2:$D$192,R$1-9)-10)/((INDEX('Stat Boosts'!$D$2:$D$192,(N123/2+22)-9)-10))))</f>
        <v>0.29286432454408717</v>
      </c>
    </row>
    <row r="124" spans="1:18">
      <c r="A124" s="9">
        <v>123</v>
      </c>
      <c r="B124" s="16">
        <f t="shared" si="2"/>
        <v>71.2</v>
      </c>
      <c r="C124" s="16">
        <f t="shared" si="3"/>
        <v>6.5359477124183009E-3</v>
      </c>
      <c r="E124" s="16">
        <f>IF((1.75-(($A124+5)/($A124+10))*(INDEX('Stat Boosts'!$D$2:$D$192,E$1-9)-10)/((INDEX('Stat Boosts'!$D$2:$D$192,(A124/2+22)-9)-10)))&lt;0.5,POWER(1.1,1.75-(($A124+5)/($A124+10))*(INDEX('Stat Boosts'!$D$2:$D$192,E$1-9)-10)/((INDEX('Stat Boosts'!$D$2:$D$192,(A124/2+22)-9)-10))-0.5)*0.5,(1.75-(($A124+5)/($A124+10))*(INDEX('Stat Boosts'!$D$2:$D$192,E$1-9)-10)/((INDEX('Stat Boosts'!$D$2:$D$192,(A124/2+22)-9)-10))))</f>
        <v>1.75</v>
      </c>
      <c r="F124" s="16">
        <f>IF((1.75-(($A124+5)/($A124+10))*(INDEX('Stat Boosts'!$D$2:$D$192,F$1-9)-10)/((INDEX('Stat Boosts'!$D$2:$D$192,(B124/2+22)-9)-10)))&lt;0.5,POWER(1.1,1.75-(($A124+5)/($A124+10))*(INDEX('Stat Boosts'!$D$2:$D$192,F$1-9)-10)/((INDEX('Stat Boosts'!$D$2:$D$192,(B124/2+22)-9)-10))-0.5)*0.5,(1.75-(($A124+5)/($A124+10))*(INDEX('Stat Boosts'!$D$2:$D$192,F$1-9)-10)/((INDEX('Stat Boosts'!$D$2:$D$192,(B124/2+22)-9)-10))))</f>
        <v>1.6430659983291562</v>
      </c>
      <c r="G124" s="16">
        <f>IF((1.75-(($A124+5)/($A124+10))*(INDEX('Stat Boosts'!$D$2:$D$192,G$1-9)-10)/((INDEX('Stat Boosts'!$D$2:$D$192,(C124/2+22)-9)-10)))&lt;0.5,POWER(1.1,1.75-(($A124+5)/($A124+10))*(INDEX('Stat Boosts'!$D$2:$D$192,G$1-9)-10)/((INDEX('Stat Boosts'!$D$2:$D$192,(C124/2+22)-9)-10))-0.5)*0.5,(1.75-(($A124+5)/($A124+10))*(INDEX('Stat Boosts'!$D$2:$D$192,G$1-9)-10)/((INDEX('Stat Boosts'!$D$2:$D$192,(C124/2+22)-9)-10))))</f>
        <v>0.95743034055727561</v>
      </c>
      <c r="H124" s="16">
        <f>IF((1.75-(($A124+5)/($A124+10))*(INDEX('Stat Boosts'!$D$2:$D$192,H$1-9)-10)/((INDEX('Stat Boosts'!$D$2:$D$192,(D124/2+22)-9)-10)))&lt;0.5,POWER(1.1,1.75-(($A124+5)/($A124+10))*(INDEX('Stat Boosts'!$D$2:$D$192,H$1-9)-10)/((INDEX('Stat Boosts'!$D$2:$D$192,(D124/2+22)-9)-10))-0.5)*0.5,(1.75-(($A124+5)/($A124+10))*(INDEX('Stat Boosts'!$D$2:$D$192,H$1-9)-10)/((INDEX('Stat Boosts'!$D$2:$D$192,(D124/2+22)-9)-10))))</f>
        <v>0.56114551083591335</v>
      </c>
      <c r="I124" s="16">
        <f>IF((1.75-(($A124+5)/($A124+10))*(INDEX('Stat Boosts'!$D$2:$D$192,I$1-9)-10)/((INDEX('Stat Boosts'!$D$2:$D$192,(E124/2+22)-9)-10)))&lt;0.5,POWER(1.1,1.75-(($A124+5)/($A124+10))*(INDEX('Stat Boosts'!$D$2:$D$192,I$1-9)-10)/((INDEX('Stat Boosts'!$D$2:$D$192,(E124/2+22)-9)-10))-0.5)*0.5,(1.75-(($A124+5)/($A124+10))*(INDEX('Stat Boosts'!$D$2:$D$192,I$1-9)-10)/((INDEX('Stat Boosts'!$D$2:$D$192,(E124/2+22)-9)-10))))</f>
        <v>0.48690139140999206</v>
      </c>
      <c r="J124" s="16">
        <f>IF((1.75-(($A124+5)/($A124+10))*(INDEX('Stat Boosts'!$D$2:$D$192,J$1-9)-10)/((INDEX('Stat Boosts'!$D$2:$D$192,(F124/2+22)-9)-10)))&lt;0.5,POWER(1.1,1.75-(($A124+5)/($A124+10))*(INDEX('Stat Boosts'!$D$2:$D$192,J$1-9)-10)/((INDEX('Stat Boosts'!$D$2:$D$192,(F124/2+22)-9)-10))-0.5)*0.5,(1.75-(($A124+5)/($A124+10))*(INDEX('Stat Boosts'!$D$2:$D$192,J$1-9)-10)/((INDEX('Stat Boosts'!$D$2:$D$192,(F124/2+22)-9)-10))))</f>
        <v>0.47139074330144587</v>
      </c>
      <c r="K124" s="16">
        <f>IF((1.75-(($A124+5)/($A124+10))*(INDEX('Stat Boosts'!$D$2:$D$192,K$1-9)-10)/((INDEX('Stat Boosts'!$D$2:$D$192,(G124/2+22)-9)-10)))&lt;0.5,POWER(1.1,1.75-(($A124+5)/($A124+10))*(INDEX('Stat Boosts'!$D$2:$D$192,K$1-9)-10)/((INDEX('Stat Boosts'!$D$2:$D$192,(G124/2+22)-9)-10))-0.5)*0.5,(1.75-(($A124+5)/($A124+10))*(INDEX('Stat Boosts'!$D$2:$D$192,K$1-9)-10)/((INDEX('Stat Boosts'!$D$2:$D$192,(G124/2+22)-9)-10))))</f>
        <v>0.4370936162359757</v>
      </c>
      <c r="L124" s="16">
        <f>IF((1.75-(($A124+5)/($A124+10))*(INDEX('Stat Boosts'!$D$2:$D$192,L$1-9)-10)/((INDEX('Stat Boosts'!$D$2:$D$192,(H124/2+22)-9)-10)))&lt;0.5,POWER(1.1,1.75-(($A124+5)/($A124+10))*(INDEX('Stat Boosts'!$D$2:$D$192,L$1-9)-10)/((INDEX('Stat Boosts'!$D$2:$D$192,(H124/2+22)-9)-10))-0.5)*0.5,(1.75-(($A124+5)/($A124+10))*(INDEX('Stat Boosts'!$D$2:$D$192,L$1-9)-10)/((INDEX('Stat Boosts'!$D$2:$D$192,(H124/2+22)-9)-10))))</f>
        <v>0.4254591084168689</v>
      </c>
      <c r="M124" s="16">
        <f>IF((1.75-(($A124+5)/($A124+10))*(INDEX('Stat Boosts'!$D$2:$D$192,M$1-9)-10)/((INDEX('Stat Boosts'!$D$2:$D$192,(I124/2+22)-9)-10)))&lt;0.5,POWER(1.1,1.75-(($A124+5)/($A124+10))*(INDEX('Stat Boosts'!$D$2:$D$192,M$1-9)-10)/((INDEX('Stat Boosts'!$D$2:$D$192,(I124/2+22)-9)-10))-0.5)*0.5,(1.75-(($A124+5)/($A124+10))*(INDEX('Stat Boosts'!$D$2:$D$192,M$1-9)-10)/((INDEX('Stat Boosts'!$D$2:$D$192,(I124/2+22)-9)-10))))</f>
        <v>0.40968921603489966</v>
      </c>
      <c r="N124" s="16">
        <f>IF((1.75-(($A124+5)/($A124+10))*(INDEX('Stat Boosts'!$D$2:$D$192,N$1-9)-10)/((INDEX('Stat Boosts'!$D$2:$D$192,(J124/2+22)-9)-10)))&lt;0.5,POWER(1.1,1.75-(($A124+5)/($A124+10))*(INDEX('Stat Boosts'!$D$2:$D$192,N$1-9)-10)/((INDEX('Stat Boosts'!$D$2:$D$192,(J124/2+22)-9)-10))-0.5)*0.5,(1.75-(($A124+5)/($A124+10))*(INDEX('Stat Boosts'!$D$2:$D$192,N$1-9)-10)/((INDEX('Stat Boosts'!$D$2:$D$192,(J124/2+22)-9)-10))))</f>
        <v>0.39026947490925296</v>
      </c>
      <c r="O124" s="16">
        <f>IF((1.75-(($A124+5)/($A124+10))*(INDEX('Stat Boosts'!$D$2:$D$192,O$1-9)-10)/((INDEX('Stat Boosts'!$D$2:$D$192,(K124/2+22)-9)-10)))&lt;0.5,POWER(1.1,1.75-(($A124+5)/($A124+10))*(INDEX('Stat Boosts'!$D$2:$D$192,O$1-9)-10)/((INDEX('Stat Boosts'!$D$2:$D$192,(K124/2+22)-9)-10))-0.5)*0.5,(1.75-(($A124+5)/($A124+10))*(INDEX('Stat Boosts'!$D$2:$D$192,O$1-9)-10)/((INDEX('Stat Boosts'!$D$2:$D$192,(K124/2+22)-9)-10))))</f>
        <v>0.3798813267214764</v>
      </c>
      <c r="P124" s="16">
        <f>IF((1.75-(($A124+5)/($A124+10))*(INDEX('Stat Boosts'!$D$2:$D$192,P$1-9)-10)/((INDEX('Stat Boosts'!$D$2:$D$192,(L124/2+22)-9)-10)))&lt;0.5,POWER(1.1,1.75-(($A124+5)/($A124+10))*(INDEX('Stat Boosts'!$D$2:$D$192,P$1-9)-10)/((INDEX('Stat Boosts'!$D$2:$D$192,(L124/2+22)-9)-10))-0.5)*0.5,(1.75-(($A124+5)/($A124+10))*(INDEX('Stat Boosts'!$D$2:$D$192,P$1-9)-10)/((INDEX('Stat Boosts'!$D$2:$D$192,(L124/2+22)-9)-10))))</f>
        <v>0.36383236151801929</v>
      </c>
      <c r="Q124" s="16">
        <f>IF((1.75-(($A124+5)/($A124+10))*(INDEX('Stat Boosts'!$D$2:$D$192,Q$1-9)-10)/((INDEX('Stat Boosts'!$D$2:$D$192,(M124/2+22)-9)-10)))&lt;0.5,POWER(1.1,1.75-(($A124+5)/($A124+10))*(INDEX('Stat Boosts'!$D$2:$D$192,Q$1-9)-10)/((INDEX('Stat Boosts'!$D$2:$D$192,(M124/2+22)-9)-10))-0.5)*0.5,(1.75-(($A124+5)/($A124+10))*(INDEX('Stat Boosts'!$D$2:$D$192,Q$1-9)-10)/((INDEX('Stat Boosts'!$D$2:$D$192,(M124/2+22)-9)-10))))</f>
        <v>0.34846142196621688</v>
      </c>
      <c r="R124" s="16">
        <f>IF((1.75-(($A124+5)/($A124+10))*1.25*(INDEX('Stat Boosts'!$D$2:$D$192,R$1-9)-10)/((INDEX('Stat Boosts'!$D$2:$D$192,(N124/2+22)-9)-10)))&lt;0.5,POWER(1.1,1.75-(($A124+5)/($A124+10))*1.25*(INDEX('Stat Boosts'!$D$2:$D$192,R$1-9)-10)/((INDEX('Stat Boosts'!$D$2:$D$192,(N124/2+22)-9)-10))-0.5)*0.5,(1.75-(($A124+5)/($A124+10))*1.25*(INDEX('Stat Boosts'!$D$2:$D$192,R$1-9)-10)/((INDEX('Stat Boosts'!$D$2:$D$192,(N124/2+22)-9)-10))))</f>
        <v>0.29280763003777893</v>
      </c>
    </row>
    <row r="125" spans="1:18">
      <c r="A125" s="9">
        <v>124</v>
      </c>
      <c r="B125" s="16">
        <f t="shared" si="2"/>
        <v>71.599999999999994</v>
      </c>
      <c r="C125" s="16">
        <f t="shared" si="3"/>
        <v>6.4935064935064948E-3</v>
      </c>
      <c r="E125" s="16">
        <f>IF((1.75-(($A125+5)/($A125+10))*(INDEX('Stat Boosts'!$D$2:$D$192,E$1-9)-10)/((INDEX('Stat Boosts'!$D$2:$D$192,(A125/2+22)-9)-10)))&lt;0.5,POWER(1.1,1.75-(($A125+5)/($A125+10))*(INDEX('Stat Boosts'!$D$2:$D$192,E$1-9)-10)/((INDEX('Stat Boosts'!$D$2:$D$192,(A125/2+22)-9)-10))-0.5)*0.5,(1.75-(($A125+5)/($A125+10))*(INDEX('Stat Boosts'!$D$2:$D$192,E$1-9)-10)/((INDEX('Stat Boosts'!$D$2:$D$192,(A125/2+22)-9)-10))))</f>
        <v>1.75</v>
      </c>
      <c r="F125" s="16">
        <f>IF((1.75-(($A125+5)/($A125+10))*(INDEX('Stat Boosts'!$D$2:$D$192,F$1-9)-10)/((INDEX('Stat Boosts'!$D$2:$D$192,(B125/2+22)-9)-10)))&lt;0.5,POWER(1.1,1.75-(($A125+5)/($A125+10))*(INDEX('Stat Boosts'!$D$2:$D$192,F$1-9)-10)/((INDEX('Stat Boosts'!$D$2:$D$192,(B125/2+22)-9)-10))-0.5)*0.5,(1.75-(($A125+5)/($A125+10))*(INDEX('Stat Boosts'!$D$2:$D$192,F$1-9)-10)/((INDEX('Stat Boosts'!$D$2:$D$192,(B125/2+22)-9)-10))))</f>
        <v>1.6430348258706469</v>
      </c>
      <c r="G125" s="16">
        <f>IF((1.75-(($A125+5)/($A125+10))*(INDEX('Stat Boosts'!$D$2:$D$192,G$1-9)-10)/((INDEX('Stat Boosts'!$D$2:$D$192,(C125/2+22)-9)-10)))&lt;0.5,POWER(1.1,1.75-(($A125+5)/($A125+10))*(INDEX('Stat Boosts'!$D$2:$D$192,G$1-9)-10)/((INDEX('Stat Boosts'!$D$2:$D$192,(C125/2+22)-9)-10))-0.5)*0.5,(1.75-(($A125+5)/($A125+10))*(INDEX('Stat Boosts'!$D$2:$D$192,G$1-9)-10)/((INDEX('Stat Boosts'!$D$2:$D$192,(C125/2+22)-9)-10))))</f>
        <v>0.95719929762949962</v>
      </c>
      <c r="H125" s="16">
        <f>IF((1.75-(($A125+5)/($A125+10))*(INDEX('Stat Boosts'!$D$2:$D$192,H$1-9)-10)/((INDEX('Stat Boosts'!$D$2:$D$192,(D125/2+22)-9)-10)))&lt;0.5,POWER(1.1,1.75-(($A125+5)/($A125+10))*(INDEX('Stat Boosts'!$D$2:$D$192,H$1-9)-10)/((INDEX('Stat Boosts'!$D$2:$D$192,(D125/2+22)-9)-10))-0.5)*0.5,(1.75-(($A125+5)/($A125+10))*(INDEX('Stat Boosts'!$D$2:$D$192,H$1-9)-10)/((INDEX('Stat Boosts'!$D$2:$D$192,(D125/2+22)-9)-10))))</f>
        <v>0.56079894644424932</v>
      </c>
      <c r="I125" s="16">
        <f>IF((1.75-(($A125+5)/($A125+10))*(INDEX('Stat Boosts'!$D$2:$D$192,I$1-9)-10)/((INDEX('Stat Boosts'!$D$2:$D$192,(E125/2+22)-9)-10)))&lt;0.5,POWER(1.1,1.75-(($A125+5)/($A125+10))*(INDEX('Stat Boosts'!$D$2:$D$192,I$1-9)-10)/((INDEX('Stat Boosts'!$D$2:$D$192,(E125/2+22)-9)-10))-0.5)*0.5,(1.75-(($A125+5)/($A125+10))*(INDEX('Stat Boosts'!$D$2:$D$192,I$1-9)-10)/((INDEX('Stat Boosts'!$D$2:$D$192,(E125/2+22)-9)-10))))</f>
        <v>0.48688071384043774</v>
      </c>
      <c r="J125" s="16">
        <f>IF((1.75-(($A125+5)/($A125+10))*(INDEX('Stat Boosts'!$D$2:$D$192,J$1-9)-10)/((INDEX('Stat Boosts'!$D$2:$D$192,(F125/2+22)-9)-10)))&lt;0.5,POWER(1.1,1.75-(($A125+5)/($A125+10))*(INDEX('Stat Boosts'!$D$2:$D$192,J$1-9)-10)/((INDEX('Stat Boosts'!$D$2:$D$192,(F125/2+22)-9)-10))-0.5)*0.5,(1.75-(($A125+5)/($A125+10))*(INDEX('Stat Boosts'!$D$2:$D$192,J$1-9)-10)/((INDEX('Stat Boosts'!$D$2:$D$192,(F125/2+22)-9)-10))))</f>
        <v>0.47136627591106944</v>
      </c>
      <c r="K125" s="16">
        <f>IF((1.75-(($A125+5)/($A125+10))*(INDEX('Stat Boosts'!$D$2:$D$192,K$1-9)-10)/((INDEX('Stat Boosts'!$D$2:$D$192,(G125/2+22)-9)-10)))&lt;0.5,POWER(1.1,1.75-(($A125+5)/($A125+10))*(INDEX('Stat Boosts'!$D$2:$D$192,K$1-9)-10)/((INDEX('Stat Boosts'!$D$2:$D$192,(G125/2+22)-9)-10))-0.5)*0.5,(1.75-(($A125+5)/($A125+10))*(INDEX('Stat Boosts'!$D$2:$D$192,K$1-9)-10)/((INDEX('Stat Boosts'!$D$2:$D$192,(G125/2+22)-9)-10))))</f>
        <v>0.43706130450671976</v>
      </c>
      <c r="L125" s="16">
        <f>IF((1.75-(($A125+5)/($A125+10))*(INDEX('Stat Boosts'!$D$2:$D$192,L$1-9)-10)/((INDEX('Stat Boosts'!$D$2:$D$192,(H125/2+22)-9)-10)))&lt;0.5,POWER(1.1,1.75-(($A125+5)/($A125+10))*(INDEX('Stat Boosts'!$D$2:$D$192,L$1-9)-10)/((INDEX('Stat Boosts'!$D$2:$D$192,(H125/2+22)-9)-10))-0.5)*0.5,(1.75-(($A125+5)/($A125+10))*(INDEX('Stat Boosts'!$D$2:$D$192,L$1-9)-10)/((INDEX('Stat Boosts'!$D$2:$D$192,(H125/2+22)-9)-10))))</f>
        <v>0.42542431097314626</v>
      </c>
      <c r="M125" s="16">
        <f>IF((1.75-(($A125+5)/($A125+10))*(INDEX('Stat Boosts'!$D$2:$D$192,M$1-9)-10)/((INDEX('Stat Boosts'!$D$2:$D$192,(I125/2+22)-9)-10)))&lt;0.5,POWER(1.1,1.75-(($A125+5)/($A125+10))*(INDEX('Stat Boosts'!$D$2:$D$192,M$1-9)-10)/((INDEX('Stat Boosts'!$D$2:$D$192,(I125/2+22)-9)-10))-0.5)*0.5,(1.75-(($A125+5)/($A125+10))*(INDEX('Stat Boosts'!$D$2:$D$192,M$1-9)-10)/((INDEX('Stat Boosts'!$D$2:$D$192,(I125/2+22)-9)-10))))</f>
        <v>0.40965119794221561</v>
      </c>
      <c r="N125" s="16">
        <f>IF((1.75-(($A125+5)/($A125+10))*(INDEX('Stat Boosts'!$D$2:$D$192,N$1-9)-10)/((INDEX('Stat Boosts'!$D$2:$D$192,(J125/2+22)-9)-10)))&lt;0.5,POWER(1.1,1.75-(($A125+5)/($A125+10))*(INDEX('Stat Boosts'!$D$2:$D$192,N$1-9)-10)/((INDEX('Stat Boosts'!$D$2:$D$192,(J125/2+22)-9)-10))-0.5)*0.5,(1.75-(($A125+5)/($A125+10))*(INDEX('Stat Boosts'!$D$2:$D$192,N$1-9)-10)/((INDEX('Stat Boosts'!$D$2:$D$192,(J125/2+22)-9)-10))))</f>
        <v>0.39022773474018235</v>
      </c>
      <c r="O125" s="16">
        <f>IF((1.75-(($A125+5)/($A125+10))*(INDEX('Stat Boosts'!$D$2:$D$192,O$1-9)-10)/((INDEX('Stat Boosts'!$D$2:$D$192,(K125/2+22)-9)-10)))&lt;0.5,POWER(1.1,1.75-(($A125+5)/($A125+10))*(INDEX('Stat Boosts'!$D$2:$D$192,O$1-9)-10)/((INDEX('Stat Boosts'!$D$2:$D$192,(K125/2+22)-9)-10))-0.5)*0.5,(1.75-(($A125+5)/($A125+10))*(INDEX('Stat Boosts'!$D$2:$D$192,O$1-9)-10)/((INDEX('Stat Boosts'!$D$2:$D$192,(K125/2+22)-9)-10))))</f>
        <v>0.37983771032262903</v>
      </c>
      <c r="P125" s="16">
        <f>IF((1.75-(($A125+5)/($A125+10))*(INDEX('Stat Boosts'!$D$2:$D$192,P$1-9)-10)/((INDEX('Stat Boosts'!$D$2:$D$192,(L125/2+22)-9)-10)))&lt;0.5,POWER(1.1,1.75-(($A125+5)/($A125+10))*(INDEX('Stat Boosts'!$D$2:$D$192,P$1-9)-10)/((INDEX('Stat Boosts'!$D$2:$D$192,(L125/2+22)-9)-10))-0.5)*0.5,(1.75-(($A125+5)/($A125+10))*(INDEX('Stat Boosts'!$D$2:$D$192,P$1-9)-10)/((INDEX('Stat Boosts'!$D$2:$D$192,(L125/2+22)-9)-10))))</f>
        <v>0.36378601014416545</v>
      </c>
      <c r="Q125" s="16">
        <f>IF((1.75-(($A125+5)/($A125+10))*(INDEX('Stat Boosts'!$D$2:$D$192,Q$1-9)-10)/((INDEX('Stat Boosts'!$D$2:$D$192,(M125/2+22)-9)-10)))&lt;0.5,POWER(1.1,1.75-(($A125+5)/($A125+10))*(INDEX('Stat Boosts'!$D$2:$D$192,Q$1-9)-10)/((INDEX('Stat Boosts'!$D$2:$D$192,(M125/2+22)-9)-10))-0.5)*0.5,(1.75-(($A125+5)/($A125+10))*(INDEX('Stat Boosts'!$D$2:$D$192,Q$1-9)-10)/((INDEX('Stat Boosts'!$D$2:$D$192,(M125/2+22)-9)-10))))</f>
        <v>0.34841264461130739</v>
      </c>
      <c r="R125" s="16">
        <f>IF((1.75-(($A125+5)/($A125+10))*1.25*(INDEX('Stat Boosts'!$D$2:$D$192,R$1-9)-10)/((INDEX('Stat Boosts'!$D$2:$D$192,(N125/2+22)-9)-10)))&lt;0.5,POWER(1.1,1.75-(($A125+5)/($A125+10))*1.25*(INDEX('Stat Boosts'!$D$2:$D$192,R$1-9)-10)/((INDEX('Stat Boosts'!$D$2:$D$192,(N125/2+22)-9)-10))-0.5)*0.5,(1.75-(($A125+5)/($A125+10))*1.25*(INDEX('Stat Boosts'!$D$2:$D$192,R$1-9)-10)/((INDEX('Stat Boosts'!$D$2:$D$192,(N125/2+22)-9)-10))))</f>
        <v>0.29275179244892641</v>
      </c>
    </row>
    <row r="126" spans="1:18">
      <c r="A126" s="9">
        <v>125</v>
      </c>
      <c r="B126" s="16">
        <f t="shared" si="2"/>
        <v>72</v>
      </c>
      <c r="C126" s="16">
        <f t="shared" si="3"/>
        <v>6.4516129032258064E-3</v>
      </c>
      <c r="E126" s="16">
        <f>IF((1.75-(($A126+5)/($A126+10))*(INDEX('Stat Boosts'!$D$2:$D$192,E$1-9)-10)/((INDEX('Stat Boosts'!$D$2:$D$192,(A126/2+22)-9)-10)))&lt;0.5,POWER(1.1,1.75-(($A126+5)/($A126+10))*(INDEX('Stat Boosts'!$D$2:$D$192,E$1-9)-10)/((INDEX('Stat Boosts'!$D$2:$D$192,(A126/2+22)-9)-10))-0.5)*0.5,(1.75-(($A126+5)/($A126+10))*(INDEX('Stat Boosts'!$D$2:$D$192,E$1-9)-10)/((INDEX('Stat Boosts'!$D$2:$D$192,(A126/2+22)-9)-10))))</f>
        <v>1.75</v>
      </c>
      <c r="F126" s="16">
        <f>IF((1.75-(($A126+5)/($A126+10))*(INDEX('Stat Boosts'!$D$2:$D$192,F$1-9)-10)/((INDEX('Stat Boosts'!$D$2:$D$192,(B126/2+22)-9)-10)))&lt;0.5,POWER(1.1,1.75-(($A126+5)/($A126+10))*(INDEX('Stat Boosts'!$D$2:$D$192,F$1-9)-10)/((INDEX('Stat Boosts'!$D$2:$D$192,(B126/2+22)-9)-10))-0.5)*0.5,(1.75-(($A126+5)/($A126+10))*(INDEX('Stat Boosts'!$D$2:$D$192,F$1-9)-10)/((INDEX('Stat Boosts'!$D$2:$D$192,(B126/2+22)-9)-10))))</f>
        <v>1.644675925925926</v>
      </c>
      <c r="G126" s="16">
        <f>IF((1.75-(($A126+5)/($A126+10))*(INDEX('Stat Boosts'!$D$2:$D$192,G$1-9)-10)/((INDEX('Stat Boosts'!$D$2:$D$192,(C126/2+22)-9)-10)))&lt;0.5,POWER(1.1,1.75-(($A126+5)/($A126+10))*(INDEX('Stat Boosts'!$D$2:$D$192,G$1-9)-10)/((INDEX('Stat Boosts'!$D$2:$D$192,(C126/2+22)-9)-10))-0.5)*0.5,(1.75-(($A126+5)/($A126+10))*(INDEX('Stat Boosts'!$D$2:$D$192,G$1-9)-10)/((INDEX('Stat Boosts'!$D$2:$D$192,(C126/2+22)-9)-10))))</f>
        <v>0.95697167755991286</v>
      </c>
      <c r="H126" s="16">
        <f>IF((1.75-(($A126+5)/($A126+10))*(INDEX('Stat Boosts'!$D$2:$D$192,H$1-9)-10)/((INDEX('Stat Boosts'!$D$2:$D$192,(D126/2+22)-9)-10)))&lt;0.5,POWER(1.1,1.75-(($A126+5)/($A126+10))*(INDEX('Stat Boosts'!$D$2:$D$192,H$1-9)-10)/((INDEX('Stat Boosts'!$D$2:$D$192,(D126/2+22)-9)-10))-0.5)*0.5,(1.75-(($A126+5)/($A126+10))*(INDEX('Stat Boosts'!$D$2:$D$192,H$1-9)-10)/((INDEX('Stat Boosts'!$D$2:$D$192,(D126/2+22)-9)-10))))</f>
        <v>0.56045751633986929</v>
      </c>
      <c r="I126" s="16">
        <f>IF((1.75-(($A126+5)/($A126+10))*(INDEX('Stat Boosts'!$D$2:$D$192,I$1-9)-10)/((INDEX('Stat Boosts'!$D$2:$D$192,(E126/2+22)-9)-10)))&lt;0.5,POWER(1.1,1.75-(($A126+5)/($A126+10))*(INDEX('Stat Boosts'!$D$2:$D$192,I$1-9)-10)/((INDEX('Stat Boosts'!$D$2:$D$192,(E126/2+22)-9)-10))-0.5)*0.5,(1.75-(($A126+5)/($A126+10))*(INDEX('Stat Boosts'!$D$2:$D$192,I$1-9)-10)/((INDEX('Stat Boosts'!$D$2:$D$192,(E126/2+22)-9)-10))))</f>
        <v>0.48686034346395823</v>
      </c>
      <c r="J126" s="16">
        <f>IF((1.75-(($A126+5)/($A126+10))*(INDEX('Stat Boosts'!$D$2:$D$192,J$1-9)-10)/((INDEX('Stat Boosts'!$D$2:$D$192,(F126/2+22)-9)-10)))&lt;0.5,POWER(1.1,1.75-(($A126+5)/($A126+10))*(INDEX('Stat Boosts'!$D$2:$D$192,J$1-9)-10)/((INDEX('Stat Boosts'!$D$2:$D$192,(F126/2+22)-9)-10))-0.5)*0.5,(1.75-(($A126+5)/($A126+10))*(INDEX('Stat Boosts'!$D$2:$D$192,J$1-9)-10)/((INDEX('Stat Boosts'!$D$2:$D$192,(F126/2+22)-9)-10))))</f>
        <v>0.47134217224244085</v>
      </c>
      <c r="K126" s="16">
        <f>IF((1.75-(($A126+5)/($A126+10))*(INDEX('Stat Boosts'!$D$2:$D$192,K$1-9)-10)/((INDEX('Stat Boosts'!$D$2:$D$192,(G126/2+22)-9)-10)))&lt;0.5,POWER(1.1,1.75-(($A126+5)/($A126+10))*(INDEX('Stat Boosts'!$D$2:$D$192,K$1-9)-10)/((INDEX('Stat Boosts'!$D$2:$D$192,(G126/2+22)-9)-10))-0.5)*0.5,(1.75-(($A126+5)/($A126+10))*(INDEX('Stat Boosts'!$D$2:$D$192,K$1-9)-10)/((INDEX('Stat Boosts'!$D$2:$D$192,(G126/2+22)-9)-10))))</f>
        <v>0.43702947380554552</v>
      </c>
      <c r="L126" s="16">
        <f>IF((1.75-(($A126+5)/($A126+10))*(INDEX('Stat Boosts'!$D$2:$D$192,L$1-9)-10)/((INDEX('Stat Boosts'!$D$2:$D$192,(H126/2+22)-9)-10)))&lt;0.5,POWER(1.1,1.75-(($A126+5)/($A126+10))*(INDEX('Stat Boosts'!$D$2:$D$192,L$1-9)-10)/((INDEX('Stat Boosts'!$D$2:$D$192,(H126/2+22)-9)-10))-0.5)*0.5,(1.75-(($A126+5)/($A126+10))*(INDEX('Stat Boosts'!$D$2:$D$192,L$1-9)-10)/((INDEX('Stat Boosts'!$D$2:$D$192,(H126/2+22)-9)-10))))</f>
        <v>0.42539003183018997</v>
      </c>
      <c r="M126" s="16">
        <f>IF((1.75-(($A126+5)/($A126+10))*(INDEX('Stat Boosts'!$D$2:$D$192,M$1-9)-10)/((INDEX('Stat Boosts'!$D$2:$D$192,(I126/2+22)-9)-10)))&lt;0.5,POWER(1.1,1.75-(($A126+5)/($A126+10))*(INDEX('Stat Boosts'!$D$2:$D$192,M$1-9)-10)/((INDEX('Stat Boosts'!$D$2:$D$192,(I126/2+22)-9)-10))-0.5)*0.5,(1.75-(($A126+5)/($A126+10))*(INDEX('Stat Boosts'!$D$2:$D$192,M$1-9)-10)/((INDEX('Stat Boosts'!$D$2:$D$192,(I126/2+22)-9)-10))))</f>
        <v>0.40961374653050348</v>
      </c>
      <c r="N126" s="16">
        <f>IF((1.75-(($A126+5)/($A126+10))*(INDEX('Stat Boosts'!$D$2:$D$192,N$1-9)-10)/((INDEX('Stat Boosts'!$D$2:$D$192,(J126/2+22)-9)-10)))&lt;0.5,POWER(1.1,1.75-(($A126+5)/($A126+10))*(INDEX('Stat Boosts'!$D$2:$D$192,N$1-9)-10)/((INDEX('Stat Boosts'!$D$2:$D$192,(J126/2+22)-9)-10))-0.5)*0.5,(1.75-(($A126+5)/($A126+10))*(INDEX('Stat Boosts'!$D$2:$D$192,N$1-9)-10)/((INDEX('Stat Boosts'!$D$2:$D$192,(J126/2+22)-9)-10))))</f>
        <v>0.39018661730947651</v>
      </c>
      <c r="O126" s="16">
        <f>IF((1.75-(($A126+5)/($A126+10))*(INDEX('Stat Boosts'!$D$2:$D$192,O$1-9)-10)/((INDEX('Stat Boosts'!$D$2:$D$192,(K126/2+22)-9)-10)))&lt;0.5,POWER(1.1,1.75-(($A126+5)/($A126+10))*(INDEX('Stat Boosts'!$D$2:$D$192,O$1-9)-10)/((INDEX('Stat Boosts'!$D$2:$D$192,(K126/2+22)-9)-10))-0.5)*0.5,(1.75-(($A126+5)/($A126+10))*(INDEX('Stat Boosts'!$D$2:$D$192,O$1-9)-10)/((INDEX('Stat Boosts'!$D$2:$D$192,(K126/2+22)-9)-10))))</f>
        <v>0.37979474498977417</v>
      </c>
      <c r="P126" s="16">
        <f>IF((1.75-(($A126+5)/($A126+10))*(INDEX('Stat Boosts'!$D$2:$D$192,P$1-9)-10)/((INDEX('Stat Boosts'!$D$2:$D$192,(L126/2+22)-9)-10)))&lt;0.5,POWER(1.1,1.75-(($A126+5)/($A126+10))*(INDEX('Stat Boosts'!$D$2:$D$192,P$1-9)-10)/((INDEX('Stat Boosts'!$D$2:$D$192,(L126/2+22)-9)-10))-0.5)*0.5,(1.75-(($A126+5)/($A126+10))*(INDEX('Stat Boosts'!$D$2:$D$192,P$1-9)-10)/((INDEX('Stat Boosts'!$D$2:$D$192,(L126/2+22)-9)-10))))</f>
        <v>0.36374035123181425</v>
      </c>
      <c r="Q126" s="16">
        <f>IF((1.75-(($A126+5)/($A126+10))*(INDEX('Stat Boosts'!$D$2:$D$192,Q$1-9)-10)/((INDEX('Stat Boosts'!$D$2:$D$192,(M126/2+22)-9)-10)))&lt;0.5,POWER(1.1,1.75-(($A126+5)/($A126+10))*(INDEX('Stat Boosts'!$D$2:$D$192,Q$1-9)-10)/((INDEX('Stat Boosts'!$D$2:$D$192,(M126/2+22)-9)-10))-0.5)*0.5,(1.75-(($A126+5)/($A126+10))*(INDEX('Stat Boosts'!$D$2:$D$192,Q$1-9)-10)/((INDEX('Stat Boosts'!$D$2:$D$192,(M126/2+22)-9)-10))))</f>
        <v>0.34836459656071833</v>
      </c>
      <c r="R126" s="16">
        <f>IF((1.75-(($A126+5)/($A126+10))*1.25*(INDEX('Stat Boosts'!$D$2:$D$192,R$1-9)-10)/((INDEX('Stat Boosts'!$D$2:$D$192,(N126/2+22)-9)-10)))&lt;0.5,POWER(1.1,1.75-(($A126+5)/($A126+10))*1.25*(INDEX('Stat Boosts'!$D$2:$D$192,R$1-9)-10)/((INDEX('Stat Boosts'!$D$2:$D$192,(N126/2+22)-9)-10))-0.5)*0.5,(1.75-(($A126+5)/($A126+10))*1.25*(INDEX('Stat Boosts'!$D$2:$D$192,R$1-9)-10)/((INDEX('Stat Boosts'!$D$2:$D$192,(N126/2+22)-9)-10))))</f>
        <v>0.2926967924962377</v>
      </c>
    </row>
    <row r="127" spans="1:18">
      <c r="A127" s="9">
        <v>126</v>
      </c>
      <c r="B127" s="16">
        <f t="shared" si="2"/>
        <v>72.400000000000006</v>
      </c>
      <c r="C127" s="16">
        <f t="shared" si="3"/>
        <v>6.41025641025641E-3</v>
      </c>
      <c r="E127" s="16">
        <f>IF((1.75-(($A127+5)/($A127+10))*(INDEX('Stat Boosts'!$D$2:$D$192,E$1-9)-10)/((INDEX('Stat Boosts'!$D$2:$D$192,(A127/2+22)-9)-10)))&lt;0.5,POWER(1.1,1.75-(($A127+5)/($A127+10))*(INDEX('Stat Boosts'!$D$2:$D$192,E$1-9)-10)/((INDEX('Stat Boosts'!$D$2:$D$192,(A127/2+22)-9)-10))-0.5)*0.5,(1.75-(($A127+5)/($A127+10))*(INDEX('Stat Boosts'!$D$2:$D$192,E$1-9)-10)/((INDEX('Stat Boosts'!$D$2:$D$192,(A127/2+22)-9)-10))))</f>
        <v>1.75</v>
      </c>
      <c r="F127" s="16">
        <f>IF((1.75-(($A127+5)/($A127+10))*(INDEX('Stat Boosts'!$D$2:$D$192,F$1-9)-10)/((INDEX('Stat Boosts'!$D$2:$D$192,(B127/2+22)-9)-10)))&lt;0.5,POWER(1.1,1.75-(($A127+5)/($A127+10))*(INDEX('Stat Boosts'!$D$2:$D$192,F$1-9)-10)/((INDEX('Stat Boosts'!$D$2:$D$192,(B127/2+22)-9)-10))-0.5)*0.5,(1.75-(($A127+5)/($A127+10))*(INDEX('Stat Boosts'!$D$2:$D$192,F$1-9)-10)/((INDEX('Stat Boosts'!$D$2:$D$192,(B127/2+22)-9)-10))))</f>
        <v>1.6446461397058822</v>
      </c>
      <c r="G127" s="16">
        <f>IF((1.75-(($A127+5)/($A127+10))*(INDEX('Stat Boosts'!$D$2:$D$192,G$1-9)-10)/((INDEX('Stat Boosts'!$D$2:$D$192,(C127/2+22)-9)-10)))&lt;0.5,POWER(1.1,1.75-(($A127+5)/($A127+10))*(INDEX('Stat Boosts'!$D$2:$D$192,G$1-9)-10)/((INDEX('Stat Boosts'!$D$2:$D$192,(C127/2+22)-9)-10))-0.5)*0.5,(1.75-(($A127+5)/($A127+10))*(INDEX('Stat Boosts'!$D$2:$D$192,G$1-9)-10)/((INDEX('Stat Boosts'!$D$2:$D$192,(C127/2+22)-9)-10))))</f>
        <v>0.95674740484429055</v>
      </c>
      <c r="H127" s="16">
        <f>IF((1.75-(($A127+5)/($A127+10))*(INDEX('Stat Boosts'!$D$2:$D$192,H$1-9)-10)/((INDEX('Stat Boosts'!$D$2:$D$192,(D127/2+22)-9)-10)))&lt;0.5,POWER(1.1,1.75-(($A127+5)/($A127+10))*(INDEX('Stat Boosts'!$D$2:$D$192,H$1-9)-10)/((INDEX('Stat Boosts'!$D$2:$D$192,(D127/2+22)-9)-10))-0.5)*0.5,(1.75-(($A127+5)/($A127+10))*(INDEX('Stat Boosts'!$D$2:$D$192,H$1-9)-10)/((INDEX('Stat Boosts'!$D$2:$D$192,(D127/2+22)-9)-10))))</f>
        <v>0.56012110726643605</v>
      </c>
      <c r="I127" s="16">
        <f>IF((1.75-(($A127+5)/($A127+10))*(INDEX('Stat Boosts'!$D$2:$D$192,I$1-9)-10)/((INDEX('Stat Boosts'!$D$2:$D$192,(E127/2+22)-9)-10)))&lt;0.5,POWER(1.1,1.75-(($A127+5)/($A127+10))*(INDEX('Stat Boosts'!$D$2:$D$192,I$1-9)-10)/((INDEX('Stat Boosts'!$D$2:$D$192,(E127/2+22)-9)-10))-0.5)*0.5,(1.75-(($A127+5)/($A127+10))*(INDEX('Stat Boosts'!$D$2:$D$192,I$1-9)-10)/((INDEX('Stat Boosts'!$D$2:$D$192,(E127/2+22)-9)-10))))</f>
        <v>0.48684027348539766</v>
      </c>
      <c r="J127" s="16">
        <f>IF((1.75-(($A127+5)/($A127+10))*(INDEX('Stat Boosts'!$D$2:$D$192,J$1-9)-10)/((INDEX('Stat Boosts'!$D$2:$D$192,(F127/2+22)-9)-10)))&lt;0.5,POWER(1.1,1.75-(($A127+5)/($A127+10))*(INDEX('Stat Boosts'!$D$2:$D$192,J$1-9)-10)/((INDEX('Stat Boosts'!$D$2:$D$192,(F127/2+22)-9)-10))-0.5)*0.5,(1.75-(($A127+5)/($A127+10))*(INDEX('Stat Boosts'!$D$2:$D$192,J$1-9)-10)/((INDEX('Stat Boosts'!$D$2:$D$192,(F127/2+22)-9)-10))))</f>
        <v>0.47131842424503134</v>
      </c>
      <c r="K127" s="16">
        <f>IF((1.75-(($A127+5)/($A127+10))*(INDEX('Stat Boosts'!$D$2:$D$192,K$1-9)-10)/((INDEX('Stat Boosts'!$D$2:$D$192,(G127/2+22)-9)-10)))&lt;0.5,POWER(1.1,1.75-(($A127+5)/($A127+10))*(INDEX('Stat Boosts'!$D$2:$D$192,K$1-9)-10)/((INDEX('Stat Boosts'!$D$2:$D$192,(G127/2+22)-9)-10))-0.5)*0.5,(1.75-(($A127+5)/($A127+10))*(INDEX('Stat Boosts'!$D$2:$D$192,K$1-9)-10)/((INDEX('Stat Boosts'!$D$2:$D$192,(G127/2+22)-9)-10))))</f>
        <v>0.43699811347022832</v>
      </c>
      <c r="L127" s="16">
        <f>IF((1.75-(($A127+5)/($A127+10))*(INDEX('Stat Boosts'!$D$2:$D$192,L$1-9)-10)/((INDEX('Stat Boosts'!$D$2:$D$192,(H127/2+22)-9)-10)))&lt;0.5,POWER(1.1,1.75-(($A127+5)/($A127+10))*(INDEX('Stat Boosts'!$D$2:$D$192,L$1-9)-10)/((INDEX('Stat Boosts'!$D$2:$D$192,(H127/2+22)-9)-10))-0.5)*0.5,(1.75-(($A127+5)/($A127+10))*(INDEX('Stat Boosts'!$D$2:$D$192,L$1-9)-10)/((INDEX('Stat Boosts'!$D$2:$D$192,(H127/2+22)-9)-10))))</f>
        <v>0.42535625949373707</v>
      </c>
      <c r="M127" s="16">
        <f>IF((1.75-(($A127+5)/($A127+10))*(INDEX('Stat Boosts'!$D$2:$D$192,M$1-9)-10)/((INDEX('Stat Boosts'!$D$2:$D$192,(I127/2+22)-9)-10)))&lt;0.5,POWER(1.1,1.75-(($A127+5)/($A127+10))*(INDEX('Stat Boosts'!$D$2:$D$192,M$1-9)-10)/((INDEX('Stat Boosts'!$D$2:$D$192,(I127/2+22)-9)-10))-0.5)*0.5,(1.75-(($A127+5)/($A127+10))*(INDEX('Stat Boosts'!$D$2:$D$192,M$1-9)-10)/((INDEX('Stat Boosts'!$D$2:$D$192,(I127/2+22)-9)-10))))</f>
        <v>0.40957684922359883</v>
      </c>
      <c r="N127" s="16">
        <f>IF((1.75-(($A127+5)/($A127+10))*(INDEX('Stat Boosts'!$D$2:$D$192,N$1-9)-10)/((INDEX('Stat Boosts'!$D$2:$D$192,(J127/2+22)-9)-10)))&lt;0.5,POWER(1.1,1.75-(($A127+5)/($A127+10))*(INDEX('Stat Boosts'!$D$2:$D$192,N$1-9)-10)/((INDEX('Stat Boosts'!$D$2:$D$192,(J127/2+22)-9)-10))-0.5)*0.5,(1.75-(($A127+5)/($A127+10))*(INDEX('Stat Boosts'!$D$2:$D$192,N$1-9)-10)/((INDEX('Stat Boosts'!$D$2:$D$192,(J127/2+22)-9)-10))))</f>
        <v>0.39014610878422357</v>
      </c>
      <c r="O127" s="16">
        <f>IF((1.75-(($A127+5)/($A127+10))*(INDEX('Stat Boosts'!$D$2:$D$192,O$1-9)-10)/((INDEX('Stat Boosts'!$D$2:$D$192,(K127/2+22)-9)-10)))&lt;0.5,POWER(1.1,1.75-(($A127+5)/($A127+10))*(INDEX('Stat Boosts'!$D$2:$D$192,O$1-9)-10)/((INDEX('Stat Boosts'!$D$2:$D$192,(K127/2+22)-9)-10))-0.5)*0.5,(1.75-(($A127+5)/($A127+10))*(INDEX('Stat Boosts'!$D$2:$D$192,O$1-9)-10)/((INDEX('Stat Boosts'!$D$2:$D$192,(K127/2+22)-9)-10))))</f>
        <v>0.3797524162533939</v>
      </c>
      <c r="P127" s="16">
        <f>IF((1.75-(($A127+5)/($A127+10))*(INDEX('Stat Boosts'!$D$2:$D$192,P$1-9)-10)/((INDEX('Stat Boosts'!$D$2:$D$192,(L127/2+22)-9)-10)))&lt;0.5,POWER(1.1,1.75-(($A127+5)/($A127+10))*(INDEX('Stat Boosts'!$D$2:$D$192,P$1-9)-10)/((INDEX('Stat Boosts'!$D$2:$D$192,(L127/2+22)-9)-10))-0.5)*0.5,(1.75-(($A127+5)/($A127+10))*(INDEX('Stat Boosts'!$D$2:$D$192,P$1-9)-10)/((INDEX('Stat Boosts'!$D$2:$D$192,(L127/2+22)-9)-10))))</f>
        <v>0.36369536937893415</v>
      </c>
      <c r="Q127" s="16">
        <f>IF((1.75-(($A127+5)/($A127+10))*(INDEX('Stat Boosts'!$D$2:$D$192,Q$1-9)-10)/((INDEX('Stat Boosts'!$D$2:$D$192,(M127/2+22)-9)-10)))&lt;0.5,POWER(1.1,1.75-(($A127+5)/($A127+10))*(INDEX('Stat Boosts'!$D$2:$D$192,Q$1-9)-10)/((INDEX('Stat Boosts'!$D$2:$D$192,(M127/2+22)-9)-10))-0.5)*0.5,(1.75-(($A127+5)/($A127+10))*(INDEX('Stat Boosts'!$D$2:$D$192,Q$1-9)-10)/((INDEX('Stat Boosts'!$D$2:$D$192,(M127/2+22)-9)-10))))</f>
        <v>0.34831726157976017</v>
      </c>
      <c r="R127" s="16">
        <f>IF((1.75-(($A127+5)/($A127+10))*1.25*(INDEX('Stat Boosts'!$D$2:$D$192,R$1-9)-10)/((INDEX('Stat Boosts'!$D$2:$D$192,(N127/2+22)-9)-10)))&lt;0.5,POWER(1.1,1.75-(($A127+5)/($A127+10))*1.25*(INDEX('Stat Boosts'!$D$2:$D$192,R$1-9)-10)/((INDEX('Stat Boosts'!$D$2:$D$192,(N127/2+22)-9)-10))-0.5)*0.5,(1.75-(($A127+5)/($A127+10))*1.25*(INDEX('Stat Boosts'!$D$2:$D$192,R$1-9)-10)/((INDEX('Stat Boosts'!$D$2:$D$192,(N127/2+22)-9)-10))))</f>
        <v>0.29264261147254383</v>
      </c>
    </row>
    <row r="128" spans="1:18">
      <c r="A128" s="9">
        <v>127</v>
      </c>
      <c r="B128" s="16">
        <f t="shared" si="2"/>
        <v>72.8</v>
      </c>
      <c r="C128" s="16">
        <f t="shared" si="3"/>
        <v>6.369426751592357E-3</v>
      </c>
      <c r="E128" s="16">
        <f>IF((1.75-(($A128+5)/($A128+10))*(INDEX('Stat Boosts'!$D$2:$D$192,E$1-9)-10)/((INDEX('Stat Boosts'!$D$2:$D$192,(A128/2+22)-9)-10)))&lt;0.5,POWER(1.1,1.75-(($A128+5)/($A128+10))*(INDEX('Stat Boosts'!$D$2:$D$192,E$1-9)-10)/((INDEX('Stat Boosts'!$D$2:$D$192,(A128/2+22)-9)-10))-0.5)*0.5,(1.75-(($A128+5)/($A128+10))*(INDEX('Stat Boosts'!$D$2:$D$192,E$1-9)-10)/((INDEX('Stat Boosts'!$D$2:$D$192,(A128/2+22)-9)-10))))</f>
        <v>1.75</v>
      </c>
      <c r="F128" s="16">
        <f>IF((1.75-(($A128+5)/($A128+10))*(INDEX('Stat Boosts'!$D$2:$D$192,F$1-9)-10)/((INDEX('Stat Boosts'!$D$2:$D$192,(B128/2+22)-9)-10)))&lt;0.5,POWER(1.1,1.75-(($A128+5)/($A128+10))*(INDEX('Stat Boosts'!$D$2:$D$192,F$1-9)-10)/((INDEX('Stat Boosts'!$D$2:$D$192,(B128/2+22)-9)-10))-0.5)*0.5,(1.75-(($A128+5)/($A128+10))*(INDEX('Stat Boosts'!$D$2:$D$192,F$1-9)-10)/((INDEX('Stat Boosts'!$D$2:$D$192,(B128/2+22)-9)-10))))</f>
        <v>1.644616788321168</v>
      </c>
      <c r="G128" s="16">
        <f>IF((1.75-(($A128+5)/($A128+10))*(INDEX('Stat Boosts'!$D$2:$D$192,G$1-9)-10)/((INDEX('Stat Boosts'!$D$2:$D$192,(C128/2+22)-9)-10)))&lt;0.5,POWER(1.1,1.75-(($A128+5)/($A128+10))*(INDEX('Stat Boosts'!$D$2:$D$192,G$1-9)-10)/((INDEX('Stat Boosts'!$D$2:$D$192,(C128/2+22)-9)-10))-0.5)*0.5,(1.75-(($A128+5)/($A128+10))*(INDEX('Stat Boosts'!$D$2:$D$192,G$1-9)-10)/((INDEX('Stat Boosts'!$D$2:$D$192,(C128/2+22)-9)-10))))</f>
        <v>0.95652640618291107</v>
      </c>
      <c r="H128" s="16">
        <f>IF((1.75-(($A128+5)/($A128+10))*(INDEX('Stat Boosts'!$D$2:$D$192,H$1-9)-10)/((INDEX('Stat Boosts'!$D$2:$D$192,(D128/2+22)-9)-10)))&lt;0.5,POWER(1.1,1.75-(($A128+5)/($A128+10))*(INDEX('Stat Boosts'!$D$2:$D$192,H$1-9)-10)/((INDEX('Stat Boosts'!$D$2:$D$192,(D128/2+22)-9)-10))-0.5)*0.5,(1.75-(($A128+5)/($A128+10))*(INDEX('Stat Boosts'!$D$2:$D$192,H$1-9)-10)/((INDEX('Stat Boosts'!$D$2:$D$192,(D128/2+22)-9)-10))))</f>
        <v>0.55978960927436661</v>
      </c>
      <c r="I128" s="16">
        <f>IF((1.75-(($A128+5)/($A128+10))*(INDEX('Stat Boosts'!$D$2:$D$192,I$1-9)-10)/((INDEX('Stat Boosts'!$D$2:$D$192,(E128/2+22)-9)-10)))&lt;0.5,POWER(1.1,1.75-(($A128+5)/($A128+10))*(INDEX('Stat Boosts'!$D$2:$D$192,I$1-9)-10)/((INDEX('Stat Boosts'!$D$2:$D$192,(E128/2+22)-9)-10))-0.5)*0.5,(1.75-(($A128+5)/($A128+10))*(INDEX('Stat Boosts'!$D$2:$D$192,I$1-9)-10)/((INDEX('Stat Boosts'!$D$2:$D$192,(E128/2+22)-9)-10))))</f>
        <v>0.48682049730854626</v>
      </c>
      <c r="J128" s="16">
        <f>IF((1.75-(($A128+5)/($A128+10))*(INDEX('Stat Boosts'!$D$2:$D$192,J$1-9)-10)/((INDEX('Stat Boosts'!$D$2:$D$192,(F128/2+22)-9)-10)))&lt;0.5,POWER(1.1,1.75-(($A128+5)/($A128+10))*(INDEX('Stat Boosts'!$D$2:$D$192,J$1-9)-10)/((INDEX('Stat Boosts'!$D$2:$D$192,(F128/2+22)-9)-10))-0.5)*0.5,(1.75-(($A128+5)/($A128+10))*(INDEX('Stat Boosts'!$D$2:$D$192,J$1-9)-10)/((INDEX('Stat Boosts'!$D$2:$D$192,(F128/2+22)-9)-10))))</f>
        <v>0.47129502410415591</v>
      </c>
      <c r="K128" s="16">
        <f>IF((1.75-(($A128+5)/($A128+10))*(INDEX('Stat Boosts'!$D$2:$D$192,K$1-9)-10)/((INDEX('Stat Boosts'!$D$2:$D$192,(G128/2+22)-9)-10)))&lt;0.5,POWER(1.1,1.75-(($A128+5)/($A128+10))*(INDEX('Stat Boosts'!$D$2:$D$192,K$1-9)-10)/((INDEX('Stat Boosts'!$D$2:$D$192,(G128/2+22)-9)-10))-0.5)*0.5,(1.75-(($A128+5)/($A128+10))*(INDEX('Stat Boosts'!$D$2:$D$192,K$1-9)-10)/((INDEX('Stat Boosts'!$D$2:$D$192,(G128/2+22)-9)-10))))</f>
        <v>0.43696721315134102</v>
      </c>
      <c r="L128" s="16">
        <f>IF((1.75-(($A128+5)/($A128+10))*(INDEX('Stat Boosts'!$D$2:$D$192,L$1-9)-10)/((INDEX('Stat Boosts'!$D$2:$D$192,(H128/2+22)-9)-10)))&lt;0.5,POWER(1.1,1.75-(($A128+5)/($A128+10))*(INDEX('Stat Boosts'!$D$2:$D$192,L$1-9)-10)/((INDEX('Stat Boosts'!$D$2:$D$192,(H128/2+22)-9)-10))-0.5)*0.5,(1.75-(($A128+5)/($A128+10))*(INDEX('Stat Boosts'!$D$2:$D$192,L$1-9)-10)/((INDEX('Stat Boosts'!$D$2:$D$192,(H128/2+22)-9)-10))))</f>
        <v>0.42532298280690245</v>
      </c>
      <c r="M128" s="16">
        <f>IF((1.75-(($A128+5)/($A128+10))*(INDEX('Stat Boosts'!$D$2:$D$192,M$1-9)-10)/((INDEX('Stat Boosts'!$D$2:$D$192,(I128/2+22)-9)-10)))&lt;0.5,POWER(1.1,1.75-(($A128+5)/($A128+10))*(INDEX('Stat Boosts'!$D$2:$D$192,M$1-9)-10)/((INDEX('Stat Boosts'!$D$2:$D$192,(I128/2+22)-9)-10))-0.5)*0.5,(1.75-(($A128+5)/($A128+10))*(INDEX('Stat Boosts'!$D$2:$D$192,M$1-9)-10)/((INDEX('Stat Boosts'!$D$2:$D$192,(I128/2+22)-9)-10))))</f>
        <v>0.40954049381473173</v>
      </c>
      <c r="N128" s="16">
        <f>IF((1.75-(($A128+5)/($A128+10))*(INDEX('Stat Boosts'!$D$2:$D$192,N$1-9)-10)/((INDEX('Stat Boosts'!$D$2:$D$192,(J128/2+22)-9)-10)))&lt;0.5,POWER(1.1,1.75-(($A128+5)/($A128+10))*(INDEX('Stat Boosts'!$D$2:$D$192,N$1-9)-10)/((INDEX('Stat Boosts'!$D$2:$D$192,(J128/2+22)-9)-10))-0.5)*0.5,(1.75-(($A128+5)/($A128+10))*(INDEX('Stat Boosts'!$D$2:$D$192,N$1-9)-10)/((INDEX('Stat Boosts'!$D$2:$D$192,(J128/2+22)-9)-10))))</f>
        <v>0.39010619573818883</v>
      </c>
      <c r="O128" s="16">
        <f>IF((1.75-(($A128+5)/($A128+10))*(INDEX('Stat Boosts'!$D$2:$D$192,O$1-9)-10)/((INDEX('Stat Boosts'!$D$2:$D$192,(K128/2+22)-9)-10)))&lt;0.5,POWER(1.1,1.75-(($A128+5)/($A128+10))*(INDEX('Stat Boosts'!$D$2:$D$192,O$1-9)-10)/((INDEX('Stat Boosts'!$D$2:$D$192,(K128/2+22)-9)-10))-0.5)*0.5,(1.75-(($A128+5)/($A128+10))*(INDEX('Stat Boosts'!$D$2:$D$192,O$1-9)-10)/((INDEX('Stat Boosts'!$D$2:$D$192,(K128/2+22)-9)-10))))</f>
        <v>0.3797107100695768</v>
      </c>
      <c r="P128" s="16">
        <f>IF((1.75-(($A128+5)/($A128+10))*(INDEX('Stat Boosts'!$D$2:$D$192,P$1-9)-10)/((INDEX('Stat Boosts'!$D$2:$D$192,(L128/2+22)-9)-10)))&lt;0.5,POWER(1.1,1.75-(($A128+5)/($A128+10))*(INDEX('Stat Boosts'!$D$2:$D$192,P$1-9)-10)/((INDEX('Stat Boosts'!$D$2:$D$192,(L128/2+22)-9)-10))-0.5)*0.5,(1.75-(($A128+5)/($A128+10))*(INDEX('Stat Boosts'!$D$2:$D$192,P$1-9)-10)/((INDEX('Stat Boosts'!$D$2:$D$192,(L128/2+22)-9)-10))))</f>
        <v>0.36365104963689376</v>
      </c>
      <c r="Q128" s="16">
        <f>IF((1.75-(($A128+5)/($A128+10))*(INDEX('Stat Boosts'!$D$2:$D$192,Q$1-9)-10)/((INDEX('Stat Boosts'!$D$2:$D$192,(M128/2+22)-9)-10)))&lt;0.5,POWER(1.1,1.75-(($A128+5)/($A128+10))*(INDEX('Stat Boosts'!$D$2:$D$192,Q$1-9)-10)/((INDEX('Stat Boosts'!$D$2:$D$192,(M128/2+22)-9)-10))-0.5)*0.5,(1.75-(($A128+5)/($A128+10))*(INDEX('Stat Boosts'!$D$2:$D$192,Q$1-9)-10)/((INDEX('Stat Boosts'!$D$2:$D$192,(M128/2+22)-9)-10))))</f>
        <v>0.34827062391203822</v>
      </c>
      <c r="R128" s="16">
        <f>IF((1.75-(($A128+5)/($A128+10))*1.25*(INDEX('Stat Boosts'!$D$2:$D$192,R$1-9)-10)/((INDEX('Stat Boosts'!$D$2:$D$192,(N128/2+22)-9)-10)))&lt;0.5,POWER(1.1,1.75-(($A128+5)/($A128+10))*1.25*(INDEX('Stat Boosts'!$D$2:$D$192,R$1-9)-10)/((INDEX('Stat Boosts'!$D$2:$D$192,(N128/2+22)-9)-10))-0.5)*0.5,(1.75-(($A128+5)/($A128+10))*1.25*(INDEX('Stat Boosts'!$D$2:$D$192,R$1-9)-10)/((INDEX('Stat Boosts'!$D$2:$D$192,(N128/2+22)-9)-10))))</f>
        <v>0.29258923122358899</v>
      </c>
    </row>
    <row r="129" spans="1:18">
      <c r="A129" s="9">
        <v>128</v>
      </c>
      <c r="B129" s="16">
        <f t="shared" si="2"/>
        <v>73.2</v>
      </c>
      <c r="C129" s="16">
        <f t="shared" si="3"/>
        <v>6.3291139240506328E-3</v>
      </c>
      <c r="E129" s="16">
        <f>IF((1.75-(($A129+5)/($A129+10))*(INDEX('Stat Boosts'!$D$2:$D$192,E$1-9)-10)/((INDEX('Stat Boosts'!$D$2:$D$192,(A129/2+22)-9)-10)))&lt;0.5,POWER(1.1,1.75-(($A129+5)/($A129+10))*(INDEX('Stat Boosts'!$D$2:$D$192,E$1-9)-10)/((INDEX('Stat Boosts'!$D$2:$D$192,(A129/2+22)-9)-10))-0.5)*0.5,(1.75-(($A129+5)/($A129+10))*(INDEX('Stat Boosts'!$D$2:$D$192,E$1-9)-10)/((INDEX('Stat Boosts'!$D$2:$D$192,(A129/2+22)-9)-10))))</f>
        <v>1.75</v>
      </c>
      <c r="F129" s="16">
        <f>IF((1.75-(($A129+5)/($A129+10))*(INDEX('Stat Boosts'!$D$2:$D$192,F$1-9)-10)/((INDEX('Stat Boosts'!$D$2:$D$192,(B129/2+22)-9)-10)))&lt;0.5,POWER(1.1,1.75-(($A129+5)/($A129+10))*(INDEX('Stat Boosts'!$D$2:$D$192,F$1-9)-10)/((INDEX('Stat Boosts'!$D$2:$D$192,(B129/2+22)-9)-10))-0.5)*0.5,(1.75-(($A129+5)/($A129+10))*(INDEX('Stat Boosts'!$D$2:$D$192,F$1-9)-10)/((INDEX('Stat Boosts'!$D$2:$D$192,(B129/2+22)-9)-10))))</f>
        <v>1.6445878623188406</v>
      </c>
      <c r="G129" s="16">
        <f>IF((1.75-(($A129+5)/($A129+10))*(INDEX('Stat Boosts'!$D$2:$D$192,G$1-9)-10)/((INDEX('Stat Boosts'!$D$2:$D$192,(C129/2+22)-9)-10)))&lt;0.5,POWER(1.1,1.75-(($A129+5)/($A129+10))*(INDEX('Stat Boosts'!$D$2:$D$192,G$1-9)-10)/((INDEX('Stat Boosts'!$D$2:$D$192,(C129/2+22)-9)-10))-0.5)*0.5,(1.75-(($A129+5)/($A129+10))*(INDEX('Stat Boosts'!$D$2:$D$192,G$1-9)-10)/((INDEX('Stat Boosts'!$D$2:$D$192,(C129/2+22)-9)-10))))</f>
        <v>0.95630861040068205</v>
      </c>
      <c r="H129" s="16">
        <f>IF((1.75-(($A129+5)/($A129+10))*(INDEX('Stat Boosts'!$D$2:$D$192,H$1-9)-10)/((INDEX('Stat Boosts'!$D$2:$D$192,(D129/2+22)-9)-10)))&lt;0.5,POWER(1.1,1.75-(($A129+5)/($A129+10))*(INDEX('Stat Boosts'!$D$2:$D$192,H$1-9)-10)/((INDEX('Stat Boosts'!$D$2:$D$192,(D129/2+22)-9)-10))-0.5)*0.5,(1.75-(($A129+5)/($A129+10))*(INDEX('Stat Boosts'!$D$2:$D$192,H$1-9)-10)/((INDEX('Stat Boosts'!$D$2:$D$192,(D129/2+22)-9)-10))))</f>
        <v>0.5594629156010229</v>
      </c>
      <c r="I129" s="16">
        <f>IF((1.75-(($A129+5)/($A129+10))*(INDEX('Stat Boosts'!$D$2:$D$192,I$1-9)-10)/((INDEX('Stat Boosts'!$D$2:$D$192,(E129/2+22)-9)-10)))&lt;0.5,POWER(1.1,1.75-(($A129+5)/($A129+10))*(INDEX('Stat Boosts'!$D$2:$D$192,I$1-9)-10)/((INDEX('Stat Boosts'!$D$2:$D$192,(E129/2+22)-9)-10))-0.5)*0.5,(1.75-(($A129+5)/($A129+10))*(INDEX('Stat Boosts'!$D$2:$D$192,I$1-9)-10)/((INDEX('Stat Boosts'!$D$2:$D$192,(E129/2+22)-9)-10))))</f>
        <v>0.48680100852891212</v>
      </c>
      <c r="J129" s="16">
        <f>IF((1.75-(($A129+5)/($A129+10))*(INDEX('Stat Boosts'!$D$2:$D$192,J$1-9)-10)/((INDEX('Stat Boosts'!$D$2:$D$192,(F129/2+22)-9)-10)))&lt;0.5,POWER(1.1,1.75-(($A129+5)/($A129+10))*(INDEX('Stat Boosts'!$D$2:$D$192,J$1-9)-10)/((INDEX('Stat Boosts'!$D$2:$D$192,(F129/2+22)-9)-10))-0.5)*0.5,(1.75-(($A129+5)/($A129+10))*(INDEX('Stat Boosts'!$D$2:$D$192,J$1-9)-10)/((INDEX('Stat Boosts'!$D$2:$D$192,(F129/2+22)-9)-10))))</f>
        <v>0.47127196423239959</v>
      </c>
      <c r="K129" s="16">
        <f>IF((1.75-(($A129+5)/($A129+10))*(INDEX('Stat Boosts'!$D$2:$D$192,K$1-9)-10)/((INDEX('Stat Boosts'!$D$2:$D$192,(G129/2+22)-9)-10)))&lt;0.5,POWER(1.1,1.75-(($A129+5)/($A129+10))*(INDEX('Stat Boosts'!$D$2:$D$192,K$1-9)-10)/((INDEX('Stat Boosts'!$D$2:$D$192,(G129/2+22)-9)-10))-0.5)*0.5,(1.75-(($A129+5)/($A129+10))*(INDEX('Stat Boosts'!$D$2:$D$192,K$1-9)-10)/((INDEX('Stat Boosts'!$D$2:$D$192,(G129/2+22)-9)-10))))</f>
        <v>0.43693676280086752</v>
      </c>
      <c r="L129" s="16">
        <f>IF((1.75-(($A129+5)/($A129+10))*(INDEX('Stat Boosts'!$D$2:$D$192,L$1-9)-10)/((INDEX('Stat Boosts'!$D$2:$D$192,(H129/2+22)-9)-10)))&lt;0.5,POWER(1.1,1.75-(($A129+5)/($A129+10))*(INDEX('Stat Boosts'!$D$2:$D$192,L$1-9)-10)/((INDEX('Stat Boosts'!$D$2:$D$192,(H129/2+22)-9)-10))-0.5)*0.5,(1.75-(($A129+5)/($A129+10))*(INDEX('Stat Boosts'!$D$2:$D$192,L$1-9)-10)/((INDEX('Stat Boosts'!$D$2:$D$192,(H129/2+22)-9)-10))))</f>
        <v>0.42529019093789061</v>
      </c>
      <c r="M129" s="16">
        <f>IF((1.75-(($A129+5)/($A129+10))*(INDEX('Stat Boosts'!$D$2:$D$192,M$1-9)-10)/((INDEX('Stat Boosts'!$D$2:$D$192,(I129/2+22)-9)-10)))&lt;0.5,POWER(1.1,1.75-(($A129+5)/($A129+10))*(INDEX('Stat Boosts'!$D$2:$D$192,M$1-9)-10)/((INDEX('Stat Boosts'!$D$2:$D$192,(I129/2+22)-9)-10))-0.5)*0.5,(1.75-(($A129+5)/($A129+10))*(INDEX('Stat Boosts'!$D$2:$D$192,M$1-9)-10)/((INDEX('Stat Boosts'!$D$2:$D$192,(I129/2+22)-9)-10))))</f>
        <v>0.40950466845306327</v>
      </c>
      <c r="N129" s="16">
        <f>IF((1.75-(($A129+5)/($A129+10))*(INDEX('Stat Boosts'!$D$2:$D$192,N$1-9)-10)/((INDEX('Stat Boosts'!$D$2:$D$192,(J129/2+22)-9)-10)))&lt;0.5,POWER(1.1,1.75-(($A129+5)/($A129+10))*(INDEX('Stat Boosts'!$D$2:$D$192,N$1-9)-10)/((INDEX('Stat Boosts'!$D$2:$D$192,(J129/2+22)-9)-10))-0.5)*0.5,(1.75-(($A129+5)/($A129+10))*(INDEX('Stat Boosts'!$D$2:$D$192,N$1-9)-10)/((INDEX('Stat Boosts'!$D$2:$D$192,(J129/2+22)-9)-10))))</f>
        <v>0.39006686513697897</v>
      </c>
      <c r="O129" s="16">
        <f>IF((1.75-(($A129+5)/($A129+10))*(INDEX('Stat Boosts'!$D$2:$D$192,O$1-9)-10)/((INDEX('Stat Boosts'!$D$2:$D$192,(K129/2+22)-9)-10)))&lt;0.5,POWER(1.1,1.75-(($A129+5)/($A129+10))*(INDEX('Stat Boosts'!$D$2:$D$192,O$1-9)-10)/((INDEX('Stat Boosts'!$D$2:$D$192,(K129/2+22)-9)-10))-0.5)*0.5,(1.75-(($A129+5)/($A129+10))*(INDEX('Stat Boosts'!$D$2:$D$192,O$1-9)-10)/((INDEX('Stat Boosts'!$D$2:$D$192,(K129/2+22)-9)-10))))</f>
        <v>0.37966961280448436</v>
      </c>
      <c r="P129" s="16">
        <f>IF((1.75-(($A129+5)/($A129+10))*(INDEX('Stat Boosts'!$D$2:$D$192,P$1-9)-10)/((INDEX('Stat Boosts'!$D$2:$D$192,(L129/2+22)-9)-10)))&lt;0.5,POWER(1.1,1.75-(($A129+5)/($A129+10))*(INDEX('Stat Boosts'!$D$2:$D$192,P$1-9)-10)/((INDEX('Stat Boosts'!$D$2:$D$192,(L129/2+22)-9)-10))-0.5)*0.5,(1.75-(($A129+5)/($A129+10))*(INDEX('Stat Boosts'!$D$2:$D$192,P$1-9)-10)/((INDEX('Stat Boosts'!$D$2:$D$192,(L129/2+22)-9)-10))))</f>
        <v>0.36360737749389976</v>
      </c>
      <c r="Q129" s="16">
        <f>IF((1.75-(($A129+5)/($A129+10))*(INDEX('Stat Boosts'!$D$2:$D$192,Q$1-9)-10)/((INDEX('Stat Boosts'!$D$2:$D$192,(M129/2+22)-9)-10)))&lt;0.5,POWER(1.1,1.75-(($A129+5)/($A129+10))*(INDEX('Stat Boosts'!$D$2:$D$192,Q$1-9)-10)/((INDEX('Stat Boosts'!$D$2:$D$192,(M129/2+22)-9)-10))-0.5)*0.5,(1.75-(($A129+5)/($A129+10))*(INDEX('Stat Boosts'!$D$2:$D$192,Q$1-9)-10)/((INDEX('Stat Boosts'!$D$2:$D$192,(M129/2+22)-9)-10))))</f>
        <v>0.34822466826196763</v>
      </c>
      <c r="R129" s="16">
        <f>IF((1.75-(($A129+5)/($A129+10))*1.25*(INDEX('Stat Boosts'!$D$2:$D$192,R$1-9)-10)/((INDEX('Stat Boosts'!$D$2:$D$192,(N129/2+22)-9)-10)))&lt;0.5,POWER(1.1,1.75-(($A129+5)/($A129+10))*1.25*(INDEX('Stat Boosts'!$D$2:$D$192,R$1-9)-10)/((INDEX('Stat Boosts'!$D$2:$D$192,(N129/2+22)-9)-10))-0.5)*0.5,(1.75-(($A129+5)/($A129+10))*1.25*(INDEX('Stat Boosts'!$D$2:$D$192,R$1-9)-10)/((INDEX('Stat Boosts'!$D$2:$D$192,(N129/2+22)-9)-10))))</f>
        <v>0.29253663412775371</v>
      </c>
    </row>
    <row r="130" spans="1:18">
      <c r="A130" s="9">
        <v>129</v>
      </c>
      <c r="B130" s="16">
        <f t="shared" si="2"/>
        <v>73.599999999999994</v>
      </c>
      <c r="C130" s="16">
        <f t="shared" si="3"/>
        <v>6.2893081761006301E-3</v>
      </c>
      <c r="E130" s="16">
        <f>IF((1.75-(($A130+5)/($A130+10))*(INDEX('Stat Boosts'!$D$2:$D$192,E$1-9)-10)/((INDEX('Stat Boosts'!$D$2:$D$192,(A130/2+22)-9)-10)))&lt;0.5,POWER(1.1,1.75-(($A130+5)/($A130+10))*(INDEX('Stat Boosts'!$D$2:$D$192,E$1-9)-10)/((INDEX('Stat Boosts'!$D$2:$D$192,(A130/2+22)-9)-10))-0.5)*0.5,(1.75-(($A130+5)/($A130+10))*(INDEX('Stat Boosts'!$D$2:$D$192,E$1-9)-10)/((INDEX('Stat Boosts'!$D$2:$D$192,(A130/2+22)-9)-10))))</f>
        <v>1.75</v>
      </c>
      <c r="F130" s="16">
        <f>IF((1.75-(($A130+5)/($A130+10))*(INDEX('Stat Boosts'!$D$2:$D$192,F$1-9)-10)/((INDEX('Stat Boosts'!$D$2:$D$192,(B130/2+22)-9)-10)))&lt;0.5,POWER(1.1,1.75-(($A130+5)/($A130+10))*(INDEX('Stat Boosts'!$D$2:$D$192,F$1-9)-10)/((INDEX('Stat Boosts'!$D$2:$D$192,(B130/2+22)-9)-10))-0.5)*0.5,(1.75-(($A130+5)/($A130+10))*(INDEX('Stat Boosts'!$D$2:$D$192,F$1-9)-10)/((INDEX('Stat Boosts'!$D$2:$D$192,(B130/2+22)-9)-10))))</f>
        <v>1.6445593525179856</v>
      </c>
      <c r="G130" s="16">
        <f>IF((1.75-(($A130+5)/($A130+10))*(INDEX('Stat Boosts'!$D$2:$D$192,G$1-9)-10)/((INDEX('Stat Boosts'!$D$2:$D$192,(C130/2+22)-9)-10)))&lt;0.5,POWER(1.1,1.75-(($A130+5)/($A130+10))*(INDEX('Stat Boosts'!$D$2:$D$192,G$1-9)-10)/((INDEX('Stat Boosts'!$D$2:$D$192,(C130/2+22)-9)-10))-0.5)*0.5,(1.75-(($A130+5)/($A130+10))*(INDEX('Stat Boosts'!$D$2:$D$192,G$1-9)-10)/((INDEX('Stat Boosts'!$D$2:$D$192,(C130/2+22)-9)-10))))</f>
        <v>0.95609394837071526</v>
      </c>
      <c r="H130" s="16">
        <f>IF((1.75-(($A130+5)/($A130+10))*(INDEX('Stat Boosts'!$D$2:$D$192,H$1-9)-10)/((INDEX('Stat Boosts'!$D$2:$D$192,(D130/2+22)-9)-10)))&lt;0.5,POWER(1.1,1.75-(($A130+5)/($A130+10))*(INDEX('Stat Boosts'!$D$2:$D$192,H$1-9)-10)/((INDEX('Stat Boosts'!$D$2:$D$192,(D130/2+22)-9)-10))-0.5)*0.5,(1.75-(($A130+5)/($A130+10))*(INDEX('Stat Boosts'!$D$2:$D$192,H$1-9)-10)/((INDEX('Stat Boosts'!$D$2:$D$192,(D130/2+22)-9)-10))))</f>
        <v>0.55914092255607284</v>
      </c>
      <c r="I130" s="16">
        <f>IF((1.75-(($A130+5)/($A130+10))*(INDEX('Stat Boosts'!$D$2:$D$192,I$1-9)-10)/((INDEX('Stat Boosts'!$D$2:$D$192,(E130/2+22)-9)-10)))&lt;0.5,POWER(1.1,1.75-(($A130+5)/($A130+10))*(INDEX('Stat Boosts'!$D$2:$D$192,I$1-9)-10)/((INDEX('Stat Boosts'!$D$2:$D$192,(E130/2+22)-9)-10))-0.5)*0.5,(1.75-(($A130+5)/($A130+10))*(INDEX('Stat Boosts'!$D$2:$D$192,I$1-9)-10)/((INDEX('Stat Boosts'!$D$2:$D$192,(E130/2+22)-9)-10))))</f>
        <v>0.48678180092680567</v>
      </c>
      <c r="J130" s="16">
        <f>IF((1.75-(($A130+5)/($A130+10))*(INDEX('Stat Boosts'!$D$2:$D$192,J$1-9)-10)/((INDEX('Stat Boosts'!$D$2:$D$192,(F130/2+22)-9)-10)))&lt;0.5,POWER(1.1,1.75-(($A130+5)/($A130+10))*(INDEX('Stat Boosts'!$D$2:$D$192,J$1-9)-10)/((INDEX('Stat Boosts'!$D$2:$D$192,(F130/2+22)-9)-10))-0.5)*0.5,(1.75-(($A130+5)/($A130+10))*(INDEX('Stat Boosts'!$D$2:$D$192,J$1-9)-10)/((INDEX('Stat Boosts'!$D$2:$D$192,(F130/2+22)-9)-10))))</f>
        <v>0.47124923726141504</v>
      </c>
      <c r="K130" s="16">
        <f>IF((1.75-(($A130+5)/($A130+10))*(INDEX('Stat Boosts'!$D$2:$D$192,K$1-9)-10)/((INDEX('Stat Boosts'!$D$2:$D$192,(G130/2+22)-9)-10)))&lt;0.5,POWER(1.1,1.75-(($A130+5)/($A130+10))*(INDEX('Stat Boosts'!$D$2:$D$192,K$1-9)-10)/((INDEX('Stat Boosts'!$D$2:$D$192,(G130/2+22)-9)-10))-0.5)*0.5,(1.75-(($A130+5)/($A130+10))*(INDEX('Stat Boosts'!$D$2:$D$192,K$1-9)-10)/((INDEX('Stat Boosts'!$D$2:$D$192,(G130/2+22)-9)-10))))</f>
        <v>0.43690675266130879</v>
      </c>
      <c r="L130" s="16">
        <f>IF((1.75-(($A130+5)/($A130+10))*(INDEX('Stat Boosts'!$D$2:$D$192,L$1-9)-10)/((INDEX('Stat Boosts'!$D$2:$D$192,(H130/2+22)-9)-10)))&lt;0.5,POWER(1.1,1.75-(($A130+5)/($A130+10))*(INDEX('Stat Boosts'!$D$2:$D$192,L$1-9)-10)/((INDEX('Stat Boosts'!$D$2:$D$192,(H130/2+22)-9)-10))-0.5)*0.5,(1.75-(($A130+5)/($A130+10))*(INDEX('Stat Boosts'!$D$2:$D$192,L$1-9)-10)/((INDEX('Stat Boosts'!$D$2:$D$192,(H130/2+22)-9)-10))))</f>
        <v>0.42525787336824106</v>
      </c>
      <c r="M130" s="16">
        <f>IF((1.75-(($A130+5)/($A130+10))*(INDEX('Stat Boosts'!$D$2:$D$192,M$1-9)-10)/((INDEX('Stat Boosts'!$D$2:$D$192,(I130/2+22)-9)-10)))&lt;0.5,POWER(1.1,1.75-(($A130+5)/($A130+10))*(INDEX('Stat Boosts'!$D$2:$D$192,M$1-9)-10)/((INDEX('Stat Boosts'!$D$2:$D$192,(I130/2+22)-9)-10))-0.5)*0.5,(1.75-(($A130+5)/($A130+10))*(INDEX('Stat Boosts'!$D$2:$D$192,M$1-9)-10)/((INDEX('Stat Boosts'!$D$2:$D$192,(I130/2+22)-9)-10))))</f>
        <v>0.40946936163080622</v>
      </c>
      <c r="N130" s="16">
        <f>IF((1.75-(($A130+5)/($A130+10))*(INDEX('Stat Boosts'!$D$2:$D$192,N$1-9)-10)/((INDEX('Stat Boosts'!$D$2:$D$192,(J130/2+22)-9)-10)))&lt;0.5,POWER(1.1,1.75-(($A130+5)/($A130+10))*(INDEX('Stat Boosts'!$D$2:$D$192,N$1-9)-10)/((INDEX('Stat Boosts'!$D$2:$D$192,(J130/2+22)-9)-10))-0.5)*0.5,(1.75-(($A130+5)/($A130+10))*(INDEX('Stat Boosts'!$D$2:$D$192,N$1-9)-10)/((INDEX('Stat Boosts'!$D$2:$D$192,(J130/2+22)-9)-10))))</f>
        <v>0.39002810432385066</v>
      </c>
      <c r="O130" s="16">
        <f>IF((1.75-(($A130+5)/($A130+10))*(INDEX('Stat Boosts'!$D$2:$D$192,O$1-9)-10)/((INDEX('Stat Boosts'!$D$2:$D$192,(K130/2+22)-9)-10)))&lt;0.5,POWER(1.1,1.75-(($A130+5)/($A130+10))*(INDEX('Stat Boosts'!$D$2:$D$192,O$1-9)-10)/((INDEX('Stat Boosts'!$D$2:$D$192,(K130/2+22)-9)-10))-0.5)*0.5,(1.75-(($A130+5)/($A130+10))*(INDEX('Stat Boosts'!$D$2:$D$192,O$1-9)-10)/((INDEX('Stat Boosts'!$D$2:$D$192,(K130/2+22)-9)-10))))</f>
        <v>0.37962911121949228</v>
      </c>
      <c r="P130" s="16">
        <f>IF((1.75-(($A130+5)/($A130+10))*(INDEX('Stat Boosts'!$D$2:$D$192,P$1-9)-10)/((INDEX('Stat Boosts'!$D$2:$D$192,(L130/2+22)-9)-10)))&lt;0.5,POWER(1.1,1.75-(($A130+5)/($A130+10))*(INDEX('Stat Boosts'!$D$2:$D$192,P$1-9)-10)/((INDEX('Stat Boosts'!$D$2:$D$192,(L130/2+22)-9)-10))-0.5)*0.5,(1.75-(($A130+5)/($A130+10))*(INDEX('Stat Boosts'!$D$2:$D$192,P$1-9)-10)/((INDEX('Stat Boosts'!$D$2:$D$192,(L130/2+22)-9)-10))))</f>
        <v>0.36356433885915623</v>
      </c>
      <c r="Q130" s="16">
        <f>IF((1.75-(($A130+5)/($A130+10))*(INDEX('Stat Boosts'!$D$2:$D$192,Q$1-9)-10)/((INDEX('Stat Boosts'!$D$2:$D$192,(M130/2+22)-9)-10)))&lt;0.5,POWER(1.1,1.75-(($A130+5)/($A130+10))*(INDEX('Stat Boosts'!$D$2:$D$192,Q$1-9)-10)/((INDEX('Stat Boosts'!$D$2:$D$192,(M130/2+22)-9)-10))-0.5)*0.5,(1.75-(($A130+5)/($A130+10))*(INDEX('Stat Boosts'!$D$2:$D$192,Q$1-9)-10)/((INDEX('Stat Boosts'!$D$2:$D$192,(M130/2+22)-9)-10))))</f>
        <v>0.34817937977805041</v>
      </c>
      <c r="R130" s="16">
        <f>IF((1.75-(($A130+5)/($A130+10))*1.25*(INDEX('Stat Boosts'!$D$2:$D$192,R$1-9)-10)/((INDEX('Stat Boosts'!$D$2:$D$192,(N130/2+22)-9)-10)))&lt;0.5,POWER(1.1,1.75-(($A130+5)/($A130+10))*1.25*(INDEX('Stat Boosts'!$D$2:$D$192,R$1-9)-10)/((INDEX('Stat Boosts'!$D$2:$D$192,(N130/2+22)-9)-10))-0.5)*0.5,(1.75-(($A130+5)/($A130+10))*1.25*(INDEX('Stat Boosts'!$D$2:$D$192,R$1-9)-10)/((INDEX('Stat Boosts'!$D$2:$D$192,(N130/2+22)-9)-10))))</f>
        <v>0.29248480307666413</v>
      </c>
    </row>
    <row r="131" spans="1:18">
      <c r="A131" s="9">
        <v>130</v>
      </c>
      <c r="B131" s="16">
        <f t="shared" ref="B131:B151" si="4">22+A131/2.5</f>
        <v>74</v>
      </c>
      <c r="C131" s="16">
        <f t="shared" ref="C131:C151" si="5">0.4/(B131-10)</f>
        <v>6.2500000000000003E-3</v>
      </c>
      <c r="E131" s="16">
        <f>IF((1.75-(($A131+5)/($A131+10))*(INDEX('Stat Boosts'!$D$2:$D$192,E$1-9)-10)/((INDEX('Stat Boosts'!$D$2:$D$192,(A131/2+22)-9)-10)))&lt;0.5,POWER(1.1,1.75-(($A131+5)/($A131+10))*(INDEX('Stat Boosts'!$D$2:$D$192,E$1-9)-10)/((INDEX('Stat Boosts'!$D$2:$D$192,(A131/2+22)-9)-10))-0.5)*0.5,(1.75-(($A131+5)/($A131+10))*(INDEX('Stat Boosts'!$D$2:$D$192,E$1-9)-10)/((INDEX('Stat Boosts'!$D$2:$D$192,(A131/2+22)-9)-10))))</f>
        <v>1.75</v>
      </c>
      <c r="F131" s="16">
        <f>IF((1.75-(($A131+5)/($A131+10))*(INDEX('Stat Boosts'!$D$2:$D$192,F$1-9)-10)/((INDEX('Stat Boosts'!$D$2:$D$192,(B131/2+22)-9)-10)))&lt;0.5,POWER(1.1,1.75-(($A131+5)/($A131+10))*(INDEX('Stat Boosts'!$D$2:$D$192,F$1-9)-10)/((INDEX('Stat Boosts'!$D$2:$D$192,(B131/2+22)-9)-10))-0.5)*0.5,(1.75-(($A131+5)/($A131+10))*(INDEX('Stat Boosts'!$D$2:$D$192,F$1-9)-10)/((INDEX('Stat Boosts'!$D$2:$D$192,(B131/2+22)-9)-10))))</f>
        <v>1.6461538461538461</v>
      </c>
      <c r="G131" s="16">
        <f>IF((1.75-(($A131+5)/($A131+10))*(INDEX('Stat Boosts'!$D$2:$D$192,G$1-9)-10)/((INDEX('Stat Boosts'!$D$2:$D$192,(C131/2+22)-9)-10)))&lt;0.5,POWER(1.1,1.75-(($A131+5)/($A131+10))*(INDEX('Stat Boosts'!$D$2:$D$192,G$1-9)-10)/((INDEX('Stat Boosts'!$D$2:$D$192,(C131/2+22)-9)-10))-0.5)*0.5,(1.75-(($A131+5)/($A131+10))*(INDEX('Stat Boosts'!$D$2:$D$192,G$1-9)-10)/((INDEX('Stat Boosts'!$D$2:$D$192,(C131/2+22)-9)-10))))</f>
        <v>0.95588235294117652</v>
      </c>
      <c r="H131" s="16">
        <f>IF((1.75-(($A131+5)/($A131+10))*(INDEX('Stat Boosts'!$D$2:$D$192,H$1-9)-10)/((INDEX('Stat Boosts'!$D$2:$D$192,(D131/2+22)-9)-10)))&lt;0.5,POWER(1.1,1.75-(($A131+5)/($A131+10))*(INDEX('Stat Boosts'!$D$2:$D$192,H$1-9)-10)/((INDEX('Stat Boosts'!$D$2:$D$192,(D131/2+22)-9)-10))-0.5)*0.5,(1.75-(($A131+5)/($A131+10))*(INDEX('Stat Boosts'!$D$2:$D$192,H$1-9)-10)/((INDEX('Stat Boosts'!$D$2:$D$192,(D131/2+22)-9)-10))))</f>
        <v>0.55882352941176472</v>
      </c>
      <c r="I131" s="16">
        <f>IF((1.75-(($A131+5)/($A131+10))*(INDEX('Stat Boosts'!$D$2:$D$192,I$1-9)-10)/((INDEX('Stat Boosts'!$D$2:$D$192,(E131/2+22)-9)-10)))&lt;0.5,POWER(1.1,1.75-(($A131+5)/($A131+10))*(INDEX('Stat Boosts'!$D$2:$D$192,I$1-9)-10)/((INDEX('Stat Boosts'!$D$2:$D$192,(E131/2+22)-9)-10))-0.5)*0.5,(1.75-(($A131+5)/($A131+10))*(INDEX('Stat Boosts'!$D$2:$D$192,I$1-9)-10)/((INDEX('Stat Boosts'!$D$2:$D$192,(E131/2+22)-9)-10))))</f>
        <v>0.4867628684607227</v>
      </c>
      <c r="J131" s="16">
        <f>IF((1.75-(($A131+5)/($A131+10))*(INDEX('Stat Boosts'!$D$2:$D$192,J$1-9)-10)/((INDEX('Stat Boosts'!$D$2:$D$192,(F131/2+22)-9)-10)))&lt;0.5,POWER(1.1,1.75-(($A131+5)/($A131+10))*(INDEX('Stat Boosts'!$D$2:$D$192,J$1-9)-10)/((INDEX('Stat Boosts'!$D$2:$D$192,(F131/2+22)-9)-10))-0.5)*0.5,(1.75-(($A131+5)/($A131+10))*(INDEX('Stat Boosts'!$D$2:$D$192,J$1-9)-10)/((INDEX('Stat Boosts'!$D$2:$D$192,(F131/2+22)-9)-10))))</f>
        <v>0.47122683603407334</v>
      </c>
      <c r="K131" s="16">
        <f>IF((1.75-(($A131+5)/($A131+10))*(INDEX('Stat Boosts'!$D$2:$D$192,K$1-9)-10)/((INDEX('Stat Boosts'!$D$2:$D$192,(G131/2+22)-9)-10)))&lt;0.5,POWER(1.1,1.75-(($A131+5)/($A131+10))*(INDEX('Stat Boosts'!$D$2:$D$192,K$1-9)-10)/((INDEX('Stat Boosts'!$D$2:$D$192,(G131/2+22)-9)-10))-0.5)*0.5,(1.75-(($A131+5)/($A131+10))*(INDEX('Stat Boosts'!$D$2:$D$192,K$1-9)-10)/((INDEX('Stat Boosts'!$D$2:$D$192,(G131/2+22)-9)-10))))</f>
        <v>0.43687717325525943</v>
      </c>
      <c r="L131" s="16">
        <f>IF((1.75-(($A131+5)/($A131+10))*(INDEX('Stat Boosts'!$D$2:$D$192,L$1-9)-10)/((INDEX('Stat Boosts'!$D$2:$D$192,(H131/2+22)-9)-10)))&lt;0.5,POWER(1.1,1.75-(($A131+5)/($A131+10))*(INDEX('Stat Boosts'!$D$2:$D$192,L$1-9)-10)/((INDEX('Stat Boosts'!$D$2:$D$192,(H131/2+22)-9)-10))-0.5)*0.5,(1.75-(($A131+5)/($A131+10))*(INDEX('Stat Boosts'!$D$2:$D$192,L$1-9)-10)/((INDEX('Stat Boosts'!$D$2:$D$192,(H131/2+22)-9)-10))))</f>
        <v>0.42522601988157971</v>
      </c>
      <c r="M131" s="16">
        <f>IF((1.75-(($A131+5)/($A131+10))*(INDEX('Stat Boosts'!$D$2:$D$192,M$1-9)-10)/((INDEX('Stat Boosts'!$D$2:$D$192,(I131/2+22)-9)-10)))&lt;0.5,POWER(1.1,1.75-(($A131+5)/($A131+10))*(INDEX('Stat Boosts'!$D$2:$D$192,M$1-9)-10)/((INDEX('Stat Boosts'!$D$2:$D$192,(I131/2+22)-9)-10))-0.5)*0.5,(1.75-(($A131+5)/($A131+10))*(INDEX('Stat Boosts'!$D$2:$D$192,M$1-9)-10)/((INDEX('Stat Boosts'!$D$2:$D$192,(I131/2+22)-9)-10))))</f>
        <v>0.40943456217090202</v>
      </c>
      <c r="N131" s="16">
        <f>IF((1.75-(($A131+5)/($A131+10))*(INDEX('Stat Boosts'!$D$2:$D$192,N$1-9)-10)/((INDEX('Stat Boosts'!$D$2:$D$192,(J131/2+22)-9)-10)))&lt;0.5,POWER(1.1,1.75-(($A131+5)/($A131+10))*(INDEX('Stat Boosts'!$D$2:$D$192,N$1-9)-10)/((INDEX('Stat Boosts'!$D$2:$D$192,(J131/2+22)-9)-10))-0.5)*0.5,(1.75-(($A131+5)/($A131+10))*(INDEX('Stat Boosts'!$D$2:$D$192,N$1-9)-10)/((INDEX('Stat Boosts'!$D$2:$D$192,(J131/2+22)-9)-10))))</f>
        <v>0.38998990100613273</v>
      </c>
      <c r="O131" s="16">
        <f>IF((1.75-(($A131+5)/($A131+10))*(INDEX('Stat Boosts'!$D$2:$D$192,O$1-9)-10)/((INDEX('Stat Boosts'!$D$2:$D$192,(K131/2+22)-9)-10)))&lt;0.5,POWER(1.1,1.75-(($A131+5)/($A131+10))*(INDEX('Stat Boosts'!$D$2:$D$192,O$1-9)-10)/((INDEX('Stat Boosts'!$D$2:$D$192,(K131/2+22)-9)-10))-0.5)*0.5,(1.75-(($A131+5)/($A131+10))*(INDEX('Stat Boosts'!$D$2:$D$192,O$1-9)-10)/((INDEX('Stat Boosts'!$D$2:$D$192,(K131/2+22)-9)-10))))</f>
        <v>0.37958919245697331</v>
      </c>
      <c r="P131" s="16">
        <f>IF((1.75-(($A131+5)/($A131+10))*(INDEX('Stat Boosts'!$D$2:$D$192,P$1-9)-10)/((INDEX('Stat Boosts'!$D$2:$D$192,(L131/2+22)-9)-10)))&lt;0.5,POWER(1.1,1.75-(($A131+5)/($A131+10))*(INDEX('Stat Boosts'!$D$2:$D$192,P$1-9)-10)/((INDEX('Stat Boosts'!$D$2:$D$192,(L131/2+22)-9)-10))-0.5)*0.5,(1.75-(($A131+5)/($A131+10))*(INDEX('Stat Boosts'!$D$2:$D$192,P$1-9)-10)/((INDEX('Stat Boosts'!$D$2:$D$192,(L131/2+22)-9)-10))))</f>
        <v>0.36352192004770828</v>
      </c>
      <c r="Q131" s="16">
        <f>IF((1.75-(($A131+5)/($A131+10))*(INDEX('Stat Boosts'!$D$2:$D$192,Q$1-9)-10)/((INDEX('Stat Boosts'!$D$2:$D$192,(M131/2+22)-9)-10)))&lt;0.5,POWER(1.1,1.75-(($A131+5)/($A131+10))*(INDEX('Stat Boosts'!$D$2:$D$192,Q$1-9)-10)/((INDEX('Stat Boosts'!$D$2:$D$192,(M131/2+22)-9)-10))-0.5)*0.5,(1.75-(($A131+5)/($A131+10))*(INDEX('Stat Boosts'!$D$2:$D$192,Q$1-9)-10)/((INDEX('Stat Boosts'!$D$2:$D$192,(M131/2+22)-9)-10))))</f>
        <v>0.34813474403687494</v>
      </c>
      <c r="R131" s="16">
        <f>IF((1.75-(($A131+5)/($A131+10))*1.25*(INDEX('Stat Boosts'!$D$2:$D$192,R$1-9)-10)/((INDEX('Stat Boosts'!$D$2:$D$192,(N131/2+22)-9)-10)))&lt;0.5,POWER(1.1,1.75-(($A131+5)/($A131+10))*1.25*(INDEX('Stat Boosts'!$D$2:$D$192,R$1-9)-10)/((INDEX('Stat Boosts'!$D$2:$D$192,(N131/2+22)-9)-10))-0.5)*0.5,(1.75-(($A131+5)/($A131+10))*1.25*(INDEX('Stat Boosts'!$D$2:$D$192,R$1-9)-10)/((INDEX('Stat Boosts'!$D$2:$D$192,(N131/2+22)-9)-10))))</f>
        <v>0.29243372145664204</v>
      </c>
    </row>
    <row r="132" spans="1:18">
      <c r="A132" s="9">
        <v>131</v>
      </c>
      <c r="B132" s="16">
        <f t="shared" si="4"/>
        <v>74.400000000000006</v>
      </c>
      <c r="C132" s="16">
        <f t="shared" si="5"/>
        <v>6.2111801242236021E-3</v>
      </c>
      <c r="E132" s="16">
        <f>IF((1.75-(($A132+5)/($A132+10))*(INDEX('Stat Boosts'!$D$2:$D$192,E$1-9)-10)/((INDEX('Stat Boosts'!$D$2:$D$192,(A132/2+22)-9)-10)))&lt;0.5,POWER(1.1,1.75-(($A132+5)/($A132+10))*(INDEX('Stat Boosts'!$D$2:$D$192,E$1-9)-10)/((INDEX('Stat Boosts'!$D$2:$D$192,(A132/2+22)-9)-10))-0.5)*0.5,(1.75-(($A132+5)/($A132+10))*(INDEX('Stat Boosts'!$D$2:$D$192,E$1-9)-10)/((INDEX('Stat Boosts'!$D$2:$D$192,(A132/2+22)-9)-10))))</f>
        <v>1.75</v>
      </c>
      <c r="F132" s="16">
        <f>IF((1.75-(($A132+5)/($A132+10))*(INDEX('Stat Boosts'!$D$2:$D$192,F$1-9)-10)/((INDEX('Stat Boosts'!$D$2:$D$192,(B132/2+22)-9)-10)))&lt;0.5,POWER(1.1,1.75-(($A132+5)/($A132+10))*(INDEX('Stat Boosts'!$D$2:$D$192,F$1-9)-10)/((INDEX('Stat Boosts'!$D$2:$D$192,(B132/2+22)-9)-10))-0.5)*0.5,(1.75-(($A132+5)/($A132+10))*(INDEX('Stat Boosts'!$D$2:$D$192,F$1-9)-10)/((INDEX('Stat Boosts'!$D$2:$D$192,(B132/2+22)-9)-10))))</f>
        <v>1.6461265684669939</v>
      </c>
      <c r="G132" s="16">
        <f>IF((1.75-(($A132+5)/($A132+10))*(INDEX('Stat Boosts'!$D$2:$D$192,G$1-9)-10)/((INDEX('Stat Boosts'!$D$2:$D$192,(C132/2+22)-9)-10)))&lt;0.5,POWER(1.1,1.75-(($A132+5)/($A132+10))*(INDEX('Stat Boosts'!$D$2:$D$192,G$1-9)-10)/((INDEX('Stat Boosts'!$D$2:$D$192,(C132/2+22)-9)-10))-0.5)*0.5,(1.75-(($A132+5)/($A132+10))*(INDEX('Stat Boosts'!$D$2:$D$192,G$1-9)-10)/((INDEX('Stat Boosts'!$D$2:$D$192,(C132/2+22)-9)-10))))</f>
        <v>0.95567375886524819</v>
      </c>
      <c r="H132" s="16">
        <f>IF((1.75-(($A132+5)/($A132+10))*(INDEX('Stat Boosts'!$D$2:$D$192,H$1-9)-10)/((INDEX('Stat Boosts'!$D$2:$D$192,(D132/2+22)-9)-10)))&lt;0.5,POWER(1.1,1.75-(($A132+5)/($A132+10))*(INDEX('Stat Boosts'!$D$2:$D$192,H$1-9)-10)/((INDEX('Stat Boosts'!$D$2:$D$192,(D132/2+22)-9)-10))-0.5)*0.5,(1.75-(($A132+5)/($A132+10))*(INDEX('Stat Boosts'!$D$2:$D$192,H$1-9)-10)/((INDEX('Stat Boosts'!$D$2:$D$192,(D132/2+22)-9)-10))))</f>
        <v>0.5585106382978724</v>
      </c>
      <c r="I132" s="16">
        <f>IF((1.75-(($A132+5)/($A132+10))*(INDEX('Stat Boosts'!$D$2:$D$192,I$1-9)-10)/((INDEX('Stat Boosts'!$D$2:$D$192,(E132/2+22)-9)-10)))&lt;0.5,POWER(1.1,1.75-(($A132+5)/($A132+10))*(INDEX('Stat Boosts'!$D$2:$D$192,I$1-9)-10)/((INDEX('Stat Boosts'!$D$2:$D$192,(E132/2+22)-9)-10))-0.5)*0.5,(1.75-(($A132+5)/($A132+10))*(INDEX('Stat Boosts'!$D$2:$D$192,I$1-9)-10)/((INDEX('Stat Boosts'!$D$2:$D$192,(E132/2+22)-9)-10))))</f>
        <v>0.48674420526100814</v>
      </c>
      <c r="J132" s="16">
        <f>IF((1.75-(($A132+5)/($A132+10))*(INDEX('Stat Boosts'!$D$2:$D$192,J$1-9)-10)/((INDEX('Stat Boosts'!$D$2:$D$192,(F132/2+22)-9)-10)))&lt;0.5,POWER(1.1,1.75-(($A132+5)/($A132+10))*(INDEX('Stat Boosts'!$D$2:$D$192,J$1-9)-10)/((INDEX('Stat Boosts'!$D$2:$D$192,(F132/2+22)-9)-10))-0.5)*0.5,(1.75-(($A132+5)/($A132+10))*(INDEX('Stat Boosts'!$D$2:$D$192,J$1-9)-10)/((INDEX('Stat Boosts'!$D$2:$D$192,(F132/2+22)-9)-10))))</f>
        <v>0.47120475359694902</v>
      </c>
      <c r="K132" s="16">
        <f>IF((1.75-(($A132+5)/($A132+10))*(INDEX('Stat Boosts'!$D$2:$D$192,K$1-9)-10)/((INDEX('Stat Boosts'!$D$2:$D$192,(G132/2+22)-9)-10)))&lt;0.5,POWER(1.1,1.75-(($A132+5)/($A132+10))*(INDEX('Stat Boosts'!$D$2:$D$192,K$1-9)-10)/((INDEX('Stat Boosts'!$D$2:$D$192,(G132/2+22)-9)-10))-0.5)*0.5,(1.75-(($A132+5)/($A132+10))*(INDEX('Stat Boosts'!$D$2:$D$192,K$1-9)-10)/((INDEX('Stat Boosts'!$D$2:$D$192,(G132/2+22)-9)-10))))</f>
        <v>0.4368480153754285</v>
      </c>
      <c r="L132" s="16">
        <f>IF((1.75-(($A132+5)/($A132+10))*(INDEX('Stat Boosts'!$D$2:$D$192,L$1-9)-10)/((INDEX('Stat Boosts'!$D$2:$D$192,(H132/2+22)-9)-10)))&lt;0.5,POWER(1.1,1.75-(($A132+5)/($A132+10))*(INDEX('Stat Boosts'!$D$2:$D$192,L$1-9)-10)/((INDEX('Stat Boosts'!$D$2:$D$192,(H132/2+22)-9)-10))-0.5)*0.5,(1.75-(($A132+5)/($A132+10))*(INDEX('Stat Boosts'!$D$2:$D$192,L$1-9)-10)/((INDEX('Stat Boosts'!$D$2:$D$192,(H132/2+22)-9)-10))))</f>
        <v>0.42519462055285162</v>
      </c>
      <c r="M132" s="16">
        <f>IF((1.75-(($A132+5)/($A132+10))*(INDEX('Stat Boosts'!$D$2:$D$192,M$1-9)-10)/((INDEX('Stat Boosts'!$D$2:$D$192,(I132/2+22)-9)-10)))&lt;0.5,POWER(1.1,1.75-(($A132+5)/($A132+10))*(INDEX('Stat Boosts'!$D$2:$D$192,M$1-9)-10)/((INDEX('Stat Boosts'!$D$2:$D$192,(I132/2+22)-9)-10))-0.5)*0.5,(1.75-(($A132+5)/($A132+10))*(INDEX('Stat Boosts'!$D$2:$D$192,M$1-9)-10)/((INDEX('Stat Boosts'!$D$2:$D$192,(I132/2+22)-9)-10))))</f>
        <v>0.40940025921522355</v>
      </c>
      <c r="N132" s="16">
        <f>IF((1.75-(($A132+5)/($A132+10))*(INDEX('Stat Boosts'!$D$2:$D$192,N$1-9)-10)/((INDEX('Stat Boosts'!$D$2:$D$192,(J132/2+22)-9)-10)))&lt;0.5,POWER(1.1,1.75-(($A132+5)/($A132+10))*(INDEX('Stat Boosts'!$D$2:$D$192,N$1-9)-10)/((INDEX('Stat Boosts'!$D$2:$D$192,(J132/2+22)-9)-10))-0.5)*0.5,(1.75-(($A132+5)/($A132+10))*(INDEX('Stat Boosts'!$D$2:$D$192,N$1-9)-10)/((INDEX('Stat Boosts'!$D$2:$D$192,(J132/2+22)-9)-10))))</f>
        <v>0.38995224324222827</v>
      </c>
      <c r="O132" s="16">
        <f>IF((1.75-(($A132+5)/($A132+10))*(INDEX('Stat Boosts'!$D$2:$D$192,O$1-9)-10)/((INDEX('Stat Boosts'!$D$2:$D$192,(K132/2+22)-9)-10)))&lt;0.5,POWER(1.1,1.75-(($A132+5)/($A132+10))*(INDEX('Stat Boosts'!$D$2:$D$192,O$1-9)-10)/((INDEX('Stat Boosts'!$D$2:$D$192,(K132/2+22)-9)-10))-0.5)*0.5,(1.75-(($A132+5)/($A132+10))*(INDEX('Stat Boosts'!$D$2:$D$192,O$1-9)-10)/((INDEX('Stat Boosts'!$D$2:$D$192,(K132/2+22)-9)-10))))</f>
        <v>0.37954984402668895</v>
      </c>
      <c r="P132" s="16">
        <f>IF((1.75-(($A132+5)/($A132+10))*(INDEX('Stat Boosts'!$D$2:$D$192,P$1-9)-10)/((INDEX('Stat Boosts'!$D$2:$D$192,(L132/2+22)-9)-10)))&lt;0.5,POWER(1.1,1.75-(($A132+5)/($A132+10))*(INDEX('Stat Boosts'!$D$2:$D$192,P$1-9)-10)/((INDEX('Stat Boosts'!$D$2:$D$192,(L132/2+22)-9)-10))-0.5)*0.5,(1.75-(($A132+5)/($A132+10))*(INDEX('Stat Boosts'!$D$2:$D$192,P$1-9)-10)/((INDEX('Stat Boosts'!$D$2:$D$192,(L132/2+22)-9)-10))))</f>
        <v>0.36348010776593559</v>
      </c>
      <c r="Q132" s="16">
        <f>IF((1.75-(($A132+5)/($A132+10))*(INDEX('Stat Boosts'!$D$2:$D$192,Q$1-9)-10)/((INDEX('Stat Boosts'!$D$2:$D$192,(M132/2+22)-9)-10)))&lt;0.5,POWER(1.1,1.75-(($A132+5)/($A132+10))*(INDEX('Stat Boosts'!$D$2:$D$192,Q$1-9)-10)/((INDEX('Stat Boosts'!$D$2:$D$192,(M132/2+22)-9)-10))-0.5)*0.5,(1.75-(($A132+5)/($A132+10))*(INDEX('Stat Boosts'!$D$2:$D$192,Q$1-9)-10)/((INDEX('Stat Boosts'!$D$2:$D$192,(M132/2+22)-9)-10))))</f>
        <v>0.34809074702780263</v>
      </c>
      <c r="R132" s="16">
        <f>IF((1.75-(($A132+5)/($A132+10))*1.25*(INDEX('Stat Boosts'!$D$2:$D$192,R$1-9)-10)/((INDEX('Stat Boosts'!$D$2:$D$192,(N132/2+22)-9)-10)))&lt;0.5,POWER(1.1,1.75-(($A132+5)/($A132+10))*1.25*(INDEX('Stat Boosts'!$D$2:$D$192,R$1-9)-10)/((INDEX('Stat Boosts'!$D$2:$D$192,(N132/2+22)-9)-10))-0.5)*0.5,(1.75-(($A132+5)/($A132+10))*1.25*(INDEX('Stat Boosts'!$D$2:$D$192,R$1-9)-10)/((INDEX('Stat Boosts'!$D$2:$D$192,(N132/2+22)-9)-10))))</f>
        <v>0.29238337313095303</v>
      </c>
    </row>
    <row r="133" spans="1:18">
      <c r="A133" s="9">
        <v>132</v>
      </c>
      <c r="B133" s="16">
        <f t="shared" si="4"/>
        <v>74.8</v>
      </c>
      <c r="C133" s="16">
        <f t="shared" si="5"/>
        <v>6.17283950617284E-3</v>
      </c>
      <c r="E133" s="16">
        <f>IF((1.75-(($A133+5)/($A133+10))*(INDEX('Stat Boosts'!$D$2:$D$192,E$1-9)-10)/((INDEX('Stat Boosts'!$D$2:$D$192,(A133/2+22)-9)-10)))&lt;0.5,POWER(1.1,1.75-(($A133+5)/($A133+10))*(INDEX('Stat Boosts'!$D$2:$D$192,E$1-9)-10)/((INDEX('Stat Boosts'!$D$2:$D$192,(A133/2+22)-9)-10))-0.5)*0.5,(1.75-(($A133+5)/($A133+10))*(INDEX('Stat Boosts'!$D$2:$D$192,E$1-9)-10)/((INDEX('Stat Boosts'!$D$2:$D$192,(A133/2+22)-9)-10))))</f>
        <v>1.75</v>
      </c>
      <c r="F133" s="16">
        <f>IF((1.75-(($A133+5)/($A133+10))*(INDEX('Stat Boosts'!$D$2:$D$192,F$1-9)-10)/((INDEX('Stat Boosts'!$D$2:$D$192,(B133/2+22)-9)-10)))&lt;0.5,POWER(1.1,1.75-(($A133+5)/($A133+10))*(INDEX('Stat Boosts'!$D$2:$D$192,F$1-9)-10)/((INDEX('Stat Boosts'!$D$2:$D$192,(B133/2+22)-9)-10))-0.5)*0.5,(1.75-(($A133+5)/($A133+10))*(INDEX('Stat Boosts'!$D$2:$D$192,F$1-9)-10)/((INDEX('Stat Boosts'!$D$2:$D$192,(B133/2+22)-9)-10))))</f>
        <v>1.6460996749729144</v>
      </c>
      <c r="G133" s="16">
        <f>IF((1.75-(($A133+5)/($A133+10))*(INDEX('Stat Boosts'!$D$2:$D$192,G$1-9)-10)/((INDEX('Stat Boosts'!$D$2:$D$192,(C133/2+22)-9)-10)))&lt;0.5,POWER(1.1,1.75-(($A133+5)/($A133+10))*(INDEX('Stat Boosts'!$D$2:$D$192,G$1-9)-10)/((INDEX('Stat Boosts'!$D$2:$D$192,(C133/2+22)-9)-10))-0.5)*0.5,(1.75-(($A133+5)/($A133+10))*(INDEX('Stat Boosts'!$D$2:$D$192,G$1-9)-10)/((INDEX('Stat Boosts'!$D$2:$D$192,(C133/2+22)-9)-10))))</f>
        <v>0.95546810273405125</v>
      </c>
      <c r="H133" s="16">
        <f>IF((1.75-(($A133+5)/($A133+10))*(INDEX('Stat Boosts'!$D$2:$D$192,H$1-9)-10)/((INDEX('Stat Boosts'!$D$2:$D$192,(D133/2+22)-9)-10)))&lt;0.5,POWER(1.1,1.75-(($A133+5)/($A133+10))*(INDEX('Stat Boosts'!$D$2:$D$192,H$1-9)-10)/((INDEX('Stat Boosts'!$D$2:$D$192,(D133/2+22)-9)-10))-0.5)*0.5,(1.75-(($A133+5)/($A133+10))*(INDEX('Stat Boosts'!$D$2:$D$192,H$1-9)-10)/((INDEX('Stat Boosts'!$D$2:$D$192,(D133/2+22)-9)-10))))</f>
        <v>0.55820215410107688</v>
      </c>
      <c r="I133" s="16">
        <f>IF((1.75-(($A133+5)/($A133+10))*(INDEX('Stat Boosts'!$D$2:$D$192,I$1-9)-10)/((INDEX('Stat Boosts'!$D$2:$D$192,(E133/2+22)-9)-10)))&lt;0.5,POWER(1.1,1.75-(($A133+5)/($A133+10))*(INDEX('Stat Boosts'!$D$2:$D$192,I$1-9)-10)/((INDEX('Stat Boosts'!$D$2:$D$192,(E133/2+22)-9)-10))-0.5)*0.5,(1.75-(($A133+5)/($A133+10))*(INDEX('Stat Boosts'!$D$2:$D$192,I$1-9)-10)/((INDEX('Stat Boosts'!$D$2:$D$192,(E133/2+22)-9)-10))))</f>
        <v>0.48672580562378892</v>
      </c>
      <c r="J133" s="16">
        <f>IF((1.75-(($A133+5)/($A133+10))*(INDEX('Stat Boosts'!$D$2:$D$192,J$1-9)-10)/((INDEX('Stat Boosts'!$D$2:$D$192,(F133/2+22)-9)-10)))&lt;0.5,POWER(1.1,1.75-(($A133+5)/($A133+10))*(INDEX('Stat Boosts'!$D$2:$D$192,J$1-9)-10)/((INDEX('Stat Boosts'!$D$2:$D$192,(F133/2+22)-9)-10))-0.5)*0.5,(1.75-(($A133+5)/($A133+10))*(INDEX('Stat Boosts'!$D$2:$D$192,J$1-9)-10)/((INDEX('Stat Boosts'!$D$2:$D$192,(F133/2+22)-9)-10))))</f>
        <v>0.47118298319312441</v>
      </c>
      <c r="K133" s="16">
        <f>IF((1.75-(($A133+5)/($A133+10))*(INDEX('Stat Boosts'!$D$2:$D$192,K$1-9)-10)/((INDEX('Stat Boosts'!$D$2:$D$192,(G133/2+22)-9)-10)))&lt;0.5,POWER(1.1,1.75-(($A133+5)/($A133+10))*(INDEX('Stat Boosts'!$D$2:$D$192,K$1-9)-10)/((INDEX('Stat Boosts'!$D$2:$D$192,(G133/2+22)-9)-10))-0.5)*0.5,(1.75-(($A133+5)/($A133+10))*(INDEX('Stat Boosts'!$D$2:$D$192,K$1-9)-10)/((INDEX('Stat Boosts'!$D$2:$D$192,(G133/2+22)-9)-10))))</f>
        <v>0.43681927007508492</v>
      </c>
      <c r="L133" s="16">
        <f>IF((1.75-(($A133+5)/($A133+10))*(INDEX('Stat Boosts'!$D$2:$D$192,L$1-9)-10)/((INDEX('Stat Boosts'!$D$2:$D$192,(H133/2+22)-9)-10)))&lt;0.5,POWER(1.1,1.75-(($A133+5)/($A133+10))*(INDEX('Stat Boosts'!$D$2:$D$192,L$1-9)-10)/((INDEX('Stat Boosts'!$D$2:$D$192,(H133/2+22)-9)-10))-0.5)*0.5,(1.75-(($A133+5)/($A133+10))*(INDEX('Stat Boosts'!$D$2:$D$192,L$1-9)-10)/((INDEX('Stat Boosts'!$D$2:$D$192,(H133/2+22)-9)-10))))</f>
        <v>0.42516366573801051</v>
      </c>
      <c r="M133" s="16">
        <f>IF((1.75-(($A133+5)/($A133+10))*(INDEX('Stat Boosts'!$D$2:$D$192,M$1-9)-10)/((INDEX('Stat Boosts'!$D$2:$D$192,(I133/2+22)-9)-10)))&lt;0.5,POWER(1.1,1.75-(($A133+5)/($A133+10))*(INDEX('Stat Boosts'!$D$2:$D$192,M$1-9)-10)/((INDEX('Stat Boosts'!$D$2:$D$192,(I133/2+22)-9)-10))-0.5)*0.5,(1.75-(($A133+5)/($A133+10))*(INDEX('Stat Boosts'!$D$2:$D$192,M$1-9)-10)/((INDEX('Stat Boosts'!$D$2:$D$192,(I133/2+22)-9)-10))))</f>
        <v>0.40936644221328072</v>
      </c>
      <c r="N133" s="16">
        <f>IF((1.75-(($A133+5)/($A133+10))*(INDEX('Stat Boosts'!$D$2:$D$192,N$1-9)-10)/((INDEX('Stat Boosts'!$D$2:$D$192,(J133/2+22)-9)-10)))&lt;0.5,POWER(1.1,1.75-(($A133+5)/($A133+10))*(INDEX('Stat Boosts'!$D$2:$D$192,N$1-9)-10)/((INDEX('Stat Boosts'!$D$2:$D$192,(J133/2+22)-9)-10))-0.5)*0.5,(1.75-(($A133+5)/($A133+10))*(INDEX('Stat Boosts'!$D$2:$D$192,N$1-9)-10)/((INDEX('Stat Boosts'!$D$2:$D$192,(J133/2+22)-9)-10))))</f>
        <v>0.38991511942917073</v>
      </c>
      <c r="O133" s="16">
        <f>IF((1.75-(($A133+5)/($A133+10))*(INDEX('Stat Boosts'!$D$2:$D$192,O$1-9)-10)/((INDEX('Stat Boosts'!$D$2:$D$192,(K133/2+22)-9)-10)))&lt;0.5,POWER(1.1,1.75-(($A133+5)/($A133+10))*(INDEX('Stat Boosts'!$D$2:$D$192,O$1-9)-10)/((INDEX('Stat Boosts'!$D$2:$D$192,(K133/2+22)-9)-10))-0.5)*0.5,(1.75-(($A133+5)/($A133+10))*(INDEX('Stat Boosts'!$D$2:$D$192,O$1-9)-10)/((INDEX('Stat Boosts'!$D$2:$D$192,(K133/2+22)-9)-10))))</f>
        <v>0.37951105379276162</v>
      </c>
      <c r="P133" s="16">
        <f>IF((1.75-(($A133+5)/($A133+10))*(INDEX('Stat Boosts'!$D$2:$D$192,P$1-9)-10)/((INDEX('Stat Boosts'!$D$2:$D$192,(L133/2+22)-9)-10)))&lt;0.5,POWER(1.1,1.75-(($A133+5)/($A133+10))*(INDEX('Stat Boosts'!$D$2:$D$192,P$1-9)-10)/((INDEX('Stat Boosts'!$D$2:$D$192,(L133/2+22)-9)-10))-0.5)*0.5,(1.75-(($A133+5)/($A133+10))*(INDEX('Stat Boosts'!$D$2:$D$192,P$1-9)-10)/((INDEX('Stat Boosts'!$D$2:$D$192,(L133/2+22)-9)-10))))</f>
        <v>0.36343888909766314</v>
      </c>
      <c r="Q133" s="16">
        <f>IF((1.75-(($A133+5)/($A133+10))*(INDEX('Stat Boosts'!$D$2:$D$192,Q$1-9)-10)/((INDEX('Stat Boosts'!$D$2:$D$192,(M133/2+22)-9)-10)))&lt;0.5,POWER(1.1,1.75-(($A133+5)/($A133+10))*(INDEX('Stat Boosts'!$D$2:$D$192,Q$1-9)-10)/((INDEX('Stat Boosts'!$D$2:$D$192,(M133/2+22)-9)-10))-0.5)*0.5,(1.75-(($A133+5)/($A133+10))*(INDEX('Stat Boosts'!$D$2:$D$192,Q$1-9)-10)/((INDEX('Stat Boosts'!$D$2:$D$192,(M133/2+22)-9)-10))))</f>
        <v>0.34804737513830697</v>
      </c>
      <c r="R133" s="16">
        <f>IF((1.75-(($A133+5)/($A133+10))*1.25*(INDEX('Stat Boosts'!$D$2:$D$192,R$1-9)-10)/((INDEX('Stat Boosts'!$D$2:$D$192,(N133/2+22)-9)-10)))&lt;0.5,POWER(1.1,1.75-(($A133+5)/($A133+10))*1.25*(INDEX('Stat Boosts'!$D$2:$D$192,R$1-9)-10)/((INDEX('Stat Boosts'!$D$2:$D$192,(N133/2+22)-9)-10))-0.5)*0.5,(1.75-(($A133+5)/($A133+10))*1.25*(INDEX('Stat Boosts'!$D$2:$D$192,R$1-9)-10)/((INDEX('Stat Boosts'!$D$2:$D$192,(N133/2+22)-9)-10))))</f>
        <v>0.29233374242281496</v>
      </c>
    </row>
    <row r="134" spans="1:18">
      <c r="A134" s="9">
        <v>133</v>
      </c>
      <c r="B134" s="16">
        <f t="shared" si="4"/>
        <v>75.2</v>
      </c>
      <c r="C134" s="16">
        <f t="shared" si="5"/>
        <v>6.1349693251533744E-3</v>
      </c>
      <c r="E134" s="16">
        <f>IF((1.75-(($A134+5)/($A134+10))*(INDEX('Stat Boosts'!$D$2:$D$192,E$1-9)-10)/((INDEX('Stat Boosts'!$D$2:$D$192,(A134/2+22)-9)-10)))&lt;0.5,POWER(1.1,1.75-(($A134+5)/($A134+10))*(INDEX('Stat Boosts'!$D$2:$D$192,E$1-9)-10)/((INDEX('Stat Boosts'!$D$2:$D$192,(A134/2+22)-9)-10))-0.5)*0.5,(1.75-(($A134+5)/($A134+10))*(INDEX('Stat Boosts'!$D$2:$D$192,E$1-9)-10)/((INDEX('Stat Boosts'!$D$2:$D$192,(A134/2+22)-9)-10))))</f>
        <v>1.75</v>
      </c>
      <c r="F134" s="16">
        <f>IF((1.75-(($A134+5)/($A134+10))*(INDEX('Stat Boosts'!$D$2:$D$192,F$1-9)-10)/((INDEX('Stat Boosts'!$D$2:$D$192,(B134/2+22)-9)-10)))&lt;0.5,POWER(1.1,1.75-(($A134+5)/($A134+10))*(INDEX('Stat Boosts'!$D$2:$D$192,F$1-9)-10)/((INDEX('Stat Boosts'!$D$2:$D$192,(B134/2+22)-9)-10))-0.5)*0.5,(1.75-(($A134+5)/($A134+10))*(INDEX('Stat Boosts'!$D$2:$D$192,F$1-9)-10)/((INDEX('Stat Boosts'!$D$2:$D$192,(B134/2+22)-9)-10))))</f>
        <v>1.6460731576116192</v>
      </c>
      <c r="G134" s="16">
        <f>IF((1.75-(($A134+5)/($A134+10))*(INDEX('Stat Boosts'!$D$2:$D$192,G$1-9)-10)/((INDEX('Stat Boosts'!$D$2:$D$192,(C134/2+22)-9)-10)))&lt;0.5,POWER(1.1,1.75-(($A134+5)/($A134+10))*(INDEX('Stat Boosts'!$D$2:$D$192,G$1-9)-10)/((INDEX('Stat Boosts'!$D$2:$D$192,(C134/2+22)-9)-10))-0.5)*0.5,(1.75-(($A134+5)/($A134+10))*(INDEX('Stat Boosts'!$D$2:$D$192,G$1-9)-10)/((INDEX('Stat Boosts'!$D$2:$D$192,(C134/2+22)-9)-10))))</f>
        <v>0.95526532291238175</v>
      </c>
      <c r="H134" s="16">
        <f>IF((1.75-(($A134+5)/($A134+10))*(INDEX('Stat Boosts'!$D$2:$D$192,H$1-9)-10)/((INDEX('Stat Boosts'!$D$2:$D$192,(D134/2+22)-9)-10)))&lt;0.5,POWER(1.1,1.75-(($A134+5)/($A134+10))*(INDEX('Stat Boosts'!$D$2:$D$192,H$1-9)-10)/((INDEX('Stat Boosts'!$D$2:$D$192,(D134/2+22)-9)-10))-0.5)*0.5,(1.75-(($A134+5)/($A134+10))*(INDEX('Stat Boosts'!$D$2:$D$192,H$1-9)-10)/((INDEX('Stat Boosts'!$D$2:$D$192,(D134/2+22)-9)-10))))</f>
        <v>0.55789798436857252</v>
      </c>
      <c r="I134" s="16">
        <f>IF((1.75-(($A134+5)/($A134+10))*(INDEX('Stat Boosts'!$D$2:$D$192,I$1-9)-10)/((INDEX('Stat Boosts'!$D$2:$D$192,(E134/2+22)-9)-10)))&lt;0.5,POWER(1.1,1.75-(($A134+5)/($A134+10))*(INDEX('Stat Boosts'!$D$2:$D$192,I$1-9)-10)/((INDEX('Stat Boosts'!$D$2:$D$192,(E134/2+22)-9)-10))-0.5)*0.5,(1.75-(($A134+5)/($A134+10))*(INDEX('Stat Boosts'!$D$2:$D$192,I$1-9)-10)/((INDEX('Stat Boosts'!$D$2:$D$192,(E134/2+22)-9)-10))))</f>
        <v>0.48670766400516274</v>
      </c>
      <c r="J134" s="16">
        <f>IF((1.75-(($A134+5)/($A134+10))*(INDEX('Stat Boosts'!$D$2:$D$192,J$1-9)-10)/((INDEX('Stat Boosts'!$D$2:$D$192,(F134/2+22)-9)-10)))&lt;0.5,POWER(1.1,1.75-(($A134+5)/($A134+10))*(INDEX('Stat Boosts'!$D$2:$D$192,J$1-9)-10)/((INDEX('Stat Boosts'!$D$2:$D$192,(F134/2+22)-9)-10))-0.5)*0.5,(1.75-(($A134+5)/($A134+10))*(INDEX('Stat Boosts'!$D$2:$D$192,J$1-9)-10)/((INDEX('Stat Boosts'!$D$2:$D$192,(F134/2+22)-9)-10))))</f>
        <v>0.47116151825529662</v>
      </c>
      <c r="K134" s="16">
        <f>IF((1.75-(($A134+5)/($A134+10))*(INDEX('Stat Boosts'!$D$2:$D$192,K$1-9)-10)/((INDEX('Stat Boosts'!$D$2:$D$192,(G134/2+22)-9)-10)))&lt;0.5,POWER(1.1,1.75-(($A134+5)/($A134+10))*(INDEX('Stat Boosts'!$D$2:$D$192,K$1-9)-10)/((INDEX('Stat Boosts'!$D$2:$D$192,(G134/2+22)-9)-10))-0.5)*0.5,(1.75-(($A134+5)/($A134+10))*(INDEX('Stat Boosts'!$D$2:$D$192,K$1-9)-10)/((INDEX('Stat Boosts'!$D$2:$D$192,(G134/2+22)-9)-10))))</f>
        <v>0.43679092865890484</v>
      </c>
      <c r="L134" s="16">
        <f>IF((1.75-(($A134+5)/($A134+10))*(INDEX('Stat Boosts'!$D$2:$D$192,L$1-9)-10)/((INDEX('Stat Boosts'!$D$2:$D$192,(H134/2+22)-9)-10)))&lt;0.5,POWER(1.1,1.75-(($A134+5)/($A134+10))*(INDEX('Stat Boosts'!$D$2:$D$192,L$1-9)-10)/((INDEX('Stat Boosts'!$D$2:$D$192,(H134/2+22)-9)-10))-0.5)*0.5,(1.75-(($A134+5)/($A134+10))*(INDEX('Stat Boosts'!$D$2:$D$192,L$1-9)-10)/((INDEX('Stat Boosts'!$D$2:$D$192,(H134/2+22)-9)-10))))</f>
        <v>0.42513314606414399</v>
      </c>
      <c r="M134" s="16">
        <f>IF((1.75-(($A134+5)/($A134+10))*(INDEX('Stat Boosts'!$D$2:$D$192,M$1-9)-10)/((INDEX('Stat Boosts'!$D$2:$D$192,(I134/2+22)-9)-10)))&lt;0.5,POWER(1.1,1.75-(($A134+5)/($A134+10))*(INDEX('Stat Boosts'!$D$2:$D$192,M$1-9)-10)/((INDEX('Stat Boosts'!$D$2:$D$192,(I134/2+22)-9)-10))-0.5)*0.5,(1.75-(($A134+5)/($A134+10))*(INDEX('Stat Boosts'!$D$2:$D$192,M$1-9)-10)/((INDEX('Stat Boosts'!$D$2:$D$192,(I134/2+22)-9)-10))))</f>
        <v>0.40933310091140207</v>
      </c>
      <c r="N134" s="16">
        <f>IF((1.75-(($A134+5)/($A134+10))*(INDEX('Stat Boosts'!$D$2:$D$192,N$1-9)-10)/((INDEX('Stat Boosts'!$D$2:$D$192,(J134/2+22)-9)-10)))&lt;0.5,POWER(1.1,1.75-(($A134+5)/($A134+10))*(INDEX('Stat Boosts'!$D$2:$D$192,N$1-9)-10)/((INDEX('Stat Boosts'!$D$2:$D$192,(J134/2+22)-9)-10))-0.5)*0.5,(1.75-(($A134+5)/($A134+10))*(INDEX('Stat Boosts'!$D$2:$D$192,N$1-9)-10)/((INDEX('Stat Boosts'!$D$2:$D$192,(J134/2+22)-9)-10))))</f>
        <v>0.38987851829070591</v>
      </c>
      <c r="O134" s="16">
        <f>IF((1.75-(($A134+5)/($A134+10))*(INDEX('Stat Boosts'!$D$2:$D$192,O$1-9)-10)/((INDEX('Stat Boosts'!$D$2:$D$192,(K134/2+22)-9)-10)))&lt;0.5,POWER(1.1,1.75-(($A134+5)/($A134+10))*(INDEX('Stat Boosts'!$D$2:$D$192,O$1-9)-10)/((INDEX('Stat Boosts'!$D$2:$D$192,(K134/2+22)-9)-10))-0.5)*0.5,(1.75-(($A134+5)/($A134+10))*(INDEX('Stat Boosts'!$D$2:$D$192,O$1-9)-10)/((INDEX('Stat Boosts'!$D$2:$D$192,(K134/2+22)-9)-10))))</f>
        <v>0.37947280996119553</v>
      </c>
      <c r="P134" s="16">
        <f>IF((1.75-(($A134+5)/($A134+10))*(INDEX('Stat Boosts'!$D$2:$D$192,P$1-9)-10)/((INDEX('Stat Boosts'!$D$2:$D$192,(L134/2+22)-9)-10)))&lt;0.5,POWER(1.1,1.75-(($A134+5)/($A134+10))*(INDEX('Stat Boosts'!$D$2:$D$192,P$1-9)-10)/((INDEX('Stat Boosts'!$D$2:$D$192,(L134/2+22)-9)-10))-0.5)*0.5,(1.75-(($A134+5)/($A134+10))*(INDEX('Stat Boosts'!$D$2:$D$192,P$1-9)-10)/((INDEX('Stat Boosts'!$D$2:$D$192,(L134/2+22)-9)-10))))</f>
        <v>0.36339825149086086</v>
      </c>
      <c r="Q134" s="16">
        <f>IF((1.75-(($A134+5)/($A134+10))*(INDEX('Stat Boosts'!$D$2:$D$192,Q$1-9)-10)/((INDEX('Stat Boosts'!$D$2:$D$192,(M134/2+22)-9)-10)))&lt;0.5,POWER(1.1,1.75-(($A134+5)/($A134+10))*(INDEX('Stat Boosts'!$D$2:$D$192,Q$1-9)-10)/((INDEX('Stat Boosts'!$D$2:$D$192,(M134/2+22)-9)-10))-0.5)*0.5,(1.75-(($A134+5)/($A134+10))*(INDEX('Stat Boosts'!$D$2:$D$192,Q$1-9)-10)/((INDEX('Stat Boosts'!$D$2:$D$192,(M134/2+22)-9)-10))))</f>
        <v>0.34800461513993347</v>
      </c>
      <c r="R134" s="16">
        <f>IF((1.75-(($A134+5)/($A134+10))*1.25*(INDEX('Stat Boosts'!$D$2:$D$192,R$1-9)-10)/((INDEX('Stat Boosts'!$D$2:$D$192,(N134/2+22)-9)-10)))&lt;0.5,POWER(1.1,1.75-(($A134+5)/($A134+10))*1.25*(INDEX('Stat Boosts'!$D$2:$D$192,R$1-9)-10)/((INDEX('Stat Boosts'!$D$2:$D$192,(N134/2+22)-9)-10))-0.5)*0.5,(1.75-(($A134+5)/($A134+10))*1.25*(INDEX('Stat Boosts'!$D$2:$D$192,R$1-9)-10)/((INDEX('Stat Boosts'!$D$2:$D$192,(N134/2+22)-9)-10))))</f>
        <v>0.29228481409912627</v>
      </c>
    </row>
    <row r="135" spans="1:18">
      <c r="A135" s="9">
        <v>134</v>
      </c>
      <c r="B135" s="16">
        <f t="shared" si="4"/>
        <v>75.599999999999994</v>
      </c>
      <c r="C135" s="16">
        <f t="shared" si="5"/>
        <v>6.0975609756097572E-3</v>
      </c>
      <c r="E135" s="16">
        <f>IF((1.75-(($A135+5)/($A135+10))*(INDEX('Stat Boosts'!$D$2:$D$192,E$1-9)-10)/((INDEX('Stat Boosts'!$D$2:$D$192,(A135/2+22)-9)-10)))&lt;0.5,POWER(1.1,1.75-(($A135+5)/($A135+10))*(INDEX('Stat Boosts'!$D$2:$D$192,E$1-9)-10)/((INDEX('Stat Boosts'!$D$2:$D$192,(A135/2+22)-9)-10))-0.5)*0.5,(1.75-(($A135+5)/($A135+10))*(INDEX('Stat Boosts'!$D$2:$D$192,E$1-9)-10)/((INDEX('Stat Boosts'!$D$2:$D$192,(A135/2+22)-9)-10))))</f>
        <v>1.75</v>
      </c>
      <c r="F135" s="16">
        <f>IF((1.75-(($A135+5)/($A135+10))*(INDEX('Stat Boosts'!$D$2:$D$192,F$1-9)-10)/((INDEX('Stat Boosts'!$D$2:$D$192,(B135/2+22)-9)-10)))&lt;0.5,POWER(1.1,1.75-(($A135+5)/($A135+10))*(INDEX('Stat Boosts'!$D$2:$D$192,F$1-9)-10)/((INDEX('Stat Boosts'!$D$2:$D$192,(B135/2+22)-9)-10))-0.5)*0.5,(1.75-(($A135+5)/($A135+10))*(INDEX('Stat Boosts'!$D$2:$D$192,F$1-9)-10)/((INDEX('Stat Boosts'!$D$2:$D$192,(B135/2+22)-9)-10))))</f>
        <v>1.6460470085470085</v>
      </c>
      <c r="G135" s="16">
        <f>IF((1.75-(($A135+5)/($A135+10))*(INDEX('Stat Boosts'!$D$2:$D$192,G$1-9)-10)/((INDEX('Stat Boosts'!$D$2:$D$192,(C135/2+22)-9)-10)))&lt;0.5,POWER(1.1,1.75-(($A135+5)/($A135+10))*(INDEX('Stat Boosts'!$D$2:$D$192,G$1-9)-10)/((INDEX('Stat Boosts'!$D$2:$D$192,(C135/2+22)-9)-10))-0.5)*0.5,(1.75-(($A135+5)/($A135+10))*(INDEX('Stat Boosts'!$D$2:$D$192,G$1-9)-10)/((INDEX('Stat Boosts'!$D$2:$D$192,(C135/2+22)-9)-10))))</f>
        <v>0.95506535947712412</v>
      </c>
      <c r="H135" s="16">
        <f>IF((1.75-(($A135+5)/($A135+10))*(INDEX('Stat Boosts'!$D$2:$D$192,H$1-9)-10)/((INDEX('Stat Boosts'!$D$2:$D$192,(D135/2+22)-9)-10)))&lt;0.5,POWER(1.1,1.75-(($A135+5)/($A135+10))*(INDEX('Stat Boosts'!$D$2:$D$192,H$1-9)-10)/((INDEX('Stat Boosts'!$D$2:$D$192,(D135/2+22)-9)-10))-0.5)*0.5,(1.75-(($A135+5)/($A135+10))*(INDEX('Stat Boosts'!$D$2:$D$192,H$1-9)-10)/((INDEX('Stat Boosts'!$D$2:$D$192,(D135/2+22)-9)-10))))</f>
        <v>0.55759803921568629</v>
      </c>
      <c r="I135" s="16">
        <f>IF((1.75-(($A135+5)/($A135+10))*(INDEX('Stat Boosts'!$D$2:$D$192,I$1-9)-10)/((INDEX('Stat Boosts'!$D$2:$D$192,(E135/2+22)-9)-10)))&lt;0.5,POWER(1.1,1.75-(($A135+5)/($A135+10))*(INDEX('Stat Boosts'!$D$2:$D$192,I$1-9)-10)/((INDEX('Stat Boosts'!$D$2:$D$192,(E135/2+22)-9)-10))-0.5)*0.5,(1.75-(($A135+5)/($A135+10))*(INDEX('Stat Boosts'!$D$2:$D$192,I$1-9)-10)/((INDEX('Stat Boosts'!$D$2:$D$192,(E135/2+22)-9)-10))))</f>
        <v>0.48668977501562843</v>
      </c>
      <c r="J135" s="16">
        <f>IF((1.75-(($A135+5)/($A135+10))*(INDEX('Stat Boosts'!$D$2:$D$192,J$1-9)-10)/((INDEX('Stat Boosts'!$D$2:$D$192,(F135/2+22)-9)-10)))&lt;0.5,POWER(1.1,1.75-(($A135+5)/($A135+10))*(INDEX('Stat Boosts'!$D$2:$D$192,J$1-9)-10)/((INDEX('Stat Boosts'!$D$2:$D$192,(F135/2+22)-9)-10))-0.5)*0.5,(1.75-(($A135+5)/($A135+10))*(INDEX('Stat Boosts'!$D$2:$D$192,J$1-9)-10)/((INDEX('Stat Boosts'!$D$2:$D$192,(F135/2+22)-9)-10))))</f>
        <v>0.47114035239917224</v>
      </c>
      <c r="K135" s="16">
        <f>IF((1.75-(($A135+5)/($A135+10))*(INDEX('Stat Boosts'!$D$2:$D$192,K$1-9)-10)/((INDEX('Stat Boosts'!$D$2:$D$192,(G135/2+22)-9)-10)))&lt;0.5,POWER(1.1,1.75-(($A135+5)/($A135+10))*(INDEX('Stat Boosts'!$D$2:$D$192,K$1-9)-10)/((INDEX('Stat Boosts'!$D$2:$D$192,(G135/2+22)-9)-10))-0.5)*0.5,(1.75-(($A135+5)/($A135+10))*(INDEX('Stat Boosts'!$D$2:$D$192,K$1-9)-10)/((INDEX('Stat Boosts'!$D$2:$D$192,(G135/2+22)-9)-10))))</f>
        <v>0.43676298267420283</v>
      </c>
      <c r="L135" s="16">
        <f>IF((1.75-(($A135+5)/($A135+10))*(INDEX('Stat Boosts'!$D$2:$D$192,L$1-9)-10)/((INDEX('Stat Boosts'!$D$2:$D$192,(H135/2+22)-9)-10)))&lt;0.5,POWER(1.1,1.75-(($A135+5)/($A135+10))*(INDEX('Stat Boosts'!$D$2:$D$192,L$1-9)-10)/((INDEX('Stat Boosts'!$D$2:$D$192,(H135/2+22)-9)-10))-0.5)*0.5,(1.75-(($A135+5)/($A135+10))*(INDEX('Stat Boosts'!$D$2:$D$192,L$1-9)-10)/((INDEX('Stat Boosts'!$D$2:$D$192,(H135/2+22)-9)-10))))</f>
        <v>0.42510305242001156</v>
      </c>
      <c r="M135" s="16">
        <f>IF((1.75-(($A135+5)/($A135+10))*(INDEX('Stat Boosts'!$D$2:$D$192,M$1-9)-10)/((INDEX('Stat Boosts'!$D$2:$D$192,(I135/2+22)-9)-10)))&lt;0.5,POWER(1.1,1.75-(($A135+5)/($A135+10))*(INDEX('Stat Boosts'!$D$2:$D$192,M$1-9)-10)/((INDEX('Stat Boosts'!$D$2:$D$192,(I135/2+22)-9)-10))-0.5)*0.5,(1.75-(($A135+5)/($A135+10))*(INDEX('Stat Boosts'!$D$2:$D$192,M$1-9)-10)/((INDEX('Stat Boosts'!$D$2:$D$192,(I135/2+22)-9)-10))))</f>
        <v>0.40930022534236932</v>
      </c>
      <c r="N135" s="16">
        <f>IF((1.75-(($A135+5)/($A135+10))*(INDEX('Stat Boosts'!$D$2:$D$192,N$1-9)-10)/((INDEX('Stat Boosts'!$D$2:$D$192,(J135/2+22)-9)-10)))&lt;0.5,POWER(1.1,1.75-(($A135+5)/($A135+10))*(INDEX('Stat Boosts'!$D$2:$D$192,N$1-9)-10)/((INDEX('Stat Boosts'!$D$2:$D$192,(J135/2+22)-9)-10))-0.5)*0.5,(1.75-(($A135+5)/($A135+10))*(INDEX('Stat Boosts'!$D$2:$D$192,N$1-9)-10)/((INDEX('Stat Boosts'!$D$2:$D$192,(J135/2+22)-9)-10))))</f>
        <v>0.38984242886587217</v>
      </c>
      <c r="O135" s="16">
        <f>IF((1.75-(($A135+5)/($A135+10))*(INDEX('Stat Boosts'!$D$2:$D$192,O$1-9)-10)/((INDEX('Stat Boosts'!$D$2:$D$192,(K135/2+22)-9)-10)))&lt;0.5,POWER(1.1,1.75-(($A135+5)/($A135+10))*(INDEX('Stat Boosts'!$D$2:$D$192,O$1-9)-10)/((INDEX('Stat Boosts'!$D$2:$D$192,(K135/2+22)-9)-10))-0.5)*0.5,(1.75-(($A135+5)/($A135+10))*(INDEX('Stat Boosts'!$D$2:$D$192,O$1-9)-10)/((INDEX('Stat Boosts'!$D$2:$D$192,(K135/2+22)-9)-10))))</f>
        <v>0.37943510106792255</v>
      </c>
      <c r="P135" s="16">
        <f>IF((1.75-(($A135+5)/($A135+10))*(INDEX('Stat Boosts'!$D$2:$D$192,P$1-9)-10)/((INDEX('Stat Boosts'!$D$2:$D$192,(L135/2+22)-9)-10)))&lt;0.5,POWER(1.1,1.75-(($A135+5)/($A135+10))*(INDEX('Stat Boosts'!$D$2:$D$192,P$1-9)-10)/((INDEX('Stat Boosts'!$D$2:$D$192,(L135/2+22)-9)-10))-0.5)*0.5,(1.75-(($A135+5)/($A135+10))*(INDEX('Stat Boosts'!$D$2:$D$192,P$1-9)-10)/((INDEX('Stat Boosts'!$D$2:$D$192,(L135/2+22)-9)-10))))</f>
        <v>0.3633581827449</v>
      </c>
      <c r="Q135" s="16">
        <f>IF((1.75-(($A135+5)/($A135+10))*(INDEX('Stat Boosts'!$D$2:$D$192,Q$1-9)-10)/((INDEX('Stat Boosts'!$D$2:$D$192,(M135/2+22)-9)-10)))&lt;0.5,POWER(1.1,1.75-(($A135+5)/($A135+10))*(INDEX('Stat Boosts'!$D$2:$D$192,Q$1-9)-10)/((INDEX('Stat Boosts'!$D$2:$D$192,(M135/2+22)-9)-10))-0.5)*0.5,(1.75-(($A135+5)/($A135+10))*(INDEX('Stat Boosts'!$D$2:$D$192,Q$1-9)-10)/((INDEX('Stat Boosts'!$D$2:$D$192,(M135/2+22)-9)-10))))</f>
        <v>0.34796245417484883</v>
      </c>
      <c r="R135" s="16">
        <f>IF((1.75-(($A135+5)/($A135+10))*1.25*(INDEX('Stat Boosts'!$D$2:$D$192,R$1-9)-10)/((INDEX('Stat Boosts'!$D$2:$D$192,(N135/2+22)-9)-10)))&lt;0.5,POWER(1.1,1.75-(($A135+5)/($A135+10))*1.25*(INDEX('Stat Boosts'!$D$2:$D$192,R$1-9)-10)/((INDEX('Stat Boosts'!$D$2:$D$192,(N135/2+22)-9)-10))-0.5)*0.5,(1.75-(($A135+5)/($A135+10))*1.25*(INDEX('Stat Boosts'!$D$2:$D$192,R$1-9)-10)/((INDEX('Stat Boosts'!$D$2:$D$192,(N135/2+22)-9)-10))))</f>
        <v>0.29223657335488118</v>
      </c>
    </row>
    <row r="136" spans="1:18">
      <c r="A136" s="9">
        <v>135</v>
      </c>
      <c r="B136" s="16">
        <f t="shared" si="4"/>
        <v>76</v>
      </c>
      <c r="C136" s="16">
        <f t="shared" si="5"/>
        <v>6.0606060606060606E-3</v>
      </c>
      <c r="E136" s="16">
        <f>IF((1.75-(($A136+5)/($A136+10))*(INDEX('Stat Boosts'!$D$2:$D$192,E$1-9)-10)/((INDEX('Stat Boosts'!$D$2:$D$192,(A136/2+22)-9)-10)))&lt;0.5,POWER(1.1,1.75-(($A136+5)/($A136+10))*(INDEX('Stat Boosts'!$D$2:$D$192,E$1-9)-10)/((INDEX('Stat Boosts'!$D$2:$D$192,(A136/2+22)-9)-10))-0.5)*0.5,(1.75-(($A136+5)/($A136+10))*(INDEX('Stat Boosts'!$D$2:$D$192,E$1-9)-10)/((INDEX('Stat Boosts'!$D$2:$D$192,(A136/2+22)-9)-10))))</f>
        <v>1.75</v>
      </c>
      <c r="F136" s="16">
        <f>IF((1.75-(($A136+5)/($A136+10))*(INDEX('Stat Boosts'!$D$2:$D$192,F$1-9)-10)/((INDEX('Stat Boosts'!$D$2:$D$192,(B136/2+22)-9)-10)))&lt;0.5,POWER(1.1,1.75-(($A136+5)/($A136+10))*(INDEX('Stat Boosts'!$D$2:$D$192,F$1-9)-10)/((INDEX('Stat Boosts'!$D$2:$D$192,(B136/2+22)-9)-10))-0.5)*0.5,(1.75-(($A136+5)/($A136+10))*(INDEX('Stat Boosts'!$D$2:$D$192,F$1-9)-10)/((INDEX('Stat Boosts'!$D$2:$D$192,(B136/2+22)-9)-10))))</f>
        <v>1.6506085192697768</v>
      </c>
      <c r="G136" s="16">
        <f>IF((1.75-(($A136+5)/($A136+10))*(INDEX('Stat Boosts'!$D$2:$D$192,G$1-9)-10)/((INDEX('Stat Boosts'!$D$2:$D$192,(C136/2+22)-9)-10)))&lt;0.5,POWER(1.1,1.75-(($A136+5)/($A136+10))*(INDEX('Stat Boosts'!$D$2:$D$192,G$1-9)-10)/((INDEX('Stat Boosts'!$D$2:$D$192,(C136/2+22)-9)-10))-0.5)*0.5,(1.75-(($A136+5)/($A136+10))*(INDEX('Stat Boosts'!$D$2:$D$192,G$1-9)-10)/((INDEX('Stat Boosts'!$D$2:$D$192,(C136/2+22)-9)-10))))</f>
        <v>0.95486815415821502</v>
      </c>
      <c r="H136" s="16">
        <f>IF((1.75-(($A136+5)/($A136+10))*(INDEX('Stat Boosts'!$D$2:$D$192,H$1-9)-10)/((INDEX('Stat Boosts'!$D$2:$D$192,(D136/2+22)-9)-10)))&lt;0.5,POWER(1.1,1.75-(($A136+5)/($A136+10))*(INDEX('Stat Boosts'!$D$2:$D$192,H$1-9)-10)/((INDEX('Stat Boosts'!$D$2:$D$192,(D136/2+22)-9)-10))-0.5)*0.5,(1.75-(($A136+5)/($A136+10))*(INDEX('Stat Boosts'!$D$2:$D$192,H$1-9)-10)/((INDEX('Stat Boosts'!$D$2:$D$192,(D136/2+22)-9)-10))))</f>
        <v>0.55730223123732237</v>
      </c>
      <c r="I136" s="16">
        <f>IF((1.75-(($A136+5)/($A136+10))*(INDEX('Stat Boosts'!$D$2:$D$192,I$1-9)-10)/((INDEX('Stat Boosts'!$D$2:$D$192,(E136/2+22)-9)-10)))&lt;0.5,POWER(1.1,1.75-(($A136+5)/($A136+10))*(INDEX('Stat Boosts'!$D$2:$D$192,I$1-9)-10)/((INDEX('Stat Boosts'!$D$2:$D$192,(E136/2+22)-9)-10))-0.5)*0.5,(1.75-(($A136+5)/($A136+10))*(INDEX('Stat Boosts'!$D$2:$D$192,I$1-9)-10)/((INDEX('Stat Boosts'!$D$2:$D$192,(E136/2+22)-9)-10))))</f>
        <v>0.48667213341474791</v>
      </c>
      <c r="J136" s="16">
        <f>IF((1.75-(($A136+5)/($A136+10))*(INDEX('Stat Boosts'!$D$2:$D$192,J$1-9)-10)/((INDEX('Stat Boosts'!$D$2:$D$192,(F136/2+22)-9)-10)))&lt;0.5,POWER(1.1,1.75-(($A136+5)/($A136+10))*(INDEX('Stat Boosts'!$D$2:$D$192,J$1-9)-10)/((INDEX('Stat Boosts'!$D$2:$D$192,(F136/2+22)-9)-10))-0.5)*0.5,(1.75-(($A136+5)/($A136+10))*(INDEX('Stat Boosts'!$D$2:$D$192,J$1-9)-10)/((INDEX('Stat Boosts'!$D$2:$D$192,(F136/2+22)-9)-10))))</f>
        <v>0.471119479417137</v>
      </c>
      <c r="K136" s="16">
        <f>IF((1.75-(($A136+5)/($A136+10))*(INDEX('Stat Boosts'!$D$2:$D$192,K$1-9)-10)/((INDEX('Stat Boosts'!$D$2:$D$192,(G136/2+22)-9)-10)))&lt;0.5,POWER(1.1,1.75-(($A136+5)/($A136+10))*(INDEX('Stat Boosts'!$D$2:$D$192,K$1-9)-10)/((INDEX('Stat Boosts'!$D$2:$D$192,(G136/2+22)-9)-10))-0.5)*0.5,(1.75-(($A136+5)/($A136+10))*(INDEX('Stat Boosts'!$D$2:$D$192,K$1-9)-10)/((INDEX('Stat Boosts'!$D$2:$D$192,(G136/2+22)-9)-10))))</f>
        <v>0.43673542390252706</v>
      </c>
      <c r="L136" s="16">
        <f>IF((1.75-(($A136+5)/($A136+10))*(INDEX('Stat Boosts'!$D$2:$D$192,L$1-9)-10)/((INDEX('Stat Boosts'!$D$2:$D$192,(H136/2+22)-9)-10)))&lt;0.5,POWER(1.1,1.75-(($A136+5)/($A136+10))*(INDEX('Stat Boosts'!$D$2:$D$192,L$1-9)-10)/((INDEX('Stat Boosts'!$D$2:$D$192,(H136/2+22)-9)-10))-0.5)*0.5,(1.75-(($A136+5)/($A136+10))*(INDEX('Stat Boosts'!$D$2:$D$192,L$1-9)-10)/((INDEX('Stat Boosts'!$D$2:$D$192,(H136/2+22)-9)-10))))</f>
        <v>0.42507337594697625</v>
      </c>
      <c r="M136" s="16">
        <f>IF((1.75-(($A136+5)/($A136+10))*(INDEX('Stat Boosts'!$D$2:$D$192,M$1-9)-10)/((INDEX('Stat Boosts'!$D$2:$D$192,(I136/2+22)-9)-10)))&lt;0.5,POWER(1.1,1.75-(($A136+5)/($A136+10))*(INDEX('Stat Boosts'!$D$2:$D$192,M$1-9)-10)/((INDEX('Stat Boosts'!$D$2:$D$192,(I136/2+22)-9)-10))-0.5)*0.5,(1.75-(($A136+5)/($A136+10))*(INDEX('Stat Boosts'!$D$2:$D$192,M$1-9)-10)/((INDEX('Stat Boosts'!$D$2:$D$192,(I136/2+22)-9)-10))))</f>
        <v>0.40926780581548422</v>
      </c>
      <c r="N136" s="16">
        <f>IF((1.75-(($A136+5)/($A136+10))*(INDEX('Stat Boosts'!$D$2:$D$192,N$1-9)-10)/((INDEX('Stat Boosts'!$D$2:$D$192,(J136/2+22)-9)-10)))&lt;0.5,POWER(1.1,1.75-(($A136+5)/($A136+10))*(INDEX('Stat Boosts'!$D$2:$D$192,N$1-9)-10)/((INDEX('Stat Boosts'!$D$2:$D$192,(J136/2+22)-9)-10))-0.5)*0.5,(1.75-(($A136+5)/($A136+10))*(INDEX('Stat Boosts'!$D$2:$D$192,N$1-9)-10)/((INDEX('Stat Boosts'!$D$2:$D$192,(J136/2+22)-9)-10))))</f>
        <v>0.38980684049805803</v>
      </c>
      <c r="O136" s="16">
        <f>IF((1.75-(($A136+5)/($A136+10))*(INDEX('Stat Boosts'!$D$2:$D$192,O$1-9)-10)/((INDEX('Stat Boosts'!$D$2:$D$192,(K136/2+22)-9)-10)))&lt;0.5,POWER(1.1,1.75-(($A136+5)/($A136+10))*(INDEX('Stat Boosts'!$D$2:$D$192,O$1-9)-10)/((INDEX('Stat Boosts'!$D$2:$D$192,(K136/2+22)-9)-10))-0.5)*0.5,(1.75-(($A136+5)/($A136+10))*(INDEX('Stat Boosts'!$D$2:$D$192,O$1-9)-10)/((INDEX('Stat Boosts'!$D$2:$D$192,(K136/2+22)-9)-10))))</f>
        <v>0.37939791596734568</v>
      </c>
      <c r="P136" s="16">
        <f>IF((1.75-(($A136+5)/($A136+10))*(INDEX('Stat Boosts'!$D$2:$D$192,P$1-9)-10)/((INDEX('Stat Boosts'!$D$2:$D$192,(L136/2+22)-9)-10)))&lt;0.5,POWER(1.1,1.75-(($A136+5)/($A136+10))*(INDEX('Stat Boosts'!$D$2:$D$192,P$1-9)-10)/((INDEX('Stat Boosts'!$D$2:$D$192,(L136/2+22)-9)-10))-0.5)*0.5,(1.75-(($A136+5)/($A136+10))*(INDEX('Stat Boosts'!$D$2:$D$192,P$1-9)-10)/((INDEX('Stat Boosts'!$D$2:$D$192,(L136/2+22)-9)-10))))</f>
        <v>0.36331867099834225</v>
      </c>
      <c r="Q136" s="16">
        <f>IF((1.75-(($A136+5)/($A136+10))*(INDEX('Stat Boosts'!$D$2:$D$192,Q$1-9)-10)/((INDEX('Stat Boosts'!$D$2:$D$192,(M136/2+22)-9)-10)))&lt;0.5,POWER(1.1,1.75-(($A136+5)/($A136+10))*(INDEX('Stat Boosts'!$D$2:$D$192,Q$1-9)-10)/((INDEX('Stat Boosts'!$D$2:$D$192,(M136/2+22)-9)-10))-0.5)*0.5,(1.75-(($A136+5)/($A136+10))*(INDEX('Stat Boosts'!$D$2:$D$192,Q$1-9)-10)/((INDEX('Stat Boosts'!$D$2:$D$192,(M136/2+22)-9)-10))))</f>
        <v>0.34792087974295255</v>
      </c>
      <c r="R136" s="16">
        <f>IF((1.75-(($A136+5)/($A136+10))*1.25*(INDEX('Stat Boosts'!$D$2:$D$192,R$1-9)-10)/((INDEX('Stat Boosts'!$D$2:$D$192,(N136/2+22)-9)-10)))&lt;0.5,POWER(1.1,1.75-(($A136+5)/($A136+10))*1.25*(INDEX('Stat Boosts'!$D$2:$D$192,R$1-9)-10)/((INDEX('Stat Boosts'!$D$2:$D$192,(N136/2+22)-9)-10))-0.5)*0.5,(1.75-(($A136+5)/($A136+10))*1.25*(INDEX('Stat Boosts'!$D$2:$D$192,R$1-9)-10)/((INDEX('Stat Boosts'!$D$2:$D$192,(N136/2+22)-9)-10))))</f>
        <v>0.29218900579823659</v>
      </c>
    </row>
    <row r="137" spans="1:18">
      <c r="A137" s="9">
        <v>136</v>
      </c>
      <c r="B137" s="16">
        <f t="shared" si="4"/>
        <v>76.400000000000006</v>
      </c>
      <c r="C137" s="16">
        <f t="shared" si="5"/>
        <v>6.0240963855421681E-3</v>
      </c>
      <c r="E137" s="16">
        <f>IF((1.75-(($A137+5)/($A137+10))*(INDEX('Stat Boosts'!$D$2:$D$192,E$1-9)-10)/((INDEX('Stat Boosts'!$D$2:$D$192,(A137/2+22)-9)-10)))&lt;0.5,POWER(1.1,1.75-(($A137+5)/($A137+10))*(INDEX('Stat Boosts'!$D$2:$D$192,E$1-9)-10)/((INDEX('Stat Boosts'!$D$2:$D$192,(A137/2+22)-9)-10))-0.5)*0.5,(1.75-(($A137+5)/($A137+10))*(INDEX('Stat Boosts'!$D$2:$D$192,E$1-9)-10)/((INDEX('Stat Boosts'!$D$2:$D$192,(A137/2+22)-9)-10))))</f>
        <v>1.75</v>
      </c>
      <c r="F137" s="16">
        <f>IF((1.75-(($A137+5)/($A137+10))*(INDEX('Stat Boosts'!$D$2:$D$192,F$1-9)-10)/((INDEX('Stat Boosts'!$D$2:$D$192,(B137/2+22)-9)-10)))&lt;0.5,POWER(1.1,1.75-(($A137+5)/($A137+10))*(INDEX('Stat Boosts'!$D$2:$D$192,F$1-9)-10)/((INDEX('Stat Boosts'!$D$2:$D$192,(B137/2+22)-9)-10))-0.5)*0.5,(1.75-(($A137+5)/($A137+10))*(INDEX('Stat Boosts'!$D$2:$D$192,F$1-9)-10)/((INDEX('Stat Boosts'!$D$2:$D$192,(B137/2+22)-9)-10))))</f>
        <v>1.6505842062852538</v>
      </c>
      <c r="G137" s="16">
        <f>IF((1.75-(($A137+5)/($A137+10))*(INDEX('Stat Boosts'!$D$2:$D$192,G$1-9)-10)/((INDEX('Stat Boosts'!$D$2:$D$192,(C137/2+22)-9)-10)))&lt;0.5,POWER(1.1,1.75-(($A137+5)/($A137+10))*(INDEX('Stat Boosts'!$D$2:$D$192,G$1-9)-10)/((INDEX('Stat Boosts'!$D$2:$D$192,(C137/2+22)-9)-10))-0.5)*0.5,(1.75-(($A137+5)/($A137+10))*(INDEX('Stat Boosts'!$D$2:$D$192,G$1-9)-10)/((INDEX('Stat Boosts'!$D$2:$D$192,(C137/2+22)-9)-10))))</f>
        <v>0.95467365028203066</v>
      </c>
      <c r="H137" s="16">
        <f>IF((1.75-(($A137+5)/($A137+10))*(INDEX('Stat Boosts'!$D$2:$D$192,H$1-9)-10)/((INDEX('Stat Boosts'!$D$2:$D$192,(D137/2+22)-9)-10)))&lt;0.5,POWER(1.1,1.75-(($A137+5)/($A137+10))*(INDEX('Stat Boosts'!$D$2:$D$192,H$1-9)-10)/((INDEX('Stat Boosts'!$D$2:$D$192,(D137/2+22)-9)-10))-0.5)*0.5,(1.75-(($A137+5)/($A137+10))*(INDEX('Stat Boosts'!$D$2:$D$192,H$1-9)-10)/((INDEX('Stat Boosts'!$D$2:$D$192,(D137/2+22)-9)-10))))</f>
        <v>0.55701047542304605</v>
      </c>
      <c r="I137" s="16">
        <f>IF((1.75-(($A137+5)/($A137+10))*(INDEX('Stat Boosts'!$D$2:$D$192,I$1-9)-10)/((INDEX('Stat Boosts'!$D$2:$D$192,(E137/2+22)-9)-10)))&lt;0.5,POWER(1.1,1.75-(($A137+5)/($A137+10))*(INDEX('Stat Boosts'!$D$2:$D$192,I$1-9)-10)/((INDEX('Stat Boosts'!$D$2:$D$192,(E137/2+22)-9)-10))-0.5)*0.5,(1.75-(($A137+5)/($A137+10))*(INDEX('Stat Boosts'!$D$2:$D$192,I$1-9)-10)/((INDEX('Stat Boosts'!$D$2:$D$192,(E137/2+22)-9)-10))))</f>
        <v>0.48665473410602839</v>
      </c>
      <c r="J137" s="16">
        <f>IF((1.75-(($A137+5)/($A137+10))*(INDEX('Stat Boosts'!$D$2:$D$192,J$1-9)-10)/((INDEX('Stat Boosts'!$D$2:$D$192,(F137/2+22)-9)-10)))&lt;0.5,POWER(1.1,1.75-(($A137+5)/($A137+10))*(INDEX('Stat Boosts'!$D$2:$D$192,J$1-9)-10)/((INDEX('Stat Boosts'!$D$2:$D$192,(F137/2+22)-9)-10))-0.5)*0.5,(1.75-(($A137+5)/($A137+10))*(INDEX('Stat Boosts'!$D$2:$D$192,J$1-9)-10)/((INDEX('Stat Boosts'!$D$2:$D$192,(F137/2+22)-9)-10))))</f>
        <v>0.47109889327218618</v>
      </c>
      <c r="K137" s="16">
        <f>IF((1.75-(($A137+5)/($A137+10))*(INDEX('Stat Boosts'!$D$2:$D$192,K$1-9)-10)/((INDEX('Stat Boosts'!$D$2:$D$192,(G137/2+22)-9)-10)))&lt;0.5,POWER(1.1,1.75-(($A137+5)/($A137+10))*(INDEX('Stat Boosts'!$D$2:$D$192,K$1-9)-10)/((INDEX('Stat Boosts'!$D$2:$D$192,(G137/2+22)-9)-10))-0.5)*0.5,(1.75-(($A137+5)/($A137+10))*(INDEX('Stat Boosts'!$D$2:$D$192,K$1-9)-10)/((INDEX('Stat Boosts'!$D$2:$D$192,(G137/2+22)-9)-10))))</f>
        <v>0.43670824435160144</v>
      </c>
      <c r="L137" s="16">
        <f>IF((1.75-(($A137+5)/($A137+10))*(INDEX('Stat Boosts'!$D$2:$D$192,L$1-9)-10)/((INDEX('Stat Boosts'!$D$2:$D$192,(H137/2+22)-9)-10)))&lt;0.5,POWER(1.1,1.75-(($A137+5)/($A137+10))*(INDEX('Stat Boosts'!$D$2:$D$192,L$1-9)-10)/((INDEX('Stat Boosts'!$D$2:$D$192,(H137/2+22)-9)-10))-0.5)*0.5,(1.75-(($A137+5)/($A137+10))*(INDEX('Stat Boosts'!$D$2:$D$192,L$1-9)-10)/((INDEX('Stat Boosts'!$D$2:$D$192,(H137/2+22)-9)-10))))</f>
        <v>0.4250441080303109</v>
      </c>
      <c r="M137" s="16">
        <f>IF((1.75-(($A137+5)/($A137+10))*(INDEX('Stat Boosts'!$D$2:$D$192,M$1-9)-10)/((INDEX('Stat Boosts'!$D$2:$D$192,(I137/2+22)-9)-10)))&lt;0.5,POWER(1.1,1.75-(($A137+5)/($A137+10))*(INDEX('Stat Boosts'!$D$2:$D$192,M$1-9)-10)/((INDEX('Stat Boosts'!$D$2:$D$192,(I137/2+22)-9)-10))-0.5)*0.5,(1.75-(($A137+5)/($A137+10))*(INDEX('Stat Boosts'!$D$2:$D$192,M$1-9)-10)/((INDEX('Stat Boosts'!$D$2:$D$192,(I137/2+22)-9)-10))))</f>
        <v>0.40923583290704474</v>
      </c>
      <c r="N137" s="16">
        <f>IF((1.75-(($A137+5)/($A137+10))*(INDEX('Stat Boosts'!$D$2:$D$192,N$1-9)-10)/((INDEX('Stat Boosts'!$D$2:$D$192,(J137/2+22)-9)-10)))&lt;0.5,POWER(1.1,1.75-(($A137+5)/($A137+10))*(INDEX('Stat Boosts'!$D$2:$D$192,N$1-9)-10)/((INDEX('Stat Boosts'!$D$2:$D$192,(J137/2+22)-9)-10))-0.5)*0.5,(1.75-(($A137+5)/($A137+10))*(INDEX('Stat Boosts'!$D$2:$D$192,N$1-9)-10)/((INDEX('Stat Boosts'!$D$2:$D$192,(J137/2+22)-9)-10))))</f>
        <v>0.38977174282451166</v>
      </c>
      <c r="O137" s="16">
        <f>IF((1.75-(($A137+5)/($A137+10))*(INDEX('Stat Boosts'!$D$2:$D$192,O$1-9)-10)/((INDEX('Stat Boosts'!$D$2:$D$192,(K137/2+22)-9)-10)))&lt;0.5,POWER(1.1,1.75-(($A137+5)/($A137+10))*(INDEX('Stat Boosts'!$D$2:$D$192,O$1-9)-10)/((INDEX('Stat Boosts'!$D$2:$D$192,(K137/2+22)-9)-10))-0.5)*0.5,(1.75-(($A137+5)/($A137+10))*(INDEX('Stat Boosts'!$D$2:$D$192,O$1-9)-10)/((INDEX('Stat Boosts'!$D$2:$D$192,(K137/2+22)-9)-10))))</f>
        <v>0.37936124382135616</v>
      </c>
      <c r="P137" s="16">
        <f>IF((1.75-(($A137+5)/($A137+10))*(INDEX('Stat Boosts'!$D$2:$D$192,P$1-9)-10)/((INDEX('Stat Boosts'!$D$2:$D$192,(L137/2+22)-9)-10)))&lt;0.5,POWER(1.1,1.75-(($A137+5)/($A137+10))*(INDEX('Stat Boosts'!$D$2:$D$192,P$1-9)-10)/((INDEX('Stat Boosts'!$D$2:$D$192,(L137/2+22)-9)-10))-0.5)*0.5,(1.75-(($A137+5)/($A137+10))*(INDEX('Stat Boosts'!$D$2:$D$192,P$1-9)-10)/((INDEX('Stat Boosts'!$D$2:$D$192,(L137/2+22)-9)-10))))</f>
        <v>0.36327970471723375</v>
      </c>
      <c r="Q137" s="16">
        <f>IF((1.75-(($A137+5)/($A137+10))*(INDEX('Stat Boosts'!$D$2:$D$192,Q$1-9)-10)/((INDEX('Stat Boosts'!$D$2:$D$192,(M137/2+22)-9)-10)))&lt;0.5,POWER(1.1,1.75-(($A137+5)/($A137+10))*(INDEX('Stat Boosts'!$D$2:$D$192,Q$1-9)-10)/((INDEX('Stat Boosts'!$D$2:$D$192,(M137/2+22)-9)-10))-0.5)*0.5,(1.75-(($A137+5)/($A137+10))*(INDEX('Stat Boosts'!$D$2:$D$192,Q$1-9)-10)/((INDEX('Stat Boosts'!$D$2:$D$192,(M137/2+22)-9)-10))))</f>
        <v>0.34787987968952139</v>
      </c>
      <c r="R137" s="16">
        <f>IF((1.75-(($A137+5)/($A137+10))*1.25*(INDEX('Stat Boosts'!$D$2:$D$192,R$1-9)-10)/((INDEX('Stat Boosts'!$D$2:$D$192,(N137/2+22)-9)-10)))&lt;0.5,POWER(1.1,1.75-(($A137+5)/($A137+10))*1.25*(INDEX('Stat Boosts'!$D$2:$D$192,R$1-9)-10)/((INDEX('Stat Boosts'!$D$2:$D$192,(N137/2+22)-9)-10))-0.5)*0.5,(1.75-(($A137+5)/($A137+10))*1.25*(INDEX('Stat Boosts'!$D$2:$D$192,R$1-9)-10)/((INDEX('Stat Boosts'!$D$2:$D$192,(N137/2+22)-9)-10))))</f>
        <v>0.29214209743619968</v>
      </c>
    </row>
    <row r="138" spans="1:18">
      <c r="A138" s="9">
        <v>137</v>
      </c>
      <c r="B138" s="16">
        <f t="shared" si="4"/>
        <v>76.8</v>
      </c>
      <c r="C138" s="16">
        <f t="shared" si="5"/>
        <v>5.9880239520958087E-3</v>
      </c>
      <c r="E138" s="16">
        <f>IF((1.75-(($A138+5)/($A138+10))*(INDEX('Stat Boosts'!$D$2:$D$192,E$1-9)-10)/((INDEX('Stat Boosts'!$D$2:$D$192,(A138/2+22)-9)-10)))&lt;0.5,POWER(1.1,1.75-(($A138+5)/($A138+10))*(INDEX('Stat Boosts'!$D$2:$D$192,E$1-9)-10)/((INDEX('Stat Boosts'!$D$2:$D$192,(A138/2+22)-9)-10))-0.5)*0.5,(1.75-(($A138+5)/($A138+10))*(INDEX('Stat Boosts'!$D$2:$D$192,E$1-9)-10)/((INDEX('Stat Boosts'!$D$2:$D$192,(A138/2+22)-9)-10))))</f>
        <v>1.75</v>
      </c>
      <c r="F138" s="16">
        <f>IF((1.75-(($A138+5)/($A138+10))*(INDEX('Stat Boosts'!$D$2:$D$192,F$1-9)-10)/((INDEX('Stat Boosts'!$D$2:$D$192,(B138/2+22)-9)-10)))&lt;0.5,POWER(1.1,1.75-(($A138+5)/($A138+10))*(INDEX('Stat Boosts'!$D$2:$D$192,F$1-9)-10)/((INDEX('Stat Boosts'!$D$2:$D$192,(B138/2+22)-9)-10))-0.5)*0.5,(1.75-(($A138+5)/($A138+10))*(INDEX('Stat Boosts'!$D$2:$D$192,F$1-9)-10)/((INDEX('Stat Boosts'!$D$2:$D$192,(B138/2+22)-9)-10))))</f>
        <v>1.6505602240896358</v>
      </c>
      <c r="G138" s="16">
        <f>IF((1.75-(($A138+5)/($A138+10))*(INDEX('Stat Boosts'!$D$2:$D$192,G$1-9)-10)/((INDEX('Stat Boosts'!$D$2:$D$192,(C138/2+22)-9)-10)))&lt;0.5,POWER(1.1,1.75-(($A138+5)/($A138+10))*(INDEX('Stat Boosts'!$D$2:$D$192,G$1-9)-10)/((INDEX('Stat Boosts'!$D$2:$D$192,(C138/2+22)-9)-10))-0.5)*0.5,(1.75-(($A138+5)/($A138+10))*(INDEX('Stat Boosts'!$D$2:$D$192,G$1-9)-10)/((INDEX('Stat Boosts'!$D$2:$D$192,(C138/2+22)-9)-10))))</f>
        <v>0.95448179271708689</v>
      </c>
      <c r="H138" s="16">
        <f>IF((1.75-(($A138+5)/($A138+10))*(INDEX('Stat Boosts'!$D$2:$D$192,H$1-9)-10)/((INDEX('Stat Boosts'!$D$2:$D$192,(D138/2+22)-9)-10)))&lt;0.5,POWER(1.1,1.75-(($A138+5)/($A138+10))*(INDEX('Stat Boosts'!$D$2:$D$192,H$1-9)-10)/((INDEX('Stat Boosts'!$D$2:$D$192,(D138/2+22)-9)-10))-0.5)*0.5,(1.75-(($A138+5)/($A138+10))*(INDEX('Stat Boosts'!$D$2:$D$192,H$1-9)-10)/((INDEX('Stat Boosts'!$D$2:$D$192,(D138/2+22)-9)-10))))</f>
        <v>0.55672268907563027</v>
      </c>
      <c r="I138" s="16">
        <f>IF((1.75-(($A138+5)/($A138+10))*(INDEX('Stat Boosts'!$D$2:$D$192,I$1-9)-10)/((INDEX('Stat Boosts'!$D$2:$D$192,(E138/2+22)-9)-10)))&lt;0.5,POWER(1.1,1.75-(($A138+5)/($A138+10))*(INDEX('Stat Boosts'!$D$2:$D$192,I$1-9)-10)/((INDEX('Stat Boosts'!$D$2:$D$192,(E138/2+22)-9)-10))-0.5)*0.5,(1.75-(($A138+5)/($A138+10))*(INDEX('Stat Boosts'!$D$2:$D$192,I$1-9)-10)/((INDEX('Stat Boosts'!$D$2:$D$192,(E138/2+22)-9)-10))))</f>
        <v>0.48663757213201336</v>
      </c>
      <c r="J138" s="16">
        <f>IF((1.75-(($A138+5)/($A138+10))*(INDEX('Stat Boosts'!$D$2:$D$192,J$1-9)-10)/((INDEX('Stat Boosts'!$D$2:$D$192,(F138/2+22)-9)-10)))&lt;0.5,POWER(1.1,1.75-(($A138+5)/($A138+10))*(INDEX('Stat Boosts'!$D$2:$D$192,J$1-9)-10)/((INDEX('Stat Boosts'!$D$2:$D$192,(F138/2+22)-9)-10))-0.5)*0.5,(1.75-(($A138+5)/($A138+10))*(INDEX('Stat Boosts'!$D$2:$D$192,J$1-9)-10)/((INDEX('Stat Boosts'!$D$2:$D$192,(F138/2+22)-9)-10))))</f>
        <v>0.4710785880921024</v>
      </c>
      <c r="K138" s="16">
        <f>IF((1.75-(($A138+5)/($A138+10))*(INDEX('Stat Boosts'!$D$2:$D$192,K$1-9)-10)/((INDEX('Stat Boosts'!$D$2:$D$192,(G138/2+22)-9)-10)))&lt;0.5,POWER(1.1,1.75-(($A138+5)/($A138+10))*(INDEX('Stat Boosts'!$D$2:$D$192,K$1-9)-10)/((INDEX('Stat Boosts'!$D$2:$D$192,(G138/2+22)-9)-10))-0.5)*0.5,(1.75-(($A138+5)/($A138+10))*(INDEX('Stat Boosts'!$D$2:$D$192,K$1-9)-10)/((INDEX('Stat Boosts'!$D$2:$D$192,(G138/2+22)-9)-10))))</f>
        <v>0.4366814362475987</v>
      </c>
      <c r="L138" s="16">
        <f>IF((1.75-(($A138+5)/($A138+10))*(INDEX('Stat Boosts'!$D$2:$D$192,L$1-9)-10)/((INDEX('Stat Boosts'!$D$2:$D$192,(H138/2+22)-9)-10)))&lt;0.5,POWER(1.1,1.75-(($A138+5)/($A138+10))*(INDEX('Stat Boosts'!$D$2:$D$192,L$1-9)-10)/((INDEX('Stat Boosts'!$D$2:$D$192,(H138/2+22)-9)-10))-0.5)*0.5,(1.75-(($A138+5)/($A138+10))*(INDEX('Stat Boosts'!$D$2:$D$192,L$1-9)-10)/((INDEX('Stat Boosts'!$D$2:$D$192,(H138/2+22)-9)-10))))</f>
        <v>0.42501524029086113</v>
      </c>
      <c r="M138" s="16">
        <f>IF((1.75-(($A138+5)/($A138+10))*(INDEX('Stat Boosts'!$D$2:$D$192,M$1-9)-10)/((INDEX('Stat Boosts'!$D$2:$D$192,(I138/2+22)-9)-10)))&lt;0.5,POWER(1.1,1.75-(($A138+5)/($A138+10))*(INDEX('Stat Boosts'!$D$2:$D$192,M$1-9)-10)/((INDEX('Stat Boosts'!$D$2:$D$192,(I138/2+22)-9)-10))-0.5)*0.5,(1.75-(($A138+5)/($A138+10))*(INDEX('Stat Boosts'!$D$2:$D$192,M$1-9)-10)/((INDEX('Stat Boosts'!$D$2:$D$192,(I138/2+22)-9)-10))))</f>
        <v>0.40920429745121345</v>
      </c>
      <c r="N138" s="16">
        <f>IF((1.75-(($A138+5)/($A138+10))*(INDEX('Stat Boosts'!$D$2:$D$192,N$1-9)-10)/((INDEX('Stat Boosts'!$D$2:$D$192,(J138/2+22)-9)-10)))&lt;0.5,POWER(1.1,1.75-(($A138+5)/($A138+10))*(INDEX('Stat Boosts'!$D$2:$D$192,N$1-9)-10)/((INDEX('Stat Boosts'!$D$2:$D$192,(J138/2+22)-9)-10))-0.5)*0.5,(1.75-(($A138+5)/($A138+10))*(INDEX('Stat Boosts'!$D$2:$D$192,N$1-9)-10)/((INDEX('Stat Boosts'!$D$2:$D$192,(J138/2+22)-9)-10))))</f>
        <v>0.3897371257662805</v>
      </c>
      <c r="O138" s="16">
        <f>IF((1.75-(($A138+5)/($A138+10))*(INDEX('Stat Boosts'!$D$2:$D$192,O$1-9)-10)/((INDEX('Stat Boosts'!$D$2:$D$192,(K138/2+22)-9)-10)))&lt;0.5,POWER(1.1,1.75-(($A138+5)/($A138+10))*(INDEX('Stat Boosts'!$D$2:$D$192,O$1-9)-10)/((INDEX('Stat Boosts'!$D$2:$D$192,(K138/2+22)-9)-10))-0.5)*0.5,(1.75-(($A138+5)/($A138+10))*(INDEX('Stat Boosts'!$D$2:$D$192,O$1-9)-10)/((INDEX('Stat Boosts'!$D$2:$D$192,(K138/2+22)-9)-10))))</f>
        <v>0.37932507408880295</v>
      </c>
      <c r="P138" s="16">
        <f>IF((1.75-(($A138+5)/($A138+10))*(INDEX('Stat Boosts'!$D$2:$D$192,P$1-9)-10)/((INDEX('Stat Boosts'!$D$2:$D$192,(L138/2+22)-9)-10)))&lt;0.5,POWER(1.1,1.75-(($A138+5)/($A138+10))*(INDEX('Stat Boosts'!$D$2:$D$192,P$1-9)-10)/((INDEX('Stat Boosts'!$D$2:$D$192,(L138/2+22)-9)-10))-0.5)*0.5,(1.75-(($A138+5)/($A138+10))*(INDEX('Stat Boosts'!$D$2:$D$192,P$1-9)-10)/((INDEX('Stat Boosts'!$D$2:$D$192,(L138/2+22)-9)-10))))</f>
        <v>0.3632412726838809</v>
      </c>
      <c r="Q138" s="16">
        <f>IF((1.75-(($A138+5)/($A138+10))*(INDEX('Stat Boosts'!$D$2:$D$192,Q$1-9)-10)/((INDEX('Stat Boosts'!$D$2:$D$192,(M138/2+22)-9)-10)))&lt;0.5,POWER(1.1,1.75-(($A138+5)/($A138+10))*(INDEX('Stat Boosts'!$D$2:$D$192,Q$1-9)-10)/((INDEX('Stat Boosts'!$D$2:$D$192,(M138/2+22)-9)-10))-0.5)*0.5,(1.75-(($A138+5)/($A138+10))*(INDEX('Stat Boosts'!$D$2:$D$192,Q$1-9)-10)/((INDEX('Stat Boosts'!$D$2:$D$192,(M138/2+22)-9)-10))))</f>
        <v>0.34783944219336355</v>
      </c>
      <c r="R138" s="16">
        <f>IF((1.75-(($A138+5)/($A138+10))*1.25*(INDEX('Stat Boosts'!$D$2:$D$192,R$1-9)-10)/((INDEX('Stat Boosts'!$D$2:$D$192,(N138/2+22)-9)-10)))&lt;0.5,POWER(1.1,1.75-(($A138+5)/($A138+10))*1.25*(INDEX('Stat Boosts'!$D$2:$D$192,R$1-9)-10)/((INDEX('Stat Boosts'!$D$2:$D$192,(N138/2+22)-9)-10))-0.5)*0.5,(1.75-(($A138+5)/($A138+10))*1.25*(INDEX('Stat Boosts'!$D$2:$D$192,R$1-9)-10)/((INDEX('Stat Boosts'!$D$2:$D$192,(N138/2+22)-9)-10))))</f>
        <v>0.29209583466090716</v>
      </c>
    </row>
    <row r="139" spans="1:18">
      <c r="A139" s="9">
        <v>138</v>
      </c>
      <c r="B139" s="16">
        <f t="shared" si="4"/>
        <v>77.2</v>
      </c>
      <c r="C139" s="16">
        <f t="shared" si="5"/>
        <v>5.9523809523809521E-3</v>
      </c>
      <c r="E139" s="16">
        <f>IF((1.75-(($A139+5)/($A139+10))*(INDEX('Stat Boosts'!$D$2:$D$192,E$1-9)-10)/((INDEX('Stat Boosts'!$D$2:$D$192,(A139/2+22)-9)-10)))&lt;0.5,POWER(1.1,1.75-(($A139+5)/($A139+10))*(INDEX('Stat Boosts'!$D$2:$D$192,E$1-9)-10)/((INDEX('Stat Boosts'!$D$2:$D$192,(A139/2+22)-9)-10))-0.5)*0.5,(1.75-(($A139+5)/($A139+10))*(INDEX('Stat Boosts'!$D$2:$D$192,E$1-9)-10)/((INDEX('Stat Boosts'!$D$2:$D$192,(A139/2+22)-9)-10))))</f>
        <v>1.75</v>
      </c>
      <c r="F139" s="16">
        <f>IF((1.75-(($A139+5)/($A139+10))*(INDEX('Stat Boosts'!$D$2:$D$192,F$1-9)-10)/((INDEX('Stat Boosts'!$D$2:$D$192,(B139/2+22)-9)-10)))&lt;0.5,POWER(1.1,1.75-(($A139+5)/($A139+10))*(INDEX('Stat Boosts'!$D$2:$D$192,F$1-9)-10)/((INDEX('Stat Boosts'!$D$2:$D$192,(B139/2+22)-9)-10))-0.5)*0.5,(1.75-(($A139+5)/($A139+10))*(INDEX('Stat Boosts'!$D$2:$D$192,F$1-9)-10)/((INDEX('Stat Boosts'!$D$2:$D$192,(B139/2+22)-9)-10))))</f>
        <v>1.6505365659777425</v>
      </c>
      <c r="G139" s="16">
        <f>IF((1.75-(($A139+5)/($A139+10))*(INDEX('Stat Boosts'!$D$2:$D$192,G$1-9)-10)/((INDEX('Stat Boosts'!$D$2:$D$192,(C139/2+22)-9)-10)))&lt;0.5,POWER(1.1,1.75-(($A139+5)/($A139+10))*(INDEX('Stat Boosts'!$D$2:$D$192,G$1-9)-10)/((INDEX('Stat Boosts'!$D$2:$D$192,(C139/2+22)-9)-10))-0.5)*0.5,(1.75-(($A139+5)/($A139+10))*(INDEX('Stat Boosts'!$D$2:$D$192,G$1-9)-10)/((INDEX('Stat Boosts'!$D$2:$D$192,(C139/2+22)-9)-10))))</f>
        <v>0.95429252782193952</v>
      </c>
      <c r="H139" s="16">
        <f>IF((1.75-(($A139+5)/($A139+10))*(INDEX('Stat Boosts'!$D$2:$D$192,H$1-9)-10)/((INDEX('Stat Boosts'!$D$2:$D$192,(D139/2+22)-9)-10)))&lt;0.5,POWER(1.1,1.75-(($A139+5)/($A139+10))*(INDEX('Stat Boosts'!$D$2:$D$192,H$1-9)-10)/((INDEX('Stat Boosts'!$D$2:$D$192,(D139/2+22)-9)-10))-0.5)*0.5,(1.75-(($A139+5)/($A139+10))*(INDEX('Stat Boosts'!$D$2:$D$192,H$1-9)-10)/((INDEX('Stat Boosts'!$D$2:$D$192,(D139/2+22)-9)-10))))</f>
        <v>0.55643879173290944</v>
      </c>
      <c r="I139" s="16">
        <f>IF((1.75-(($A139+5)/($A139+10))*(INDEX('Stat Boosts'!$D$2:$D$192,I$1-9)-10)/((INDEX('Stat Boosts'!$D$2:$D$192,(E139/2+22)-9)-10)))&lt;0.5,POWER(1.1,1.75-(($A139+5)/($A139+10))*(INDEX('Stat Boosts'!$D$2:$D$192,I$1-9)-10)/((INDEX('Stat Boosts'!$D$2:$D$192,(E139/2+22)-9)-10))-0.5)*0.5,(1.75-(($A139+5)/($A139+10))*(INDEX('Stat Boosts'!$D$2:$D$192,I$1-9)-10)/((INDEX('Stat Boosts'!$D$2:$D$192,(E139/2+22)-9)-10))))</f>
        <v>0.48662064266957394</v>
      </c>
      <c r="J139" s="16">
        <f>IF((1.75-(($A139+5)/($A139+10))*(INDEX('Stat Boosts'!$D$2:$D$192,J$1-9)-10)/((INDEX('Stat Boosts'!$D$2:$D$192,(F139/2+22)-9)-10)))&lt;0.5,POWER(1.1,1.75-(($A139+5)/($A139+10))*(INDEX('Stat Boosts'!$D$2:$D$192,J$1-9)-10)/((INDEX('Stat Boosts'!$D$2:$D$192,(F139/2+22)-9)-10))-0.5)*0.5,(1.75-(($A139+5)/($A139+10))*(INDEX('Stat Boosts'!$D$2:$D$192,J$1-9)-10)/((INDEX('Stat Boosts'!$D$2:$D$192,(F139/2+22)-9)-10))))</f>
        <v>0.47105855816387249</v>
      </c>
      <c r="K139" s="16">
        <f>IF((1.75-(($A139+5)/($A139+10))*(INDEX('Stat Boosts'!$D$2:$D$192,K$1-9)-10)/((INDEX('Stat Boosts'!$D$2:$D$192,(G139/2+22)-9)-10)))&lt;0.5,POWER(1.1,1.75-(($A139+5)/($A139+10))*(INDEX('Stat Boosts'!$D$2:$D$192,K$1-9)-10)/((INDEX('Stat Boosts'!$D$2:$D$192,(G139/2+22)-9)-10))-0.5)*0.5,(1.75-(($A139+5)/($A139+10))*(INDEX('Stat Boosts'!$D$2:$D$192,K$1-9)-10)/((INDEX('Stat Boosts'!$D$2:$D$192,(G139/2+22)-9)-10))))</f>
        <v>0.4366549920277269</v>
      </c>
      <c r="L139" s="16">
        <f>IF((1.75-(($A139+5)/($A139+10))*(INDEX('Stat Boosts'!$D$2:$D$192,L$1-9)-10)/((INDEX('Stat Boosts'!$D$2:$D$192,(H139/2+22)-9)-10)))&lt;0.5,POWER(1.1,1.75-(($A139+5)/($A139+10))*(INDEX('Stat Boosts'!$D$2:$D$192,L$1-9)-10)/((INDEX('Stat Boosts'!$D$2:$D$192,(H139/2+22)-9)-10))-0.5)*0.5,(1.75-(($A139+5)/($A139+10))*(INDEX('Stat Boosts'!$D$2:$D$192,L$1-9)-10)/((INDEX('Stat Boosts'!$D$2:$D$192,(H139/2+22)-9)-10))))</f>
        <v>0.42498676457704743</v>
      </c>
      <c r="M139" s="16">
        <f>IF((1.75-(($A139+5)/($A139+10))*(INDEX('Stat Boosts'!$D$2:$D$192,M$1-9)-10)/((INDEX('Stat Boosts'!$D$2:$D$192,(I139/2+22)-9)-10)))&lt;0.5,POWER(1.1,1.75-(($A139+5)/($A139+10))*(INDEX('Stat Boosts'!$D$2:$D$192,M$1-9)-10)/((INDEX('Stat Boosts'!$D$2:$D$192,(I139/2+22)-9)-10))-0.5)*0.5,(1.75-(($A139+5)/($A139+10))*(INDEX('Stat Boosts'!$D$2:$D$192,M$1-9)-10)/((INDEX('Stat Boosts'!$D$2:$D$192,(I139/2+22)-9)-10))))</f>
        <v>0.40917319053125689</v>
      </c>
      <c r="N139" s="16">
        <f>IF((1.75-(($A139+5)/($A139+10))*(INDEX('Stat Boosts'!$D$2:$D$192,N$1-9)-10)/((INDEX('Stat Boosts'!$D$2:$D$192,(J139/2+22)-9)-10)))&lt;0.5,POWER(1.1,1.75-(($A139+5)/($A139+10))*(INDEX('Stat Boosts'!$D$2:$D$192,N$1-9)-10)/((INDEX('Stat Boosts'!$D$2:$D$192,(J139/2+22)-9)-10))-0.5)*0.5,(1.75-(($A139+5)/($A139+10))*(INDEX('Stat Boosts'!$D$2:$D$192,N$1-9)-10)/((INDEX('Stat Boosts'!$D$2:$D$192,(J139/2+22)-9)-10))))</f>
        <v>0.38970297951856314</v>
      </c>
      <c r="O139" s="16">
        <f>IF((1.75-(($A139+5)/($A139+10))*(INDEX('Stat Boosts'!$D$2:$D$192,O$1-9)-10)/((INDEX('Stat Boosts'!$D$2:$D$192,(K139/2+22)-9)-10)))&lt;0.5,POWER(1.1,1.75-(($A139+5)/($A139+10))*(INDEX('Stat Boosts'!$D$2:$D$192,O$1-9)-10)/((INDEX('Stat Boosts'!$D$2:$D$192,(K139/2+22)-9)-10))-0.5)*0.5,(1.75-(($A139+5)/($A139+10))*(INDEX('Stat Boosts'!$D$2:$D$192,O$1-9)-10)/((INDEX('Stat Boosts'!$D$2:$D$192,(K139/2+22)-9)-10))))</f>
        <v>0.37928939651539134</v>
      </c>
      <c r="P139" s="16">
        <f>IF((1.75-(($A139+5)/($A139+10))*(INDEX('Stat Boosts'!$D$2:$D$192,P$1-9)-10)/((INDEX('Stat Boosts'!$D$2:$D$192,(L139/2+22)-9)-10)))&lt;0.5,POWER(1.1,1.75-(($A139+5)/($A139+10))*(INDEX('Stat Boosts'!$D$2:$D$192,P$1-9)-10)/((INDEX('Stat Boosts'!$D$2:$D$192,(L139/2+22)-9)-10))-0.5)*0.5,(1.75-(($A139+5)/($A139+10))*(INDEX('Stat Boosts'!$D$2:$D$192,P$1-9)-10)/((INDEX('Stat Boosts'!$D$2:$D$192,(L139/2+22)-9)-10))))</f>
        <v>0.36320336398608444</v>
      </c>
      <c r="Q139" s="16">
        <f>IF((1.75-(($A139+5)/($A139+10))*(INDEX('Stat Boosts'!$D$2:$D$192,Q$1-9)-10)/((INDEX('Stat Boosts'!$D$2:$D$192,(M139/2+22)-9)-10)))&lt;0.5,POWER(1.1,1.75-(($A139+5)/($A139+10))*(INDEX('Stat Boosts'!$D$2:$D$192,Q$1-9)-10)/((INDEX('Stat Boosts'!$D$2:$D$192,(M139/2+22)-9)-10))-0.5)*0.5,(1.75-(($A139+5)/($A139+10))*(INDEX('Stat Boosts'!$D$2:$D$192,Q$1-9)-10)/((INDEX('Stat Boosts'!$D$2:$D$192,(M139/2+22)-9)-10))))</f>
        <v>0.34779955575545612</v>
      </c>
      <c r="R139" s="16">
        <f>IF((1.75-(($A139+5)/($A139+10))*1.25*(INDEX('Stat Boosts'!$D$2:$D$192,R$1-9)-10)/((INDEX('Stat Boosts'!$D$2:$D$192,(N139/2+22)-9)-10)))&lt;0.5,POWER(1.1,1.75-(($A139+5)/($A139+10))*1.25*(INDEX('Stat Boosts'!$D$2:$D$192,R$1-9)-10)/((INDEX('Stat Boosts'!$D$2:$D$192,(N139/2+22)-9)-10))-0.5)*0.5,(1.75-(($A139+5)/($A139+10))*1.25*(INDEX('Stat Boosts'!$D$2:$D$192,R$1-9)-10)/((INDEX('Stat Boosts'!$D$2:$D$192,(N139/2+22)-9)-10))))</f>
        <v>0.29205020423646583</v>
      </c>
    </row>
    <row r="140" spans="1:18">
      <c r="A140" s="9">
        <v>139</v>
      </c>
      <c r="B140" s="16">
        <f t="shared" si="4"/>
        <v>77.599999999999994</v>
      </c>
      <c r="C140" s="16">
        <f t="shared" si="5"/>
        <v>5.9171597633136102E-3</v>
      </c>
      <c r="E140" s="16">
        <f>IF((1.75-(($A140+5)/($A140+10))*(INDEX('Stat Boosts'!$D$2:$D$192,E$1-9)-10)/((INDEX('Stat Boosts'!$D$2:$D$192,(A140/2+22)-9)-10)))&lt;0.5,POWER(1.1,1.75-(($A140+5)/($A140+10))*(INDEX('Stat Boosts'!$D$2:$D$192,E$1-9)-10)/((INDEX('Stat Boosts'!$D$2:$D$192,(A140/2+22)-9)-10))-0.5)*0.5,(1.75-(($A140+5)/($A140+10))*(INDEX('Stat Boosts'!$D$2:$D$192,E$1-9)-10)/((INDEX('Stat Boosts'!$D$2:$D$192,(A140/2+22)-9)-10))))</f>
        <v>1.75</v>
      </c>
      <c r="F140" s="16">
        <f>IF((1.75-(($A140+5)/($A140+10))*(INDEX('Stat Boosts'!$D$2:$D$192,F$1-9)-10)/((INDEX('Stat Boosts'!$D$2:$D$192,(B140/2+22)-9)-10)))&lt;0.5,POWER(1.1,1.75-(($A140+5)/($A140+10))*(INDEX('Stat Boosts'!$D$2:$D$192,F$1-9)-10)/((INDEX('Stat Boosts'!$D$2:$D$192,(B140/2+22)-9)-10))-0.5)*0.5,(1.75-(($A140+5)/($A140+10))*(INDEX('Stat Boosts'!$D$2:$D$192,F$1-9)-10)/((INDEX('Stat Boosts'!$D$2:$D$192,(B140/2+22)-9)-10))))</f>
        <v>1.6505132254243979</v>
      </c>
      <c r="G140" s="16">
        <f>IF((1.75-(($A140+5)/($A140+10))*(INDEX('Stat Boosts'!$D$2:$D$192,G$1-9)-10)/((INDEX('Stat Boosts'!$D$2:$D$192,(C140/2+22)-9)-10)))&lt;0.5,POWER(1.1,1.75-(($A140+5)/($A140+10))*(INDEX('Stat Boosts'!$D$2:$D$192,G$1-9)-10)/((INDEX('Stat Boosts'!$D$2:$D$192,(C140/2+22)-9)-10))-0.5)*0.5,(1.75-(($A140+5)/($A140+10))*(INDEX('Stat Boosts'!$D$2:$D$192,G$1-9)-10)/((INDEX('Stat Boosts'!$D$2:$D$192,(C140/2+22)-9)-10))))</f>
        <v>0.95410580339518358</v>
      </c>
      <c r="H140" s="16">
        <f>IF((1.75-(($A140+5)/($A140+10))*(INDEX('Stat Boosts'!$D$2:$D$192,H$1-9)-10)/((INDEX('Stat Boosts'!$D$2:$D$192,(D140/2+22)-9)-10)))&lt;0.5,POWER(1.1,1.75-(($A140+5)/($A140+10))*(INDEX('Stat Boosts'!$D$2:$D$192,H$1-9)-10)/((INDEX('Stat Boosts'!$D$2:$D$192,(D140/2+22)-9)-10))-0.5)*0.5,(1.75-(($A140+5)/($A140+10))*(INDEX('Stat Boosts'!$D$2:$D$192,H$1-9)-10)/((INDEX('Stat Boosts'!$D$2:$D$192,(D140/2+22)-9)-10))))</f>
        <v>0.55615870509277521</v>
      </c>
      <c r="I140" s="16">
        <f>IF((1.75-(($A140+5)/($A140+10))*(INDEX('Stat Boosts'!$D$2:$D$192,I$1-9)-10)/((INDEX('Stat Boosts'!$D$2:$D$192,(E140/2+22)-9)-10)))&lt;0.5,POWER(1.1,1.75-(($A140+5)/($A140+10))*(INDEX('Stat Boosts'!$D$2:$D$192,I$1-9)-10)/((INDEX('Stat Boosts'!$D$2:$D$192,(E140/2+22)-9)-10))-0.5)*0.5,(1.75-(($A140+5)/($A140+10))*(INDEX('Stat Boosts'!$D$2:$D$192,I$1-9)-10)/((INDEX('Stat Boosts'!$D$2:$D$192,(E140/2+22)-9)-10))))</f>
        <v>0.48660394102538918</v>
      </c>
      <c r="J140" s="16">
        <f>IF((1.75-(($A140+5)/($A140+10))*(INDEX('Stat Boosts'!$D$2:$D$192,J$1-9)-10)/((INDEX('Stat Boosts'!$D$2:$D$192,(F140/2+22)-9)-10)))&lt;0.5,POWER(1.1,1.75-(($A140+5)/($A140+10))*(INDEX('Stat Boosts'!$D$2:$D$192,J$1-9)-10)/((INDEX('Stat Boosts'!$D$2:$D$192,(F140/2+22)-9)-10))-0.5)*0.5,(1.75-(($A140+5)/($A140+10))*(INDEX('Stat Boosts'!$D$2:$D$192,J$1-9)-10)/((INDEX('Stat Boosts'!$D$2:$D$192,(F140/2+22)-9)-10))))</f>
        <v>0.47103879792832737</v>
      </c>
      <c r="K140" s="16">
        <f>IF((1.75-(($A140+5)/($A140+10))*(INDEX('Stat Boosts'!$D$2:$D$192,K$1-9)-10)/((INDEX('Stat Boosts'!$D$2:$D$192,(G140/2+22)-9)-10)))&lt;0.5,POWER(1.1,1.75-(($A140+5)/($A140+10))*(INDEX('Stat Boosts'!$D$2:$D$192,K$1-9)-10)/((INDEX('Stat Boosts'!$D$2:$D$192,(G140/2+22)-9)-10))-0.5)*0.5,(1.75-(($A140+5)/($A140+10))*(INDEX('Stat Boosts'!$D$2:$D$192,K$1-9)-10)/((INDEX('Stat Boosts'!$D$2:$D$192,(G140/2+22)-9)-10))))</f>
        <v>0.4366289043331173</v>
      </c>
      <c r="L140" s="16">
        <f>IF((1.75-(($A140+5)/($A140+10))*(INDEX('Stat Boosts'!$D$2:$D$192,L$1-9)-10)/((INDEX('Stat Boosts'!$D$2:$D$192,(H140/2+22)-9)-10)))&lt;0.5,POWER(1.1,1.75-(($A140+5)/($A140+10))*(INDEX('Stat Boosts'!$D$2:$D$192,L$1-9)-10)/((INDEX('Stat Boosts'!$D$2:$D$192,(H140/2+22)-9)-10))-0.5)*0.5,(1.75-(($A140+5)/($A140+10))*(INDEX('Stat Boosts'!$D$2:$D$192,L$1-9)-10)/((INDEX('Stat Boosts'!$D$2:$D$192,(H140/2+22)-9)-10))))</f>
        <v>0.42495867295719186</v>
      </c>
      <c r="M140" s="16">
        <f>IF((1.75-(($A140+5)/($A140+10))*(INDEX('Stat Boosts'!$D$2:$D$192,M$1-9)-10)/((INDEX('Stat Boosts'!$D$2:$D$192,(I140/2+22)-9)-10)))&lt;0.5,POWER(1.1,1.75-(($A140+5)/($A140+10))*(INDEX('Stat Boosts'!$D$2:$D$192,M$1-9)-10)/((INDEX('Stat Boosts'!$D$2:$D$192,(I140/2+22)-9)-10))-0.5)*0.5,(1.75-(($A140+5)/($A140+10))*(INDEX('Stat Boosts'!$D$2:$D$192,M$1-9)-10)/((INDEX('Stat Boosts'!$D$2:$D$192,(I140/2+22)-9)-10))))</f>
        <v>0.40914250347114073</v>
      </c>
      <c r="N140" s="16">
        <f>IF((1.75-(($A140+5)/($A140+10))*(INDEX('Stat Boosts'!$D$2:$D$192,N$1-9)-10)/((INDEX('Stat Boosts'!$D$2:$D$192,(J140/2+22)-9)-10)))&lt;0.5,POWER(1.1,1.75-(($A140+5)/($A140+10))*(INDEX('Stat Boosts'!$D$2:$D$192,N$1-9)-10)/((INDEX('Stat Boosts'!$D$2:$D$192,(J140/2+22)-9)-10))-0.5)*0.5,(1.75-(($A140+5)/($A140+10))*(INDEX('Stat Boosts'!$D$2:$D$192,N$1-9)-10)/((INDEX('Stat Boosts'!$D$2:$D$192,(J140/2+22)-9)-10))))</f>
        <v>0.38966929454145049</v>
      </c>
      <c r="O140" s="16">
        <f>IF((1.75-(($A140+5)/($A140+10))*(INDEX('Stat Boosts'!$D$2:$D$192,O$1-9)-10)/((INDEX('Stat Boosts'!$D$2:$D$192,(K140/2+22)-9)-10)))&lt;0.5,POWER(1.1,1.75-(($A140+5)/($A140+10))*(INDEX('Stat Boosts'!$D$2:$D$192,O$1-9)-10)/((INDEX('Stat Boosts'!$D$2:$D$192,(K140/2+22)-9)-10))-0.5)*0.5,(1.75-(($A140+5)/($A140+10))*(INDEX('Stat Boosts'!$D$2:$D$192,O$1-9)-10)/((INDEX('Stat Boosts'!$D$2:$D$192,(K140/2+22)-9)-10))))</f>
        <v>0.379254201123991</v>
      </c>
      <c r="P140" s="16">
        <f>IF((1.75-(($A140+5)/($A140+10))*(INDEX('Stat Boosts'!$D$2:$D$192,P$1-9)-10)/((INDEX('Stat Boosts'!$D$2:$D$192,(L140/2+22)-9)-10)))&lt;0.5,POWER(1.1,1.75-(($A140+5)/($A140+10))*(INDEX('Stat Boosts'!$D$2:$D$192,P$1-9)-10)/((INDEX('Stat Boosts'!$D$2:$D$192,(L140/2+22)-9)-10))-0.5)*0.5,(1.75-(($A140+5)/($A140+10))*(INDEX('Stat Boosts'!$D$2:$D$192,P$1-9)-10)/((INDEX('Stat Boosts'!$D$2:$D$192,(L140/2+22)-9)-10))))</f>
        <v>0.36316596800681084</v>
      </c>
      <c r="Q140" s="16">
        <f>IF((1.75-(($A140+5)/($A140+10))*(INDEX('Stat Boosts'!$D$2:$D$192,Q$1-9)-10)/((INDEX('Stat Boosts'!$D$2:$D$192,(M140/2+22)-9)-10)))&lt;0.5,POWER(1.1,1.75-(($A140+5)/($A140+10))*(INDEX('Stat Boosts'!$D$2:$D$192,Q$1-9)-10)/((INDEX('Stat Boosts'!$D$2:$D$192,(M140/2+22)-9)-10))-0.5)*0.5,(1.75-(($A140+5)/($A140+10))*(INDEX('Stat Boosts'!$D$2:$D$192,Q$1-9)-10)/((INDEX('Stat Boosts'!$D$2:$D$192,(M140/2+22)-9)-10))))</f>
        <v>0.34776020918804479</v>
      </c>
      <c r="R140" s="16">
        <f>IF((1.75-(($A140+5)/($A140+10))*1.25*(INDEX('Stat Boosts'!$D$2:$D$192,R$1-9)-10)/((INDEX('Stat Boosts'!$D$2:$D$192,(N140/2+22)-9)-10)))&lt;0.5,POWER(1.1,1.75-(($A140+5)/($A140+10))*1.25*(INDEX('Stat Boosts'!$D$2:$D$192,R$1-9)-10)/((INDEX('Stat Boosts'!$D$2:$D$192,(N140/2+22)-9)-10))-0.5)*0.5,(1.75-(($A140+5)/($A140+10))*1.25*(INDEX('Stat Boosts'!$D$2:$D$192,R$1-9)-10)/((INDEX('Stat Boosts'!$D$2:$D$192,(N140/2+22)-9)-10))))</f>
        <v>0.29200519328633023</v>
      </c>
    </row>
    <row r="141" spans="1:18">
      <c r="A141" s="9">
        <v>140</v>
      </c>
      <c r="B141" s="16">
        <f t="shared" si="4"/>
        <v>78</v>
      </c>
      <c r="C141" s="16">
        <f t="shared" si="5"/>
        <v>5.8823529411764705E-3</v>
      </c>
      <c r="E141" s="16">
        <f>IF((1.75-(($A141+5)/($A141+10))*(INDEX('Stat Boosts'!$D$2:$D$192,E$1-9)-10)/((INDEX('Stat Boosts'!$D$2:$D$192,(A141/2+22)-9)-10)))&lt;0.5,POWER(1.1,1.75-(($A141+5)/($A141+10))*(INDEX('Stat Boosts'!$D$2:$D$192,E$1-9)-10)/((INDEX('Stat Boosts'!$D$2:$D$192,(A141/2+22)-9)-10))-0.5)*0.5,(1.75-(($A141+5)/($A141+10))*(INDEX('Stat Boosts'!$D$2:$D$192,E$1-9)-10)/((INDEX('Stat Boosts'!$D$2:$D$192,(A141/2+22)-9)-10))))</f>
        <v>1.75</v>
      </c>
      <c r="F141" s="16">
        <f>IF((1.75-(($A141+5)/($A141+10))*(INDEX('Stat Boosts'!$D$2:$D$192,F$1-9)-10)/((INDEX('Stat Boosts'!$D$2:$D$192,(B141/2+22)-9)-10)))&lt;0.5,POWER(1.1,1.75-(($A141+5)/($A141+10))*(INDEX('Stat Boosts'!$D$2:$D$192,F$1-9)-10)/((INDEX('Stat Boosts'!$D$2:$D$192,(B141/2+22)-9)-10))-0.5)*0.5,(1.75-(($A141+5)/($A141+10))*(INDEX('Stat Boosts'!$D$2:$D$192,F$1-9)-10)/((INDEX('Stat Boosts'!$D$2:$D$192,(B141/2+22)-9)-10))))</f>
        <v>1.6519323671497586</v>
      </c>
      <c r="G141" s="16">
        <f>IF((1.75-(($A141+5)/($A141+10))*(INDEX('Stat Boosts'!$D$2:$D$192,G$1-9)-10)/((INDEX('Stat Boosts'!$D$2:$D$192,(C141/2+22)-9)-10)))&lt;0.5,POWER(1.1,1.75-(($A141+5)/($A141+10))*(INDEX('Stat Boosts'!$D$2:$D$192,G$1-9)-10)/((INDEX('Stat Boosts'!$D$2:$D$192,(C141/2+22)-9)-10))-0.5)*0.5,(1.75-(($A141+5)/($A141+10))*(INDEX('Stat Boosts'!$D$2:$D$192,G$1-9)-10)/((INDEX('Stat Boosts'!$D$2:$D$192,(C141/2+22)-9)-10))))</f>
        <v>0.95392156862745103</v>
      </c>
      <c r="H141" s="16">
        <f>IF((1.75-(($A141+5)/($A141+10))*(INDEX('Stat Boosts'!$D$2:$D$192,H$1-9)-10)/((INDEX('Stat Boosts'!$D$2:$D$192,(D141/2+22)-9)-10)))&lt;0.5,POWER(1.1,1.75-(($A141+5)/($A141+10))*(INDEX('Stat Boosts'!$D$2:$D$192,H$1-9)-10)/((INDEX('Stat Boosts'!$D$2:$D$192,(D141/2+22)-9)-10))-0.5)*0.5,(1.75-(($A141+5)/($A141+10))*(INDEX('Stat Boosts'!$D$2:$D$192,H$1-9)-10)/((INDEX('Stat Boosts'!$D$2:$D$192,(D141/2+22)-9)-10))))</f>
        <v>0.55588235294117649</v>
      </c>
      <c r="I141" s="16">
        <f>IF((1.75-(($A141+5)/($A141+10))*(INDEX('Stat Boosts'!$D$2:$D$192,I$1-9)-10)/((INDEX('Stat Boosts'!$D$2:$D$192,(E141/2+22)-9)-10)))&lt;0.5,POWER(1.1,1.75-(($A141+5)/($A141+10))*(INDEX('Stat Boosts'!$D$2:$D$192,I$1-9)-10)/((INDEX('Stat Boosts'!$D$2:$D$192,(E141/2+22)-9)-10))-0.5)*0.5,(1.75-(($A141+5)/($A141+10))*(INDEX('Stat Boosts'!$D$2:$D$192,I$1-9)-10)/((INDEX('Stat Boosts'!$D$2:$D$192,(E141/2+22)-9)-10))))</f>
        <v>0.48658746263160862</v>
      </c>
      <c r="J141" s="16">
        <f>IF((1.75-(($A141+5)/($A141+10))*(INDEX('Stat Boosts'!$D$2:$D$192,J$1-9)-10)/((INDEX('Stat Boosts'!$D$2:$D$192,(F141/2+22)-9)-10)))&lt;0.5,POWER(1.1,1.75-(($A141+5)/($A141+10))*(INDEX('Stat Boosts'!$D$2:$D$192,J$1-9)-10)/((INDEX('Stat Boosts'!$D$2:$D$192,(F141/2+22)-9)-10))-0.5)*0.5,(1.75-(($A141+5)/($A141+10))*(INDEX('Stat Boosts'!$D$2:$D$192,J$1-9)-10)/((INDEX('Stat Boosts'!$D$2:$D$192,(F141/2+22)-9)-10))))</f>
        <v>0.47101930197499875</v>
      </c>
      <c r="K141" s="16">
        <f>IF((1.75-(($A141+5)/($A141+10))*(INDEX('Stat Boosts'!$D$2:$D$192,K$1-9)-10)/((INDEX('Stat Boosts'!$D$2:$D$192,(G141/2+22)-9)-10)))&lt;0.5,POWER(1.1,1.75-(($A141+5)/($A141+10))*(INDEX('Stat Boosts'!$D$2:$D$192,K$1-9)-10)/((INDEX('Stat Boosts'!$D$2:$D$192,(G141/2+22)-9)-10))-0.5)*0.5,(1.75-(($A141+5)/($A141+10))*(INDEX('Stat Boosts'!$D$2:$D$192,K$1-9)-10)/((INDEX('Stat Boosts'!$D$2:$D$192,(G141/2+22)-9)-10))))</f>
        <v>0.43660316600199683</v>
      </c>
      <c r="L141" s="16">
        <f>IF((1.75-(($A141+5)/($A141+10))*(INDEX('Stat Boosts'!$D$2:$D$192,L$1-9)-10)/((INDEX('Stat Boosts'!$D$2:$D$192,(H141/2+22)-9)-10)))&lt;0.5,POWER(1.1,1.75-(($A141+5)/($A141+10))*(INDEX('Stat Boosts'!$D$2:$D$192,L$1-9)-10)/((INDEX('Stat Boosts'!$D$2:$D$192,(H141/2+22)-9)-10))-0.5)*0.5,(1.75-(($A141+5)/($A141+10))*(INDEX('Stat Boosts'!$D$2:$D$192,L$1-9)-10)/((INDEX('Stat Boosts'!$D$2:$D$192,(H141/2+22)-9)-10))))</f>
        <v>0.42493095771215189</v>
      </c>
      <c r="M141" s="16">
        <f>IF((1.75-(($A141+5)/($A141+10))*(INDEX('Stat Boosts'!$D$2:$D$192,M$1-9)-10)/((INDEX('Stat Boosts'!$D$2:$D$192,(I141/2+22)-9)-10)))&lt;0.5,POWER(1.1,1.75-(($A141+5)/($A141+10))*(INDEX('Stat Boosts'!$D$2:$D$192,M$1-9)-10)/((INDEX('Stat Boosts'!$D$2:$D$192,(I141/2+22)-9)-10))-0.5)*0.5,(1.75-(($A141+5)/($A141+10))*(INDEX('Stat Boosts'!$D$2:$D$192,M$1-9)-10)/((INDEX('Stat Boosts'!$D$2:$D$192,(I141/2+22)-9)-10))))</f>
        <v>0.40911222782746209</v>
      </c>
      <c r="N141" s="16">
        <f>IF((1.75-(($A141+5)/($A141+10))*(INDEX('Stat Boosts'!$D$2:$D$192,N$1-9)-10)/((INDEX('Stat Boosts'!$D$2:$D$192,(J141/2+22)-9)-10)))&lt;0.5,POWER(1.1,1.75-(($A141+5)/($A141+10))*(INDEX('Stat Boosts'!$D$2:$D$192,N$1-9)-10)/((INDEX('Stat Boosts'!$D$2:$D$192,(J141/2+22)-9)-10))-0.5)*0.5,(1.75-(($A141+5)/($A141+10))*(INDEX('Stat Boosts'!$D$2:$D$192,N$1-9)-10)/((INDEX('Stat Boosts'!$D$2:$D$192,(J141/2+22)-9)-10))))</f>
        <v>0.3896360615510403</v>
      </c>
      <c r="O141" s="16">
        <f>IF((1.75-(($A141+5)/($A141+10))*(INDEX('Stat Boosts'!$D$2:$D$192,O$1-9)-10)/((INDEX('Stat Boosts'!$D$2:$D$192,(K141/2+22)-9)-10)))&lt;0.5,POWER(1.1,1.75-(($A141+5)/($A141+10))*(INDEX('Stat Boosts'!$D$2:$D$192,O$1-9)-10)/((INDEX('Stat Boosts'!$D$2:$D$192,(K141/2+22)-9)-10))-0.5)*0.5,(1.75-(($A141+5)/($A141+10))*(INDEX('Stat Boosts'!$D$2:$D$192,O$1-9)-10)/((INDEX('Stat Boosts'!$D$2:$D$192,(K141/2+22)-9)-10))))</f>
        <v>0.37921947820533503</v>
      </c>
      <c r="P141" s="16">
        <f>IF((1.75-(($A141+5)/($A141+10))*(INDEX('Stat Boosts'!$D$2:$D$192,P$1-9)-10)/((INDEX('Stat Boosts'!$D$2:$D$192,(L141/2+22)-9)-10)))&lt;0.5,POWER(1.1,1.75-(($A141+5)/($A141+10))*(INDEX('Stat Boosts'!$D$2:$D$192,P$1-9)-10)/((INDEX('Stat Boosts'!$D$2:$D$192,(L141/2+22)-9)-10))-0.5)*0.5,(1.75-(($A141+5)/($A141+10))*(INDEX('Stat Boosts'!$D$2:$D$192,P$1-9)-10)/((INDEX('Stat Boosts'!$D$2:$D$192,(L141/2+22)-9)-10))))</f>
        <v>0.363129074414279</v>
      </c>
      <c r="Q141" s="16">
        <f>IF((1.75-(($A141+5)/($A141+10))*(INDEX('Stat Boosts'!$D$2:$D$192,Q$1-9)-10)/((INDEX('Stat Boosts'!$D$2:$D$192,(M141/2+22)-9)-10)))&lt;0.5,POWER(1.1,1.75-(($A141+5)/($A141+10))*(INDEX('Stat Boosts'!$D$2:$D$192,Q$1-9)-10)/((INDEX('Stat Boosts'!$D$2:$D$192,(M141/2+22)-9)-10))-0.5)*0.5,(1.75-(($A141+5)/($A141+10))*(INDEX('Stat Boosts'!$D$2:$D$192,Q$1-9)-10)/((INDEX('Stat Boosts'!$D$2:$D$192,(M141/2+22)-9)-10))))</f>
        <v>0.3477213916041822</v>
      </c>
      <c r="R141" s="16">
        <f>IF((1.75-(($A141+5)/($A141+10))*1.25*(INDEX('Stat Boosts'!$D$2:$D$192,R$1-9)-10)/((INDEX('Stat Boosts'!$D$2:$D$192,(N141/2+22)-9)-10)))&lt;0.5,POWER(1.1,1.75-(($A141+5)/($A141+10))*1.25*(INDEX('Stat Boosts'!$D$2:$D$192,R$1-9)-10)/((INDEX('Stat Boosts'!$D$2:$D$192,(N141/2+22)-9)-10))-0.5)*0.5,(1.75-(($A141+5)/($A141+10))*1.25*(INDEX('Stat Boosts'!$D$2:$D$192,R$1-9)-10)/((INDEX('Stat Boosts'!$D$2:$D$192,(N141/2+22)-9)-10))))</f>
        <v>0.29196078928118963</v>
      </c>
    </row>
    <row r="142" spans="1:18">
      <c r="A142" s="9">
        <v>141</v>
      </c>
      <c r="B142" s="16">
        <f t="shared" si="4"/>
        <v>78.400000000000006</v>
      </c>
      <c r="C142" s="16">
        <f t="shared" si="5"/>
        <v>5.8479532163742687E-3</v>
      </c>
      <c r="E142" s="16">
        <f>IF((1.75-(($A142+5)/($A142+10))*(INDEX('Stat Boosts'!$D$2:$D$192,E$1-9)-10)/((INDEX('Stat Boosts'!$D$2:$D$192,(A142/2+22)-9)-10)))&lt;0.5,POWER(1.1,1.75-(($A142+5)/($A142+10))*(INDEX('Stat Boosts'!$D$2:$D$192,E$1-9)-10)/((INDEX('Stat Boosts'!$D$2:$D$192,(A142/2+22)-9)-10))-0.5)*0.5,(1.75-(($A142+5)/($A142+10))*(INDEX('Stat Boosts'!$D$2:$D$192,E$1-9)-10)/((INDEX('Stat Boosts'!$D$2:$D$192,(A142/2+22)-9)-10))))</f>
        <v>1.75</v>
      </c>
      <c r="F142" s="16">
        <f>IF((1.75-(($A142+5)/($A142+10))*(INDEX('Stat Boosts'!$D$2:$D$192,F$1-9)-10)/((INDEX('Stat Boosts'!$D$2:$D$192,(B142/2+22)-9)-10)))&lt;0.5,POWER(1.1,1.75-(($A142+5)/($A142+10))*(INDEX('Stat Boosts'!$D$2:$D$192,F$1-9)-10)/((INDEX('Stat Boosts'!$D$2:$D$192,(B142/2+22)-9)-10))-0.5)*0.5,(1.75-(($A142+5)/($A142+10))*(INDEX('Stat Boosts'!$D$2:$D$192,F$1-9)-10)/((INDEX('Stat Boosts'!$D$2:$D$192,(B142/2+22)-9)-10))))</f>
        <v>1.6519099721662347</v>
      </c>
      <c r="G142" s="16">
        <f>IF((1.75-(($A142+5)/($A142+10))*(INDEX('Stat Boosts'!$D$2:$D$192,G$1-9)-10)/((INDEX('Stat Boosts'!$D$2:$D$192,(C142/2+22)-9)-10)))&lt;0.5,POWER(1.1,1.75-(($A142+5)/($A142+10))*(INDEX('Stat Boosts'!$D$2:$D$192,G$1-9)-10)/((INDEX('Stat Boosts'!$D$2:$D$192,(C142/2+22)-9)-10))-0.5)*0.5,(1.75-(($A142+5)/($A142+10))*(INDEX('Stat Boosts'!$D$2:$D$192,G$1-9)-10)/((INDEX('Stat Boosts'!$D$2:$D$192,(C142/2+22)-9)-10))))</f>
        <v>0.9537397740553174</v>
      </c>
      <c r="H142" s="16">
        <f>IF((1.75-(($A142+5)/($A142+10))*(INDEX('Stat Boosts'!$D$2:$D$192,H$1-9)-10)/((INDEX('Stat Boosts'!$D$2:$D$192,(D142/2+22)-9)-10)))&lt;0.5,POWER(1.1,1.75-(($A142+5)/($A142+10))*(INDEX('Stat Boosts'!$D$2:$D$192,H$1-9)-10)/((INDEX('Stat Boosts'!$D$2:$D$192,(D142/2+22)-9)-10))-0.5)*0.5,(1.75-(($A142+5)/($A142+10))*(INDEX('Stat Boosts'!$D$2:$D$192,H$1-9)-10)/((INDEX('Stat Boosts'!$D$2:$D$192,(D142/2+22)-9)-10))))</f>
        <v>0.55560966108297616</v>
      </c>
      <c r="I142" s="16">
        <f>IF((1.75-(($A142+5)/($A142+10))*(INDEX('Stat Boosts'!$D$2:$D$192,I$1-9)-10)/((INDEX('Stat Boosts'!$D$2:$D$192,(E142/2+22)-9)-10)))&lt;0.5,POWER(1.1,1.75-(($A142+5)/($A142+10))*(INDEX('Stat Boosts'!$D$2:$D$192,I$1-9)-10)/((INDEX('Stat Boosts'!$D$2:$D$192,(E142/2+22)-9)-10))-0.5)*0.5,(1.75-(($A142+5)/($A142+10))*(INDEX('Stat Boosts'!$D$2:$D$192,I$1-9)-10)/((INDEX('Stat Boosts'!$D$2:$D$192,(E142/2+22)-9)-10))))</f>
        <v>0.48657120304168749</v>
      </c>
      <c r="J142" s="16">
        <f>IF((1.75-(($A142+5)/($A142+10))*(INDEX('Stat Boosts'!$D$2:$D$192,J$1-9)-10)/((INDEX('Stat Boosts'!$D$2:$D$192,(F142/2+22)-9)-10)))&lt;0.5,POWER(1.1,1.75-(($A142+5)/($A142+10))*(INDEX('Stat Boosts'!$D$2:$D$192,J$1-9)-10)/((INDEX('Stat Boosts'!$D$2:$D$192,(F142/2+22)-9)-10))-0.5)*0.5,(1.75-(($A142+5)/($A142+10))*(INDEX('Stat Boosts'!$D$2:$D$192,J$1-9)-10)/((INDEX('Stat Boosts'!$D$2:$D$192,(F142/2+22)-9)-10))))</f>
        <v>0.47100006503718023</v>
      </c>
      <c r="K142" s="16">
        <f>IF((1.75-(($A142+5)/($A142+10))*(INDEX('Stat Boosts'!$D$2:$D$192,K$1-9)-10)/((INDEX('Stat Boosts'!$D$2:$D$192,(G142/2+22)-9)-10)))&lt;0.5,POWER(1.1,1.75-(($A142+5)/($A142+10))*(INDEX('Stat Boosts'!$D$2:$D$192,K$1-9)-10)/((INDEX('Stat Boosts'!$D$2:$D$192,(G142/2+22)-9)-10))-0.5)*0.5,(1.75-(($A142+5)/($A142+10))*(INDEX('Stat Boosts'!$D$2:$D$192,K$1-9)-10)/((INDEX('Stat Boosts'!$D$2:$D$192,(G142/2+22)-9)-10))))</f>
        <v>0.43657777006313342</v>
      </c>
      <c r="L142" s="16">
        <f>IF((1.75-(($A142+5)/($A142+10))*(INDEX('Stat Boosts'!$D$2:$D$192,L$1-9)-10)/((INDEX('Stat Boosts'!$D$2:$D$192,(H142/2+22)-9)-10)))&lt;0.5,POWER(1.1,1.75-(($A142+5)/($A142+10))*(INDEX('Stat Boosts'!$D$2:$D$192,L$1-9)-10)/((INDEX('Stat Boosts'!$D$2:$D$192,(H142/2+22)-9)-10))-0.5)*0.5,(1.75-(($A142+5)/($A142+10))*(INDEX('Stat Boosts'!$D$2:$D$192,L$1-9)-10)/((INDEX('Stat Boosts'!$D$2:$D$192,(H142/2+22)-9)-10))))</f>
        <v>0.42490361132824939</v>
      </c>
      <c r="M142" s="16">
        <f>IF((1.75-(($A142+5)/($A142+10))*(INDEX('Stat Boosts'!$D$2:$D$192,M$1-9)-10)/((INDEX('Stat Boosts'!$D$2:$D$192,(I142/2+22)-9)-10)))&lt;0.5,POWER(1.1,1.75-(($A142+5)/($A142+10))*(INDEX('Stat Boosts'!$D$2:$D$192,M$1-9)-10)/((INDEX('Stat Boosts'!$D$2:$D$192,(I142/2+22)-9)-10))-0.5)*0.5,(1.75-(($A142+5)/($A142+10))*(INDEX('Stat Boosts'!$D$2:$D$192,M$1-9)-10)/((INDEX('Stat Boosts'!$D$2:$D$192,(I142/2+22)-9)-10))))</f>
        <v>0.40908235538170473</v>
      </c>
      <c r="N142" s="16">
        <f>IF((1.75-(($A142+5)/($A142+10))*(INDEX('Stat Boosts'!$D$2:$D$192,N$1-9)-10)/((INDEX('Stat Boosts'!$D$2:$D$192,(J142/2+22)-9)-10)))&lt;0.5,POWER(1.1,1.75-(($A142+5)/($A142+10))*(INDEX('Stat Boosts'!$D$2:$D$192,N$1-9)-10)/((INDEX('Stat Boosts'!$D$2:$D$192,(J142/2+22)-9)-10))-0.5)*0.5,(1.75-(($A142+5)/($A142+10))*(INDEX('Stat Boosts'!$D$2:$D$192,N$1-9)-10)/((INDEX('Stat Boosts'!$D$2:$D$192,(J142/2+22)-9)-10))))</f>
        <v>0.38960327151090746</v>
      </c>
      <c r="O142" s="16">
        <f>IF((1.75-(($A142+5)/($A142+10))*(INDEX('Stat Boosts'!$D$2:$D$192,O$1-9)-10)/((INDEX('Stat Boosts'!$D$2:$D$192,(K142/2+22)-9)-10)))&lt;0.5,POWER(1.1,1.75-(($A142+5)/($A142+10))*(INDEX('Stat Boosts'!$D$2:$D$192,O$1-9)-10)/((INDEX('Stat Boosts'!$D$2:$D$192,(K142/2+22)-9)-10))-0.5)*0.5,(1.75-(($A142+5)/($A142+10))*(INDEX('Stat Boosts'!$D$2:$D$192,O$1-9)-10)/((INDEX('Stat Boosts'!$D$2:$D$192,(K142/2+22)-9)-10))))</f>
        <v>0.37918521830909024</v>
      </c>
      <c r="P142" s="16">
        <f>IF((1.75-(($A142+5)/($A142+10))*(INDEX('Stat Boosts'!$D$2:$D$192,P$1-9)-10)/((INDEX('Stat Boosts'!$D$2:$D$192,(L142/2+22)-9)-10)))&lt;0.5,POWER(1.1,1.75-(($A142+5)/($A142+10))*(INDEX('Stat Boosts'!$D$2:$D$192,P$1-9)-10)/((INDEX('Stat Boosts'!$D$2:$D$192,(L142/2+22)-9)-10))-0.5)*0.5,(1.75-(($A142+5)/($A142+10))*(INDEX('Stat Boosts'!$D$2:$D$192,P$1-9)-10)/((INDEX('Stat Boosts'!$D$2:$D$192,(L142/2+22)-9)-10))))</f>
        <v>0.3630926731524447</v>
      </c>
      <c r="Q142" s="16">
        <f>IF((1.75-(($A142+5)/($A142+10))*(INDEX('Stat Boosts'!$D$2:$D$192,Q$1-9)-10)/((INDEX('Stat Boosts'!$D$2:$D$192,(M142/2+22)-9)-10)))&lt;0.5,POWER(1.1,1.75-(($A142+5)/($A142+10))*(INDEX('Stat Boosts'!$D$2:$D$192,Q$1-9)-10)/((INDEX('Stat Boosts'!$D$2:$D$192,(M142/2+22)-9)-10))-0.5)*0.5,(1.75-(($A142+5)/($A142+10))*(INDEX('Stat Boosts'!$D$2:$D$192,Q$1-9)-10)/((INDEX('Stat Boosts'!$D$2:$D$192,(M142/2+22)-9)-10))))</f>
        <v>0.34768309240768602</v>
      </c>
      <c r="R142" s="16">
        <f>IF((1.75-(($A142+5)/($A142+10))*1.25*(INDEX('Stat Boosts'!$D$2:$D$192,R$1-9)-10)/((INDEX('Stat Boosts'!$D$2:$D$192,(N142/2+22)-9)-10)))&lt;0.5,POWER(1.1,1.75-(($A142+5)/($A142+10))*1.25*(INDEX('Stat Boosts'!$D$2:$D$192,R$1-9)-10)/((INDEX('Stat Boosts'!$D$2:$D$192,(N142/2+22)-9)-10))-0.5)*0.5,(1.75-(($A142+5)/($A142+10))*1.25*(INDEX('Stat Boosts'!$D$2:$D$192,R$1-9)-10)/((INDEX('Stat Boosts'!$D$2:$D$192,(N142/2+22)-9)-10))))</f>
        <v>0.29191698002734273</v>
      </c>
    </row>
    <row r="143" spans="1:18">
      <c r="A143" s="9">
        <v>142</v>
      </c>
      <c r="B143" s="16">
        <f t="shared" si="4"/>
        <v>78.8</v>
      </c>
      <c r="C143" s="16">
        <f t="shared" si="5"/>
        <v>5.8139534883720938E-3</v>
      </c>
      <c r="E143" s="16">
        <f>IF((1.75-(($A143+5)/($A143+10))*(INDEX('Stat Boosts'!$D$2:$D$192,E$1-9)-10)/((INDEX('Stat Boosts'!$D$2:$D$192,(A143/2+22)-9)-10)))&lt;0.5,POWER(1.1,1.75-(($A143+5)/($A143+10))*(INDEX('Stat Boosts'!$D$2:$D$192,E$1-9)-10)/((INDEX('Stat Boosts'!$D$2:$D$192,(A143/2+22)-9)-10))-0.5)*0.5,(1.75-(($A143+5)/($A143+10))*(INDEX('Stat Boosts'!$D$2:$D$192,E$1-9)-10)/((INDEX('Stat Boosts'!$D$2:$D$192,(A143/2+22)-9)-10))))</f>
        <v>1.75</v>
      </c>
      <c r="F143" s="16">
        <f>IF((1.75-(($A143+5)/($A143+10))*(INDEX('Stat Boosts'!$D$2:$D$192,F$1-9)-10)/((INDEX('Stat Boosts'!$D$2:$D$192,(B143/2+22)-9)-10)))&lt;0.5,POWER(1.1,1.75-(($A143+5)/($A143+10))*(INDEX('Stat Boosts'!$D$2:$D$192,F$1-9)-10)/((INDEX('Stat Boosts'!$D$2:$D$192,(B143/2+22)-9)-10))-0.5)*0.5,(1.75-(($A143+5)/($A143+10))*(INDEX('Stat Boosts'!$D$2:$D$192,F$1-9)-10)/((INDEX('Stat Boosts'!$D$2:$D$192,(B143/2+22)-9)-10))))</f>
        <v>1.651887871853547</v>
      </c>
      <c r="G143" s="16">
        <f>IF((1.75-(($A143+5)/($A143+10))*(INDEX('Stat Boosts'!$D$2:$D$192,G$1-9)-10)/((INDEX('Stat Boosts'!$D$2:$D$192,(C143/2+22)-9)-10)))&lt;0.5,POWER(1.1,1.75-(($A143+5)/($A143+10))*(INDEX('Stat Boosts'!$D$2:$D$192,G$1-9)-10)/((INDEX('Stat Boosts'!$D$2:$D$192,(C143/2+22)-9)-10))-0.5)*0.5,(1.75-(($A143+5)/($A143+10))*(INDEX('Stat Boosts'!$D$2:$D$192,G$1-9)-10)/((INDEX('Stat Boosts'!$D$2:$D$192,(C143/2+22)-9)-10))))</f>
        <v>0.95356037151702788</v>
      </c>
      <c r="H143" s="16">
        <f>IF((1.75-(($A143+5)/($A143+10))*(INDEX('Stat Boosts'!$D$2:$D$192,H$1-9)-10)/((INDEX('Stat Boosts'!$D$2:$D$192,(D143/2+22)-9)-10)))&lt;0.5,POWER(1.1,1.75-(($A143+5)/($A143+10))*(INDEX('Stat Boosts'!$D$2:$D$192,H$1-9)-10)/((INDEX('Stat Boosts'!$D$2:$D$192,(D143/2+22)-9)-10))-0.5)*0.5,(1.75-(($A143+5)/($A143+10))*(INDEX('Stat Boosts'!$D$2:$D$192,H$1-9)-10)/((INDEX('Stat Boosts'!$D$2:$D$192,(D143/2+22)-9)-10))))</f>
        <v>0.55534055727554188</v>
      </c>
      <c r="I143" s="16">
        <f>IF((1.75-(($A143+5)/($A143+10))*(INDEX('Stat Boosts'!$D$2:$D$192,I$1-9)-10)/((INDEX('Stat Boosts'!$D$2:$D$192,(E143/2+22)-9)-10)))&lt;0.5,POWER(1.1,1.75-(($A143+5)/($A143+10))*(INDEX('Stat Boosts'!$D$2:$D$192,I$1-9)-10)/((INDEX('Stat Boosts'!$D$2:$D$192,(E143/2+22)-9)-10))-0.5)*0.5,(1.75-(($A143+5)/($A143+10))*(INDEX('Stat Boosts'!$D$2:$D$192,I$1-9)-10)/((INDEX('Stat Boosts'!$D$2:$D$192,(E143/2+22)-9)-10))))</f>
        <v>0.48655515792638576</v>
      </c>
      <c r="J143" s="16">
        <f>IF((1.75-(($A143+5)/($A143+10))*(INDEX('Stat Boosts'!$D$2:$D$192,J$1-9)-10)/((INDEX('Stat Boosts'!$D$2:$D$192,(F143/2+22)-9)-10)))&lt;0.5,POWER(1.1,1.75-(($A143+5)/($A143+10))*(INDEX('Stat Boosts'!$D$2:$D$192,J$1-9)-10)/((INDEX('Stat Boosts'!$D$2:$D$192,(F143/2+22)-9)-10))-0.5)*0.5,(1.75-(($A143+5)/($A143+10))*(INDEX('Stat Boosts'!$D$2:$D$192,J$1-9)-10)/((INDEX('Stat Boosts'!$D$2:$D$192,(F143/2+22)-9)-10))))</f>
        <v>0.47098108198718369</v>
      </c>
      <c r="K143" s="16">
        <f>IF((1.75-(($A143+5)/($A143+10))*(INDEX('Stat Boosts'!$D$2:$D$192,K$1-9)-10)/((INDEX('Stat Boosts'!$D$2:$D$192,(G143/2+22)-9)-10)))&lt;0.5,POWER(1.1,1.75-(($A143+5)/($A143+10))*(INDEX('Stat Boosts'!$D$2:$D$192,K$1-9)-10)/((INDEX('Stat Boosts'!$D$2:$D$192,(G143/2+22)-9)-10))-0.5)*0.5,(1.75-(($A143+5)/($A143+10))*(INDEX('Stat Boosts'!$D$2:$D$192,K$1-9)-10)/((INDEX('Stat Boosts'!$D$2:$D$192,(G143/2+22)-9)-10))))</f>
        <v>0.43655270972954113</v>
      </c>
      <c r="L143" s="16">
        <f>IF((1.75-(($A143+5)/($A143+10))*(INDEX('Stat Boosts'!$D$2:$D$192,L$1-9)-10)/((INDEX('Stat Boosts'!$D$2:$D$192,(H143/2+22)-9)-10)))&lt;0.5,POWER(1.1,1.75-(($A143+5)/($A143+10))*(INDEX('Stat Boosts'!$D$2:$D$192,L$1-9)-10)/((INDEX('Stat Boosts'!$D$2:$D$192,(H143/2+22)-9)-10))-0.5)*0.5,(1.75-(($A143+5)/($A143+10))*(INDEX('Stat Boosts'!$D$2:$D$192,L$1-9)-10)/((INDEX('Stat Boosts'!$D$2:$D$192,(H143/2+22)-9)-10))))</f>
        <v>0.42487662649047964</v>
      </c>
      <c r="M143" s="16">
        <f>IF((1.75-(($A143+5)/($A143+10))*(INDEX('Stat Boosts'!$D$2:$D$192,M$1-9)-10)/((INDEX('Stat Boosts'!$D$2:$D$192,(I143/2+22)-9)-10)))&lt;0.5,POWER(1.1,1.75-(($A143+5)/($A143+10))*(INDEX('Stat Boosts'!$D$2:$D$192,M$1-9)-10)/((INDEX('Stat Boosts'!$D$2:$D$192,(I143/2+22)-9)-10))-0.5)*0.5,(1.75-(($A143+5)/($A143+10))*(INDEX('Stat Boosts'!$D$2:$D$192,M$1-9)-10)/((INDEX('Stat Boosts'!$D$2:$D$192,(I143/2+22)-9)-10))))</f>
        <v>0.40905287813280145</v>
      </c>
      <c r="N143" s="16">
        <f>IF((1.75-(($A143+5)/($A143+10))*(INDEX('Stat Boosts'!$D$2:$D$192,N$1-9)-10)/((INDEX('Stat Boosts'!$D$2:$D$192,(J143/2+22)-9)-10)))&lt;0.5,POWER(1.1,1.75-(($A143+5)/($A143+10))*(INDEX('Stat Boosts'!$D$2:$D$192,N$1-9)-10)/((INDEX('Stat Boosts'!$D$2:$D$192,(J143/2+22)-9)-10))-0.5)*0.5,(1.75-(($A143+5)/($A143+10))*(INDEX('Stat Boosts'!$D$2:$D$192,N$1-9)-10)/((INDEX('Stat Boosts'!$D$2:$D$192,(J143/2+22)-9)-10))))</f>
        <v>0.389570915623912</v>
      </c>
      <c r="O143" s="16">
        <f>IF((1.75-(($A143+5)/($A143+10))*(INDEX('Stat Boosts'!$D$2:$D$192,O$1-9)-10)/((INDEX('Stat Boosts'!$D$2:$D$192,(K143/2+22)-9)-10)))&lt;0.5,POWER(1.1,1.75-(($A143+5)/($A143+10))*(INDEX('Stat Boosts'!$D$2:$D$192,O$1-9)-10)/((INDEX('Stat Boosts'!$D$2:$D$192,(K143/2+22)-9)-10))-0.5)*0.5,(1.75-(($A143+5)/($A143+10))*(INDEX('Stat Boosts'!$D$2:$D$192,O$1-9)-10)/((INDEX('Stat Boosts'!$D$2:$D$192,(K143/2+22)-9)-10))))</f>
        <v>0.37915141223528287</v>
      </c>
      <c r="P143" s="16">
        <f>IF((1.75-(($A143+5)/($A143+10))*(INDEX('Stat Boosts'!$D$2:$D$192,P$1-9)-10)/((INDEX('Stat Boosts'!$D$2:$D$192,(L143/2+22)-9)-10)))&lt;0.5,POWER(1.1,1.75-(($A143+5)/($A143+10))*(INDEX('Stat Boosts'!$D$2:$D$192,P$1-9)-10)/((INDEX('Stat Boosts'!$D$2:$D$192,(L143/2+22)-9)-10))-0.5)*0.5,(1.75-(($A143+5)/($A143+10))*(INDEX('Stat Boosts'!$D$2:$D$192,P$1-9)-10)/((INDEX('Stat Boosts'!$D$2:$D$192,(L143/2+22)-9)-10))))</f>
        <v>0.36305675443186308</v>
      </c>
      <c r="Q143" s="16">
        <f>IF((1.75-(($A143+5)/($A143+10))*(INDEX('Stat Boosts'!$D$2:$D$192,Q$1-9)-10)/((INDEX('Stat Boosts'!$D$2:$D$192,(M143/2+22)-9)-10)))&lt;0.5,POWER(1.1,1.75-(($A143+5)/($A143+10))*(INDEX('Stat Boosts'!$D$2:$D$192,Q$1-9)-10)/((INDEX('Stat Boosts'!$D$2:$D$192,(M143/2+22)-9)-10))-0.5)*0.5,(1.75-(($A143+5)/($A143+10))*(INDEX('Stat Boosts'!$D$2:$D$192,Q$1-9)-10)/((INDEX('Stat Boosts'!$D$2:$D$192,(M143/2+22)-9)-10))))</f>
        <v>0.34764530128349663</v>
      </c>
      <c r="R143" s="16">
        <f>IF((1.75-(($A143+5)/($A143+10))*1.25*(INDEX('Stat Boosts'!$D$2:$D$192,R$1-9)-10)/((INDEX('Stat Boosts'!$D$2:$D$192,(N143/2+22)-9)-10)))&lt;0.5,POWER(1.1,1.75-(($A143+5)/($A143+10))*1.25*(INDEX('Stat Boosts'!$D$2:$D$192,R$1-9)-10)/((INDEX('Stat Boosts'!$D$2:$D$192,(N143/2+22)-9)-10))-0.5)*0.5,(1.75-(($A143+5)/($A143+10))*1.25*(INDEX('Stat Boosts'!$D$2:$D$192,R$1-9)-10)/((INDEX('Stat Boosts'!$D$2:$D$192,(N143/2+22)-9)-10))))</f>
        <v>0.29187375365553575</v>
      </c>
    </row>
    <row r="144" spans="1:18">
      <c r="A144" s="9">
        <v>143</v>
      </c>
      <c r="B144" s="16">
        <f t="shared" si="4"/>
        <v>79.2</v>
      </c>
      <c r="C144" s="16">
        <f t="shared" si="5"/>
        <v>5.7803468208092483E-3</v>
      </c>
      <c r="E144" s="16">
        <f>IF((1.75-(($A144+5)/($A144+10))*(INDEX('Stat Boosts'!$D$2:$D$192,E$1-9)-10)/((INDEX('Stat Boosts'!$D$2:$D$192,(A144/2+22)-9)-10)))&lt;0.5,POWER(1.1,1.75-(($A144+5)/($A144+10))*(INDEX('Stat Boosts'!$D$2:$D$192,E$1-9)-10)/((INDEX('Stat Boosts'!$D$2:$D$192,(A144/2+22)-9)-10))-0.5)*0.5,(1.75-(($A144+5)/($A144+10))*(INDEX('Stat Boosts'!$D$2:$D$192,E$1-9)-10)/((INDEX('Stat Boosts'!$D$2:$D$192,(A144/2+22)-9)-10))))</f>
        <v>1.75</v>
      </c>
      <c r="F144" s="16">
        <f>IF((1.75-(($A144+5)/($A144+10))*(INDEX('Stat Boosts'!$D$2:$D$192,F$1-9)-10)/((INDEX('Stat Boosts'!$D$2:$D$192,(B144/2+22)-9)-10)))&lt;0.5,POWER(1.1,1.75-(($A144+5)/($A144+10))*(INDEX('Stat Boosts'!$D$2:$D$192,F$1-9)-10)/((INDEX('Stat Boosts'!$D$2:$D$192,(B144/2+22)-9)-10))-0.5)*0.5,(1.75-(($A144+5)/($A144+10))*(INDEX('Stat Boosts'!$D$2:$D$192,F$1-9)-10)/((INDEX('Stat Boosts'!$D$2:$D$192,(B144/2+22)-9)-10))))</f>
        <v>1.6518660604338353</v>
      </c>
      <c r="G144" s="16">
        <f>IF((1.75-(($A144+5)/($A144+10))*(INDEX('Stat Boosts'!$D$2:$D$192,G$1-9)-10)/((INDEX('Stat Boosts'!$D$2:$D$192,(C144/2+22)-9)-10)))&lt;0.5,POWER(1.1,1.75-(($A144+5)/($A144+10))*(INDEX('Stat Boosts'!$D$2:$D$192,G$1-9)-10)/((INDEX('Stat Boosts'!$D$2:$D$192,(C144/2+22)-9)-10))-0.5)*0.5,(1.75-(($A144+5)/($A144+10))*(INDEX('Stat Boosts'!$D$2:$D$192,G$1-9)-10)/((INDEX('Stat Boosts'!$D$2:$D$192,(C144/2+22)-9)-10))))</f>
        <v>0.95338331410995769</v>
      </c>
      <c r="H144" s="16">
        <f>IF((1.75-(($A144+5)/($A144+10))*(INDEX('Stat Boosts'!$D$2:$D$192,H$1-9)-10)/((INDEX('Stat Boosts'!$D$2:$D$192,(D144/2+22)-9)-10)))&lt;0.5,POWER(1.1,1.75-(($A144+5)/($A144+10))*(INDEX('Stat Boosts'!$D$2:$D$192,H$1-9)-10)/((INDEX('Stat Boosts'!$D$2:$D$192,(D144/2+22)-9)-10))-0.5)*0.5,(1.75-(($A144+5)/($A144+10))*(INDEX('Stat Boosts'!$D$2:$D$192,H$1-9)-10)/((INDEX('Stat Boosts'!$D$2:$D$192,(D144/2+22)-9)-10))))</f>
        <v>0.55507497116493654</v>
      </c>
      <c r="I144" s="16">
        <f>IF((1.75-(($A144+5)/($A144+10))*(INDEX('Stat Boosts'!$D$2:$D$192,I$1-9)-10)/((INDEX('Stat Boosts'!$D$2:$D$192,(E144/2+22)-9)-10)))&lt;0.5,POWER(1.1,1.75-(($A144+5)/($A144+10))*(INDEX('Stat Boosts'!$D$2:$D$192,I$1-9)-10)/((INDEX('Stat Boosts'!$D$2:$D$192,(E144/2+22)-9)-10))-0.5)*0.5,(1.75-(($A144+5)/($A144+10))*(INDEX('Stat Boosts'!$D$2:$D$192,I$1-9)-10)/((INDEX('Stat Boosts'!$D$2:$D$192,(E144/2+22)-9)-10))))</f>
        <v>0.48653932306992592</v>
      </c>
      <c r="J144" s="16">
        <f>IF((1.75-(($A144+5)/($A144+10))*(INDEX('Stat Boosts'!$D$2:$D$192,J$1-9)-10)/((INDEX('Stat Boosts'!$D$2:$D$192,(F144/2+22)-9)-10)))&lt;0.5,POWER(1.1,1.75-(($A144+5)/($A144+10))*(INDEX('Stat Boosts'!$D$2:$D$192,J$1-9)-10)/((INDEX('Stat Boosts'!$D$2:$D$192,(F144/2+22)-9)-10))-0.5)*0.5,(1.75-(($A144+5)/($A144+10))*(INDEX('Stat Boosts'!$D$2:$D$192,J$1-9)-10)/((INDEX('Stat Boosts'!$D$2:$D$192,(F144/2+22)-9)-10))))</f>
        <v>0.4709623478317827</v>
      </c>
      <c r="K144" s="16">
        <f>IF((1.75-(($A144+5)/($A144+10))*(INDEX('Stat Boosts'!$D$2:$D$192,K$1-9)-10)/((INDEX('Stat Boosts'!$D$2:$D$192,(G144/2+22)-9)-10)))&lt;0.5,POWER(1.1,1.75-(($A144+5)/($A144+10))*(INDEX('Stat Boosts'!$D$2:$D$192,K$1-9)-10)/((INDEX('Stat Boosts'!$D$2:$D$192,(G144/2+22)-9)-10))-0.5)*0.5,(1.75-(($A144+5)/($A144+10))*(INDEX('Stat Boosts'!$D$2:$D$192,K$1-9)-10)/((INDEX('Stat Boosts'!$D$2:$D$192,(G144/2+22)-9)-10))))</f>
        <v>0.43652797839243346</v>
      </c>
      <c r="L144" s="16">
        <f>IF((1.75-(($A144+5)/($A144+10))*(INDEX('Stat Boosts'!$D$2:$D$192,L$1-9)-10)/((INDEX('Stat Boosts'!$D$2:$D$192,(H144/2+22)-9)-10)))&lt;0.5,POWER(1.1,1.75-(($A144+5)/($A144+10))*(INDEX('Stat Boosts'!$D$2:$D$192,L$1-9)-10)/((INDEX('Stat Boosts'!$D$2:$D$192,(H144/2+22)-9)-10))-0.5)*0.5,(1.75-(($A144+5)/($A144+10))*(INDEX('Stat Boosts'!$D$2:$D$192,L$1-9)-10)/((INDEX('Stat Boosts'!$D$2:$D$192,(H144/2+22)-9)-10))))</f>
        <v>0.42484999607598789</v>
      </c>
      <c r="M144" s="16">
        <f>IF((1.75-(($A144+5)/($A144+10))*(INDEX('Stat Boosts'!$D$2:$D$192,M$1-9)-10)/((INDEX('Stat Boosts'!$D$2:$D$192,(I144/2+22)-9)-10)))&lt;0.5,POWER(1.1,1.75-(($A144+5)/($A144+10))*(INDEX('Stat Boosts'!$D$2:$D$192,M$1-9)-10)/((INDEX('Stat Boosts'!$D$2:$D$192,(I144/2+22)-9)-10))-0.5)*0.5,(1.75-(($A144+5)/($A144+10))*(INDEX('Stat Boosts'!$D$2:$D$192,M$1-9)-10)/((INDEX('Stat Boosts'!$D$2:$D$192,(I144/2+22)-9)-10))))</f>
        <v>0.40902378828998975</v>
      </c>
      <c r="N144" s="16">
        <f>IF((1.75-(($A144+5)/($A144+10))*(INDEX('Stat Boosts'!$D$2:$D$192,N$1-9)-10)/((INDEX('Stat Boosts'!$D$2:$D$192,(J144/2+22)-9)-10)))&lt;0.5,POWER(1.1,1.75-(($A144+5)/($A144+10))*(INDEX('Stat Boosts'!$D$2:$D$192,N$1-9)-10)/((INDEX('Stat Boosts'!$D$2:$D$192,(J144/2+22)-9)-10))-0.5)*0.5,(1.75-(($A144+5)/($A144+10))*(INDEX('Stat Boosts'!$D$2:$D$192,N$1-9)-10)/((INDEX('Stat Boosts'!$D$2:$D$192,(J144/2+22)-9)-10))))</f>
        <v>0.38953898532433118</v>
      </c>
      <c r="O144" s="16">
        <f>IF((1.75-(($A144+5)/($A144+10))*(INDEX('Stat Boosts'!$D$2:$D$192,O$1-9)-10)/((INDEX('Stat Boosts'!$D$2:$D$192,(K144/2+22)-9)-10)))&lt;0.5,POWER(1.1,1.75-(($A144+5)/($A144+10))*(INDEX('Stat Boosts'!$D$2:$D$192,O$1-9)-10)/((INDEX('Stat Boosts'!$D$2:$D$192,(K144/2+22)-9)-10))-0.5)*0.5,(1.75-(($A144+5)/($A144+10))*(INDEX('Stat Boosts'!$D$2:$D$192,O$1-9)-10)/((INDEX('Stat Boosts'!$D$2:$D$192,(K144/2+22)-9)-10))))</f>
        <v>0.37911805102606239</v>
      </c>
      <c r="P144" s="16">
        <f>IF((1.75-(($A144+5)/($A144+10))*(INDEX('Stat Boosts'!$D$2:$D$192,P$1-9)-10)/((INDEX('Stat Boosts'!$D$2:$D$192,(L144/2+22)-9)-10)))&lt;0.5,POWER(1.1,1.75-(($A144+5)/($A144+10))*(INDEX('Stat Boosts'!$D$2:$D$192,P$1-9)-10)/((INDEX('Stat Boosts'!$D$2:$D$192,(L144/2+22)-9)-10))-0.5)*0.5,(1.75-(($A144+5)/($A144+10))*(INDEX('Stat Boosts'!$D$2:$D$192,P$1-9)-10)/((INDEX('Stat Boosts'!$D$2:$D$192,(L144/2+22)-9)-10))))</f>
        <v>0.36302130872091193</v>
      </c>
      <c r="Q144" s="16">
        <f>IF((1.75-(($A144+5)/($A144+10))*(INDEX('Stat Boosts'!$D$2:$D$192,Q$1-9)-10)/((INDEX('Stat Boosts'!$D$2:$D$192,(M144/2+22)-9)-10)))&lt;0.5,POWER(1.1,1.75-(($A144+5)/($A144+10))*(INDEX('Stat Boosts'!$D$2:$D$192,Q$1-9)-10)/((INDEX('Stat Boosts'!$D$2:$D$192,(M144/2+22)-9)-10))-0.5)*0.5,(1.75-(($A144+5)/($A144+10))*(INDEX('Stat Boosts'!$D$2:$D$192,Q$1-9)-10)/((INDEX('Stat Boosts'!$D$2:$D$192,(M144/2+22)-9)-10))))</f>
        <v>0.34760800818841558</v>
      </c>
      <c r="R144" s="16">
        <f>IF((1.75-(($A144+5)/($A144+10))*1.25*(INDEX('Stat Boosts'!$D$2:$D$192,R$1-9)-10)/((INDEX('Stat Boosts'!$D$2:$D$192,(N144/2+22)-9)-10)))&lt;0.5,POWER(1.1,1.75-(($A144+5)/($A144+10))*1.25*(INDEX('Stat Boosts'!$D$2:$D$192,R$1-9)-10)/((INDEX('Stat Boosts'!$D$2:$D$192,(N144/2+22)-9)-10))-0.5)*0.5,(1.75-(($A144+5)/($A144+10))*1.25*(INDEX('Stat Boosts'!$D$2:$D$192,R$1-9)-10)/((INDEX('Stat Boosts'!$D$2:$D$192,(N144/2+22)-9)-10))))</f>
        <v>0.2918310986102427</v>
      </c>
    </row>
    <row r="145" spans="1:18">
      <c r="A145" s="9">
        <v>144</v>
      </c>
      <c r="B145" s="16">
        <f t="shared" si="4"/>
        <v>79.599999999999994</v>
      </c>
      <c r="C145" s="16">
        <f t="shared" si="5"/>
        <v>5.74712643678161E-3</v>
      </c>
      <c r="E145" s="16">
        <f>IF((1.75-(($A145+5)/($A145+10))*(INDEX('Stat Boosts'!$D$2:$D$192,E$1-9)-10)/((INDEX('Stat Boosts'!$D$2:$D$192,(A145/2+22)-9)-10)))&lt;0.5,POWER(1.1,1.75-(($A145+5)/($A145+10))*(INDEX('Stat Boosts'!$D$2:$D$192,E$1-9)-10)/((INDEX('Stat Boosts'!$D$2:$D$192,(A145/2+22)-9)-10))-0.5)*0.5,(1.75-(($A145+5)/($A145+10))*(INDEX('Stat Boosts'!$D$2:$D$192,E$1-9)-10)/((INDEX('Stat Boosts'!$D$2:$D$192,(A145/2+22)-9)-10))))</f>
        <v>1.75</v>
      </c>
      <c r="F145" s="16">
        <f>IF((1.75-(($A145+5)/($A145+10))*(INDEX('Stat Boosts'!$D$2:$D$192,F$1-9)-10)/((INDEX('Stat Boosts'!$D$2:$D$192,(B145/2+22)-9)-10)))&lt;0.5,POWER(1.1,1.75-(($A145+5)/($A145+10))*(INDEX('Stat Boosts'!$D$2:$D$192,F$1-9)-10)/((INDEX('Stat Boosts'!$D$2:$D$192,(B145/2+22)-9)-10))-0.5)*0.5,(1.75-(($A145+5)/($A145+10))*(INDEX('Stat Boosts'!$D$2:$D$192,F$1-9)-10)/((INDEX('Stat Boosts'!$D$2:$D$192,(B145/2+22)-9)-10))))</f>
        <v>1.6518445322793149</v>
      </c>
      <c r="G145" s="16">
        <f>IF((1.75-(($A145+5)/($A145+10))*(INDEX('Stat Boosts'!$D$2:$D$192,G$1-9)-10)/((INDEX('Stat Boosts'!$D$2:$D$192,(C145/2+22)-9)-10)))&lt;0.5,POWER(1.1,1.75-(($A145+5)/($A145+10))*(INDEX('Stat Boosts'!$D$2:$D$192,G$1-9)-10)/((INDEX('Stat Boosts'!$D$2:$D$192,(C145/2+22)-9)-10))-0.5)*0.5,(1.75-(($A145+5)/($A145+10))*(INDEX('Stat Boosts'!$D$2:$D$192,G$1-9)-10)/((INDEX('Stat Boosts'!$D$2:$D$192,(C145/2+22)-9)-10))))</f>
        <v>0.95320855614973254</v>
      </c>
      <c r="H145" s="16">
        <f>IF((1.75-(($A145+5)/($A145+10))*(INDEX('Stat Boosts'!$D$2:$D$192,H$1-9)-10)/((INDEX('Stat Boosts'!$D$2:$D$192,(D145/2+22)-9)-10)))&lt;0.5,POWER(1.1,1.75-(($A145+5)/($A145+10))*(INDEX('Stat Boosts'!$D$2:$D$192,H$1-9)-10)/((INDEX('Stat Boosts'!$D$2:$D$192,(D145/2+22)-9)-10))-0.5)*0.5,(1.75-(($A145+5)/($A145+10))*(INDEX('Stat Boosts'!$D$2:$D$192,H$1-9)-10)/((INDEX('Stat Boosts'!$D$2:$D$192,(D145/2+22)-9)-10))))</f>
        <v>0.55481283422459882</v>
      </c>
      <c r="I145" s="16">
        <f>IF((1.75-(($A145+5)/($A145+10))*(INDEX('Stat Boosts'!$D$2:$D$192,I$1-9)-10)/((INDEX('Stat Boosts'!$D$2:$D$192,(E145/2+22)-9)-10)))&lt;0.5,POWER(1.1,1.75-(($A145+5)/($A145+10))*(INDEX('Stat Boosts'!$D$2:$D$192,I$1-9)-10)/((INDEX('Stat Boosts'!$D$2:$D$192,(E145/2+22)-9)-10))-0.5)*0.5,(1.75-(($A145+5)/($A145+10))*(INDEX('Stat Boosts'!$D$2:$D$192,I$1-9)-10)/((INDEX('Stat Boosts'!$D$2:$D$192,(E145/2+22)-9)-10))))</f>
        <v>0.48652369436629989</v>
      </c>
      <c r="J145" s="16">
        <f>IF((1.75-(($A145+5)/($A145+10))*(INDEX('Stat Boosts'!$D$2:$D$192,J$1-9)-10)/((INDEX('Stat Boosts'!$D$2:$D$192,(F145/2+22)-9)-10)))&lt;0.5,POWER(1.1,1.75-(($A145+5)/($A145+10))*(INDEX('Stat Boosts'!$D$2:$D$192,J$1-9)-10)/((INDEX('Stat Boosts'!$D$2:$D$192,(F145/2+22)-9)-10))-0.5)*0.5,(1.75-(($A145+5)/($A145+10))*(INDEX('Stat Boosts'!$D$2:$D$192,J$1-9)-10)/((INDEX('Stat Boosts'!$D$2:$D$192,(F145/2+22)-9)-10))))</f>
        <v>0.4709438577078337</v>
      </c>
      <c r="K145" s="16">
        <f>IF((1.75-(($A145+5)/($A145+10))*(INDEX('Stat Boosts'!$D$2:$D$192,K$1-9)-10)/((INDEX('Stat Boosts'!$D$2:$D$192,(G145/2+22)-9)-10)))&lt;0.5,POWER(1.1,1.75-(($A145+5)/($A145+10))*(INDEX('Stat Boosts'!$D$2:$D$192,K$1-9)-10)/((INDEX('Stat Boosts'!$D$2:$D$192,(G145/2+22)-9)-10))-0.5)*0.5,(1.75-(($A145+5)/($A145+10))*(INDEX('Stat Boosts'!$D$2:$D$192,K$1-9)-10)/((INDEX('Stat Boosts'!$D$2:$D$192,(G145/2+22)-9)-10))))</f>
        <v>0.4365035696154127</v>
      </c>
      <c r="L145" s="16">
        <f>IF((1.75-(($A145+5)/($A145+10))*(INDEX('Stat Boosts'!$D$2:$D$192,L$1-9)-10)/((INDEX('Stat Boosts'!$D$2:$D$192,(H145/2+22)-9)-10)))&lt;0.5,POWER(1.1,1.75-(($A145+5)/($A145+10))*(INDEX('Stat Boosts'!$D$2:$D$192,L$1-9)-10)/((INDEX('Stat Boosts'!$D$2:$D$192,(H145/2+22)-9)-10))-0.5)*0.5,(1.75-(($A145+5)/($A145+10))*(INDEX('Stat Boosts'!$D$2:$D$192,L$1-9)-10)/((INDEX('Stat Boosts'!$D$2:$D$192,(H145/2+22)-9)-10))))</f>
        <v>0.42482371314780148</v>
      </c>
      <c r="M145" s="16">
        <f>IF((1.75-(($A145+5)/($A145+10))*(INDEX('Stat Boosts'!$D$2:$D$192,M$1-9)-10)/((INDEX('Stat Boosts'!$D$2:$D$192,(I145/2+22)-9)-10)))&lt;0.5,POWER(1.1,1.75-(($A145+5)/($A145+10))*(INDEX('Stat Boosts'!$D$2:$D$192,M$1-9)-10)/((INDEX('Stat Boosts'!$D$2:$D$192,(I145/2+22)-9)-10))-0.5)*0.5,(1.75-(($A145+5)/($A145+10))*(INDEX('Stat Boosts'!$D$2:$D$192,M$1-9)-10)/((INDEX('Stat Boosts'!$D$2:$D$192,(I145/2+22)-9)-10))))</f>
        <v>0.40899507826594711</v>
      </c>
      <c r="N145" s="16">
        <f>IF((1.75-(($A145+5)/($A145+10))*(INDEX('Stat Boosts'!$D$2:$D$192,N$1-9)-10)/((INDEX('Stat Boosts'!$D$2:$D$192,(J145/2+22)-9)-10)))&lt;0.5,POWER(1.1,1.75-(($A145+5)/($A145+10))*(INDEX('Stat Boosts'!$D$2:$D$192,N$1-9)-10)/((INDEX('Stat Boosts'!$D$2:$D$192,(J145/2+22)-9)-10))-0.5)*0.5,(1.75-(($A145+5)/($A145+10))*(INDEX('Stat Boosts'!$D$2:$D$192,N$1-9)-10)/((INDEX('Stat Boosts'!$D$2:$D$192,(J145/2+22)-9)-10))))</f>
        <v>0.38950747227029986</v>
      </c>
      <c r="O145" s="16">
        <f>IF((1.75-(($A145+5)/($A145+10))*(INDEX('Stat Boosts'!$D$2:$D$192,O$1-9)-10)/((INDEX('Stat Boosts'!$D$2:$D$192,(K145/2+22)-9)-10)))&lt;0.5,POWER(1.1,1.75-(($A145+5)/($A145+10))*(INDEX('Stat Boosts'!$D$2:$D$192,O$1-9)-10)/((INDEX('Stat Boosts'!$D$2:$D$192,(K145/2+22)-9)-10))-0.5)*0.5,(1.75-(($A145+5)/($A145+10))*(INDEX('Stat Boosts'!$D$2:$D$192,O$1-9)-10)/((INDEX('Stat Boosts'!$D$2:$D$192,(K145/2+22)-9)-10))))</f>
        <v>0.37908512595778865</v>
      </c>
      <c r="P145" s="16">
        <f>IF((1.75-(($A145+5)/($A145+10))*(INDEX('Stat Boosts'!$D$2:$D$192,P$1-9)-10)/((INDEX('Stat Boosts'!$D$2:$D$192,(L145/2+22)-9)-10)))&lt;0.5,POWER(1.1,1.75-(($A145+5)/($A145+10))*(INDEX('Stat Boosts'!$D$2:$D$192,P$1-9)-10)/((INDEX('Stat Boosts'!$D$2:$D$192,(L145/2+22)-9)-10))-0.5)*0.5,(1.75-(($A145+5)/($A145+10))*(INDEX('Stat Boosts'!$D$2:$D$192,P$1-9)-10)/((INDEX('Stat Boosts'!$D$2:$D$192,(L145/2+22)-9)-10))))</f>
        <v>0.36298632673735964</v>
      </c>
      <c r="Q145" s="16">
        <f>IF((1.75-(($A145+5)/($A145+10))*(INDEX('Stat Boosts'!$D$2:$D$192,Q$1-9)-10)/((INDEX('Stat Boosts'!$D$2:$D$192,(M145/2+22)-9)-10)))&lt;0.5,POWER(1.1,1.75-(($A145+5)/($A145+10))*(INDEX('Stat Boosts'!$D$2:$D$192,Q$1-9)-10)/((INDEX('Stat Boosts'!$D$2:$D$192,(M145/2+22)-9)-10))-0.5)*0.5,(1.75-(($A145+5)/($A145+10))*(INDEX('Stat Boosts'!$D$2:$D$192,Q$1-9)-10)/((INDEX('Stat Boosts'!$D$2:$D$192,(M145/2+22)-9)-10))))</f>
        <v>0.34757120334220831</v>
      </c>
      <c r="R145" s="16">
        <f>IF((1.75-(($A145+5)/($A145+10))*1.25*(INDEX('Stat Boosts'!$D$2:$D$192,R$1-9)-10)/((INDEX('Stat Boosts'!$D$2:$D$192,(N145/2+22)-9)-10)))&lt;0.5,POWER(1.1,1.75-(($A145+5)/($A145+10))*1.25*(INDEX('Stat Boosts'!$D$2:$D$192,R$1-9)-10)/((INDEX('Stat Boosts'!$D$2:$D$192,(N145/2+22)-9)-10))-0.5)*0.5,(1.75-(($A145+5)/($A145+10))*1.25*(INDEX('Stat Boosts'!$D$2:$D$192,R$1-9)-10)/((INDEX('Stat Boosts'!$D$2:$D$192,(N145/2+22)-9)-10))))</f>
        <v>0.29178900363936894</v>
      </c>
    </row>
    <row r="146" spans="1:18">
      <c r="A146" s="9">
        <v>145</v>
      </c>
      <c r="B146" s="16">
        <f t="shared" si="4"/>
        <v>80</v>
      </c>
      <c r="C146" s="16">
        <f t="shared" si="5"/>
        <v>5.7142857142857143E-3</v>
      </c>
      <c r="E146" s="16">
        <f>IF((1.75-(($A146+5)/($A146+10))*(INDEX('Stat Boosts'!$D$2:$D$192,E$1-9)-10)/((INDEX('Stat Boosts'!$D$2:$D$192,(A146/2+22)-9)-10)))&lt;0.5,POWER(1.1,1.75-(($A146+5)/($A146+10))*(INDEX('Stat Boosts'!$D$2:$D$192,E$1-9)-10)/((INDEX('Stat Boosts'!$D$2:$D$192,(A146/2+22)-9)-10))-0.5)*0.5,(1.75-(($A146+5)/($A146+10))*(INDEX('Stat Boosts'!$D$2:$D$192,E$1-9)-10)/((INDEX('Stat Boosts'!$D$2:$D$192,(A146/2+22)-9)-10))))</f>
        <v>1.75</v>
      </c>
      <c r="F146" s="16">
        <f>IF((1.75-(($A146+5)/($A146+10))*(INDEX('Stat Boosts'!$D$2:$D$192,F$1-9)-10)/((INDEX('Stat Boosts'!$D$2:$D$192,(B146/2+22)-9)-10)))&lt;0.5,POWER(1.1,1.75-(($A146+5)/($A146+10))*(INDEX('Stat Boosts'!$D$2:$D$192,F$1-9)-10)/((INDEX('Stat Boosts'!$D$2:$D$192,(B146/2+22)-9)-10))-0.5)*0.5,(1.75-(($A146+5)/($A146+10))*(INDEX('Stat Boosts'!$D$2:$D$192,F$1-9)-10)/((INDEX('Stat Boosts'!$D$2:$D$192,(B146/2+22)-9)-10))))</f>
        <v>1.653225806451613</v>
      </c>
      <c r="G146" s="16">
        <f>IF((1.75-(($A146+5)/($A146+10))*(INDEX('Stat Boosts'!$D$2:$D$192,G$1-9)-10)/((INDEX('Stat Boosts'!$D$2:$D$192,(C146/2+22)-9)-10)))&lt;0.5,POWER(1.1,1.75-(($A146+5)/($A146+10))*(INDEX('Stat Boosts'!$D$2:$D$192,G$1-9)-10)/((INDEX('Stat Boosts'!$D$2:$D$192,(C146/2+22)-9)-10))-0.5)*0.5,(1.75-(($A146+5)/($A146+10))*(INDEX('Stat Boosts'!$D$2:$D$192,G$1-9)-10)/((INDEX('Stat Boosts'!$D$2:$D$192,(C146/2+22)-9)-10))))</f>
        <v>0.95303605313092976</v>
      </c>
      <c r="H146" s="16">
        <f>IF((1.75-(($A146+5)/($A146+10))*(INDEX('Stat Boosts'!$D$2:$D$192,H$1-9)-10)/((INDEX('Stat Boosts'!$D$2:$D$192,(D146/2+22)-9)-10)))&lt;0.5,POWER(1.1,1.75-(($A146+5)/($A146+10))*(INDEX('Stat Boosts'!$D$2:$D$192,H$1-9)-10)/((INDEX('Stat Boosts'!$D$2:$D$192,(D146/2+22)-9)-10))-0.5)*0.5,(1.75-(($A146+5)/($A146+10))*(INDEX('Stat Boosts'!$D$2:$D$192,H$1-9)-10)/((INDEX('Stat Boosts'!$D$2:$D$192,(D146/2+22)-9)-10))))</f>
        <v>0.55455407969639459</v>
      </c>
      <c r="I146" s="16">
        <f>IF((1.75-(($A146+5)/($A146+10))*(INDEX('Stat Boosts'!$D$2:$D$192,I$1-9)-10)/((INDEX('Stat Boosts'!$D$2:$D$192,(E146/2+22)-9)-10)))&lt;0.5,POWER(1.1,1.75-(($A146+5)/($A146+10))*(INDEX('Stat Boosts'!$D$2:$D$192,I$1-9)-10)/((INDEX('Stat Boosts'!$D$2:$D$192,(E146/2+22)-9)-10))-0.5)*0.5,(1.75-(($A146+5)/($A146+10))*(INDEX('Stat Boosts'!$D$2:$D$192,I$1-9)-10)/((INDEX('Stat Boosts'!$D$2:$D$192,(E146/2+22)-9)-10))))</f>
        <v>0.48650826781571876</v>
      </c>
      <c r="J146" s="16">
        <f>IF((1.75-(($A146+5)/($A146+10))*(INDEX('Stat Boosts'!$D$2:$D$192,J$1-9)-10)/((INDEX('Stat Boosts'!$D$2:$D$192,(F146/2+22)-9)-10)))&lt;0.5,POWER(1.1,1.75-(($A146+5)/($A146+10))*(INDEX('Stat Boosts'!$D$2:$D$192,J$1-9)-10)/((INDEX('Stat Boosts'!$D$2:$D$192,(F146/2+22)-9)-10))-0.5)*0.5,(1.75-(($A146+5)/($A146+10))*(INDEX('Stat Boosts'!$D$2:$D$192,J$1-9)-10)/((INDEX('Stat Boosts'!$D$2:$D$192,(F146/2+22)-9)-10))))</f>
        <v>0.47092560687806734</v>
      </c>
      <c r="K146" s="16">
        <f>IF((1.75-(($A146+5)/($A146+10))*(INDEX('Stat Boosts'!$D$2:$D$192,K$1-9)-10)/((INDEX('Stat Boosts'!$D$2:$D$192,(G146/2+22)-9)-10)))&lt;0.5,POWER(1.1,1.75-(($A146+5)/($A146+10))*(INDEX('Stat Boosts'!$D$2:$D$192,K$1-9)-10)/((INDEX('Stat Boosts'!$D$2:$D$192,(G146/2+22)-9)-10))-0.5)*0.5,(1.75-(($A146+5)/($A146+10))*(INDEX('Stat Boosts'!$D$2:$D$192,K$1-9)-10)/((INDEX('Stat Boosts'!$D$2:$D$192,(G146/2+22)-9)-10))))</f>
        <v>0.43647947712888563</v>
      </c>
      <c r="L146" s="16">
        <f>IF((1.75-(($A146+5)/($A146+10))*(INDEX('Stat Boosts'!$D$2:$D$192,L$1-9)-10)/((INDEX('Stat Boosts'!$D$2:$D$192,(H146/2+22)-9)-10)))&lt;0.5,POWER(1.1,1.75-(($A146+5)/($A146+10))*(INDEX('Stat Boosts'!$D$2:$D$192,L$1-9)-10)/((INDEX('Stat Boosts'!$D$2:$D$192,(H146/2+22)-9)-10))-0.5)*0.5,(1.75-(($A146+5)/($A146+10))*(INDEX('Stat Boosts'!$D$2:$D$192,L$1-9)-10)/((INDEX('Stat Boosts'!$D$2:$D$192,(H146/2+22)-9)-10))))</f>
        <v>0.42479777094880533</v>
      </c>
      <c r="M146" s="16">
        <f>IF((1.75-(($A146+5)/($A146+10))*(INDEX('Stat Boosts'!$D$2:$D$192,M$1-9)-10)/((INDEX('Stat Boosts'!$D$2:$D$192,(I146/2+22)-9)-10)))&lt;0.5,POWER(1.1,1.75-(($A146+5)/($A146+10))*(INDEX('Stat Boosts'!$D$2:$D$192,M$1-9)-10)/((INDEX('Stat Boosts'!$D$2:$D$192,(I146/2+22)-9)-10))-0.5)*0.5,(1.75-(($A146+5)/($A146+10))*(INDEX('Stat Boosts'!$D$2:$D$192,M$1-9)-10)/((INDEX('Stat Boosts'!$D$2:$D$192,(I146/2+22)-9)-10))))</f>
        <v>0.40896674067019395</v>
      </c>
      <c r="N146" s="16">
        <f>IF((1.75-(($A146+5)/($A146+10))*(INDEX('Stat Boosts'!$D$2:$D$192,N$1-9)-10)/((INDEX('Stat Boosts'!$D$2:$D$192,(J146/2+22)-9)-10)))&lt;0.5,POWER(1.1,1.75-(($A146+5)/($A146+10))*(INDEX('Stat Boosts'!$D$2:$D$192,N$1-9)-10)/((INDEX('Stat Boosts'!$D$2:$D$192,(J146/2+22)-9)-10))-0.5)*0.5,(1.75-(($A146+5)/($A146+10))*(INDEX('Stat Boosts'!$D$2:$D$192,N$1-9)-10)/((INDEX('Stat Boosts'!$D$2:$D$192,(J146/2+22)-9)-10))))</f>
        <v>0.3894763683365447</v>
      </c>
      <c r="O146" s="16">
        <f>IF((1.75-(($A146+5)/($A146+10))*(INDEX('Stat Boosts'!$D$2:$D$192,O$1-9)-10)/((INDEX('Stat Boosts'!$D$2:$D$192,(K146/2+22)-9)-10)))&lt;0.5,POWER(1.1,1.75-(($A146+5)/($A146+10))*(INDEX('Stat Boosts'!$D$2:$D$192,O$1-9)-10)/((INDEX('Stat Boosts'!$D$2:$D$192,(K146/2+22)-9)-10))-0.5)*0.5,(1.75-(($A146+5)/($A146+10))*(INDEX('Stat Boosts'!$D$2:$D$192,O$1-9)-10)/((INDEX('Stat Boosts'!$D$2:$D$192,(K146/2+22)-9)-10))))</f>
        <v>0.37905262853342725</v>
      </c>
      <c r="P146" s="16">
        <f>IF((1.75-(($A146+5)/($A146+10))*(INDEX('Stat Boosts'!$D$2:$D$192,P$1-9)-10)/((INDEX('Stat Boosts'!$D$2:$D$192,(L146/2+22)-9)-10)))&lt;0.5,POWER(1.1,1.75-(($A146+5)/($A146+10))*(INDEX('Stat Boosts'!$D$2:$D$192,P$1-9)-10)/((INDEX('Stat Boosts'!$D$2:$D$192,(L146/2+22)-9)-10))-0.5)*0.5,(1.75-(($A146+5)/($A146+10))*(INDEX('Stat Boosts'!$D$2:$D$192,P$1-9)-10)/((INDEX('Stat Boosts'!$D$2:$D$192,(L146/2+22)-9)-10))))</f>
        <v>0.36295179944026179</v>
      </c>
      <c r="Q146" s="16">
        <f>IF((1.75-(($A146+5)/($A146+10))*(INDEX('Stat Boosts'!$D$2:$D$192,Q$1-9)-10)/((INDEX('Stat Boosts'!$D$2:$D$192,(M146/2+22)-9)-10)))&lt;0.5,POWER(1.1,1.75-(($A146+5)/($A146+10))*(INDEX('Stat Boosts'!$D$2:$D$192,Q$1-9)-10)/((INDEX('Stat Boosts'!$D$2:$D$192,(M146/2+22)-9)-10))-0.5)*0.5,(1.75-(($A146+5)/($A146+10))*(INDEX('Stat Boosts'!$D$2:$D$192,Q$1-9)-10)/((INDEX('Stat Boosts'!$D$2:$D$192,(M146/2+22)-9)-10))))</f>
        <v>0.34753487721905324</v>
      </c>
      <c r="R146" s="16">
        <f>IF((1.75-(($A146+5)/($A146+10))*1.25*(INDEX('Stat Boosts'!$D$2:$D$192,R$1-9)-10)/((INDEX('Stat Boosts'!$D$2:$D$192,(N146/2+22)-9)-10)))&lt;0.5,POWER(1.1,1.75-(($A146+5)/($A146+10))*1.25*(INDEX('Stat Boosts'!$D$2:$D$192,R$1-9)-10)/((INDEX('Stat Boosts'!$D$2:$D$192,(N146/2+22)-9)-10))-0.5)*0.5,(1.75-(($A146+5)/($A146+10))*1.25*(INDEX('Stat Boosts'!$D$2:$D$192,R$1-9)-10)/((INDEX('Stat Boosts'!$D$2:$D$192,(N146/2+22)-9)-10))))</f>
        <v>0.2917474577843564</v>
      </c>
    </row>
    <row r="147" spans="1:18">
      <c r="A147" s="9">
        <v>146</v>
      </c>
      <c r="B147" s="16">
        <f t="shared" si="4"/>
        <v>80.400000000000006</v>
      </c>
      <c r="C147" s="16">
        <f t="shared" si="5"/>
        <v>5.681818181818182E-3</v>
      </c>
      <c r="E147" s="16">
        <f>IF((1.75-(($A147+5)/($A147+10))*(INDEX('Stat Boosts'!$D$2:$D$192,E$1-9)-10)/((INDEX('Stat Boosts'!$D$2:$D$192,(A147/2+22)-9)-10)))&lt;0.5,POWER(1.1,1.75-(($A147+5)/($A147+10))*(INDEX('Stat Boosts'!$D$2:$D$192,E$1-9)-10)/((INDEX('Stat Boosts'!$D$2:$D$192,(A147/2+22)-9)-10))-0.5)*0.5,(1.75-(($A147+5)/($A147+10))*(INDEX('Stat Boosts'!$D$2:$D$192,E$1-9)-10)/((INDEX('Stat Boosts'!$D$2:$D$192,(A147/2+22)-9)-10))))</f>
        <v>1.75</v>
      </c>
      <c r="F147" s="16">
        <f>IF((1.75-(($A147+5)/($A147+10))*(INDEX('Stat Boosts'!$D$2:$D$192,F$1-9)-10)/((INDEX('Stat Boosts'!$D$2:$D$192,(B147/2+22)-9)-10)))&lt;0.5,POWER(1.1,1.75-(($A147+5)/($A147+10))*(INDEX('Stat Boosts'!$D$2:$D$192,F$1-9)-10)/((INDEX('Stat Boosts'!$D$2:$D$192,(B147/2+22)-9)-10))-0.5)*0.5,(1.75-(($A147+5)/($A147+10))*(INDEX('Stat Boosts'!$D$2:$D$192,F$1-9)-10)/((INDEX('Stat Boosts'!$D$2:$D$192,(B147/2+22)-9)-10))))</f>
        <v>1.6532051282051281</v>
      </c>
      <c r="G147" s="16">
        <f>IF((1.75-(($A147+5)/($A147+10))*(INDEX('Stat Boosts'!$D$2:$D$192,G$1-9)-10)/((INDEX('Stat Boosts'!$D$2:$D$192,(C147/2+22)-9)-10)))&lt;0.5,POWER(1.1,1.75-(($A147+5)/($A147+10))*(INDEX('Stat Boosts'!$D$2:$D$192,G$1-9)-10)/((INDEX('Stat Boosts'!$D$2:$D$192,(C147/2+22)-9)-10))-0.5)*0.5,(1.75-(($A147+5)/($A147+10))*(INDEX('Stat Boosts'!$D$2:$D$192,G$1-9)-10)/((INDEX('Stat Boosts'!$D$2:$D$192,(C147/2+22)-9)-10))))</f>
        <v>0.95286576168929116</v>
      </c>
      <c r="H147" s="16">
        <f>IF((1.75-(($A147+5)/($A147+10))*(INDEX('Stat Boosts'!$D$2:$D$192,H$1-9)-10)/((INDEX('Stat Boosts'!$D$2:$D$192,(D147/2+22)-9)-10)))&lt;0.5,POWER(1.1,1.75-(($A147+5)/($A147+10))*(INDEX('Stat Boosts'!$D$2:$D$192,H$1-9)-10)/((INDEX('Stat Boosts'!$D$2:$D$192,(D147/2+22)-9)-10))-0.5)*0.5,(1.75-(($A147+5)/($A147+10))*(INDEX('Stat Boosts'!$D$2:$D$192,H$1-9)-10)/((INDEX('Stat Boosts'!$D$2:$D$192,(D147/2+22)-9)-10))))</f>
        <v>0.55429864253393668</v>
      </c>
      <c r="I147" s="16">
        <f>IF((1.75-(($A147+5)/($A147+10))*(INDEX('Stat Boosts'!$D$2:$D$192,I$1-9)-10)/((INDEX('Stat Boosts'!$D$2:$D$192,(E147/2+22)-9)-10)))&lt;0.5,POWER(1.1,1.75-(($A147+5)/($A147+10))*(INDEX('Stat Boosts'!$D$2:$D$192,I$1-9)-10)/((INDEX('Stat Boosts'!$D$2:$D$192,(E147/2+22)-9)-10))-0.5)*0.5,(1.75-(($A147+5)/($A147+10))*(INDEX('Stat Boosts'!$D$2:$D$192,I$1-9)-10)/((INDEX('Stat Boosts'!$D$2:$D$192,(E147/2+22)-9)-10))))</f>
        <v>0.48649303952120154</v>
      </c>
      <c r="J147" s="16">
        <f>IF((1.75-(($A147+5)/($A147+10))*(INDEX('Stat Boosts'!$D$2:$D$192,J$1-9)-10)/((INDEX('Stat Boosts'!$D$2:$D$192,(F147/2+22)-9)-10)))&lt;0.5,POWER(1.1,1.75-(($A147+5)/($A147+10))*(INDEX('Stat Boosts'!$D$2:$D$192,J$1-9)-10)/((INDEX('Stat Boosts'!$D$2:$D$192,(F147/2+22)-9)-10))-0.5)*0.5,(1.75-(($A147+5)/($A147+10))*(INDEX('Stat Boosts'!$D$2:$D$192,J$1-9)-10)/((INDEX('Stat Boosts'!$D$2:$D$192,(F147/2+22)-9)-10))))</f>
        <v>0.47090759072704225</v>
      </c>
      <c r="K147" s="16">
        <f>IF((1.75-(($A147+5)/($A147+10))*(INDEX('Stat Boosts'!$D$2:$D$192,K$1-9)-10)/((INDEX('Stat Boosts'!$D$2:$D$192,(G147/2+22)-9)-10)))&lt;0.5,POWER(1.1,1.75-(($A147+5)/($A147+10))*(INDEX('Stat Boosts'!$D$2:$D$192,K$1-9)-10)/((INDEX('Stat Boosts'!$D$2:$D$192,(G147/2+22)-9)-10))-0.5)*0.5,(1.75-(($A147+5)/($A147+10))*(INDEX('Stat Boosts'!$D$2:$D$192,K$1-9)-10)/((INDEX('Stat Boosts'!$D$2:$D$192,(G147/2+22)-9)-10))))</f>
        <v>0.43645569482469487</v>
      </c>
      <c r="L147" s="16">
        <f>IF((1.75-(($A147+5)/($A147+10))*(INDEX('Stat Boosts'!$D$2:$D$192,L$1-9)-10)/((INDEX('Stat Boosts'!$D$2:$D$192,(H147/2+22)-9)-10)))&lt;0.5,POWER(1.1,1.75-(($A147+5)/($A147+10))*(INDEX('Stat Boosts'!$D$2:$D$192,L$1-9)-10)/((INDEX('Stat Boosts'!$D$2:$D$192,(H147/2+22)-9)-10))-0.5)*0.5,(1.75-(($A147+5)/($A147+10))*(INDEX('Stat Boosts'!$D$2:$D$192,L$1-9)-10)/((INDEX('Stat Boosts'!$D$2:$D$192,(H147/2+22)-9)-10))))</f>
        <v>0.42477216289595054</v>
      </c>
      <c r="M147" s="16">
        <f>IF((1.75-(($A147+5)/($A147+10))*(INDEX('Stat Boosts'!$D$2:$D$192,M$1-9)-10)/((INDEX('Stat Boosts'!$D$2:$D$192,(I147/2+22)-9)-10)))&lt;0.5,POWER(1.1,1.75-(($A147+5)/($A147+10))*(INDEX('Stat Boosts'!$D$2:$D$192,M$1-9)-10)/((INDEX('Stat Boosts'!$D$2:$D$192,(I147/2+22)-9)-10))-0.5)*0.5,(1.75-(($A147+5)/($A147+10))*(INDEX('Stat Boosts'!$D$2:$D$192,M$1-9)-10)/((INDEX('Stat Boosts'!$D$2:$D$192,(I147/2+22)-9)-10))))</f>
        <v>0.40893876830275078</v>
      </c>
      <c r="N147" s="16">
        <f>IF((1.75-(($A147+5)/($A147+10))*(INDEX('Stat Boosts'!$D$2:$D$192,N$1-9)-10)/((INDEX('Stat Boosts'!$D$2:$D$192,(J147/2+22)-9)-10)))&lt;0.5,POWER(1.1,1.75-(($A147+5)/($A147+10))*(INDEX('Stat Boosts'!$D$2:$D$192,N$1-9)-10)/((INDEX('Stat Boosts'!$D$2:$D$192,(J147/2+22)-9)-10))-0.5)*0.5,(1.75-(($A147+5)/($A147+10))*(INDEX('Stat Boosts'!$D$2:$D$192,N$1-9)-10)/((INDEX('Stat Boosts'!$D$2:$D$192,(J147/2+22)-9)-10))))</f>
        <v>0.38944566560740063</v>
      </c>
      <c r="O147" s="16">
        <f>IF((1.75-(($A147+5)/($A147+10))*(INDEX('Stat Boosts'!$D$2:$D$192,O$1-9)-10)/((INDEX('Stat Boosts'!$D$2:$D$192,(K147/2+22)-9)-10)))&lt;0.5,POWER(1.1,1.75-(($A147+5)/($A147+10))*(INDEX('Stat Boosts'!$D$2:$D$192,O$1-9)-10)/((INDEX('Stat Boosts'!$D$2:$D$192,(K147/2+22)-9)-10))-0.5)*0.5,(1.75-(($A147+5)/($A147+10))*(INDEX('Stat Boosts'!$D$2:$D$192,O$1-9)-10)/((INDEX('Stat Boosts'!$D$2:$D$192,(K147/2+22)-9)-10))))</f>
        <v>0.3790205504752388</v>
      </c>
      <c r="P147" s="16">
        <f>IF((1.75-(($A147+5)/($A147+10))*(INDEX('Stat Boosts'!$D$2:$D$192,P$1-9)-10)/((INDEX('Stat Boosts'!$D$2:$D$192,(L147/2+22)-9)-10)))&lt;0.5,POWER(1.1,1.75-(($A147+5)/($A147+10))*(INDEX('Stat Boosts'!$D$2:$D$192,P$1-9)-10)/((INDEX('Stat Boosts'!$D$2:$D$192,(L147/2+22)-9)-10))-0.5)*0.5,(1.75-(($A147+5)/($A147+10))*(INDEX('Stat Boosts'!$D$2:$D$192,P$1-9)-10)/((INDEX('Stat Boosts'!$D$2:$D$192,(L147/2+22)-9)-10))))</f>
        <v>0.36291771802217188</v>
      </c>
      <c r="Q147" s="16">
        <f>IF((1.75-(($A147+5)/($A147+10))*(INDEX('Stat Boosts'!$D$2:$D$192,Q$1-9)-10)/((INDEX('Stat Boosts'!$D$2:$D$192,(M147/2+22)-9)-10)))&lt;0.5,POWER(1.1,1.75-(($A147+5)/($A147+10))*(INDEX('Stat Boosts'!$D$2:$D$192,Q$1-9)-10)/((INDEX('Stat Boosts'!$D$2:$D$192,(M147/2+22)-9)-10))-0.5)*0.5,(1.75-(($A147+5)/($A147+10))*(INDEX('Stat Boosts'!$D$2:$D$192,Q$1-9)-10)/((INDEX('Stat Boosts'!$D$2:$D$192,(M147/2+22)-9)-10))))</f>
        <v>0.34749902053932347</v>
      </c>
      <c r="R147" s="16">
        <f>IF((1.75-(($A147+5)/($A147+10))*1.25*(INDEX('Stat Boosts'!$D$2:$D$192,R$1-9)-10)/((INDEX('Stat Boosts'!$D$2:$D$192,(N147/2+22)-9)-10)))&lt;0.5,POWER(1.1,1.75-(($A147+5)/($A147+10))*1.25*(INDEX('Stat Boosts'!$D$2:$D$192,R$1-9)-10)/((INDEX('Stat Boosts'!$D$2:$D$192,(N147/2+22)-9)-10))-0.5)*0.5,(1.75-(($A147+5)/($A147+10))*1.25*(INDEX('Stat Boosts'!$D$2:$D$192,R$1-9)-10)/((INDEX('Stat Boosts'!$D$2:$D$192,(N147/2+22)-9)-10))))</f>
        <v>0.29170645037067428</v>
      </c>
    </row>
    <row r="148" spans="1:18">
      <c r="A148" s="9">
        <v>147</v>
      </c>
      <c r="B148" s="16">
        <f t="shared" si="4"/>
        <v>80.8</v>
      </c>
      <c r="C148" s="16">
        <f t="shared" si="5"/>
        <v>5.6497175141242946E-3</v>
      </c>
      <c r="E148" s="16">
        <f>IF((1.75-(($A148+5)/($A148+10))*(INDEX('Stat Boosts'!$D$2:$D$192,E$1-9)-10)/((INDEX('Stat Boosts'!$D$2:$D$192,(A148/2+22)-9)-10)))&lt;0.5,POWER(1.1,1.75-(($A148+5)/($A148+10))*(INDEX('Stat Boosts'!$D$2:$D$192,E$1-9)-10)/((INDEX('Stat Boosts'!$D$2:$D$192,(A148/2+22)-9)-10))-0.5)*0.5,(1.75-(($A148+5)/($A148+10))*(INDEX('Stat Boosts'!$D$2:$D$192,E$1-9)-10)/((INDEX('Stat Boosts'!$D$2:$D$192,(A148/2+22)-9)-10))))</f>
        <v>1.75</v>
      </c>
      <c r="F148" s="16">
        <f>IF((1.75-(($A148+5)/($A148+10))*(INDEX('Stat Boosts'!$D$2:$D$192,F$1-9)-10)/((INDEX('Stat Boosts'!$D$2:$D$192,(B148/2+22)-9)-10)))&lt;0.5,POWER(1.1,1.75-(($A148+5)/($A148+10))*(INDEX('Stat Boosts'!$D$2:$D$192,F$1-9)-10)/((INDEX('Stat Boosts'!$D$2:$D$192,(B148/2+22)-9)-10))-0.5)*0.5,(1.75-(($A148+5)/($A148+10))*(INDEX('Stat Boosts'!$D$2:$D$192,F$1-9)-10)/((INDEX('Stat Boosts'!$D$2:$D$192,(B148/2+22)-9)-10))))</f>
        <v>1.6531847133757962</v>
      </c>
      <c r="G148" s="16">
        <f>IF((1.75-(($A148+5)/($A148+10))*(INDEX('Stat Boosts'!$D$2:$D$192,G$1-9)-10)/((INDEX('Stat Boosts'!$D$2:$D$192,(C148/2+22)-9)-10)))&lt;0.5,POWER(1.1,1.75-(($A148+5)/($A148+10))*(INDEX('Stat Boosts'!$D$2:$D$192,G$1-9)-10)/((INDEX('Stat Boosts'!$D$2:$D$192,(C148/2+22)-9)-10))-0.5)*0.5,(1.75-(($A148+5)/($A148+10))*(INDEX('Stat Boosts'!$D$2:$D$192,G$1-9)-10)/((INDEX('Stat Boosts'!$D$2:$D$192,(C148/2+22)-9)-10))))</f>
        <v>0.95269763956538023</v>
      </c>
      <c r="H148" s="16">
        <f>IF((1.75-(($A148+5)/($A148+10))*(INDEX('Stat Boosts'!$D$2:$D$192,H$1-9)-10)/((INDEX('Stat Boosts'!$D$2:$D$192,(D148/2+22)-9)-10)))&lt;0.5,POWER(1.1,1.75-(($A148+5)/($A148+10))*(INDEX('Stat Boosts'!$D$2:$D$192,H$1-9)-10)/((INDEX('Stat Boosts'!$D$2:$D$192,(D148/2+22)-9)-10))-0.5)*0.5,(1.75-(($A148+5)/($A148+10))*(INDEX('Stat Boosts'!$D$2:$D$192,H$1-9)-10)/((INDEX('Stat Boosts'!$D$2:$D$192,(D148/2+22)-9)-10))))</f>
        <v>0.55404645934807029</v>
      </c>
      <c r="I148" s="16">
        <f>IF((1.75-(($A148+5)/($A148+10))*(INDEX('Stat Boosts'!$D$2:$D$192,I$1-9)-10)/((INDEX('Stat Boosts'!$D$2:$D$192,(E148/2+22)-9)-10)))&lt;0.5,POWER(1.1,1.75-(($A148+5)/($A148+10))*(INDEX('Stat Boosts'!$D$2:$D$192,I$1-9)-10)/((INDEX('Stat Boosts'!$D$2:$D$192,(E148/2+22)-9)-10))-0.5)*0.5,(1.75-(($A148+5)/($A148+10))*(INDEX('Stat Boosts'!$D$2:$D$192,I$1-9)-10)/((INDEX('Stat Boosts'!$D$2:$D$192,(E148/2+22)-9)-10))))</f>
        <v>0.4864780056852917</v>
      </c>
      <c r="J148" s="16">
        <f>IF((1.75-(($A148+5)/($A148+10))*(INDEX('Stat Boosts'!$D$2:$D$192,J$1-9)-10)/((INDEX('Stat Boosts'!$D$2:$D$192,(F148/2+22)-9)-10)))&lt;0.5,POWER(1.1,1.75-(($A148+5)/($A148+10))*(INDEX('Stat Boosts'!$D$2:$D$192,J$1-9)-10)/((INDEX('Stat Boosts'!$D$2:$D$192,(F148/2+22)-9)-10))-0.5)*0.5,(1.75-(($A148+5)/($A148+10))*(INDEX('Stat Boosts'!$D$2:$D$192,J$1-9)-10)/((INDEX('Stat Boosts'!$D$2:$D$192,(F148/2+22)-9)-10))))</f>
        <v>0.47088980475725356</v>
      </c>
      <c r="K148" s="16">
        <f>IF((1.75-(($A148+5)/($A148+10))*(INDEX('Stat Boosts'!$D$2:$D$192,K$1-9)-10)/((INDEX('Stat Boosts'!$D$2:$D$192,(G148/2+22)-9)-10)))&lt;0.5,POWER(1.1,1.75-(($A148+5)/($A148+10))*(INDEX('Stat Boosts'!$D$2:$D$192,K$1-9)-10)/((INDEX('Stat Boosts'!$D$2:$D$192,(G148/2+22)-9)-10))-0.5)*0.5,(1.75-(($A148+5)/($A148+10))*(INDEX('Stat Boosts'!$D$2:$D$192,K$1-9)-10)/((INDEX('Stat Boosts'!$D$2:$D$192,(G148/2+22)-9)-10))))</f>
        <v>0.43643221675095584</v>
      </c>
      <c r="L148" s="16">
        <f>IF((1.75-(($A148+5)/($A148+10))*(INDEX('Stat Boosts'!$D$2:$D$192,L$1-9)-10)/((INDEX('Stat Boosts'!$D$2:$D$192,(H148/2+22)-9)-10)))&lt;0.5,POWER(1.1,1.75-(($A148+5)/($A148+10))*(INDEX('Stat Boosts'!$D$2:$D$192,L$1-9)-10)/((INDEX('Stat Boosts'!$D$2:$D$192,(H148/2+22)-9)-10))-0.5)*0.5,(1.75-(($A148+5)/($A148+10))*(INDEX('Stat Boosts'!$D$2:$D$192,L$1-9)-10)/((INDEX('Stat Boosts'!$D$2:$D$192,(H148/2+22)-9)-10))))</f>
        <v>0.42474688257468574</v>
      </c>
      <c r="M148" s="16">
        <f>IF((1.75-(($A148+5)/($A148+10))*(INDEX('Stat Boosts'!$D$2:$D$192,M$1-9)-10)/((INDEX('Stat Boosts'!$D$2:$D$192,(I148/2+22)-9)-10)))&lt;0.5,POWER(1.1,1.75-(($A148+5)/($A148+10))*(INDEX('Stat Boosts'!$D$2:$D$192,M$1-9)-10)/((INDEX('Stat Boosts'!$D$2:$D$192,(I148/2+22)-9)-10))-0.5)*0.5,(1.75-(($A148+5)/($A148+10))*(INDEX('Stat Boosts'!$D$2:$D$192,M$1-9)-10)/((INDEX('Stat Boosts'!$D$2:$D$192,(I148/2+22)-9)-10))))</f>
        <v>0.40891115414804002</v>
      </c>
      <c r="N148" s="16">
        <f>IF((1.75-(($A148+5)/($A148+10))*(INDEX('Stat Boosts'!$D$2:$D$192,N$1-9)-10)/((INDEX('Stat Boosts'!$D$2:$D$192,(J148/2+22)-9)-10)))&lt;0.5,POWER(1.1,1.75-(($A148+5)/($A148+10))*(INDEX('Stat Boosts'!$D$2:$D$192,N$1-9)-10)/((INDEX('Stat Boosts'!$D$2:$D$192,(J148/2+22)-9)-10))-0.5)*0.5,(1.75-(($A148+5)/($A148+10))*(INDEX('Stat Boosts'!$D$2:$D$192,N$1-9)-10)/((INDEX('Stat Boosts'!$D$2:$D$192,(J148/2+22)-9)-10))))</f>
        <v>0.38941535637009467</v>
      </c>
      <c r="O148" s="16">
        <f>IF((1.75-(($A148+5)/($A148+10))*(INDEX('Stat Boosts'!$D$2:$D$192,O$1-9)-10)/((INDEX('Stat Boosts'!$D$2:$D$192,(K148/2+22)-9)-10)))&lt;0.5,POWER(1.1,1.75-(($A148+5)/($A148+10))*(INDEX('Stat Boosts'!$D$2:$D$192,O$1-9)-10)/((INDEX('Stat Boosts'!$D$2:$D$192,(K148/2+22)-9)-10))-0.5)*0.5,(1.75-(($A148+5)/($A148+10))*(INDEX('Stat Boosts'!$D$2:$D$192,O$1-9)-10)/((INDEX('Stat Boosts'!$D$2:$D$192,(K148/2+22)-9)-10))))</f>
        <v>0.37898888371775036</v>
      </c>
      <c r="P148" s="16">
        <f>IF((1.75-(($A148+5)/($A148+10))*(INDEX('Stat Boosts'!$D$2:$D$192,P$1-9)-10)/((INDEX('Stat Boosts'!$D$2:$D$192,(L148/2+22)-9)-10)))&lt;0.5,POWER(1.1,1.75-(($A148+5)/($A148+10))*(INDEX('Stat Boosts'!$D$2:$D$192,P$1-9)-10)/((INDEX('Stat Boosts'!$D$2:$D$192,(L148/2+22)-9)-10))-0.5)*0.5,(1.75-(($A148+5)/($A148+10))*(INDEX('Stat Boosts'!$D$2:$D$192,P$1-9)-10)/((INDEX('Stat Boosts'!$D$2:$D$192,(L148/2+22)-9)-10))))</f>
        <v>0.36288407390165167</v>
      </c>
      <c r="Q148" s="16">
        <f>IF((1.75-(($A148+5)/($A148+10))*(INDEX('Stat Boosts'!$D$2:$D$192,Q$1-9)-10)/((INDEX('Stat Boosts'!$D$2:$D$192,(M148/2+22)-9)-10)))&lt;0.5,POWER(1.1,1.75-(($A148+5)/($A148+10))*(INDEX('Stat Boosts'!$D$2:$D$192,Q$1-9)-10)/((INDEX('Stat Boosts'!$D$2:$D$192,(M148/2+22)-9)-10))-0.5)*0.5,(1.75-(($A148+5)/($A148+10))*(INDEX('Stat Boosts'!$D$2:$D$192,Q$1-9)-10)/((INDEX('Stat Boosts'!$D$2:$D$192,(M148/2+22)-9)-10))))</f>
        <v>0.34746362426168376</v>
      </c>
      <c r="R148" s="16">
        <f>IF((1.75-(($A148+5)/($A148+10))*1.25*(INDEX('Stat Boosts'!$D$2:$D$192,R$1-9)-10)/((INDEX('Stat Boosts'!$D$2:$D$192,(N148/2+22)-9)-10)))&lt;0.5,POWER(1.1,1.75-(($A148+5)/($A148+10))*1.25*(INDEX('Stat Boosts'!$D$2:$D$192,R$1-9)-10)/((INDEX('Stat Boosts'!$D$2:$D$192,(N148/2+22)-9)-10))-0.5)*0.5,(1.75-(($A148+5)/($A148+10))*1.25*(INDEX('Stat Boosts'!$D$2:$D$192,R$1-9)-10)/((INDEX('Stat Boosts'!$D$2:$D$192,(N148/2+22)-9)-10))))</f>
        <v>0.29166597099867658</v>
      </c>
    </row>
    <row r="149" spans="1:18">
      <c r="A149" s="9">
        <v>148</v>
      </c>
      <c r="B149" s="16">
        <f t="shared" si="4"/>
        <v>81.2</v>
      </c>
      <c r="C149" s="16">
        <f t="shared" si="5"/>
        <v>5.6179775280898875E-3</v>
      </c>
      <c r="E149" s="16">
        <f>IF((1.75-(($A149+5)/($A149+10))*(INDEX('Stat Boosts'!$D$2:$D$192,E$1-9)-10)/((INDEX('Stat Boosts'!$D$2:$D$192,(A149/2+22)-9)-10)))&lt;0.5,POWER(1.1,1.75-(($A149+5)/($A149+10))*(INDEX('Stat Boosts'!$D$2:$D$192,E$1-9)-10)/((INDEX('Stat Boosts'!$D$2:$D$192,(A149/2+22)-9)-10))-0.5)*0.5,(1.75-(($A149+5)/($A149+10))*(INDEX('Stat Boosts'!$D$2:$D$192,E$1-9)-10)/((INDEX('Stat Boosts'!$D$2:$D$192,(A149/2+22)-9)-10))))</f>
        <v>1.75</v>
      </c>
      <c r="F149" s="16">
        <f>IF((1.75-(($A149+5)/($A149+10))*(INDEX('Stat Boosts'!$D$2:$D$192,F$1-9)-10)/((INDEX('Stat Boosts'!$D$2:$D$192,(B149/2+22)-9)-10)))&lt;0.5,POWER(1.1,1.75-(($A149+5)/($A149+10))*(INDEX('Stat Boosts'!$D$2:$D$192,F$1-9)-10)/((INDEX('Stat Boosts'!$D$2:$D$192,(B149/2+22)-9)-10))-0.5)*0.5,(1.75-(($A149+5)/($A149+10))*(INDEX('Stat Boosts'!$D$2:$D$192,F$1-9)-10)/((INDEX('Stat Boosts'!$D$2:$D$192,(B149/2+22)-9)-10))))</f>
        <v>1.6531645569620252</v>
      </c>
      <c r="G149" s="16">
        <f>IF((1.75-(($A149+5)/($A149+10))*(INDEX('Stat Boosts'!$D$2:$D$192,G$1-9)-10)/((INDEX('Stat Boosts'!$D$2:$D$192,(C149/2+22)-9)-10)))&lt;0.5,POWER(1.1,1.75-(($A149+5)/($A149+10))*(INDEX('Stat Boosts'!$D$2:$D$192,G$1-9)-10)/((INDEX('Stat Boosts'!$D$2:$D$192,(C149/2+22)-9)-10))-0.5)*0.5,(1.75-(($A149+5)/($A149+10))*(INDEX('Stat Boosts'!$D$2:$D$192,G$1-9)-10)/((INDEX('Stat Boosts'!$D$2:$D$192,(C149/2+22)-9)-10))))</f>
        <v>0.95253164556962022</v>
      </c>
      <c r="H149" s="16">
        <f>IF((1.75-(($A149+5)/($A149+10))*(INDEX('Stat Boosts'!$D$2:$D$192,H$1-9)-10)/((INDEX('Stat Boosts'!$D$2:$D$192,(D149/2+22)-9)-10)))&lt;0.5,POWER(1.1,1.75-(($A149+5)/($A149+10))*(INDEX('Stat Boosts'!$D$2:$D$192,H$1-9)-10)/((INDEX('Stat Boosts'!$D$2:$D$192,(D149/2+22)-9)-10))-0.5)*0.5,(1.75-(($A149+5)/($A149+10))*(INDEX('Stat Boosts'!$D$2:$D$192,H$1-9)-10)/((INDEX('Stat Boosts'!$D$2:$D$192,(D149/2+22)-9)-10))))</f>
        <v>0.55379746835443022</v>
      </c>
      <c r="I149" s="16">
        <f>IF((1.75-(($A149+5)/($A149+10))*(INDEX('Stat Boosts'!$D$2:$D$192,I$1-9)-10)/((INDEX('Stat Boosts'!$D$2:$D$192,(E149/2+22)-9)-10)))&lt;0.5,POWER(1.1,1.75-(($A149+5)/($A149+10))*(INDEX('Stat Boosts'!$D$2:$D$192,I$1-9)-10)/((INDEX('Stat Boosts'!$D$2:$D$192,(E149/2+22)-9)-10))-0.5)*0.5,(1.75-(($A149+5)/($A149+10))*(INDEX('Stat Boosts'!$D$2:$D$192,I$1-9)-10)/((INDEX('Stat Boosts'!$D$2:$D$192,(E149/2+22)-9)-10))))</f>
        <v>0.48646316260690103</v>
      </c>
      <c r="J149" s="16">
        <f>IF((1.75-(($A149+5)/($A149+10))*(INDEX('Stat Boosts'!$D$2:$D$192,J$1-9)-10)/((INDEX('Stat Boosts'!$D$2:$D$192,(F149/2+22)-9)-10)))&lt;0.5,POWER(1.1,1.75-(($A149+5)/($A149+10))*(INDEX('Stat Boosts'!$D$2:$D$192,J$1-9)-10)/((INDEX('Stat Boosts'!$D$2:$D$192,(F149/2+22)-9)-10))-0.5)*0.5,(1.75-(($A149+5)/($A149+10))*(INDEX('Stat Boosts'!$D$2:$D$192,J$1-9)-10)/((INDEX('Stat Boosts'!$D$2:$D$192,(F149/2+22)-9)-10))))</f>
        <v>0.4708722445853899</v>
      </c>
      <c r="K149" s="16">
        <f>IF((1.75-(($A149+5)/($A149+10))*(INDEX('Stat Boosts'!$D$2:$D$192,K$1-9)-10)/((INDEX('Stat Boosts'!$D$2:$D$192,(G149/2+22)-9)-10)))&lt;0.5,POWER(1.1,1.75-(($A149+5)/($A149+10))*(INDEX('Stat Boosts'!$D$2:$D$192,K$1-9)-10)/((INDEX('Stat Boosts'!$D$2:$D$192,(G149/2+22)-9)-10))-0.5)*0.5,(1.75-(($A149+5)/($A149+10))*(INDEX('Stat Boosts'!$D$2:$D$192,K$1-9)-10)/((INDEX('Stat Boosts'!$D$2:$D$192,(G149/2+22)-9)-10))))</f>
        <v>0.43640903710709095</v>
      </c>
      <c r="L149" s="16">
        <f>IF((1.75-(($A149+5)/($A149+10))*(INDEX('Stat Boosts'!$D$2:$D$192,L$1-9)-10)/((INDEX('Stat Boosts'!$D$2:$D$192,(H149/2+22)-9)-10)))&lt;0.5,POWER(1.1,1.75-(($A149+5)/($A149+10))*(INDEX('Stat Boosts'!$D$2:$D$192,L$1-9)-10)/((INDEX('Stat Boosts'!$D$2:$D$192,(H149/2+22)-9)-10))-0.5)*0.5,(1.75-(($A149+5)/($A149+10))*(INDEX('Stat Boosts'!$D$2:$D$192,L$1-9)-10)/((INDEX('Stat Boosts'!$D$2:$D$192,(H149/2+22)-9)-10))))</f>
        <v>0.42472192373359957</v>
      </c>
      <c r="M149" s="16">
        <f>IF((1.75-(($A149+5)/($A149+10))*(INDEX('Stat Boosts'!$D$2:$D$192,M$1-9)-10)/((INDEX('Stat Boosts'!$D$2:$D$192,(I149/2+22)-9)-10)))&lt;0.5,POWER(1.1,1.75-(($A149+5)/($A149+10))*(INDEX('Stat Boosts'!$D$2:$D$192,M$1-9)-10)/((INDEX('Stat Boosts'!$D$2:$D$192,(I149/2+22)-9)-10))-0.5)*0.5,(1.75-(($A149+5)/($A149+10))*(INDEX('Stat Boosts'!$D$2:$D$192,M$1-9)-10)/((INDEX('Stat Boosts'!$D$2:$D$192,(I149/2+22)-9)-10))))</f>
        <v>0.40888389136901981</v>
      </c>
      <c r="N149" s="16">
        <f>IF((1.75-(($A149+5)/($A149+10))*(INDEX('Stat Boosts'!$D$2:$D$192,N$1-9)-10)/((INDEX('Stat Boosts'!$D$2:$D$192,(J149/2+22)-9)-10)))&lt;0.5,POWER(1.1,1.75-(($A149+5)/($A149+10))*(INDEX('Stat Boosts'!$D$2:$D$192,N$1-9)-10)/((INDEX('Stat Boosts'!$D$2:$D$192,(J149/2+22)-9)-10))-0.5)*0.5,(1.75-(($A149+5)/($A149+10))*(INDEX('Stat Boosts'!$D$2:$D$192,N$1-9)-10)/((INDEX('Stat Boosts'!$D$2:$D$192,(J149/2+22)-9)-10))))</f>
        <v>0.38938543310828694</v>
      </c>
      <c r="O149" s="16">
        <f>IF((1.75-(($A149+5)/($A149+10))*(INDEX('Stat Boosts'!$D$2:$D$192,O$1-9)-10)/((INDEX('Stat Boosts'!$D$2:$D$192,(K149/2+22)-9)-10)))&lt;0.5,POWER(1.1,1.75-(($A149+5)/($A149+10))*(INDEX('Stat Boosts'!$D$2:$D$192,O$1-9)-10)/((INDEX('Stat Boosts'!$D$2:$D$192,(K149/2+22)-9)-10))-0.5)*0.5,(1.75-(($A149+5)/($A149+10))*(INDEX('Stat Boosts'!$D$2:$D$192,O$1-9)-10)/((INDEX('Stat Boosts'!$D$2:$D$192,(K149/2+22)-9)-10))))</f>
        <v>0.37895762040099434</v>
      </c>
      <c r="P149" s="16">
        <f>IF((1.75-(($A149+5)/($A149+10))*(INDEX('Stat Boosts'!$D$2:$D$192,P$1-9)-10)/((INDEX('Stat Boosts'!$D$2:$D$192,(L149/2+22)-9)-10)))&lt;0.5,POWER(1.1,1.75-(($A149+5)/($A149+10))*(INDEX('Stat Boosts'!$D$2:$D$192,P$1-9)-10)/((INDEX('Stat Boosts'!$D$2:$D$192,(L149/2+22)-9)-10))-0.5)*0.5,(1.75-(($A149+5)/($A149+10))*(INDEX('Stat Boosts'!$D$2:$D$192,P$1-9)-10)/((INDEX('Stat Boosts'!$D$2:$D$192,(L149/2+22)-9)-10))))</f>
        <v>0.36285085871606765</v>
      </c>
      <c r="Q149" s="16">
        <f>IF((1.75-(($A149+5)/($A149+10))*(INDEX('Stat Boosts'!$D$2:$D$192,Q$1-9)-10)/((INDEX('Stat Boosts'!$D$2:$D$192,(M149/2+22)-9)-10)))&lt;0.5,POWER(1.1,1.75-(($A149+5)/($A149+10))*(INDEX('Stat Boosts'!$D$2:$D$192,Q$1-9)-10)/((INDEX('Stat Boosts'!$D$2:$D$192,(M149/2+22)-9)-10))-0.5)*0.5,(1.75-(($A149+5)/($A149+10))*(INDEX('Stat Boosts'!$D$2:$D$192,Q$1-9)-10)/((INDEX('Stat Boosts'!$D$2:$D$192,(M149/2+22)-9)-10))))</f>
        <v>0.34742867957549123</v>
      </c>
      <c r="R149" s="16">
        <f>IF((1.75-(($A149+5)/($A149+10))*1.25*(INDEX('Stat Boosts'!$D$2:$D$192,R$1-9)-10)/((INDEX('Stat Boosts'!$D$2:$D$192,(N149/2+22)-9)-10)))&lt;0.5,POWER(1.1,1.75-(($A149+5)/($A149+10))*1.25*(INDEX('Stat Boosts'!$D$2:$D$192,R$1-9)-10)/((INDEX('Stat Boosts'!$D$2:$D$192,(N149/2+22)-9)-10))-0.5)*0.5,(1.75-(($A149+5)/($A149+10))*1.25*(INDEX('Stat Boosts'!$D$2:$D$192,R$1-9)-10)/((INDEX('Stat Boosts'!$D$2:$D$192,(N149/2+22)-9)-10))))</f>
        <v>0.29162600953481077</v>
      </c>
    </row>
    <row r="150" spans="1:18">
      <c r="A150" s="9">
        <v>149</v>
      </c>
      <c r="B150" s="16">
        <f t="shared" si="4"/>
        <v>81.599999999999994</v>
      </c>
      <c r="C150" s="16">
        <f t="shared" si="5"/>
        <v>5.5865921787709508E-3</v>
      </c>
      <c r="E150" s="16">
        <f>IF((1.75-(($A150+5)/($A150+10))*(INDEX('Stat Boosts'!$D$2:$D$192,E$1-9)-10)/((INDEX('Stat Boosts'!$D$2:$D$192,(A150/2+22)-9)-10)))&lt;0.5,POWER(1.1,1.75-(($A150+5)/($A150+10))*(INDEX('Stat Boosts'!$D$2:$D$192,E$1-9)-10)/((INDEX('Stat Boosts'!$D$2:$D$192,(A150/2+22)-9)-10))-0.5)*0.5,(1.75-(($A150+5)/($A150+10))*(INDEX('Stat Boosts'!$D$2:$D$192,E$1-9)-10)/((INDEX('Stat Boosts'!$D$2:$D$192,(A150/2+22)-9)-10))))</f>
        <v>1.75</v>
      </c>
      <c r="F150" s="16">
        <f>IF((1.75-(($A150+5)/($A150+10))*(INDEX('Stat Boosts'!$D$2:$D$192,F$1-9)-10)/((INDEX('Stat Boosts'!$D$2:$D$192,(B150/2+22)-9)-10)))&lt;0.5,POWER(1.1,1.75-(($A150+5)/($A150+10))*(INDEX('Stat Boosts'!$D$2:$D$192,F$1-9)-10)/((INDEX('Stat Boosts'!$D$2:$D$192,(B150/2+22)-9)-10))-0.5)*0.5,(1.75-(($A150+5)/($A150+10))*(INDEX('Stat Boosts'!$D$2:$D$192,F$1-9)-10)/((INDEX('Stat Boosts'!$D$2:$D$192,(B150/2+22)-9)-10))))</f>
        <v>1.6531446540880503</v>
      </c>
      <c r="G150" s="16">
        <f>IF((1.75-(($A150+5)/($A150+10))*(INDEX('Stat Boosts'!$D$2:$D$192,G$1-9)-10)/((INDEX('Stat Boosts'!$D$2:$D$192,(C150/2+22)-9)-10)))&lt;0.5,POWER(1.1,1.75-(($A150+5)/($A150+10))*(INDEX('Stat Boosts'!$D$2:$D$192,G$1-9)-10)/((INDEX('Stat Boosts'!$D$2:$D$192,(C150/2+22)-9)-10))-0.5)*0.5,(1.75-(($A150+5)/($A150+10))*(INDEX('Stat Boosts'!$D$2:$D$192,G$1-9)-10)/((INDEX('Stat Boosts'!$D$2:$D$192,(C150/2+22)-9)-10))))</f>
        <v>0.95236773954864962</v>
      </c>
      <c r="H150" s="16">
        <f>IF((1.75-(($A150+5)/($A150+10))*(INDEX('Stat Boosts'!$D$2:$D$192,H$1-9)-10)/((INDEX('Stat Boosts'!$D$2:$D$192,(D150/2+22)-9)-10)))&lt;0.5,POWER(1.1,1.75-(($A150+5)/($A150+10))*(INDEX('Stat Boosts'!$D$2:$D$192,H$1-9)-10)/((INDEX('Stat Boosts'!$D$2:$D$192,(D150/2+22)-9)-10))-0.5)*0.5,(1.75-(($A150+5)/($A150+10))*(INDEX('Stat Boosts'!$D$2:$D$192,H$1-9)-10)/((INDEX('Stat Boosts'!$D$2:$D$192,(D150/2+22)-9)-10))))</f>
        <v>0.55355160932297465</v>
      </c>
      <c r="I150" s="16">
        <f>IF((1.75-(($A150+5)/($A150+10))*(INDEX('Stat Boosts'!$D$2:$D$192,I$1-9)-10)/((INDEX('Stat Boosts'!$D$2:$D$192,(E150/2+22)-9)-10)))&lt;0.5,POWER(1.1,1.75-(($A150+5)/($A150+10))*(INDEX('Stat Boosts'!$D$2:$D$192,I$1-9)-10)/((INDEX('Stat Boosts'!$D$2:$D$192,(E150/2+22)-9)-10))-0.5)*0.5,(1.75-(($A150+5)/($A150+10))*(INDEX('Stat Boosts'!$D$2:$D$192,I$1-9)-10)/((INDEX('Stat Boosts'!$D$2:$D$192,(E150/2+22)-9)-10))))</f>
        <v>0.48644850667827155</v>
      </c>
      <c r="J150" s="16">
        <f>IF((1.75-(($A150+5)/($A150+10))*(INDEX('Stat Boosts'!$D$2:$D$192,J$1-9)-10)/((INDEX('Stat Boosts'!$D$2:$D$192,(F150/2+22)-9)-10)))&lt;0.5,POWER(1.1,1.75-(($A150+5)/($A150+10))*(INDEX('Stat Boosts'!$D$2:$D$192,J$1-9)-10)/((INDEX('Stat Boosts'!$D$2:$D$192,(F150/2+22)-9)-10))-0.5)*0.5,(1.75-(($A150+5)/($A150+10))*(INDEX('Stat Boosts'!$D$2:$D$192,J$1-9)-10)/((INDEX('Stat Boosts'!$D$2:$D$192,(F150/2+22)-9)-10))))</f>
        <v>0.47085490593873214</v>
      </c>
      <c r="K150" s="16">
        <f>IF((1.75-(($A150+5)/($A150+10))*(INDEX('Stat Boosts'!$D$2:$D$192,K$1-9)-10)/((INDEX('Stat Boosts'!$D$2:$D$192,(G150/2+22)-9)-10)))&lt;0.5,POWER(1.1,1.75-(($A150+5)/($A150+10))*(INDEX('Stat Boosts'!$D$2:$D$192,K$1-9)-10)/((INDEX('Stat Boosts'!$D$2:$D$192,(G150/2+22)-9)-10))-0.5)*0.5,(1.75-(($A150+5)/($A150+10))*(INDEX('Stat Boosts'!$D$2:$D$192,K$1-9)-10)/((INDEX('Stat Boosts'!$D$2:$D$192,(G150/2+22)-9)-10))))</f>
        <v>0.43638615023905231</v>
      </c>
      <c r="L150" s="16">
        <f>IF((1.75-(($A150+5)/($A150+10))*(INDEX('Stat Boosts'!$D$2:$D$192,L$1-9)-10)/((INDEX('Stat Boosts'!$D$2:$D$192,(H150/2+22)-9)-10)))&lt;0.5,POWER(1.1,1.75-(($A150+5)/($A150+10))*(INDEX('Stat Boosts'!$D$2:$D$192,L$1-9)-10)/((INDEX('Stat Boosts'!$D$2:$D$192,(H150/2+22)-9)-10))-0.5)*0.5,(1.75-(($A150+5)/($A150+10))*(INDEX('Stat Boosts'!$D$2:$D$192,L$1-9)-10)/((INDEX('Stat Boosts'!$D$2:$D$192,(H150/2+22)-9)-10))))</f>
        <v>0.42469728027926767</v>
      </c>
      <c r="M150" s="16">
        <f>IF((1.75-(($A150+5)/($A150+10))*(INDEX('Stat Boosts'!$D$2:$D$192,M$1-9)-10)/((INDEX('Stat Boosts'!$D$2:$D$192,(I150/2+22)-9)-10)))&lt;0.5,POWER(1.1,1.75-(($A150+5)/($A150+10))*(INDEX('Stat Boosts'!$D$2:$D$192,M$1-9)-10)/((INDEX('Stat Boosts'!$D$2:$D$192,(I150/2+22)-9)-10))-0.5)*0.5,(1.75-(($A150+5)/($A150+10))*(INDEX('Stat Boosts'!$D$2:$D$192,M$1-9)-10)/((INDEX('Stat Boosts'!$D$2:$D$192,(I150/2+22)-9)-10))))</f>
        <v>0.40885697330154092</v>
      </c>
      <c r="N150" s="16">
        <f>IF((1.75-(($A150+5)/($A150+10))*(INDEX('Stat Boosts'!$D$2:$D$192,N$1-9)-10)/((INDEX('Stat Boosts'!$D$2:$D$192,(J150/2+22)-9)-10)))&lt;0.5,POWER(1.1,1.75-(($A150+5)/($A150+10))*(INDEX('Stat Boosts'!$D$2:$D$192,N$1-9)-10)/((INDEX('Stat Boosts'!$D$2:$D$192,(J150/2+22)-9)-10))-0.5)*0.5,(1.75-(($A150+5)/($A150+10))*(INDEX('Stat Boosts'!$D$2:$D$192,N$1-9)-10)/((INDEX('Stat Boosts'!$D$2:$D$192,(J150/2+22)-9)-10))))</f>
        <v>0.38935588849585656</v>
      </c>
      <c r="O150" s="16">
        <f>IF((1.75-(($A150+5)/($A150+10))*(INDEX('Stat Boosts'!$D$2:$D$192,O$1-9)-10)/((INDEX('Stat Boosts'!$D$2:$D$192,(K150/2+22)-9)-10)))&lt;0.5,POWER(1.1,1.75-(($A150+5)/($A150+10))*(INDEX('Stat Boosts'!$D$2:$D$192,O$1-9)-10)/((INDEX('Stat Boosts'!$D$2:$D$192,(K150/2+22)-9)-10))-0.5)*0.5,(1.75-(($A150+5)/($A150+10))*(INDEX('Stat Boosts'!$D$2:$D$192,O$1-9)-10)/((INDEX('Stat Boosts'!$D$2:$D$192,(K150/2+22)-9)-10))))</f>
        <v>0.37892675286400529</v>
      </c>
      <c r="P150" s="16">
        <f>IF((1.75-(($A150+5)/($A150+10))*(INDEX('Stat Boosts'!$D$2:$D$192,P$1-9)-10)/((INDEX('Stat Boosts'!$D$2:$D$192,(L150/2+22)-9)-10)))&lt;0.5,POWER(1.1,1.75-(($A150+5)/($A150+10))*(INDEX('Stat Boosts'!$D$2:$D$192,P$1-9)-10)/((INDEX('Stat Boosts'!$D$2:$D$192,(L150/2+22)-9)-10))-0.5)*0.5,(1.75-(($A150+5)/($A150+10))*(INDEX('Stat Boosts'!$D$2:$D$192,P$1-9)-10)/((INDEX('Stat Boosts'!$D$2:$D$192,(L150/2+22)-9)-10))))</f>
        <v>0.36281806431466235</v>
      </c>
      <c r="Q150" s="16">
        <f>IF((1.75-(($A150+5)/($A150+10))*(INDEX('Stat Boosts'!$D$2:$D$192,Q$1-9)-10)/((INDEX('Stat Boosts'!$D$2:$D$192,(M150/2+22)-9)-10)))&lt;0.5,POWER(1.1,1.75-(($A150+5)/($A150+10))*(INDEX('Stat Boosts'!$D$2:$D$192,Q$1-9)-10)/((INDEX('Stat Boosts'!$D$2:$D$192,(M150/2+22)-9)-10))-0.5)*0.5,(1.75-(($A150+5)/($A150+10))*(INDEX('Stat Boosts'!$D$2:$D$192,Q$1-9)-10)/((INDEX('Stat Boosts'!$D$2:$D$192,(M150/2+22)-9)-10))))</f>
        <v>0.34739417789348376</v>
      </c>
      <c r="R150" s="16">
        <f>IF((1.75-(($A150+5)/($A150+10))*1.25*(INDEX('Stat Boosts'!$D$2:$D$192,R$1-9)-10)/((INDEX('Stat Boosts'!$D$2:$D$192,(N150/2+22)-9)-10)))&lt;0.5,POWER(1.1,1.75-(($A150+5)/($A150+10))*1.25*(INDEX('Stat Boosts'!$D$2:$D$192,R$1-9)-10)/((INDEX('Stat Boosts'!$D$2:$D$192,(N150/2+22)-9)-10))-0.5)*0.5,(1.75-(($A150+5)/($A150+10))*1.25*(INDEX('Stat Boosts'!$D$2:$D$192,R$1-9)-10)/((INDEX('Stat Boosts'!$D$2:$D$192,(N150/2+22)-9)-10))))</f>
        <v>0.2915865561031617</v>
      </c>
    </row>
    <row r="151" spans="1:18">
      <c r="A151" s="9">
        <v>150</v>
      </c>
      <c r="B151" s="16">
        <f t="shared" si="4"/>
        <v>82</v>
      </c>
      <c r="C151" s="16">
        <f t="shared" si="5"/>
        <v>5.5555555555555558E-3</v>
      </c>
      <c r="E151" s="16">
        <f>IF((1.75-(($A151+5)/($A151+10))*(INDEX('Stat Boosts'!$D$2:$D$192,E$1-9)-10)/((INDEX('Stat Boosts'!$D$2:$D$192,(A151/2+22)-9)-10)))&lt;0.5,POWER(1.1,1.75-(($A151+5)/($A151+10))*(INDEX('Stat Boosts'!$D$2:$D$192,E$1-9)-10)/((INDEX('Stat Boosts'!$D$2:$D$192,(A151/2+22)-9)-10))-0.5)*0.5,(1.75-(($A151+5)/($A151+10))*(INDEX('Stat Boosts'!$D$2:$D$192,E$1-9)-10)/((INDEX('Stat Boosts'!$D$2:$D$192,(A151/2+22)-9)-10))))</f>
        <v>1.75</v>
      </c>
      <c r="F151" s="16">
        <f>IF((1.75-(($A151+5)/($A151+10))*(INDEX('Stat Boosts'!$D$2:$D$192,F$1-9)-10)/((INDEX('Stat Boosts'!$D$2:$D$192,(B151/2+22)-9)-10)))&lt;0.5,POWER(1.1,1.75-(($A151+5)/($A151+10))*(INDEX('Stat Boosts'!$D$2:$D$192,F$1-9)-10)/((INDEX('Stat Boosts'!$D$2:$D$192,(B151/2+22)-9)-10))-0.5)*0.5,(1.75-(($A151+5)/($A151+10))*(INDEX('Stat Boosts'!$D$2:$D$192,F$1-9)-10)/((INDEX('Stat Boosts'!$D$2:$D$192,(B151/2+22)-9)-10))))</f>
        <v>1.6544894366197183</v>
      </c>
      <c r="G151" s="16">
        <f>IF((1.75-(($A151+5)/($A151+10))*(INDEX('Stat Boosts'!$D$2:$D$192,G$1-9)-10)/((INDEX('Stat Boosts'!$D$2:$D$192,(C151/2+22)-9)-10)))&lt;0.5,POWER(1.1,1.75-(($A151+5)/($A151+10))*(INDEX('Stat Boosts'!$D$2:$D$192,G$1-9)-10)/((INDEX('Stat Boosts'!$D$2:$D$192,(C151/2+22)-9)-10))-0.5)*0.5,(1.75-(($A151+5)/($A151+10))*(INDEX('Stat Boosts'!$D$2:$D$192,G$1-9)-10)/((INDEX('Stat Boosts'!$D$2:$D$192,(C151/2+22)-9)-10))))</f>
        <v>0.95220588235294112</v>
      </c>
      <c r="H151" s="16">
        <f>IF((1.75-(($A151+5)/($A151+10))*(INDEX('Stat Boosts'!$D$2:$D$192,H$1-9)-10)/((INDEX('Stat Boosts'!$D$2:$D$192,(D151/2+22)-9)-10)))&lt;0.5,POWER(1.1,1.75-(($A151+5)/($A151+10))*(INDEX('Stat Boosts'!$D$2:$D$192,H$1-9)-10)/((INDEX('Stat Boosts'!$D$2:$D$192,(D151/2+22)-9)-10))-0.5)*0.5,(1.75-(($A151+5)/($A151+10))*(INDEX('Stat Boosts'!$D$2:$D$192,H$1-9)-10)/((INDEX('Stat Boosts'!$D$2:$D$192,(D151/2+22)-9)-10))))</f>
        <v>0.55330882352941169</v>
      </c>
      <c r="I151" s="16">
        <f>IF((1.75-(($A151+5)/($A151+10))*(INDEX('Stat Boosts'!$D$2:$D$192,I$1-9)-10)/((INDEX('Stat Boosts'!$D$2:$D$192,(E151/2+22)-9)-10)))&lt;0.5,POWER(1.1,1.75-(($A151+5)/($A151+10))*(INDEX('Stat Boosts'!$D$2:$D$192,I$1-9)-10)/((INDEX('Stat Boosts'!$D$2:$D$192,(E151/2+22)-9)-10))-0.5)*0.5,(1.75-(($A151+5)/($A151+10))*(INDEX('Stat Boosts'!$D$2:$D$192,I$1-9)-10)/((INDEX('Stat Boosts'!$D$2:$D$192,(E151/2+22)-9)-10))))</f>
        <v>0.48643403438205218</v>
      </c>
      <c r="J151" s="16">
        <f>IF((1.75-(($A151+5)/($A151+10))*(INDEX('Stat Boosts'!$D$2:$D$192,J$1-9)-10)/((INDEX('Stat Boosts'!$D$2:$D$192,(F151/2+22)-9)-10)))&lt;0.5,POWER(1.1,1.75-(($A151+5)/($A151+10))*(INDEX('Stat Boosts'!$D$2:$D$192,J$1-9)-10)/((INDEX('Stat Boosts'!$D$2:$D$192,(F151/2+22)-9)-10))-0.5)*0.5,(1.75-(($A151+5)/($A151+10))*(INDEX('Stat Boosts'!$D$2:$D$192,J$1-9)-10)/((INDEX('Stat Boosts'!$D$2:$D$192,(F151/2+22)-9)-10))))</f>
        <v>0.47083778465168724</v>
      </c>
      <c r="K151" s="16">
        <f>IF((1.75-(($A151+5)/($A151+10))*(INDEX('Stat Boosts'!$D$2:$D$192,K$1-9)-10)/((INDEX('Stat Boosts'!$D$2:$D$192,(G151/2+22)-9)-10)))&lt;0.5,POWER(1.1,1.75-(($A151+5)/($A151+10))*(INDEX('Stat Boosts'!$D$2:$D$192,K$1-9)-10)/((INDEX('Stat Boosts'!$D$2:$D$192,(G151/2+22)-9)-10))-0.5)*0.5,(1.75-(($A151+5)/($A151+10))*(INDEX('Stat Boosts'!$D$2:$D$192,K$1-9)-10)/((INDEX('Stat Boosts'!$D$2:$D$192,(G151/2+22)-9)-10))))</f>
        <v>0.4363635506347231</v>
      </c>
      <c r="L151" s="16">
        <f>IF((1.75-(($A151+5)/($A151+10))*(INDEX('Stat Boosts'!$D$2:$D$192,L$1-9)-10)/((INDEX('Stat Boosts'!$D$2:$D$192,(H151/2+22)-9)-10)))&lt;0.5,POWER(1.1,1.75-(($A151+5)/($A151+10))*(INDEX('Stat Boosts'!$D$2:$D$192,L$1-9)-10)/((INDEX('Stat Boosts'!$D$2:$D$192,(H151/2+22)-9)-10))-0.5)*0.5,(1.75-(($A151+5)/($A151+10))*(INDEX('Stat Boosts'!$D$2:$D$192,L$1-9)-10)/((INDEX('Stat Boosts'!$D$2:$D$192,(H151/2+22)-9)-10))))</f>
        <v>0.42467294627129315</v>
      </c>
      <c r="M151" s="16">
        <f>IF((1.75-(($A151+5)/($A151+10))*(INDEX('Stat Boosts'!$D$2:$D$192,M$1-9)-10)/((INDEX('Stat Boosts'!$D$2:$D$192,(I151/2+22)-9)-10)))&lt;0.5,POWER(1.1,1.75-(($A151+5)/($A151+10))*(INDEX('Stat Boosts'!$D$2:$D$192,M$1-9)-10)/((INDEX('Stat Boosts'!$D$2:$D$192,(I151/2+22)-9)-10))-0.5)*0.5,(1.75-(($A151+5)/($A151+10))*(INDEX('Stat Boosts'!$D$2:$D$192,M$1-9)-10)/((INDEX('Stat Boosts'!$D$2:$D$192,(I151/2+22)-9)-10))))</f>
        <v>0.40883039344891559</v>
      </c>
      <c r="N151" s="16">
        <f>IF((1.75-(($A151+5)/($A151+10))*(INDEX('Stat Boosts'!$D$2:$D$192,N$1-9)-10)/((INDEX('Stat Boosts'!$D$2:$D$192,(J151/2+22)-9)-10)))&lt;0.5,POWER(1.1,1.75-(($A151+5)/($A151+10))*(INDEX('Stat Boosts'!$D$2:$D$192,N$1-9)-10)/((INDEX('Stat Boosts'!$D$2:$D$192,(J151/2+22)-9)-10))-0.5)*0.5,(1.75-(($A151+5)/($A151+10))*(INDEX('Stat Boosts'!$D$2:$D$192,N$1-9)-10)/((INDEX('Stat Boosts'!$D$2:$D$192,(J151/2+22)-9)-10))))</f>
        <v>0.38932671539092245</v>
      </c>
      <c r="O151" s="16">
        <f>IF((1.75-(($A151+5)/($A151+10))*(INDEX('Stat Boosts'!$D$2:$D$192,O$1-9)-10)/((INDEX('Stat Boosts'!$D$2:$D$192,(K151/2+22)-9)-10)))&lt;0.5,POWER(1.1,1.75-(($A151+5)/($A151+10))*(INDEX('Stat Boosts'!$D$2:$D$192,O$1-9)-10)/((INDEX('Stat Boosts'!$D$2:$D$192,(K151/2+22)-9)-10))-0.5)*0.5,(1.75-(($A151+5)/($A151+10))*(INDEX('Stat Boosts'!$D$2:$D$192,O$1-9)-10)/((INDEX('Stat Boosts'!$D$2:$D$192,(K151/2+22)-9)-10))))</f>
        <v>0.37889627363856132</v>
      </c>
      <c r="P151" s="16">
        <f>IF((1.75-(($A151+5)/($A151+10))*(INDEX('Stat Boosts'!$D$2:$D$192,P$1-9)-10)/((INDEX('Stat Boosts'!$D$2:$D$192,(L151/2+22)-9)-10)))&lt;0.5,POWER(1.1,1.75-(($A151+5)/($A151+10))*(INDEX('Stat Boosts'!$D$2:$D$192,P$1-9)-10)/((INDEX('Stat Boosts'!$D$2:$D$192,(L151/2+22)-9)-10))-0.5)*0.5,(1.75-(($A151+5)/($A151+10))*(INDEX('Stat Boosts'!$D$2:$D$192,P$1-9)-10)/((INDEX('Stat Boosts'!$D$2:$D$192,(L151/2+22)-9)-10))))</f>
        <v>0.36278568275188566</v>
      </c>
      <c r="Q151" s="16">
        <f>IF((1.75-(($A151+5)/($A151+10))*(INDEX('Stat Boosts'!$D$2:$D$192,Q$1-9)-10)/((INDEX('Stat Boosts'!$D$2:$D$192,(M151/2+22)-9)-10)))&lt;0.5,POWER(1.1,1.75-(($A151+5)/($A151+10))*(INDEX('Stat Boosts'!$D$2:$D$192,Q$1-9)-10)/((INDEX('Stat Boosts'!$D$2:$D$192,(M151/2+22)-9)-10))-0.5)*0.5,(1.75-(($A151+5)/($A151+10))*(INDEX('Stat Boosts'!$D$2:$D$192,Q$1-9)-10)/((INDEX('Stat Boosts'!$D$2:$D$192,(M151/2+22)-9)-10))))</f>
        <v>0.34736011084474605</v>
      </c>
      <c r="R151" s="16">
        <f>IF((1.75-(($A151+5)/($A151+10))*1.25*(INDEX('Stat Boosts'!$D$2:$D$192,R$1-9)-10)/((INDEX('Stat Boosts'!$D$2:$D$192,(N151/2+22)-9)-10)))&lt;0.5,POWER(1.1,1.75-(($A151+5)/($A151+10))*1.25*(INDEX('Stat Boosts'!$D$2:$D$192,R$1-9)-10)/((INDEX('Stat Boosts'!$D$2:$D$192,(N151/2+22)-9)-10))-0.5)*0.5,(1.75-(($A151+5)/($A151+10))*1.25*(INDEX('Stat Boosts'!$D$2:$D$192,R$1-9)-10)/((INDEX('Stat Boosts'!$D$2:$D$192,(N151/2+22)-9)-10))))</f>
        <v>0.29154760107731542</v>
      </c>
    </row>
  </sheetData>
  <conditionalFormatting sqref="E1:R1048576">
    <cfRule type="expression" dxfId="5" priority="1">
      <formula>INDEX($A$1:$A$150,ROW())+22&lt;INDEX($A$1:$R$1,1,COLUMN())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9"/>
  <dimension ref="A1:R151"/>
  <sheetViews>
    <sheetView workbookViewId="0">
      <selection activeCell="C2" sqref="C2"/>
    </sheetView>
  </sheetViews>
  <sheetFormatPr defaultRowHeight="15"/>
  <cols>
    <col min="1" max="1" width="11.85546875" style="9" bestFit="1" customWidth="1"/>
    <col min="2" max="2" width="18.7109375" style="16" customWidth="1"/>
    <col min="3" max="3" width="10" style="16" bestFit="1" customWidth="1"/>
    <col min="4" max="4" width="15" style="16" customWidth="1"/>
    <col min="5" max="18" width="9.140625" style="16"/>
  </cols>
  <sheetData>
    <row r="1" spans="1:18" s="1" customFormat="1">
      <c r="A1" s="31" t="s">
        <v>311</v>
      </c>
      <c r="B1" s="33" t="s">
        <v>312</v>
      </c>
      <c r="C1" s="33" t="s">
        <v>314</v>
      </c>
      <c r="D1" s="53" t="s">
        <v>313</v>
      </c>
      <c r="E1" s="31">
        <v>10</v>
      </c>
      <c r="F1" s="31">
        <v>12</v>
      </c>
      <c r="G1" s="31">
        <v>14</v>
      </c>
      <c r="H1" s="31">
        <v>16</v>
      </c>
      <c r="I1" s="31">
        <v>18</v>
      </c>
      <c r="J1" s="31">
        <v>20</v>
      </c>
      <c r="K1" s="31">
        <v>22</v>
      </c>
      <c r="L1" s="31">
        <v>24</v>
      </c>
      <c r="M1" s="31">
        <v>26</v>
      </c>
      <c r="N1" s="31">
        <v>28</v>
      </c>
      <c r="O1" s="31">
        <v>30</v>
      </c>
      <c r="P1" s="31">
        <v>32</v>
      </c>
      <c r="Q1" s="31">
        <v>34</v>
      </c>
      <c r="R1" s="31">
        <v>36</v>
      </c>
    </row>
    <row r="2" spans="1:18">
      <c r="A2" s="9">
        <v>1</v>
      </c>
      <c r="B2" s="16">
        <f t="shared" ref="B2:B44" si="0">15+A2/7</f>
        <v>15.142857142857142</v>
      </c>
      <c r="C2" s="16">
        <f>0.2/(B2-10)</f>
        <v>3.8888888888888896E-2</v>
      </c>
      <c r="E2" s="16">
        <f>MAX(1-(INDEX('Stat Boosts'!$D$2:$D$192,E$1-9)-10)*$C2,1-0.4)</f>
        <v>1</v>
      </c>
      <c r="F2" s="16">
        <f>MAX(1-(INDEX('Stat Boosts'!$D$2:$D$192,F$1-9)-10)*$C2,1-0.4)</f>
        <v>0.92222222222222217</v>
      </c>
      <c r="G2" s="16">
        <f>MAX(1-(INDEX('Stat Boosts'!$D$2:$D$192,G$1-9)-10)*$C2,1-0.4)</f>
        <v>0.80555555555555558</v>
      </c>
      <c r="H2" s="16">
        <f>MAX(1-(INDEX('Stat Boosts'!$D$2:$D$192,H$1-9)-10)*$C2,1-0.4)</f>
        <v>0.68888888888888888</v>
      </c>
      <c r="I2" s="16">
        <f>MAX(1-(INDEX('Stat Boosts'!$D$2:$D$192,I$1-9)-10)*$C2,1-0.4)</f>
        <v>0.6</v>
      </c>
      <c r="J2" s="16">
        <f>MAX(1-(INDEX('Stat Boosts'!$D$2:$D$192,J$1-9)-10)*$C2,1-0.4)</f>
        <v>0.6</v>
      </c>
      <c r="K2" s="16">
        <f>MAX(1-(INDEX('Stat Boosts'!$D$2:$D$192,K$1-9)-10)*$C2,1-0.4)</f>
        <v>0.6</v>
      </c>
      <c r="L2" s="16">
        <f>MAX(1-(INDEX('Stat Boosts'!$D$2:$D$192,L$1-9)-10)*$C2,1-0.4)</f>
        <v>0.6</v>
      </c>
      <c r="M2" s="16">
        <f>MAX(1-(INDEX('Stat Boosts'!$D$2:$D$192,M$1-9)-10)*$C2,1-0.4)</f>
        <v>0.6</v>
      </c>
      <c r="N2" s="16">
        <f>MAX(1-(INDEX('Stat Boosts'!$D$2:$D$192,N$1-9)-10)*$C2,1-0.4)</f>
        <v>0.6</v>
      </c>
      <c r="O2" s="16">
        <f>MAX(1-(INDEX('Stat Boosts'!$D$2:$D$192,O$1-9)-10)*$C2,1-0.4)</f>
        <v>0.6</v>
      </c>
      <c r="P2" s="16">
        <f>MAX(1-(INDEX('Stat Boosts'!$D$2:$D$192,P$1-9)-10)*$C2,1-0.4)</f>
        <v>0.6</v>
      </c>
      <c r="Q2" s="16">
        <f>MAX(1-(INDEX('Stat Boosts'!$D$2:$D$192,Q$1-9)-10)*$C2,1-0.4)</f>
        <v>0.6</v>
      </c>
      <c r="R2" s="16">
        <f>MAX(1-(INDEX('Stat Boosts'!$D$2:$D$192,R$1-9)-10)*$C2,1-0.4)</f>
        <v>0.6</v>
      </c>
    </row>
    <row r="3" spans="1:18">
      <c r="A3" s="9">
        <v>2</v>
      </c>
      <c r="B3" s="16">
        <f t="shared" si="0"/>
        <v>15.285714285714286</v>
      </c>
      <c r="C3" s="16">
        <f t="shared" ref="C3:C66" si="1">0.2/(B3-10)</f>
        <v>3.7837837837837833E-2</v>
      </c>
      <c r="E3" s="16">
        <f>MAX(1-(INDEX('Stat Boosts'!$D$2:$D$192,E$1-9)-10)*$C3,1-0.4)</f>
        <v>1</v>
      </c>
      <c r="F3" s="16">
        <f>MAX(1-(INDEX('Stat Boosts'!$D$2:$D$192,F$1-9)-10)*$C3,1-0.4)</f>
        <v>0.92432432432432432</v>
      </c>
      <c r="G3" s="16">
        <f>MAX(1-(INDEX('Stat Boosts'!$D$2:$D$192,G$1-9)-10)*$C3,1-0.4)</f>
        <v>0.81081081081081086</v>
      </c>
      <c r="H3" s="16">
        <f>MAX(1-(INDEX('Stat Boosts'!$D$2:$D$192,H$1-9)-10)*$C3,1-0.4)</f>
        <v>0.69729729729729728</v>
      </c>
      <c r="I3" s="16">
        <f>MAX(1-(INDEX('Stat Boosts'!$D$2:$D$192,I$1-9)-10)*$C3,1-0.4)</f>
        <v>0.6</v>
      </c>
      <c r="J3" s="16">
        <f>MAX(1-(INDEX('Stat Boosts'!$D$2:$D$192,J$1-9)-10)*$C3,1-0.4)</f>
        <v>0.6</v>
      </c>
      <c r="K3" s="16">
        <f>MAX(1-(INDEX('Stat Boosts'!$D$2:$D$192,K$1-9)-10)*$C3,1-0.4)</f>
        <v>0.6</v>
      </c>
      <c r="L3" s="16">
        <f>MAX(1-(INDEX('Stat Boosts'!$D$2:$D$192,L$1-9)-10)*$C3,1-0.4)</f>
        <v>0.6</v>
      </c>
      <c r="M3" s="16">
        <f>MAX(1-(INDEX('Stat Boosts'!$D$2:$D$192,M$1-9)-10)*$C3,1-0.4)</f>
        <v>0.6</v>
      </c>
      <c r="N3" s="16">
        <f>MAX(1-(INDEX('Stat Boosts'!$D$2:$D$192,N$1-9)-10)*$C3,1-0.4)</f>
        <v>0.6</v>
      </c>
      <c r="O3" s="16">
        <f>MAX(1-(INDEX('Stat Boosts'!$D$2:$D$192,O$1-9)-10)*$C3,1-0.4)</f>
        <v>0.6</v>
      </c>
      <c r="P3" s="16">
        <f>MAX(1-(INDEX('Stat Boosts'!$D$2:$D$192,P$1-9)-10)*$C3,1-0.4)</f>
        <v>0.6</v>
      </c>
      <c r="Q3" s="16">
        <f>MAX(1-(INDEX('Stat Boosts'!$D$2:$D$192,Q$1-9)-10)*$C3,1-0.4)</f>
        <v>0.6</v>
      </c>
      <c r="R3" s="16">
        <f>MAX(1-(INDEX('Stat Boosts'!$D$2:$D$192,R$1-9)-10)*$C3,1-0.4)</f>
        <v>0.6</v>
      </c>
    </row>
    <row r="4" spans="1:18">
      <c r="A4" s="9">
        <v>3</v>
      </c>
      <c r="B4" s="16">
        <f t="shared" si="0"/>
        <v>15.428571428571429</v>
      </c>
      <c r="C4" s="16">
        <f t="shared" si="1"/>
        <v>3.6842105263157898E-2</v>
      </c>
      <c r="E4" s="16">
        <f>MAX(1-(INDEX('Stat Boosts'!$D$2:$D$192,E$1-9)-10)*$C4,1-0.4)</f>
        <v>1</v>
      </c>
      <c r="F4" s="16">
        <f>MAX(1-(INDEX('Stat Boosts'!$D$2:$D$192,F$1-9)-10)*$C4,1-0.4)</f>
        <v>0.9263157894736842</v>
      </c>
      <c r="G4" s="16">
        <f>MAX(1-(INDEX('Stat Boosts'!$D$2:$D$192,G$1-9)-10)*$C4,1-0.4)</f>
        <v>0.81578947368421051</v>
      </c>
      <c r="H4" s="16">
        <f>MAX(1-(INDEX('Stat Boosts'!$D$2:$D$192,H$1-9)-10)*$C4,1-0.4)</f>
        <v>0.70526315789473681</v>
      </c>
      <c r="I4" s="16">
        <f>MAX(1-(INDEX('Stat Boosts'!$D$2:$D$192,I$1-9)-10)*$C4,1-0.4)</f>
        <v>0.6</v>
      </c>
      <c r="J4" s="16">
        <f>MAX(1-(INDEX('Stat Boosts'!$D$2:$D$192,J$1-9)-10)*$C4,1-0.4)</f>
        <v>0.6</v>
      </c>
      <c r="K4" s="16">
        <f>MAX(1-(INDEX('Stat Boosts'!$D$2:$D$192,K$1-9)-10)*$C4,1-0.4)</f>
        <v>0.6</v>
      </c>
      <c r="L4" s="16">
        <f>MAX(1-(INDEX('Stat Boosts'!$D$2:$D$192,L$1-9)-10)*$C4,1-0.4)</f>
        <v>0.6</v>
      </c>
      <c r="M4" s="16">
        <f>MAX(1-(INDEX('Stat Boosts'!$D$2:$D$192,M$1-9)-10)*$C4,1-0.4)</f>
        <v>0.6</v>
      </c>
      <c r="N4" s="16">
        <f>MAX(1-(INDEX('Stat Boosts'!$D$2:$D$192,N$1-9)-10)*$C4,1-0.4)</f>
        <v>0.6</v>
      </c>
      <c r="O4" s="16">
        <f>MAX(1-(INDEX('Stat Boosts'!$D$2:$D$192,O$1-9)-10)*$C4,1-0.4)</f>
        <v>0.6</v>
      </c>
      <c r="P4" s="16">
        <f>MAX(1-(INDEX('Stat Boosts'!$D$2:$D$192,P$1-9)-10)*$C4,1-0.4)</f>
        <v>0.6</v>
      </c>
      <c r="Q4" s="16">
        <f>MAX(1-(INDEX('Stat Boosts'!$D$2:$D$192,Q$1-9)-10)*$C4,1-0.4)</f>
        <v>0.6</v>
      </c>
      <c r="R4" s="16">
        <f>MAX(1-(INDEX('Stat Boosts'!$D$2:$D$192,R$1-9)-10)*$C4,1-0.4)</f>
        <v>0.6</v>
      </c>
    </row>
    <row r="5" spans="1:18">
      <c r="A5" s="9">
        <v>4</v>
      </c>
      <c r="B5" s="16">
        <f t="shared" si="0"/>
        <v>15.571428571428571</v>
      </c>
      <c r="C5" s="16">
        <f t="shared" si="1"/>
        <v>3.5897435897435902E-2</v>
      </c>
      <c r="E5" s="16">
        <f>MAX(1-(INDEX('Stat Boosts'!$D$2:$D$192,E$1-9)-10)*$C5,1-0.4)</f>
        <v>1</v>
      </c>
      <c r="F5" s="16">
        <f>MAX(1-(INDEX('Stat Boosts'!$D$2:$D$192,F$1-9)-10)*$C5,1-0.4)</f>
        <v>0.92820512820512824</v>
      </c>
      <c r="G5" s="16">
        <f>MAX(1-(INDEX('Stat Boosts'!$D$2:$D$192,G$1-9)-10)*$C5,1-0.4)</f>
        <v>0.82051282051282048</v>
      </c>
      <c r="H5" s="16">
        <f>MAX(1-(INDEX('Stat Boosts'!$D$2:$D$192,H$1-9)-10)*$C5,1-0.4)</f>
        <v>0.71282051282051273</v>
      </c>
      <c r="I5" s="16">
        <f>MAX(1-(INDEX('Stat Boosts'!$D$2:$D$192,I$1-9)-10)*$C5,1-0.4)</f>
        <v>0.60512820512820509</v>
      </c>
      <c r="J5" s="16">
        <f>MAX(1-(INDEX('Stat Boosts'!$D$2:$D$192,J$1-9)-10)*$C5,1-0.4)</f>
        <v>0.6</v>
      </c>
      <c r="K5" s="16">
        <f>MAX(1-(INDEX('Stat Boosts'!$D$2:$D$192,K$1-9)-10)*$C5,1-0.4)</f>
        <v>0.6</v>
      </c>
      <c r="L5" s="16">
        <f>MAX(1-(INDEX('Stat Boosts'!$D$2:$D$192,L$1-9)-10)*$C5,1-0.4)</f>
        <v>0.6</v>
      </c>
      <c r="M5" s="16">
        <f>MAX(1-(INDEX('Stat Boosts'!$D$2:$D$192,M$1-9)-10)*$C5,1-0.4)</f>
        <v>0.6</v>
      </c>
      <c r="N5" s="16">
        <f>MAX(1-(INDEX('Stat Boosts'!$D$2:$D$192,N$1-9)-10)*$C5,1-0.4)</f>
        <v>0.6</v>
      </c>
      <c r="O5" s="16">
        <f>MAX(1-(INDEX('Stat Boosts'!$D$2:$D$192,O$1-9)-10)*$C5,1-0.4)</f>
        <v>0.6</v>
      </c>
      <c r="P5" s="16">
        <f>MAX(1-(INDEX('Stat Boosts'!$D$2:$D$192,P$1-9)-10)*$C5,1-0.4)</f>
        <v>0.6</v>
      </c>
      <c r="Q5" s="16">
        <f>MAX(1-(INDEX('Stat Boosts'!$D$2:$D$192,Q$1-9)-10)*$C5,1-0.4)</f>
        <v>0.6</v>
      </c>
      <c r="R5" s="16">
        <f>MAX(1-(INDEX('Stat Boosts'!$D$2:$D$192,R$1-9)-10)*$C5,1-0.4)</f>
        <v>0.6</v>
      </c>
    </row>
    <row r="6" spans="1:18">
      <c r="A6" s="9">
        <v>5</v>
      </c>
      <c r="B6" s="16">
        <f t="shared" si="0"/>
        <v>15.714285714285714</v>
      </c>
      <c r="C6" s="16">
        <f t="shared" si="1"/>
        <v>3.5000000000000003E-2</v>
      </c>
      <c r="E6" s="16">
        <f>MAX(1-(INDEX('Stat Boosts'!$D$2:$D$192,E$1-9)-10)*$C6,1-0.4)</f>
        <v>1</v>
      </c>
      <c r="F6" s="16">
        <f>MAX(1-(INDEX('Stat Boosts'!$D$2:$D$192,F$1-9)-10)*$C6,1-0.4)</f>
        <v>0.92999999999999994</v>
      </c>
      <c r="G6" s="16">
        <f>MAX(1-(INDEX('Stat Boosts'!$D$2:$D$192,G$1-9)-10)*$C6,1-0.4)</f>
        <v>0.82499999999999996</v>
      </c>
      <c r="H6" s="16">
        <f>MAX(1-(INDEX('Stat Boosts'!$D$2:$D$192,H$1-9)-10)*$C6,1-0.4)</f>
        <v>0.72</v>
      </c>
      <c r="I6" s="16">
        <f>MAX(1-(INDEX('Stat Boosts'!$D$2:$D$192,I$1-9)-10)*$C6,1-0.4)</f>
        <v>0.61499999999999999</v>
      </c>
      <c r="J6" s="16">
        <f>MAX(1-(INDEX('Stat Boosts'!$D$2:$D$192,J$1-9)-10)*$C6,1-0.4)</f>
        <v>0.6</v>
      </c>
      <c r="K6" s="16">
        <f>MAX(1-(INDEX('Stat Boosts'!$D$2:$D$192,K$1-9)-10)*$C6,1-0.4)</f>
        <v>0.6</v>
      </c>
      <c r="L6" s="16">
        <f>MAX(1-(INDEX('Stat Boosts'!$D$2:$D$192,L$1-9)-10)*$C6,1-0.4)</f>
        <v>0.6</v>
      </c>
      <c r="M6" s="16">
        <f>MAX(1-(INDEX('Stat Boosts'!$D$2:$D$192,M$1-9)-10)*$C6,1-0.4)</f>
        <v>0.6</v>
      </c>
      <c r="N6" s="16">
        <f>MAX(1-(INDEX('Stat Boosts'!$D$2:$D$192,N$1-9)-10)*$C6,1-0.4)</f>
        <v>0.6</v>
      </c>
      <c r="O6" s="16">
        <f>MAX(1-(INDEX('Stat Boosts'!$D$2:$D$192,O$1-9)-10)*$C6,1-0.4)</f>
        <v>0.6</v>
      </c>
      <c r="P6" s="16">
        <f>MAX(1-(INDEX('Stat Boosts'!$D$2:$D$192,P$1-9)-10)*$C6,1-0.4)</f>
        <v>0.6</v>
      </c>
      <c r="Q6" s="16">
        <f>MAX(1-(INDEX('Stat Boosts'!$D$2:$D$192,Q$1-9)-10)*$C6,1-0.4)</f>
        <v>0.6</v>
      </c>
      <c r="R6" s="16">
        <f>MAX(1-(INDEX('Stat Boosts'!$D$2:$D$192,R$1-9)-10)*$C6,1-0.4)</f>
        <v>0.6</v>
      </c>
    </row>
    <row r="7" spans="1:18">
      <c r="A7" s="9">
        <v>6</v>
      </c>
      <c r="B7" s="16">
        <f t="shared" si="0"/>
        <v>15.857142857142858</v>
      </c>
      <c r="C7" s="16">
        <f t="shared" si="1"/>
        <v>3.414634146341463E-2</v>
      </c>
      <c r="E7" s="16">
        <f>MAX(1-(INDEX('Stat Boosts'!$D$2:$D$192,E$1-9)-10)*$C7,1-0.4)</f>
        <v>1</v>
      </c>
      <c r="F7" s="16">
        <f>MAX(1-(INDEX('Stat Boosts'!$D$2:$D$192,F$1-9)-10)*$C7,1-0.4)</f>
        <v>0.93170731707317078</v>
      </c>
      <c r="G7" s="16">
        <f>MAX(1-(INDEX('Stat Boosts'!$D$2:$D$192,G$1-9)-10)*$C7,1-0.4)</f>
        <v>0.8292682926829269</v>
      </c>
      <c r="H7" s="16">
        <f>MAX(1-(INDEX('Stat Boosts'!$D$2:$D$192,H$1-9)-10)*$C7,1-0.4)</f>
        <v>0.72682926829268291</v>
      </c>
      <c r="I7" s="16">
        <f>MAX(1-(INDEX('Stat Boosts'!$D$2:$D$192,I$1-9)-10)*$C7,1-0.4)</f>
        <v>0.62439024390243913</v>
      </c>
      <c r="J7" s="16">
        <f>MAX(1-(INDEX('Stat Boosts'!$D$2:$D$192,J$1-9)-10)*$C7,1-0.4)</f>
        <v>0.6</v>
      </c>
      <c r="K7" s="16">
        <f>MAX(1-(INDEX('Stat Boosts'!$D$2:$D$192,K$1-9)-10)*$C7,1-0.4)</f>
        <v>0.6</v>
      </c>
      <c r="L7" s="16">
        <f>MAX(1-(INDEX('Stat Boosts'!$D$2:$D$192,L$1-9)-10)*$C7,1-0.4)</f>
        <v>0.6</v>
      </c>
      <c r="M7" s="16">
        <f>MAX(1-(INDEX('Stat Boosts'!$D$2:$D$192,M$1-9)-10)*$C7,1-0.4)</f>
        <v>0.6</v>
      </c>
      <c r="N7" s="16">
        <f>MAX(1-(INDEX('Stat Boosts'!$D$2:$D$192,N$1-9)-10)*$C7,1-0.4)</f>
        <v>0.6</v>
      </c>
      <c r="O7" s="16">
        <f>MAX(1-(INDEX('Stat Boosts'!$D$2:$D$192,O$1-9)-10)*$C7,1-0.4)</f>
        <v>0.6</v>
      </c>
      <c r="P7" s="16">
        <f>MAX(1-(INDEX('Stat Boosts'!$D$2:$D$192,P$1-9)-10)*$C7,1-0.4)</f>
        <v>0.6</v>
      </c>
      <c r="Q7" s="16">
        <f>MAX(1-(INDEX('Stat Boosts'!$D$2:$D$192,Q$1-9)-10)*$C7,1-0.4)</f>
        <v>0.6</v>
      </c>
      <c r="R7" s="16">
        <f>MAX(1-(INDEX('Stat Boosts'!$D$2:$D$192,R$1-9)-10)*$C7,1-0.4)</f>
        <v>0.6</v>
      </c>
    </row>
    <row r="8" spans="1:18">
      <c r="A8" s="9">
        <v>7</v>
      </c>
      <c r="B8" s="16">
        <f t="shared" si="0"/>
        <v>16</v>
      </c>
      <c r="C8" s="16">
        <f t="shared" si="1"/>
        <v>3.3333333333333333E-2</v>
      </c>
      <c r="E8" s="16">
        <f>MAX(1-(INDEX('Stat Boosts'!$D$2:$D$192,E$1-9)-10)*$C8,1-0.4)</f>
        <v>1</v>
      </c>
      <c r="F8" s="16">
        <f>MAX(1-(INDEX('Stat Boosts'!$D$2:$D$192,F$1-9)-10)*$C8,1-0.4)</f>
        <v>0.93333333333333335</v>
      </c>
      <c r="G8" s="16">
        <f>MAX(1-(INDEX('Stat Boosts'!$D$2:$D$192,G$1-9)-10)*$C8,1-0.4)</f>
        <v>0.83333333333333337</v>
      </c>
      <c r="H8" s="16">
        <f>MAX(1-(INDEX('Stat Boosts'!$D$2:$D$192,H$1-9)-10)*$C8,1-0.4)</f>
        <v>0.73333333333333339</v>
      </c>
      <c r="I8" s="16">
        <f>MAX(1-(INDEX('Stat Boosts'!$D$2:$D$192,I$1-9)-10)*$C8,1-0.4)</f>
        <v>0.6333333333333333</v>
      </c>
      <c r="J8" s="16">
        <f>MAX(1-(INDEX('Stat Boosts'!$D$2:$D$192,J$1-9)-10)*$C8,1-0.4)</f>
        <v>0.6</v>
      </c>
      <c r="K8" s="16">
        <f>MAX(1-(INDEX('Stat Boosts'!$D$2:$D$192,K$1-9)-10)*$C8,1-0.4)</f>
        <v>0.6</v>
      </c>
      <c r="L8" s="16">
        <f>MAX(1-(INDEX('Stat Boosts'!$D$2:$D$192,L$1-9)-10)*$C8,1-0.4)</f>
        <v>0.6</v>
      </c>
      <c r="M8" s="16">
        <f>MAX(1-(INDEX('Stat Boosts'!$D$2:$D$192,M$1-9)-10)*$C8,1-0.4)</f>
        <v>0.6</v>
      </c>
      <c r="N8" s="16">
        <f>MAX(1-(INDEX('Stat Boosts'!$D$2:$D$192,N$1-9)-10)*$C8,1-0.4)</f>
        <v>0.6</v>
      </c>
      <c r="O8" s="16">
        <f>MAX(1-(INDEX('Stat Boosts'!$D$2:$D$192,O$1-9)-10)*$C8,1-0.4)</f>
        <v>0.6</v>
      </c>
      <c r="P8" s="16">
        <f>MAX(1-(INDEX('Stat Boosts'!$D$2:$D$192,P$1-9)-10)*$C8,1-0.4)</f>
        <v>0.6</v>
      </c>
      <c r="Q8" s="16">
        <f>MAX(1-(INDEX('Stat Boosts'!$D$2:$D$192,Q$1-9)-10)*$C8,1-0.4)</f>
        <v>0.6</v>
      </c>
      <c r="R8" s="16">
        <f>MAX(1-(INDEX('Stat Boosts'!$D$2:$D$192,R$1-9)-10)*$C8,1-0.4)</f>
        <v>0.6</v>
      </c>
    </row>
    <row r="9" spans="1:18">
      <c r="A9" s="9">
        <v>8</v>
      </c>
      <c r="B9" s="16">
        <f t="shared" si="0"/>
        <v>16.142857142857142</v>
      </c>
      <c r="C9" s="16">
        <f t="shared" si="1"/>
        <v>3.2558139534883727E-2</v>
      </c>
      <c r="E9" s="16">
        <f>MAX(1-(INDEX('Stat Boosts'!$D$2:$D$192,E$1-9)-10)*$C9,1-0.4)</f>
        <v>1</v>
      </c>
      <c r="F9" s="16">
        <f>MAX(1-(INDEX('Stat Boosts'!$D$2:$D$192,F$1-9)-10)*$C9,1-0.4)</f>
        <v>0.93488372093023253</v>
      </c>
      <c r="G9" s="16">
        <f>MAX(1-(INDEX('Stat Boosts'!$D$2:$D$192,G$1-9)-10)*$C9,1-0.4)</f>
        <v>0.83720930232558133</v>
      </c>
      <c r="H9" s="16">
        <f>MAX(1-(INDEX('Stat Boosts'!$D$2:$D$192,H$1-9)-10)*$C9,1-0.4)</f>
        <v>0.73953488372093013</v>
      </c>
      <c r="I9" s="16">
        <f>MAX(1-(INDEX('Stat Boosts'!$D$2:$D$192,I$1-9)-10)*$C9,1-0.4)</f>
        <v>0.64186046511627892</v>
      </c>
      <c r="J9" s="16">
        <f>MAX(1-(INDEX('Stat Boosts'!$D$2:$D$192,J$1-9)-10)*$C9,1-0.4)</f>
        <v>0.6</v>
      </c>
      <c r="K9" s="16">
        <f>MAX(1-(INDEX('Stat Boosts'!$D$2:$D$192,K$1-9)-10)*$C9,1-0.4)</f>
        <v>0.6</v>
      </c>
      <c r="L9" s="16">
        <f>MAX(1-(INDEX('Stat Boosts'!$D$2:$D$192,L$1-9)-10)*$C9,1-0.4)</f>
        <v>0.6</v>
      </c>
      <c r="M9" s="16">
        <f>MAX(1-(INDEX('Stat Boosts'!$D$2:$D$192,M$1-9)-10)*$C9,1-0.4)</f>
        <v>0.6</v>
      </c>
      <c r="N9" s="16">
        <f>MAX(1-(INDEX('Stat Boosts'!$D$2:$D$192,N$1-9)-10)*$C9,1-0.4)</f>
        <v>0.6</v>
      </c>
      <c r="O9" s="16">
        <f>MAX(1-(INDEX('Stat Boosts'!$D$2:$D$192,O$1-9)-10)*$C9,1-0.4)</f>
        <v>0.6</v>
      </c>
      <c r="P9" s="16">
        <f>MAX(1-(INDEX('Stat Boosts'!$D$2:$D$192,P$1-9)-10)*$C9,1-0.4)</f>
        <v>0.6</v>
      </c>
      <c r="Q9" s="16">
        <f>MAX(1-(INDEX('Stat Boosts'!$D$2:$D$192,Q$1-9)-10)*$C9,1-0.4)</f>
        <v>0.6</v>
      </c>
      <c r="R9" s="16">
        <f>MAX(1-(INDEX('Stat Boosts'!$D$2:$D$192,R$1-9)-10)*$C9,1-0.4)</f>
        <v>0.6</v>
      </c>
    </row>
    <row r="10" spans="1:18">
      <c r="A10" s="9">
        <v>9</v>
      </c>
      <c r="B10" s="16">
        <f t="shared" si="0"/>
        <v>16.285714285714285</v>
      </c>
      <c r="C10" s="16">
        <f t="shared" si="1"/>
        <v>3.1818181818181822E-2</v>
      </c>
      <c r="E10" s="16">
        <f>MAX(1-(INDEX('Stat Boosts'!$D$2:$D$192,E$1-9)-10)*$C10,1-0.4)</f>
        <v>1</v>
      </c>
      <c r="F10" s="16">
        <f>MAX(1-(INDEX('Stat Boosts'!$D$2:$D$192,F$1-9)-10)*$C10,1-0.4)</f>
        <v>0.9363636363636364</v>
      </c>
      <c r="G10" s="16">
        <f>MAX(1-(INDEX('Stat Boosts'!$D$2:$D$192,G$1-9)-10)*$C10,1-0.4)</f>
        <v>0.84090909090909083</v>
      </c>
      <c r="H10" s="16">
        <f>MAX(1-(INDEX('Stat Boosts'!$D$2:$D$192,H$1-9)-10)*$C10,1-0.4)</f>
        <v>0.74545454545454537</v>
      </c>
      <c r="I10" s="16">
        <f>MAX(1-(INDEX('Stat Boosts'!$D$2:$D$192,I$1-9)-10)*$C10,1-0.4)</f>
        <v>0.64999999999999991</v>
      </c>
      <c r="J10" s="16">
        <f>MAX(1-(INDEX('Stat Boosts'!$D$2:$D$192,J$1-9)-10)*$C10,1-0.4)</f>
        <v>0.6</v>
      </c>
      <c r="K10" s="16">
        <f>MAX(1-(INDEX('Stat Boosts'!$D$2:$D$192,K$1-9)-10)*$C10,1-0.4)</f>
        <v>0.6</v>
      </c>
      <c r="L10" s="16">
        <f>MAX(1-(INDEX('Stat Boosts'!$D$2:$D$192,L$1-9)-10)*$C10,1-0.4)</f>
        <v>0.6</v>
      </c>
      <c r="M10" s="16">
        <f>MAX(1-(INDEX('Stat Boosts'!$D$2:$D$192,M$1-9)-10)*$C10,1-0.4)</f>
        <v>0.6</v>
      </c>
      <c r="N10" s="16">
        <f>MAX(1-(INDEX('Stat Boosts'!$D$2:$D$192,N$1-9)-10)*$C10,1-0.4)</f>
        <v>0.6</v>
      </c>
      <c r="O10" s="16">
        <f>MAX(1-(INDEX('Stat Boosts'!$D$2:$D$192,O$1-9)-10)*$C10,1-0.4)</f>
        <v>0.6</v>
      </c>
      <c r="P10" s="16">
        <f>MAX(1-(INDEX('Stat Boosts'!$D$2:$D$192,P$1-9)-10)*$C10,1-0.4)</f>
        <v>0.6</v>
      </c>
      <c r="Q10" s="16">
        <f>MAX(1-(INDEX('Stat Boosts'!$D$2:$D$192,Q$1-9)-10)*$C10,1-0.4)</f>
        <v>0.6</v>
      </c>
      <c r="R10" s="16">
        <f>MAX(1-(INDEX('Stat Boosts'!$D$2:$D$192,R$1-9)-10)*$C10,1-0.4)</f>
        <v>0.6</v>
      </c>
    </row>
    <row r="11" spans="1:18">
      <c r="A11" s="9">
        <v>10</v>
      </c>
      <c r="B11" s="16">
        <f t="shared" si="0"/>
        <v>16.428571428571427</v>
      </c>
      <c r="C11" s="16">
        <f t="shared" si="1"/>
        <v>3.1111111111111121E-2</v>
      </c>
      <c r="E11" s="16">
        <f>MAX(1-(INDEX('Stat Boosts'!$D$2:$D$192,E$1-9)-10)*$C11,1-0.4)</f>
        <v>1</v>
      </c>
      <c r="F11" s="16">
        <f>MAX(1-(INDEX('Stat Boosts'!$D$2:$D$192,F$1-9)-10)*$C11,1-0.4)</f>
        <v>0.93777777777777771</v>
      </c>
      <c r="G11" s="16">
        <f>MAX(1-(INDEX('Stat Boosts'!$D$2:$D$192,G$1-9)-10)*$C11,1-0.4)</f>
        <v>0.84444444444444433</v>
      </c>
      <c r="H11" s="16">
        <f>MAX(1-(INDEX('Stat Boosts'!$D$2:$D$192,H$1-9)-10)*$C11,1-0.4)</f>
        <v>0.75111111111111106</v>
      </c>
      <c r="I11" s="16">
        <f>MAX(1-(INDEX('Stat Boosts'!$D$2:$D$192,I$1-9)-10)*$C11,1-0.4)</f>
        <v>0.65777777777777768</v>
      </c>
      <c r="J11" s="16">
        <f>MAX(1-(INDEX('Stat Boosts'!$D$2:$D$192,J$1-9)-10)*$C11,1-0.4)</f>
        <v>0.6</v>
      </c>
      <c r="K11" s="16">
        <f>MAX(1-(INDEX('Stat Boosts'!$D$2:$D$192,K$1-9)-10)*$C11,1-0.4)</f>
        <v>0.6</v>
      </c>
      <c r="L11" s="16">
        <f>MAX(1-(INDEX('Stat Boosts'!$D$2:$D$192,L$1-9)-10)*$C11,1-0.4)</f>
        <v>0.6</v>
      </c>
      <c r="M11" s="16">
        <f>MAX(1-(INDEX('Stat Boosts'!$D$2:$D$192,M$1-9)-10)*$C11,1-0.4)</f>
        <v>0.6</v>
      </c>
      <c r="N11" s="16">
        <f>MAX(1-(INDEX('Stat Boosts'!$D$2:$D$192,N$1-9)-10)*$C11,1-0.4)</f>
        <v>0.6</v>
      </c>
      <c r="O11" s="16">
        <f>MAX(1-(INDEX('Stat Boosts'!$D$2:$D$192,O$1-9)-10)*$C11,1-0.4)</f>
        <v>0.6</v>
      </c>
      <c r="P11" s="16">
        <f>MAX(1-(INDEX('Stat Boosts'!$D$2:$D$192,P$1-9)-10)*$C11,1-0.4)</f>
        <v>0.6</v>
      </c>
      <c r="Q11" s="16">
        <f>MAX(1-(INDEX('Stat Boosts'!$D$2:$D$192,Q$1-9)-10)*$C11,1-0.4)</f>
        <v>0.6</v>
      </c>
      <c r="R11" s="16">
        <f>MAX(1-(INDEX('Stat Boosts'!$D$2:$D$192,R$1-9)-10)*$C11,1-0.4)</f>
        <v>0.6</v>
      </c>
    </row>
    <row r="12" spans="1:18">
      <c r="A12" s="9">
        <v>11</v>
      </c>
      <c r="B12" s="16">
        <f t="shared" si="0"/>
        <v>16.571428571428573</v>
      </c>
      <c r="C12" s="16">
        <f t="shared" si="1"/>
        <v>3.0434782608695646E-2</v>
      </c>
      <c r="E12" s="16">
        <f>MAX(1-(INDEX('Stat Boosts'!$D$2:$D$192,E$1-9)-10)*$C12,1-0.4)</f>
        <v>1</v>
      </c>
      <c r="F12" s="16">
        <f>MAX(1-(INDEX('Stat Boosts'!$D$2:$D$192,F$1-9)-10)*$C12,1-0.4)</f>
        <v>0.93913043478260871</v>
      </c>
      <c r="G12" s="16">
        <f>MAX(1-(INDEX('Stat Boosts'!$D$2:$D$192,G$1-9)-10)*$C12,1-0.4)</f>
        <v>0.84782608695652173</v>
      </c>
      <c r="H12" s="16">
        <f>MAX(1-(INDEX('Stat Boosts'!$D$2:$D$192,H$1-9)-10)*$C12,1-0.4)</f>
        <v>0.75652173913043486</v>
      </c>
      <c r="I12" s="16">
        <f>MAX(1-(INDEX('Stat Boosts'!$D$2:$D$192,I$1-9)-10)*$C12,1-0.4)</f>
        <v>0.66521739130434787</v>
      </c>
      <c r="J12" s="16">
        <f>MAX(1-(INDEX('Stat Boosts'!$D$2:$D$192,J$1-9)-10)*$C12,1-0.4)</f>
        <v>0.6</v>
      </c>
      <c r="K12" s="16">
        <f>MAX(1-(INDEX('Stat Boosts'!$D$2:$D$192,K$1-9)-10)*$C12,1-0.4)</f>
        <v>0.6</v>
      </c>
      <c r="L12" s="16">
        <f>MAX(1-(INDEX('Stat Boosts'!$D$2:$D$192,L$1-9)-10)*$C12,1-0.4)</f>
        <v>0.6</v>
      </c>
      <c r="M12" s="16">
        <f>MAX(1-(INDEX('Stat Boosts'!$D$2:$D$192,M$1-9)-10)*$C12,1-0.4)</f>
        <v>0.6</v>
      </c>
      <c r="N12" s="16">
        <f>MAX(1-(INDEX('Stat Boosts'!$D$2:$D$192,N$1-9)-10)*$C12,1-0.4)</f>
        <v>0.6</v>
      </c>
      <c r="O12" s="16">
        <f>MAX(1-(INDEX('Stat Boosts'!$D$2:$D$192,O$1-9)-10)*$C12,1-0.4)</f>
        <v>0.6</v>
      </c>
      <c r="P12" s="16">
        <f>MAX(1-(INDEX('Stat Boosts'!$D$2:$D$192,P$1-9)-10)*$C12,1-0.4)</f>
        <v>0.6</v>
      </c>
      <c r="Q12" s="16">
        <f>MAX(1-(INDEX('Stat Boosts'!$D$2:$D$192,Q$1-9)-10)*$C12,1-0.4)</f>
        <v>0.6</v>
      </c>
      <c r="R12" s="16">
        <f>MAX(1-(INDEX('Stat Boosts'!$D$2:$D$192,R$1-9)-10)*$C12,1-0.4)</f>
        <v>0.6</v>
      </c>
    </row>
    <row r="13" spans="1:18">
      <c r="A13" s="9">
        <v>12</v>
      </c>
      <c r="B13" s="16">
        <f t="shared" si="0"/>
        <v>16.714285714285715</v>
      </c>
      <c r="C13" s="16">
        <f t="shared" si="1"/>
        <v>2.9787234042553189E-2</v>
      </c>
      <c r="E13" s="16">
        <f>MAX(1-(INDEX('Stat Boosts'!$D$2:$D$192,E$1-9)-10)*$C13,1-0.4)</f>
        <v>1</v>
      </c>
      <c r="F13" s="16">
        <f>MAX(1-(INDEX('Stat Boosts'!$D$2:$D$192,F$1-9)-10)*$C13,1-0.4)</f>
        <v>0.94042553191489364</v>
      </c>
      <c r="G13" s="16">
        <f>MAX(1-(INDEX('Stat Boosts'!$D$2:$D$192,G$1-9)-10)*$C13,1-0.4)</f>
        <v>0.85106382978723405</v>
      </c>
      <c r="H13" s="16">
        <f>MAX(1-(INDEX('Stat Boosts'!$D$2:$D$192,H$1-9)-10)*$C13,1-0.4)</f>
        <v>0.76170212765957446</v>
      </c>
      <c r="I13" s="16">
        <f>MAX(1-(INDEX('Stat Boosts'!$D$2:$D$192,I$1-9)-10)*$C13,1-0.4)</f>
        <v>0.67234042553191498</v>
      </c>
      <c r="J13" s="16">
        <f>MAX(1-(INDEX('Stat Boosts'!$D$2:$D$192,J$1-9)-10)*$C13,1-0.4)</f>
        <v>0.6</v>
      </c>
      <c r="K13" s="16">
        <f>MAX(1-(INDEX('Stat Boosts'!$D$2:$D$192,K$1-9)-10)*$C13,1-0.4)</f>
        <v>0.6</v>
      </c>
      <c r="L13" s="16">
        <f>MAX(1-(INDEX('Stat Boosts'!$D$2:$D$192,L$1-9)-10)*$C13,1-0.4)</f>
        <v>0.6</v>
      </c>
      <c r="M13" s="16">
        <f>MAX(1-(INDEX('Stat Boosts'!$D$2:$D$192,M$1-9)-10)*$C13,1-0.4)</f>
        <v>0.6</v>
      </c>
      <c r="N13" s="16">
        <f>MAX(1-(INDEX('Stat Boosts'!$D$2:$D$192,N$1-9)-10)*$C13,1-0.4)</f>
        <v>0.6</v>
      </c>
      <c r="O13" s="16">
        <f>MAX(1-(INDEX('Stat Boosts'!$D$2:$D$192,O$1-9)-10)*$C13,1-0.4)</f>
        <v>0.6</v>
      </c>
      <c r="P13" s="16">
        <f>MAX(1-(INDEX('Stat Boosts'!$D$2:$D$192,P$1-9)-10)*$C13,1-0.4)</f>
        <v>0.6</v>
      </c>
      <c r="Q13" s="16">
        <f>MAX(1-(INDEX('Stat Boosts'!$D$2:$D$192,Q$1-9)-10)*$C13,1-0.4)</f>
        <v>0.6</v>
      </c>
      <c r="R13" s="16">
        <f>MAX(1-(INDEX('Stat Boosts'!$D$2:$D$192,R$1-9)-10)*$C13,1-0.4)</f>
        <v>0.6</v>
      </c>
    </row>
    <row r="14" spans="1:18">
      <c r="A14" s="9">
        <v>13</v>
      </c>
      <c r="B14" s="16">
        <f t="shared" si="0"/>
        <v>16.857142857142858</v>
      </c>
      <c r="C14" s="16">
        <f t="shared" si="1"/>
        <v>2.9166666666666667E-2</v>
      </c>
      <c r="E14" s="16">
        <f>MAX(1-(INDEX('Stat Boosts'!$D$2:$D$192,E$1-9)-10)*$C14,1-0.4)</f>
        <v>1</v>
      </c>
      <c r="F14" s="16">
        <f>MAX(1-(INDEX('Stat Boosts'!$D$2:$D$192,F$1-9)-10)*$C14,1-0.4)</f>
        <v>0.94166666666666665</v>
      </c>
      <c r="G14" s="16">
        <f>MAX(1-(INDEX('Stat Boosts'!$D$2:$D$192,G$1-9)-10)*$C14,1-0.4)</f>
        <v>0.85416666666666663</v>
      </c>
      <c r="H14" s="16">
        <f>MAX(1-(INDEX('Stat Boosts'!$D$2:$D$192,H$1-9)-10)*$C14,1-0.4)</f>
        <v>0.76666666666666661</v>
      </c>
      <c r="I14" s="16">
        <f>MAX(1-(INDEX('Stat Boosts'!$D$2:$D$192,I$1-9)-10)*$C14,1-0.4)</f>
        <v>0.6791666666666667</v>
      </c>
      <c r="J14" s="16">
        <f>MAX(1-(INDEX('Stat Boosts'!$D$2:$D$192,J$1-9)-10)*$C14,1-0.4)</f>
        <v>0.6</v>
      </c>
      <c r="K14" s="16">
        <f>MAX(1-(INDEX('Stat Boosts'!$D$2:$D$192,K$1-9)-10)*$C14,1-0.4)</f>
        <v>0.6</v>
      </c>
      <c r="L14" s="16">
        <f>MAX(1-(INDEX('Stat Boosts'!$D$2:$D$192,L$1-9)-10)*$C14,1-0.4)</f>
        <v>0.6</v>
      </c>
      <c r="M14" s="16">
        <f>MAX(1-(INDEX('Stat Boosts'!$D$2:$D$192,M$1-9)-10)*$C14,1-0.4)</f>
        <v>0.6</v>
      </c>
      <c r="N14" s="16">
        <f>MAX(1-(INDEX('Stat Boosts'!$D$2:$D$192,N$1-9)-10)*$C14,1-0.4)</f>
        <v>0.6</v>
      </c>
      <c r="O14" s="16">
        <f>MAX(1-(INDEX('Stat Boosts'!$D$2:$D$192,O$1-9)-10)*$C14,1-0.4)</f>
        <v>0.6</v>
      </c>
      <c r="P14" s="16">
        <f>MAX(1-(INDEX('Stat Boosts'!$D$2:$D$192,P$1-9)-10)*$C14,1-0.4)</f>
        <v>0.6</v>
      </c>
      <c r="Q14" s="16">
        <f>MAX(1-(INDEX('Stat Boosts'!$D$2:$D$192,Q$1-9)-10)*$C14,1-0.4)</f>
        <v>0.6</v>
      </c>
      <c r="R14" s="16">
        <f>MAX(1-(INDEX('Stat Boosts'!$D$2:$D$192,R$1-9)-10)*$C14,1-0.4)</f>
        <v>0.6</v>
      </c>
    </row>
    <row r="15" spans="1:18">
      <c r="A15" s="9">
        <v>14</v>
      </c>
      <c r="B15" s="16">
        <f t="shared" si="0"/>
        <v>17</v>
      </c>
      <c r="C15" s="16">
        <f t="shared" si="1"/>
        <v>2.8571428571428574E-2</v>
      </c>
      <c r="E15" s="16">
        <f>MAX(1-(INDEX('Stat Boosts'!$D$2:$D$192,E$1-9)-10)*$C15,1-0.4)</f>
        <v>1</v>
      </c>
      <c r="F15" s="16">
        <f>MAX(1-(INDEX('Stat Boosts'!$D$2:$D$192,F$1-9)-10)*$C15,1-0.4)</f>
        <v>0.94285714285714284</v>
      </c>
      <c r="G15" s="16">
        <f>MAX(1-(INDEX('Stat Boosts'!$D$2:$D$192,G$1-9)-10)*$C15,1-0.4)</f>
        <v>0.8571428571428571</v>
      </c>
      <c r="H15" s="16">
        <f>MAX(1-(INDEX('Stat Boosts'!$D$2:$D$192,H$1-9)-10)*$C15,1-0.4)</f>
        <v>0.77142857142857135</v>
      </c>
      <c r="I15" s="16">
        <f>MAX(1-(INDEX('Stat Boosts'!$D$2:$D$192,I$1-9)-10)*$C15,1-0.4)</f>
        <v>0.68571428571428572</v>
      </c>
      <c r="J15" s="16">
        <f>MAX(1-(INDEX('Stat Boosts'!$D$2:$D$192,J$1-9)-10)*$C15,1-0.4)</f>
        <v>0.6</v>
      </c>
      <c r="K15" s="16">
        <f>MAX(1-(INDEX('Stat Boosts'!$D$2:$D$192,K$1-9)-10)*$C15,1-0.4)</f>
        <v>0.6</v>
      </c>
      <c r="L15" s="16">
        <f>MAX(1-(INDEX('Stat Boosts'!$D$2:$D$192,L$1-9)-10)*$C15,1-0.4)</f>
        <v>0.6</v>
      </c>
      <c r="M15" s="16">
        <f>MAX(1-(INDEX('Stat Boosts'!$D$2:$D$192,M$1-9)-10)*$C15,1-0.4)</f>
        <v>0.6</v>
      </c>
      <c r="N15" s="16">
        <f>MAX(1-(INDEX('Stat Boosts'!$D$2:$D$192,N$1-9)-10)*$C15,1-0.4)</f>
        <v>0.6</v>
      </c>
      <c r="O15" s="16">
        <f>MAX(1-(INDEX('Stat Boosts'!$D$2:$D$192,O$1-9)-10)*$C15,1-0.4)</f>
        <v>0.6</v>
      </c>
      <c r="P15" s="16">
        <f>MAX(1-(INDEX('Stat Boosts'!$D$2:$D$192,P$1-9)-10)*$C15,1-0.4)</f>
        <v>0.6</v>
      </c>
      <c r="Q15" s="16">
        <f>MAX(1-(INDEX('Stat Boosts'!$D$2:$D$192,Q$1-9)-10)*$C15,1-0.4)</f>
        <v>0.6</v>
      </c>
      <c r="R15" s="16">
        <f>MAX(1-(INDEX('Stat Boosts'!$D$2:$D$192,R$1-9)-10)*$C15,1-0.4)</f>
        <v>0.6</v>
      </c>
    </row>
    <row r="16" spans="1:18">
      <c r="A16" s="9">
        <v>15</v>
      </c>
      <c r="B16" s="16">
        <f t="shared" si="0"/>
        <v>17.142857142857142</v>
      </c>
      <c r="C16" s="16">
        <f t="shared" si="1"/>
        <v>2.8000000000000004E-2</v>
      </c>
      <c r="E16" s="16">
        <f>MAX(1-(INDEX('Stat Boosts'!$D$2:$D$192,E$1-9)-10)*$C16,1-0.4)</f>
        <v>1</v>
      </c>
      <c r="F16" s="16">
        <f>MAX(1-(INDEX('Stat Boosts'!$D$2:$D$192,F$1-9)-10)*$C16,1-0.4)</f>
        <v>0.94399999999999995</v>
      </c>
      <c r="G16" s="16">
        <f>MAX(1-(INDEX('Stat Boosts'!$D$2:$D$192,G$1-9)-10)*$C16,1-0.4)</f>
        <v>0.86</v>
      </c>
      <c r="H16" s="16">
        <f>MAX(1-(INDEX('Stat Boosts'!$D$2:$D$192,H$1-9)-10)*$C16,1-0.4)</f>
        <v>0.77600000000000002</v>
      </c>
      <c r="I16" s="16">
        <f>MAX(1-(INDEX('Stat Boosts'!$D$2:$D$192,I$1-9)-10)*$C16,1-0.4)</f>
        <v>0.69199999999999995</v>
      </c>
      <c r="J16" s="16">
        <f>MAX(1-(INDEX('Stat Boosts'!$D$2:$D$192,J$1-9)-10)*$C16,1-0.4)</f>
        <v>0.60799999999999987</v>
      </c>
      <c r="K16" s="16">
        <f>MAX(1-(INDEX('Stat Boosts'!$D$2:$D$192,K$1-9)-10)*$C16,1-0.4)</f>
        <v>0.6</v>
      </c>
      <c r="L16" s="16">
        <f>MAX(1-(INDEX('Stat Boosts'!$D$2:$D$192,L$1-9)-10)*$C16,1-0.4)</f>
        <v>0.6</v>
      </c>
      <c r="M16" s="16">
        <f>MAX(1-(INDEX('Stat Boosts'!$D$2:$D$192,M$1-9)-10)*$C16,1-0.4)</f>
        <v>0.6</v>
      </c>
      <c r="N16" s="16">
        <f>MAX(1-(INDEX('Stat Boosts'!$D$2:$D$192,N$1-9)-10)*$C16,1-0.4)</f>
        <v>0.6</v>
      </c>
      <c r="O16" s="16">
        <f>MAX(1-(INDEX('Stat Boosts'!$D$2:$D$192,O$1-9)-10)*$C16,1-0.4)</f>
        <v>0.6</v>
      </c>
      <c r="P16" s="16">
        <f>MAX(1-(INDEX('Stat Boosts'!$D$2:$D$192,P$1-9)-10)*$C16,1-0.4)</f>
        <v>0.6</v>
      </c>
      <c r="Q16" s="16">
        <f>MAX(1-(INDEX('Stat Boosts'!$D$2:$D$192,Q$1-9)-10)*$C16,1-0.4)</f>
        <v>0.6</v>
      </c>
      <c r="R16" s="16">
        <f>MAX(1-(INDEX('Stat Boosts'!$D$2:$D$192,R$1-9)-10)*$C16,1-0.4)</f>
        <v>0.6</v>
      </c>
    </row>
    <row r="17" spans="1:18">
      <c r="A17" s="9">
        <v>16</v>
      </c>
      <c r="B17" s="16">
        <f t="shared" si="0"/>
        <v>17.285714285714285</v>
      </c>
      <c r="C17" s="16">
        <f t="shared" si="1"/>
        <v>2.7450980392156869E-2</v>
      </c>
      <c r="E17" s="16">
        <f>MAX(1-(INDEX('Stat Boosts'!$D$2:$D$192,E$1-9)-10)*$C17,1-0.4)</f>
        <v>1</v>
      </c>
      <c r="F17" s="16">
        <f>MAX(1-(INDEX('Stat Boosts'!$D$2:$D$192,F$1-9)-10)*$C17,1-0.4)</f>
        <v>0.94509803921568625</v>
      </c>
      <c r="G17" s="16">
        <f>MAX(1-(INDEX('Stat Boosts'!$D$2:$D$192,G$1-9)-10)*$C17,1-0.4)</f>
        <v>0.86274509803921562</v>
      </c>
      <c r="H17" s="16">
        <f>MAX(1-(INDEX('Stat Boosts'!$D$2:$D$192,H$1-9)-10)*$C17,1-0.4)</f>
        <v>0.78039215686274499</v>
      </c>
      <c r="I17" s="16">
        <f>MAX(1-(INDEX('Stat Boosts'!$D$2:$D$192,I$1-9)-10)*$C17,1-0.4)</f>
        <v>0.69803921568627447</v>
      </c>
      <c r="J17" s="16">
        <f>MAX(1-(INDEX('Stat Boosts'!$D$2:$D$192,J$1-9)-10)*$C17,1-0.4)</f>
        <v>0.61568627450980384</v>
      </c>
      <c r="K17" s="16">
        <f>MAX(1-(INDEX('Stat Boosts'!$D$2:$D$192,K$1-9)-10)*$C17,1-0.4)</f>
        <v>0.6</v>
      </c>
      <c r="L17" s="16">
        <f>MAX(1-(INDEX('Stat Boosts'!$D$2:$D$192,L$1-9)-10)*$C17,1-0.4)</f>
        <v>0.6</v>
      </c>
      <c r="M17" s="16">
        <f>MAX(1-(INDEX('Stat Boosts'!$D$2:$D$192,M$1-9)-10)*$C17,1-0.4)</f>
        <v>0.6</v>
      </c>
      <c r="N17" s="16">
        <f>MAX(1-(INDEX('Stat Boosts'!$D$2:$D$192,N$1-9)-10)*$C17,1-0.4)</f>
        <v>0.6</v>
      </c>
      <c r="O17" s="16">
        <f>MAX(1-(INDEX('Stat Boosts'!$D$2:$D$192,O$1-9)-10)*$C17,1-0.4)</f>
        <v>0.6</v>
      </c>
      <c r="P17" s="16">
        <f>MAX(1-(INDEX('Stat Boosts'!$D$2:$D$192,P$1-9)-10)*$C17,1-0.4)</f>
        <v>0.6</v>
      </c>
      <c r="Q17" s="16">
        <f>MAX(1-(INDEX('Stat Boosts'!$D$2:$D$192,Q$1-9)-10)*$C17,1-0.4)</f>
        <v>0.6</v>
      </c>
      <c r="R17" s="16">
        <f>MAX(1-(INDEX('Stat Boosts'!$D$2:$D$192,R$1-9)-10)*$C17,1-0.4)</f>
        <v>0.6</v>
      </c>
    </row>
    <row r="18" spans="1:18">
      <c r="A18" s="9">
        <v>17</v>
      </c>
      <c r="B18" s="16">
        <f t="shared" si="0"/>
        <v>17.428571428571427</v>
      </c>
      <c r="C18" s="16">
        <f t="shared" si="1"/>
        <v>2.6923076923076932E-2</v>
      </c>
      <c r="E18" s="16">
        <f>MAX(1-(INDEX('Stat Boosts'!$D$2:$D$192,E$1-9)-10)*$C18,1-0.4)</f>
        <v>1</v>
      </c>
      <c r="F18" s="16">
        <f>MAX(1-(INDEX('Stat Boosts'!$D$2:$D$192,F$1-9)-10)*$C18,1-0.4)</f>
        <v>0.94615384615384612</v>
      </c>
      <c r="G18" s="16">
        <f>MAX(1-(INDEX('Stat Boosts'!$D$2:$D$192,G$1-9)-10)*$C18,1-0.4)</f>
        <v>0.86538461538461531</v>
      </c>
      <c r="H18" s="16">
        <f>MAX(1-(INDEX('Stat Boosts'!$D$2:$D$192,H$1-9)-10)*$C18,1-0.4)</f>
        <v>0.78461538461538449</v>
      </c>
      <c r="I18" s="16">
        <f>MAX(1-(INDEX('Stat Boosts'!$D$2:$D$192,I$1-9)-10)*$C18,1-0.4)</f>
        <v>0.70384615384615379</v>
      </c>
      <c r="J18" s="16">
        <f>MAX(1-(INDEX('Stat Boosts'!$D$2:$D$192,J$1-9)-10)*$C18,1-0.4)</f>
        <v>0.62307692307692297</v>
      </c>
      <c r="K18" s="16">
        <f>MAX(1-(INDEX('Stat Boosts'!$D$2:$D$192,K$1-9)-10)*$C18,1-0.4)</f>
        <v>0.6</v>
      </c>
      <c r="L18" s="16">
        <f>MAX(1-(INDEX('Stat Boosts'!$D$2:$D$192,L$1-9)-10)*$C18,1-0.4)</f>
        <v>0.6</v>
      </c>
      <c r="M18" s="16">
        <f>MAX(1-(INDEX('Stat Boosts'!$D$2:$D$192,M$1-9)-10)*$C18,1-0.4)</f>
        <v>0.6</v>
      </c>
      <c r="N18" s="16">
        <f>MAX(1-(INDEX('Stat Boosts'!$D$2:$D$192,N$1-9)-10)*$C18,1-0.4)</f>
        <v>0.6</v>
      </c>
      <c r="O18" s="16">
        <f>MAX(1-(INDEX('Stat Boosts'!$D$2:$D$192,O$1-9)-10)*$C18,1-0.4)</f>
        <v>0.6</v>
      </c>
      <c r="P18" s="16">
        <f>MAX(1-(INDEX('Stat Boosts'!$D$2:$D$192,P$1-9)-10)*$C18,1-0.4)</f>
        <v>0.6</v>
      </c>
      <c r="Q18" s="16">
        <f>MAX(1-(INDEX('Stat Boosts'!$D$2:$D$192,Q$1-9)-10)*$C18,1-0.4)</f>
        <v>0.6</v>
      </c>
      <c r="R18" s="16">
        <f>MAX(1-(INDEX('Stat Boosts'!$D$2:$D$192,R$1-9)-10)*$C18,1-0.4)</f>
        <v>0.6</v>
      </c>
    </row>
    <row r="19" spans="1:18">
      <c r="A19" s="9">
        <v>18</v>
      </c>
      <c r="B19" s="16">
        <f t="shared" si="0"/>
        <v>17.571428571428573</v>
      </c>
      <c r="C19" s="16">
        <f t="shared" si="1"/>
        <v>2.6415094339622639E-2</v>
      </c>
      <c r="E19" s="16">
        <f>MAX(1-(INDEX('Stat Boosts'!$D$2:$D$192,E$1-9)-10)*$C19,1-0.4)</f>
        <v>1</v>
      </c>
      <c r="F19" s="16">
        <f>MAX(1-(INDEX('Stat Boosts'!$D$2:$D$192,F$1-9)-10)*$C19,1-0.4)</f>
        <v>0.94716981132075473</v>
      </c>
      <c r="G19" s="16">
        <f>MAX(1-(INDEX('Stat Boosts'!$D$2:$D$192,G$1-9)-10)*$C19,1-0.4)</f>
        <v>0.86792452830188682</v>
      </c>
      <c r="H19" s="16">
        <f>MAX(1-(INDEX('Stat Boosts'!$D$2:$D$192,H$1-9)-10)*$C19,1-0.4)</f>
        <v>0.78867924528301891</v>
      </c>
      <c r="I19" s="16">
        <f>MAX(1-(INDEX('Stat Boosts'!$D$2:$D$192,I$1-9)-10)*$C19,1-0.4)</f>
        <v>0.70943396226415101</v>
      </c>
      <c r="J19" s="16">
        <f>MAX(1-(INDEX('Stat Boosts'!$D$2:$D$192,J$1-9)-10)*$C19,1-0.4)</f>
        <v>0.6301886792452831</v>
      </c>
      <c r="K19" s="16">
        <f>MAX(1-(INDEX('Stat Boosts'!$D$2:$D$192,K$1-9)-10)*$C19,1-0.4)</f>
        <v>0.6</v>
      </c>
      <c r="L19" s="16">
        <f>MAX(1-(INDEX('Stat Boosts'!$D$2:$D$192,L$1-9)-10)*$C19,1-0.4)</f>
        <v>0.6</v>
      </c>
      <c r="M19" s="16">
        <f>MAX(1-(INDEX('Stat Boosts'!$D$2:$D$192,M$1-9)-10)*$C19,1-0.4)</f>
        <v>0.6</v>
      </c>
      <c r="N19" s="16">
        <f>MAX(1-(INDEX('Stat Boosts'!$D$2:$D$192,N$1-9)-10)*$C19,1-0.4)</f>
        <v>0.6</v>
      </c>
      <c r="O19" s="16">
        <f>MAX(1-(INDEX('Stat Boosts'!$D$2:$D$192,O$1-9)-10)*$C19,1-0.4)</f>
        <v>0.6</v>
      </c>
      <c r="P19" s="16">
        <f>MAX(1-(INDEX('Stat Boosts'!$D$2:$D$192,P$1-9)-10)*$C19,1-0.4)</f>
        <v>0.6</v>
      </c>
      <c r="Q19" s="16">
        <f>MAX(1-(INDEX('Stat Boosts'!$D$2:$D$192,Q$1-9)-10)*$C19,1-0.4)</f>
        <v>0.6</v>
      </c>
      <c r="R19" s="16">
        <f>MAX(1-(INDEX('Stat Boosts'!$D$2:$D$192,R$1-9)-10)*$C19,1-0.4)</f>
        <v>0.6</v>
      </c>
    </row>
    <row r="20" spans="1:18">
      <c r="A20" s="9">
        <v>19</v>
      </c>
      <c r="B20" s="16">
        <f t="shared" si="0"/>
        <v>17.714285714285715</v>
      </c>
      <c r="C20" s="16">
        <f t="shared" si="1"/>
        <v>2.5925925925925925E-2</v>
      </c>
      <c r="E20" s="16">
        <f>MAX(1-(INDEX('Stat Boosts'!$D$2:$D$192,E$1-9)-10)*$C20,1-0.4)</f>
        <v>1</v>
      </c>
      <c r="F20" s="16">
        <f>MAX(1-(INDEX('Stat Boosts'!$D$2:$D$192,F$1-9)-10)*$C20,1-0.4)</f>
        <v>0.94814814814814818</v>
      </c>
      <c r="G20" s="16">
        <f>MAX(1-(INDEX('Stat Boosts'!$D$2:$D$192,G$1-9)-10)*$C20,1-0.4)</f>
        <v>0.87037037037037035</v>
      </c>
      <c r="H20" s="16">
        <f>MAX(1-(INDEX('Stat Boosts'!$D$2:$D$192,H$1-9)-10)*$C20,1-0.4)</f>
        <v>0.79259259259259263</v>
      </c>
      <c r="I20" s="16">
        <f>MAX(1-(INDEX('Stat Boosts'!$D$2:$D$192,I$1-9)-10)*$C20,1-0.4)</f>
        <v>0.71481481481481479</v>
      </c>
      <c r="J20" s="16">
        <f>MAX(1-(INDEX('Stat Boosts'!$D$2:$D$192,J$1-9)-10)*$C20,1-0.4)</f>
        <v>0.63703703703703707</v>
      </c>
      <c r="K20" s="16">
        <f>MAX(1-(INDEX('Stat Boosts'!$D$2:$D$192,K$1-9)-10)*$C20,1-0.4)</f>
        <v>0.6</v>
      </c>
      <c r="L20" s="16">
        <f>MAX(1-(INDEX('Stat Boosts'!$D$2:$D$192,L$1-9)-10)*$C20,1-0.4)</f>
        <v>0.6</v>
      </c>
      <c r="M20" s="16">
        <f>MAX(1-(INDEX('Stat Boosts'!$D$2:$D$192,M$1-9)-10)*$C20,1-0.4)</f>
        <v>0.6</v>
      </c>
      <c r="N20" s="16">
        <f>MAX(1-(INDEX('Stat Boosts'!$D$2:$D$192,N$1-9)-10)*$C20,1-0.4)</f>
        <v>0.6</v>
      </c>
      <c r="O20" s="16">
        <f>MAX(1-(INDEX('Stat Boosts'!$D$2:$D$192,O$1-9)-10)*$C20,1-0.4)</f>
        <v>0.6</v>
      </c>
      <c r="P20" s="16">
        <f>MAX(1-(INDEX('Stat Boosts'!$D$2:$D$192,P$1-9)-10)*$C20,1-0.4)</f>
        <v>0.6</v>
      </c>
      <c r="Q20" s="16">
        <f>MAX(1-(INDEX('Stat Boosts'!$D$2:$D$192,Q$1-9)-10)*$C20,1-0.4)</f>
        <v>0.6</v>
      </c>
      <c r="R20" s="16">
        <f>MAX(1-(INDEX('Stat Boosts'!$D$2:$D$192,R$1-9)-10)*$C20,1-0.4)</f>
        <v>0.6</v>
      </c>
    </row>
    <row r="21" spans="1:18">
      <c r="A21" s="9">
        <v>20</v>
      </c>
      <c r="B21" s="16">
        <f t="shared" si="0"/>
        <v>17.857142857142858</v>
      </c>
      <c r="C21" s="16">
        <f t="shared" si="1"/>
        <v>2.5454545454545455E-2</v>
      </c>
      <c r="E21" s="16">
        <f>MAX(1-(INDEX('Stat Boosts'!$D$2:$D$192,E$1-9)-10)*$C21,1-0.4)</f>
        <v>1</v>
      </c>
      <c r="F21" s="16">
        <f>MAX(1-(INDEX('Stat Boosts'!$D$2:$D$192,F$1-9)-10)*$C21,1-0.4)</f>
        <v>0.9490909090909091</v>
      </c>
      <c r="G21" s="16">
        <f>MAX(1-(INDEX('Stat Boosts'!$D$2:$D$192,G$1-9)-10)*$C21,1-0.4)</f>
        <v>0.87272727272727268</v>
      </c>
      <c r="H21" s="16">
        <f>MAX(1-(INDEX('Stat Boosts'!$D$2:$D$192,H$1-9)-10)*$C21,1-0.4)</f>
        <v>0.79636363636363638</v>
      </c>
      <c r="I21" s="16">
        <f>MAX(1-(INDEX('Stat Boosts'!$D$2:$D$192,I$1-9)-10)*$C21,1-0.4)</f>
        <v>0.72</v>
      </c>
      <c r="J21" s="16">
        <f>MAX(1-(INDEX('Stat Boosts'!$D$2:$D$192,J$1-9)-10)*$C21,1-0.4)</f>
        <v>0.64363636363636356</v>
      </c>
      <c r="K21" s="16">
        <f>MAX(1-(INDEX('Stat Boosts'!$D$2:$D$192,K$1-9)-10)*$C21,1-0.4)</f>
        <v>0.6</v>
      </c>
      <c r="L21" s="16">
        <f>MAX(1-(INDEX('Stat Boosts'!$D$2:$D$192,L$1-9)-10)*$C21,1-0.4)</f>
        <v>0.6</v>
      </c>
      <c r="M21" s="16">
        <f>MAX(1-(INDEX('Stat Boosts'!$D$2:$D$192,M$1-9)-10)*$C21,1-0.4)</f>
        <v>0.6</v>
      </c>
      <c r="N21" s="16">
        <f>MAX(1-(INDEX('Stat Boosts'!$D$2:$D$192,N$1-9)-10)*$C21,1-0.4)</f>
        <v>0.6</v>
      </c>
      <c r="O21" s="16">
        <f>MAX(1-(INDEX('Stat Boosts'!$D$2:$D$192,O$1-9)-10)*$C21,1-0.4)</f>
        <v>0.6</v>
      </c>
      <c r="P21" s="16">
        <f>MAX(1-(INDEX('Stat Boosts'!$D$2:$D$192,P$1-9)-10)*$C21,1-0.4)</f>
        <v>0.6</v>
      </c>
      <c r="Q21" s="16">
        <f>MAX(1-(INDEX('Stat Boosts'!$D$2:$D$192,Q$1-9)-10)*$C21,1-0.4)</f>
        <v>0.6</v>
      </c>
      <c r="R21" s="16">
        <f>MAX(1-(INDEX('Stat Boosts'!$D$2:$D$192,R$1-9)-10)*$C21,1-0.4)</f>
        <v>0.6</v>
      </c>
    </row>
    <row r="22" spans="1:18">
      <c r="A22" s="9">
        <v>21</v>
      </c>
      <c r="B22" s="16">
        <f t="shared" si="0"/>
        <v>18</v>
      </c>
      <c r="C22" s="16">
        <f t="shared" si="1"/>
        <v>2.5000000000000001E-2</v>
      </c>
      <c r="E22" s="16">
        <f>MAX(1-(INDEX('Stat Boosts'!$D$2:$D$192,E$1-9)-10)*$C22,1-0.4)</f>
        <v>1</v>
      </c>
      <c r="F22" s="16">
        <f>MAX(1-(INDEX('Stat Boosts'!$D$2:$D$192,F$1-9)-10)*$C22,1-0.4)</f>
        <v>0.95</v>
      </c>
      <c r="G22" s="16">
        <f>MAX(1-(INDEX('Stat Boosts'!$D$2:$D$192,G$1-9)-10)*$C22,1-0.4)</f>
        <v>0.875</v>
      </c>
      <c r="H22" s="16">
        <f>MAX(1-(INDEX('Stat Boosts'!$D$2:$D$192,H$1-9)-10)*$C22,1-0.4)</f>
        <v>0.8</v>
      </c>
      <c r="I22" s="16">
        <f>MAX(1-(INDEX('Stat Boosts'!$D$2:$D$192,I$1-9)-10)*$C22,1-0.4)</f>
        <v>0.72499999999999998</v>
      </c>
      <c r="J22" s="16">
        <f>MAX(1-(INDEX('Stat Boosts'!$D$2:$D$192,J$1-9)-10)*$C22,1-0.4)</f>
        <v>0.64999999999999991</v>
      </c>
      <c r="K22" s="16">
        <f>MAX(1-(INDEX('Stat Boosts'!$D$2:$D$192,K$1-9)-10)*$C22,1-0.4)</f>
        <v>0.6</v>
      </c>
      <c r="L22" s="16">
        <f>MAX(1-(INDEX('Stat Boosts'!$D$2:$D$192,L$1-9)-10)*$C22,1-0.4)</f>
        <v>0.6</v>
      </c>
      <c r="M22" s="16">
        <f>MAX(1-(INDEX('Stat Boosts'!$D$2:$D$192,M$1-9)-10)*$C22,1-0.4)</f>
        <v>0.6</v>
      </c>
      <c r="N22" s="16">
        <f>MAX(1-(INDEX('Stat Boosts'!$D$2:$D$192,N$1-9)-10)*$C22,1-0.4)</f>
        <v>0.6</v>
      </c>
      <c r="O22" s="16">
        <f>MAX(1-(INDEX('Stat Boosts'!$D$2:$D$192,O$1-9)-10)*$C22,1-0.4)</f>
        <v>0.6</v>
      </c>
      <c r="P22" s="16">
        <f>MAX(1-(INDEX('Stat Boosts'!$D$2:$D$192,P$1-9)-10)*$C22,1-0.4)</f>
        <v>0.6</v>
      </c>
      <c r="Q22" s="16">
        <f>MAX(1-(INDEX('Stat Boosts'!$D$2:$D$192,Q$1-9)-10)*$C22,1-0.4)</f>
        <v>0.6</v>
      </c>
      <c r="R22" s="16">
        <f>MAX(1-(INDEX('Stat Boosts'!$D$2:$D$192,R$1-9)-10)*$C22,1-0.4)</f>
        <v>0.6</v>
      </c>
    </row>
    <row r="23" spans="1:18">
      <c r="A23" s="9">
        <v>22</v>
      </c>
      <c r="B23" s="16">
        <f t="shared" si="0"/>
        <v>18.142857142857142</v>
      </c>
      <c r="C23" s="16">
        <f t="shared" si="1"/>
        <v>2.4561403508771933E-2</v>
      </c>
      <c r="E23" s="16">
        <f>MAX(1-(INDEX('Stat Boosts'!$D$2:$D$192,E$1-9)-10)*$C23,1-0.4)</f>
        <v>1</v>
      </c>
      <c r="F23" s="16">
        <f>MAX(1-(INDEX('Stat Boosts'!$D$2:$D$192,F$1-9)-10)*$C23,1-0.4)</f>
        <v>0.9508771929824561</v>
      </c>
      <c r="G23" s="16">
        <f>MAX(1-(INDEX('Stat Boosts'!$D$2:$D$192,G$1-9)-10)*$C23,1-0.4)</f>
        <v>0.8771929824561403</v>
      </c>
      <c r="H23" s="16">
        <f>MAX(1-(INDEX('Stat Boosts'!$D$2:$D$192,H$1-9)-10)*$C23,1-0.4)</f>
        <v>0.80350877192982451</v>
      </c>
      <c r="I23" s="16">
        <f>MAX(1-(INDEX('Stat Boosts'!$D$2:$D$192,I$1-9)-10)*$C23,1-0.4)</f>
        <v>0.72982456140350871</v>
      </c>
      <c r="J23" s="16">
        <f>MAX(1-(INDEX('Stat Boosts'!$D$2:$D$192,J$1-9)-10)*$C23,1-0.4)</f>
        <v>0.65614035087719291</v>
      </c>
      <c r="K23" s="16">
        <f>MAX(1-(INDEX('Stat Boosts'!$D$2:$D$192,K$1-9)-10)*$C23,1-0.4)</f>
        <v>0.6</v>
      </c>
      <c r="L23" s="16">
        <f>MAX(1-(INDEX('Stat Boosts'!$D$2:$D$192,L$1-9)-10)*$C23,1-0.4)</f>
        <v>0.6</v>
      </c>
      <c r="M23" s="16">
        <f>MAX(1-(INDEX('Stat Boosts'!$D$2:$D$192,M$1-9)-10)*$C23,1-0.4)</f>
        <v>0.6</v>
      </c>
      <c r="N23" s="16">
        <f>MAX(1-(INDEX('Stat Boosts'!$D$2:$D$192,N$1-9)-10)*$C23,1-0.4)</f>
        <v>0.6</v>
      </c>
      <c r="O23" s="16">
        <f>MAX(1-(INDEX('Stat Boosts'!$D$2:$D$192,O$1-9)-10)*$C23,1-0.4)</f>
        <v>0.6</v>
      </c>
      <c r="P23" s="16">
        <f>MAX(1-(INDEX('Stat Boosts'!$D$2:$D$192,P$1-9)-10)*$C23,1-0.4)</f>
        <v>0.6</v>
      </c>
      <c r="Q23" s="16">
        <f>MAX(1-(INDEX('Stat Boosts'!$D$2:$D$192,Q$1-9)-10)*$C23,1-0.4)</f>
        <v>0.6</v>
      </c>
      <c r="R23" s="16">
        <f>MAX(1-(INDEX('Stat Boosts'!$D$2:$D$192,R$1-9)-10)*$C23,1-0.4)</f>
        <v>0.6</v>
      </c>
    </row>
    <row r="24" spans="1:18">
      <c r="A24" s="9">
        <v>23</v>
      </c>
      <c r="B24" s="16">
        <f t="shared" si="0"/>
        <v>18.285714285714285</v>
      </c>
      <c r="C24" s="16">
        <f t="shared" si="1"/>
        <v>2.4137931034482762E-2</v>
      </c>
      <c r="E24" s="16">
        <f>MAX(1-(INDEX('Stat Boosts'!$D$2:$D$192,E$1-9)-10)*$C24,1-0.4)</f>
        <v>1</v>
      </c>
      <c r="F24" s="16">
        <f>MAX(1-(INDEX('Stat Boosts'!$D$2:$D$192,F$1-9)-10)*$C24,1-0.4)</f>
        <v>0.9517241379310345</v>
      </c>
      <c r="G24" s="16">
        <f>MAX(1-(INDEX('Stat Boosts'!$D$2:$D$192,G$1-9)-10)*$C24,1-0.4)</f>
        <v>0.87931034482758619</v>
      </c>
      <c r="H24" s="16">
        <f>MAX(1-(INDEX('Stat Boosts'!$D$2:$D$192,H$1-9)-10)*$C24,1-0.4)</f>
        <v>0.80689655172413788</v>
      </c>
      <c r="I24" s="16">
        <f>MAX(1-(INDEX('Stat Boosts'!$D$2:$D$192,I$1-9)-10)*$C24,1-0.4)</f>
        <v>0.73448275862068968</v>
      </c>
      <c r="J24" s="16">
        <f>MAX(1-(INDEX('Stat Boosts'!$D$2:$D$192,J$1-9)-10)*$C24,1-0.4)</f>
        <v>0.66206896551724137</v>
      </c>
      <c r="K24" s="16">
        <f>MAX(1-(INDEX('Stat Boosts'!$D$2:$D$192,K$1-9)-10)*$C24,1-0.4)</f>
        <v>0.6</v>
      </c>
      <c r="L24" s="16">
        <f>MAX(1-(INDEX('Stat Boosts'!$D$2:$D$192,L$1-9)-10)*$C24,1-0.4)</f>
        <v>0.6</v>
      </c>
      <c r="M24" s="16">
        <f>MAX(1-(INDEX('Stat Boosts'!$D$2:$D$192,M$1-9)-10)*$C24,1-0.4)</f>
        <v>0.6</v>
      </c>
      <c r="N24" s="16">
        <f>MAX(1-(INDEX('Stat Boosts'!$D$2:$D$192,N$1-9)-10)*$C24,1-0.4)</f>
        <v>0.6</v>
      </c>
      <c r="O24" s="16">
        <f>MAX(1-(INDEX('Stat Boosts'!$D$2:$D$192,O$1-9)-10)*$C24,1-0.4)</f>
        <v>0.6</v>
      </c>
      <c r="P24" s="16">
        <f>MAX(1-(INDEX('Stat Boosts'!$D$2:$D$192,P$1-9)-10)*$C24,1-0.4)</f>
        <v>0.6</v>
      </c>
      <c r="Q24" s="16">
        <f>MAX(1-(INDEX('Stat Boosts'!$D$2:$D$192,Q$1-9)-10)*$C24,1-0.4)</f>
        <v>0.6</v>
      </c>
      <c r="R24" s="16">
        <f>MAX(1-(INDEX('Stat Boosts'!$D$2:$D$192,R$1-9)-10)*$C24,1-0.4)</f>
        <v>0.6</v>
      </c>
    </row>
    <row r="25" spans="1:18">
      <c r="A25" s="9">
        <v>24</v>
      </c>
      <c r="B25" s="16">
        <f t="shared" si="0"/>
        <v>18.428571428571427</v>
      </c>
      <c r="C25" s="16">
        <f t="shared" si="1"/>
        <v>2.3728813559322038E-2</v>
      </c>
      <c r="E25" s="16">
        <f>MAX(1-(INDEX('Stat Boosts'!$D$2:$D$192,E$1-9)-10)*$C25,1-0.4)</f>
        <v>1</v>
      </c>
      <c r="F25" s="16">
        <f>MAX(1-(INDEX('Stat Boosts'!$D$2:$D$192,F$1-9)-10)*$C25,1-0.4)</f>
        <v>0.9525423728813559</v>
      </c>
      <c r="G25" s="16">
        <f>MAX(1-(INDEX('Stat Boosts'!$D$2:$D$192,G$1-9)-10)*$C25,1-0.4)</f>
        <v>0.88135593220338981</v>
      </c>
      <c r="H25" s="16">
        <f>MAX(1-(INDEX('Stat Boosts'!$D$2:$D$192,H$1-9)-10)*$C25,1-0.4)</f>
        <v>0.81016949152542372</v>
      </c>
      <c r="I25" s="16">
        <f>MAX(1-(INDEX('Stat Boosts'!$D$2:$D$192,I$1-9)-10)*$C25,1-0.4)</f>
        <v>0.73898305084745752</v>
      </c>
      <c r="J25" s="16">
        <f>MAX(1-(INDEX('Stat Boosts'!$D$2:$D$192,J$1-9)-10)*$C25,1-0.4)</f>
        <v>0.66779661016949143</v>
      </c>
      <c r="K25" s="16">
        <f>MAX(1-(INDEX('Stat Boosts'!$D$2:$D$192,K$1-9)-10)*$C25,1-0.4)</f>
        <v>0.6</v>
      </c>
      <c r="L25" s="16">
        <f>MAX(1-(INDEX('Stat Boosts'!$D$2:$D$192,L$1-9)-10)*$C25,1-0.4)</f>
        <v>0.6</v>
      </c>
      <c r="M25" s="16">
        <f>MAX(1-(INDEX('Stat Boosts'!$D$2:$D$192,M$1-9)-10)*$C25,1-0.4)</f>
        <v>0.6</v>
      </c>
      <c r="N25" s="16">
        <f>MAX(1-(INDEX('Stat Boosts'!$D$2:$D$192,N$1-9)-10)*$C25,1-0.4)</f>
        <v>0.6</v>
      </c>
      <c r="O25" s="16">
        <f>MAX(1-(INDEX('Stat Boosts'!$D$2:$D$192,O$1-9)-10)*$C25,1-0.4)</f>
        <v>0.6</v>
      </c>
      <c r="P25" s="16">
        <f>MAX(1-(INDEX('Stat Boosts'!$D$2:$D$192,P$1-9)-10)*$C25,1-0.4)</f>
        <v>0.6</v>
      </c>
      <c r="Q25" s="16">
        <f>MAX(1-(INDEX('Stat Boosts'!$D$2:$D$192,Q$1-9)-10)*$C25,1-0.4)</f>
        <v>0.6</v>
      </c>
      <c r="R25" s="16">
        <f>MAX(1-(INDEX('Stat Boosts'!$D$2:$D$192,R$1-9)-10)*$C25,1-0.4)</f>
        <v>0.6</v>
      </c>
    </row>
    <row r="26" spans="1:18">
      <c r="A26" s="9">
        <v>25</v>
      </c>
      <c r="B26" s="16">
        <f t="shared" si="0"/>
        <v>18.571428571428573</v>
      </c>
      <c r="C26" s="16">
        <f t="shared" si="1"/>
        <v>2.3333333333333331E-2</v>
      </c>
      <c r="E26" s="16">
        <f>MAX(1-(INDEX('Stat Boosts'!$D$2:$D$192,E$1-9)-10)*$C26,1-0.4)</f>
        <v>1</v>
      </c>
      <c r="F26" s="16">
        <f>MAX(1-(INDEX('Stat Boosts'!$D$2:$D$192,F$1-9)-10)*$C26,1-0.4)</f>
        <v>0.95333333333333337</v>
      </c>
      <c r="G26" s="16">
        <f>MAX(1-(INDEX('Stat Boosts'!$D$2:$D$192,G$1-9)-10)*$C26,1-0.4)</f>
        <v>0.8833333333333333</v>
      </c>
      <c r="H26" s="16">
        <f>MAX(1-(INDEX('Stat Boosts'!$D$2:$D$192,H$1-9)-10)*$C26,1-0.4)</f>
        <v>0.81333333333333335</v>
      </c>
      <c r="I26" s="16">
        <f>MAX(1-(INDEX('Stat Boosts'!$D$2:$D$192,I$1-9)-10)*$C26,1-0.4)</f>
        <v>0.7433333333333334</v>
      </c>
      <c r="J26" s="16">
        <f>MAX(1-(INDEX('Stat Boosts'!$D$2:$D$192,J$1-9)-10)*$C26,1-0.4)</f>
        <v>0.67333333333333334</v>
      </c>
      <c r="K26" s="16">
        <f>MAX(1-(INDEX('Stat Boosts'!$D$2:$D$192,K$1-9)-10)*$C26,1-0.4)</f>
        <v>0.60333333333333339</v>
      </c>
      <c r="L26" s="16">
        <f>MAX(1-(INDEX('Stat Boosts'!$D$2:$D$192,L$1-9)-10)*$C26,1-0.4)</f>
        <v>0.6</v>
      </c>
      <c r="M26" s="16">
        <f>MAX(1-(INDEX('Stat Boosts'!$D$2:$D$192,M$1-9)-10)*$C26,1-0.4)</f>
        <v>0.6</v>
      </c>
      <c r="N26" s="16">
        <f>MAX(1-(INDEX('Stat Boosts'!$D$2:$D$192,N$1-9)-10)*$C26,1-0.4)</f>
        <v>0.6</v>
      </c>
      <c r="O26" s="16">
        <f>MAX(1-(INDEX('Stat Boosts'!$D$2:$D$192,O$1-9)-10)*$C26,1-0.4)</f>
        <v>0.6</v>
      </c>
      <c r="P26" s="16">
        <f>MAX(1-(INDEX('Stat Boosts'!$D$2:$D$192,P$1-9)-10)*$C26,1-0.4)</f>
        <v>0.6</v>
      </c>
      <c r="Q26" s="16">
        <f>MAX(1-(INDEX('Stat Boosts'!$D$2:$D$192,Q$1-9)-10)*$C26,1-0.4)</f>
        <v>0.6</v>
      </c>
      <c r="R26" s="16">
        <f>MAX(1-(INDEX('Stat Boosts'!$D$2:$D$192,R$1-9)-10)*$C26,1-0.4)</f>
        <v>0.6</v>
      </c>
    </row>
    <row r="27" spans="1:18">
      <c r="A27" s="9">
        <v>26</v>
      </c>
      <c r="B27" s="16">
        <f t="shared" si="0"/>
        <v>18.714285714285715</v>
      </c>
      <c r="C27" s="16">
        <f t="shared" si="1"/>
        <v>2.2950819672131147E-2</v>
      </c>
      <c r="E27" s="16">
        <f>MAX(1-(INDEX('Stat Boosts'!$D$2:$D$192,E$1-9)-10)*$C27,1-0.4)</f>
        <v>1</v>
      </c>
      <c r="F27" s="16">
        <f>MAX(1-(INDEX('Stat Boosts'!$D$2:$D$192,F$1-9)-10)*$C27,1-0.4)</f>
        <v>0.95409836065573772</v>
      </c>
      <c r="G27" s="16">
        <f>MAX(1-(INDEX('Stat Boosts'!$D$2:$D$192,G$1-9)-10)*$C27,1-0.4)</f>
        <v>0.88524590163934425</v>
      </c>
      <c r="H27" s="16">
        <f>MAX(1-(INDEX('Stat Boosts'!$D$2:$D$192,H$1-9)-10)*$C27,1-0.4)</f>
        <v>0.81639344262295088</v>
      </c>
      <c r="I27" s="16">
        <f>MAX(1-(INDEX('Stat Boosts'!$D$2:$D$192,I$1-9)-10)*$C27,1-0.4)</f>
        <v>0.74754098360655741</v>
      </c>
      <c r="J27" s="16">
        <f>MAX(1-(INDEX('Stat Boosts'!$D$2:$D$192,J$1-9)-10)*$C27,1-0.4)</f>
        <v>0.67868852459016393</v>
      </c>
      <c r="K27" s="16">
        <f>MAX(1-(INDEX('Stat Boosts'!$D$2:$D$192,K$1-9)-10)*$C27,1-0.4)</f>
        <v>0.60983606557377046</v>
      </c>
      <c r="L27" s="16">
        <f>MAX(1-(INDEX('Stat Boosts'!$D$2:$D$192,L$1-9)-10)*$C27,1-0.4)</f>
        <v>0.6</v>
      </c>
      <c r="M27" s="16">
        <f>MAX(1-(INDEX('Stat Boosts'!$D$2:$D$192,M$1-9)-10)*$C27,1-0.4)</f>
        <v>0.6</v>
      </c>
      <c r="N27" s="16">
        <f>MAX(1-(INDEX('Stat Boosts'!$D$2:$D$192,N$1-9)-10)*$C27,1-0.4)</f>
        <v>0.6</v>
      </c>
      <c r="O27" s="16">
        <f>MAX(1-(INDEX('Stat Boosts'!$D$2:$D$192,O$1-9)-10)*$C27,1-0.4)</f>
        <v>0.6</v>
      </c>
      <c r="P27" s="16">
        <f>MAX(1-(INDEX('Stat Boosts'!$D$2:$D$192,P$1-9)-10)*$C27,1-0.4)</f>
        <v>0.6</v>
      </c>
      <c r="Q27" s="16">
        <f>MAX(1-(INDEX('Stat Boosts'!$D$2:$D$192,Q$1-9)-10)*$C27,1-0.4)</f>
        <v>0.6</v>
      </c>
      <c r="R27" s="16">
        <f>MAX(1-(INDEX('Stat Boosts'!$D$2:$D$192,R$1-9)-10)*$C27,1-0.4)</f>
        <v>0.6</v>
      </c>
    </row>
    <row r="28" spans="1:18">
      <c r="A28" s="9">
        <v>27</v>
      </c>
      <c r="B28" s="16">
        <f t="shared" si="0"/>
        <v>18.857142857142858</v>
      </c>
      <c r="C28" s="16">
        <f t="shared" si="1"/>
        <v>2.2580645161290321E-2</v>
      </c>
      <c r="E28" s="16">
        <f>MAX(1-(INDEX('Stat Boosts'!$D$2:$D$192,E$1-9)-10)*$C28,1-0.4)</f>
        <v>1</v>
      </c>
      <c r="F28" s="16">
        <f>MAX(1-(INDEX('Stat Boosts'!$D$2:$D$192,F$1-9)-10)*$C28,1-0.4)</f>
        <v>0.95483870967741935</v>
      </c>
      <c r="G28" s="16">
        <f>MAX(1-(INDEX('Stat Boosts'!$D$2:$D$192,G$1-9)-10)*$C28,1-0.4)</f>
        <v>0.88709677419354838</v>
      </c>
      <c r="H28" s="16">
        <f>MAX(1-(INDEX('Stat Boosts'!$D$2:$D$192,H$1-9)-10)*$C28,1-0.4)</f>
        <v>0.8193548387096774</v>
      </c>
      <c r="I28" s="16">
        <f>MAX(1-(INDEX('Stat Boosts'!$D$2:$D$192,I$1-9)-10)*$C28,1-0.4)</f>
        <v>0.75161290322580643</v>
      </c>
      <c r="J28" s="16">
        <f>MAX(1-(INDEX('Stat Boosts'!$D$2:$D$192,J$1-9)-10)*$C28,1-0.4)</f>
        <v>0.68387096774193545</v>
      </c>
      <c r="K28" s="16">
        <f>MAX(1-(INDEX('Stat Boosts'!$D$2:$D$192,K$1-9)-10)*$C28,1-0.4)</f>
        <v>0.61612903225806459</v>
      </c>
      <c r="L28" s="16">
        <f>MAX(1-(INDEX('Stat Boosts'!$D$2:$D$192,L$1-9)-10)*$C28,1-0.4)</f>
        <v>0.6</v>
      </c>
      <c r="M28" s="16">
        <f>MAX(1-(INDEX('Stat Boosts'!$D$2:$D$192,M$1-9)-10)*$C28,1-0.4)</f>
        <v>0.6</v>
      </c>
      <c r="N28" s="16">
        <f>MAX(1-(INDEX('Stat Boosts'!$D$2:$D$192,N$1-9)-10)*$C28,1-0.4)</f>
        <v>0.6</v>
      </c>
      <c r="O28" s="16">
        <f>MAX(1-(INDEX('Stat Boosts'!$D$2:$D$192,O$1-9)-10)*$C28,1-0.4)</f>
        <v>0.6</v>
      </c>
      <c r="P28" s="16">
        <f>MAX(1-(INDEX('Stat Boosts'!$D$2:$D$192,P$1-9)-10)*$C28,1-0.4)</f>
        <v>0.6</v>
      </c>
      <c r="Q28" s="16">
        <f>MAX(1-(INDEX('Stat Boosts'!$D$2:$D$192,Q$1-9)-10)*$C28,1-0.4)</f>
        <v>0.6</v>
      </c>
      <c r="R28" s="16">
        <f>MAX(1-(INDEX('Stat Boosts'!$D$2:$D$192,R$1-9)-10)*$C28,1-0.4)</f>
        <v>0.6</v>
      </c>
    </row>
    <row r="29" spans="1:18">
      <c r="A29" s="9">
        <v>28</v>
      </c>
      <c r="B29" s="16">
        <f t="shared" si="0"/>
        <v>19</v>
      </c>
      <c r="C29" s="16">
        <f t="shared" si="1"/>
        <v>2.2222222222222223E-2</v>
      </c>
      <c r="E29" s="16">
        <f>MAX(1-(INDEX('Stat Boosts'!$D$2:$D$192,E$1-9)-10)*$C29,1-0.4)</f>
        <v>1</v>
      </c>
      <c r="F29" s="16">
        <f>MAX(1-(INDEX('Stat Boosts'!$D$2:$D$192,F$1-9)-10)*$C29,1-0.4)</f>
        <v>0.9555555555555556</v>
      </c>
      <c r="G29" s="16">
        <f>MAX(1-(INDEX('Stat Boosts'!$D$2:$D$192,G$1-9)-10)*$C29,1-0.4)</f>
        <v>0.88888888888888884</v>
      </c>
      <c r="H29" s="16">
        <f>MAX(1-(INDEX('Stat Boosts'!$D$2:$D$192,H$1-9)-10)*$C29,1-0.4)</f>
        <v>0.82222222222222219</v>
      </c>
      <c r="I29" s="16">
        <f>MAX(1-(INDEX('Stat Boosts'!$D$2:$D$192,I$1-9)-10)*$C29,1-0.4)</f>
        <v>0.75555555555555554</v>
      </c>
      <c r="J29" s="16">
        <f>MAX(1-(INDEX('Stat Boosts'!$D$2:$D$192,J$1-9)-10)*$C29,1-0.4)</f>
        <v>0.68888888888888888</v>
      </c>
      <c r="K29" s="16">
        <f>MAX(1-(INDEX('Stat Boosts'!$D$2:$D$192,K$1-9)-10)*$C29,1-0.4)</f>
        <v>0.62222222222222223</v>
      </c>
      <c r="L29" s="16">
        <f>MAX(1-(INDEX('Stat Boosts'!$D$2:$D$192,L$1-9)-10)*$C29,1-0.4)</f>
        <v>0.6</v>
      </c>
      <c r="M29" s="16">
        <f>MAX(1-(INDEX('Stat Boosts'!$D$2:$D$192,M$1-9)-10)*$C29,1-0.4)</f>
        <v>0.6</v>
      </c>
      <c r="N29" s="16">
        <f>MAX(1-(INDEX('Stat Boosts'!$D$2:$D$192,N$1-9)-10)*$C29,1-0.4)</f>
        <v>0.6</v>
      </c>
      <c r="O29" s="16">
        <f>MAX(1-(INDEX('Stat Boosts'!$D$2:$D$192,O$1-9)-10)*$C29,1-0.4)</f>
        <v>0.6</v>
      </c>
      <c r="P29" s="16">
        <f>MAX(1-(INDEX('Stat Boosts'!$D$2:$D$192,P$1-9)-10)*$C29,1-0.4)</f>
        <v>0.6</v>
      </c>
      <c r="Q29" s="16">
        <f>MAX(1-(INDEX('Stat Boosts'!$D$2:$D$192,Q$1-9)-10)*$C29,1-0.4)</f>
        <v>0.6</v>
      </c>
      <c r="R29" s="16">
        <f>MAX(1-(INDEX('Stat Boosts'!$D$2:$D$192,R$1-9)-10)*$C29,1-0.4)</f>
        <v>0.6</v>
      </c>
    </row>
    <row r="30" spans="1:18">
      <c r="A30" s="9">
        <v>29</v>
      </c>
      <c r="B30" s="16">
        <f t="shared" si="0"/>
        <v>19.142857142857142</v>
      </c>
      <c r="C30" s="16">
        <f t="shared" si="1"/>
        <v>2.1875000000000002E-2</v>
      </c>
      <c r="E30" s="16">
        <f>MAX(1-(INDEX('Stat Boosts'!$D$2:$D$192,E$1-9)-10)*$C30,1-0.4)</f>
        <v>1</v>
      </c>
      <c r="F30" s="16">
        <f>MAX(1-(INDEX('Stat Boosts'!$D$2:$D$192,F$1-9)-10)*$C30,1-0.4)</f>
        <v>0.95625000000000004</v>
      </c>
      <c r="G30" s="16">
        <f>MAX(1-(INDEX('Stat Boosts'!$D$2:$D$192,G$1-9)-10)*$C30,1-0.4)</f>
        <v>0.890625</v>
      </c>
      <c r="H30" s="16">
        <f>MAX(1-(INDEX('Stat Boosts'!$D$2:$D$192,H$1-9)-10)*$C30,1-0.4)</f>
        <v>0.82499999999999996</v>
      </c>
      <c r="I30" s="16">
        <f>MAX(1-(INDEX('Stat Boosts'!$D$2:$D$192,I$1-9)-10)*$C30,1-0.4)</f>
        <v>0.75937499999999991</v>
      </c>
      <c r="J30" s="16">
        <f>MAX(1-(INDEX('Stat Boosts'!$D$2:$D$192,J$1-9)-10)*$C30,1-0.4)</f>
        <v>0.69374999999999998</v>
      </c>
      <c r="K30" s="16">
        <f>MAX(1-(INDEX('Stat Boosts'!$D$2:$D$192,K$1-9)-10)*$C30,1-0.4)</f>
        <v>0.62812500000000004</v>
      </c>
      <c r="L30" s="16">
        <f>MAX(1-(INDEX('Stat Boosts'!$D$2:$D$192,L$1-9)-10)*$C30,1-0.4)</f>
        <v>0.6</v>
      </c>
      <c r="M30" s="16">
        <f>MAX(1-(INDEX('Stat Boosts'!$D$2:$D$192,M$1-9)-10)*$C30,1-0.4)</f>
        <v>0.6</v>
      </c>
      <c r="N30" s="16">
        <f>MAX(1-(INDEX('Stat Boosts'!$D$2:$D$192,N$1-9)-10)*$C30,1-0.4)</f>
        <v>0.6</v>
      </c>
      <c r="O30" s="16">
        <f>MAX(1-(INDEX('Stat Boosts'!$D$2:$D$192,O$1-9)-10)*$C30,1-0.4)</f>
        <v>0.6</v>
      </c>
      <c r="P30" s="16">
        <f>MAX(1-(INDEX('Stat Boosts'!$D$2:$D$192,P$1-9)-10)*$C30,1-0.4)</f>
        <v>0.6</v>
      </c>
      <c r="Q30" s="16">
        <f>MAX(1-(INDEX('Stat Boosts'!$D$2:$D$192,Q$1-9)-10)*$C30,1-0.4)</f>
        <v>0.6</v>
      </c>
      <c r="R30" s="16">
        <f>MAX(1-(INDEX('Stat Boosts'!$D$2:$D$192,R$1-9)-10)*$C30,1-0.4)</f>
        <v>0.6</v>
      </c>
    </row>
    <row r="31" spans="1:18">
      <c r="A31" s="9">
        <v>30</v>
      </c>
      <c r="B31" s="16">
        <f t="shared" si="0"/>
        <v>19.285714285714285</v>
      </c>
      <c r="C31" s="16">
        <f t="shared" si="1"/>
        <v>2.1538461538461541E-2</v>
      </c>
      <c r="E31" s="16">
        <f>MAX(1-(INDEX('Stat Boosts'!$D$2:$D$192,E$1-9)-10)*$C31,1-0.4)</f>
        <v>1</v>
      </c>
      <c r="F31" s="16">
        <f>MAX(1-(INDEX('Stat Boosts'!$D$2:$D$192,F$1-9)-10)*$C31,1-0.4)</f>
        <v>0.95692307692307688</v>
      </c>
      <c r="G31" s="16">
        <f>MAX(1-(INDEX('Stat Boosts'!$D$2:$D$192,G$1-9)-10)*$C31,1-0.4)</f>
        <v>0.89230769230769225</v>
      </c>
      <c r="H31" s="16">
        <f>MAX(1-(INDEX('Stat Boosts'!$D$2:$D$192,H$1-9)-10)*$C31,1-0.4)</f>
        <v>0.82769230769230773</v>
      </c>
      <c r="I31" s="16">
        <f>MAX(1-(INDEX('Stat Boosts'!$D$2:$D$192,I$1-9)-10)*$C31,1-0.4)</f>
        <v>0.76307692307692299</v>
      </c>
      <c r="J31" s="16">
        <f>MAX(1-(INDEX('Stat Boosts'!$D$2:$D$192,J$1-9)-10)*$C31,1-0.4)</f>
        <v>0.69846153846153847</v>
      </c>
      <c r="K31" s="16">
        <f>MAX(1-(INDEX('Stat Boosts'!$D$2:$D$192,K$1-9)-10)*$C31,1-0.4)</f>
        <v>0.63384615384615373</v>
      </c>
      <c r="L31" s="16">
        <f>MAX(1-(INDEX('Stat Boosts'!$D$2:$D$192,L$1-9)-10)*$C31,1-0.4)</f>
        <v>0.6</v>
      </c>
      <c r="M31" s="16">
        <f>MAX(1-(INDEX('Stat Boosts'!$D$2:$D$192,M$1-9)-10)*$C31,1-0.4)</f>
        <v>0.6</v>
      </c>
      <c r="N31" s="16">
        <f>MAX(1-(INDEX('Stat Boosts'!$D$2:$D$192,N$1-9)-10)*$C31,1-0.4)</f>
        <v>0.6</v>
      </c>
      <c r="O31" s="16">
        <f>MAX(1-(INDEX('Stat Boosts'!$D$2:$D$192,O$1-9)-10)*$C31,1-0.4)</f>
        <v>0.6</v>
      </c>
      <c r="P31" s="16">
        <f>MAX(1-(INDEX('Stat Boosts'!$D$2:$D$192,P$1-9)-10)*$C31,1-0.4)</f>
        <v>0.6</v>
      </c>
      <c r="Q31" s="16">
        <f>MAX(1-(INDEX('Stat Boosts'!$D$2:$D$192,Q$1-9)-10)*$C31,1-0.4)</f>
        <v>0.6</v>
      </c>
      <c r="R31" s="16">
        <f>MAX(1-(INDEX('Stat Boosts'!$D$2:$D$192,R$1-9)-10)*$C31,1-0.4)</f>
        <v>0.6</v>
      </c>
    </row>
    <row r="32" spans="1:18">
      <c r="A32" s="9">
        <v>31</v>
      </c>
      <c r="B32" s="16">
        <f t="shared" si="0"/>
        <v>19.428571428571431</v>
      </c>
      <c r="C32" s="16">
        <f t="shared" si="1"/>
        <v>2.121212121212121E-2</v>
      </c>
      <c r="E32" s="16">
        <f>MAX(1-(INDEX('Stat Boosts'!$D$2:$D$192,E$1-9)-10)*$C32,1-0.4)</f>
        <v>1</v>
      </c>
      <c r="F32" s="16">
        <f>MAX(1-(INDEX('Stat Boosts'!$D$2:$D$192,F$1-9)-10)*$C32,1-0.4)</f>
        <v>0.95757575757575752</v>
      </c>
      <c r="G32" s="16">
        <f>MAX(1-(INDEX('Stat Boosts'!$D$2:$D$192,G$1-9)-10)*$C32,1-0.4)</f>
        <v>0.89393939393939392</v>
      </c>
      <c r="H32" s="16">
        <f>MAX(1-(INDEX('Stat Boosts'!$D$2:$D$192,H$1-9)-10)*$C32,1-0.4)</f>
        <v>0.83030303030303032</v>
      </c>
      <c r="I32" s="16">
        <f>MAX(1-(INDEX('Stat Boosts'!$D$2:$D$192,I$1-9)-10)*$C32,1-0.4)</f>
        <v>0.76666666666666672</v>
      </c>
      <c r="J32" s="16">
        <f>MAX(1-(INDEX('Stat Boosts'!$D$2:$D$192,J$1-9)-10)*$C32,1-0.4)</f>
        <v>0.70303030303030312</v>
      </c>
      <c r="K32" s="16">
        <f>MAX(1-(INDEX('Stat Boosts'!$D$2:$D$192,K$1-9)-10)*$C32,1-0.4)</f>
        <v>0.6393939393939394</v>
      </c>
      <c r="L32" s="16">
        <f>MAX(1-(INDEX('Stat Boosts'!$D$2:$D$192,L$1-9)-10)*$C32,1-0.4)</f>
        <v>0.6</v>
      </c>
      <c r="M32" s="16">
        <f>MAX(1-(INDEX('Stat Boosts'!$D$2:$D$192,M$1-9)-10)*$C32,1-0.4)</f>
        <v>0.6</v>
      </c>
      <c r="N32" s="16">
        <f>MAX(1-(INDEX('Stat Boosts'!$D$2:$D$192,N$1-9)-10)*$C32,1-0.4)</f>
        <v>0.6</v>
      </c>
      <c r="O32" s="16">
        <f>MAX(1-(INDEX('Stat Boosts'!$D$2:$D$192,O$1-9)-10)*$C32,1-0.4)</f>
        <v>0.6</v>
      </c>
      <c r="P32" s="16">
        <f>MAX(1-(INDEX('Stat Boosts'!$D$2:$D$192,P$1-9)-10)*$C32,1-0.4)</f>
        <v>0.6</v>
      </c>
      <c r="Q32" s="16">
        <f>MAX(1-(INDEX('Stat Boosts'!$D$2:$D$192,Q$1-9)-10)*$C32,1-0.4)</f>
        <v>0.6</v>
      </c>
      <c r="R32" s="16">
        <f>MAX(1-(INDEX('Stat Boosts'!$D$2:$D$192,R$1-9)-10)*$C32,1-0.4)</f>
        <v>0.6</v>
      </c>
    </row>
    <row r="33" spans="1:18">
      <c r="A33" s="9">
        <v>32</v>
      </c>
      <c r="B33" s="16">
        <f t="shared" si="0"/>
        <v>19.571428571428569</v>
      </c>
      <c r="C33" s="16">
        <f t="shared" si="1"/>
        <v>2.0895522388059706E-2</v>
      </c>
      <c r="E33" s="16">
        <f>MAX(1-(INDEX('Stat Boosts'!$D$2:$D$192,E$1-9)-10)*$C33,1-0.4)</f>
        <v>1</v>
      </c>
      <c r="F33" s="16">
        <f>MAX(1-(INDEX('Stat Boosts'!$D$2:$D$192,F$1-9)-10)*$C33,1-0.4)</f>
        <v>0.95820895522388061</v>
      </c>
      <c r="G33" s="16">
        <f>MAX(1-(INDEX('Stat Boosts'!$D$2:$D$192,G$1-9)-10)*$C33,1-0.4)</f>
        <v>0.89552238805970141</v>
      </c>
      <c r="H33" s="16">
        <f>MAX(1-(INDEX('Stat Boosts'!$D$2:$D$192,H$1-9)-10)*$C33,1-0.4)</f>
        <v>0.83283582089552233</v>
      </c>
      <c r="I33" s="16">
        <f>MAX(1-(INDEX('Stat Boosts'!$D$2:$D$192,I$1-9)-10)*$C33,1-0.4)</f>
        <v>0.77014925373134324</v>
      </c>
      <c r="J33" s="16">
        <f>MAX(1-(INDEX('Stat Boosts'!$D$2:$D$192,J$1-9)-10)*$C33,1-0.4)</f>
        <v>0.70746268656716405</v>
      </c>
      <c r="K33" s="16">
        <f>MAX(1-(INDEX('Stat Boosts'!$D$2:$D$192,K$1-9)-10)*$C33,1-0.4)</f>
        <v>0.64477611940298507</v>
      </c>
      <c r="L33" s="16">
        <f>MAX(1-(INDEX('Stat Boosts'!$D$2:$D$192,L$1-9)-10)*$C33,1-0.4)</f>
        <v>0.60298507462686557</v>
      </c>
      <c r="M33" s="16">
        <f>MAX(1-(INDEX('Stat Boosts'!$D$2:$D$192,M$1-9)-10)*$C33,1-0.4)</f>
        <v>0.6</v>
      </c>
      <c r="N33" s="16">
        <f>MAX(1-(INDEX('Stat Boosts'!$D$2:$D$192,N$1-9)-10)*$C33,1-0.4)</f>
        <v>0.6</v>
      </c>
      <c r="O33" s="16">
        <f>MAX(1-(INDEX('Stat Boosts'!$D$2:$D$192,O$1-9)-10)*$C33,1-0.4)</f>
        <v>0.6</v>
      </c>
      <c r="P33" s="16">
        <f>MAX(1-(INDEX('Stat Boosts'!$D$2:$D$192,P$1-9)-10)*$C33,1-0.4)</f>
        <v>0.6</v>
      </c>
      <c r="Q33" s="16">
        <f>MAX(1-(INDEX('Stat Boosts'!$D$2:$D$192,Q$1-9)-10)*$C33,1-0.4)</f>
        <v>0.6</v>
      </c>
      <c r="R33" s="16">
        <f>MAX(1-(INDEX('Stat Boosts'!$D$2:$D$192,R$1-9)-10)*$C33,1-0.4)</f>
        <v>0.6</v>
      </c>
    </row>
    <row r="34" spans="1:18">
      <c r="A34" s="9">
        <v>33</v>
      </c>
      <c r="B34" s="16">
        <f t="shared" si="0"/>
        <v>19.714285714285715</v>
      </c>
      <c r="C34" s="16">
        <f t="shared" si="1"/>
        <v>2.0588235294117647E-2</v>
      </c>
      <c r="E34" s="16">
        <f>MAX(1-(INDEX('Stat Boosts'!$D$2:$D$192,E$1-9)-10)*$C34,1-0.4)</f>
        <v>1</v>
      </c>
      <c r="F34" s="16">
        <f>MAX(1-(INDEX('Stat Boosts'!$D$2:$D$192,F$1-9)-10)*$C34,1-0.4)</f>
        <v>0.95882352941176474</v>
      </c>
      <c r="G34" s="16">
        <f>MAX(1-(INDEX('Stat Boosts'!$D$2:$D$192,G$1-9)-10)*$C34,1-0.4)</f>
        <v>0.8970588235294118</v>
      </c>
      <c r="H34" s="16">
        <f>MAX(1-(INDEX('Stat Boosts'!$D$2:$D$192,H$1-9)-10)*$C34,1-0.4)</f>
        <v>0.83529411764705885</v>
      </c>
      <c r="I34" s="16">
        <f>MAX(1-(INDEX('Stat Boosts'!$D$2:$D$192,I$1-9)-10)*$C34,1-0.4)</f>
        <v>0.77352941176470591</v>
      </c>
      <c r="J34" s="16">
        <f>MAX(1-(INDEX('Stat Boosts'!$D$2:$D$192,J$1-9)-10)*$C34,1-0.4)</f>
        <v>0.71176470588235297</v>
      </c>
      <c r="K34" s="16">
        <f>MAX(1-(INDEX('Stat Boosts'!$D$2:$D$192,K$1-9)-10)*$C34,1-0.4)</f>
        <v>0.65</v>
      </c>
      <c r="L34" s="16">
        <f>MAX(1-(INDEX('Stat Boosts'!$D$2:$D$192,L$1-9)-10)*$C34,1-0.4)</f>
        <v>0.60882352941176476</v>
      </c>
      <c r="M34" s="16">
        <f>MAX(1-(INDEX('Stat Boosts'!$D$2:$D$192,M$1-9)-10)*$C34,1-0.4)</f>
        <v>0.6</v>
      </c>
      <c r="N34" s="16">
        <f>MAX(1-(INDEX('Stat Boosts'!$D$2:$D$192,N$1-9)-10)*$C34,1-0.4)</f>
        <v>0.6</v>
      </c>
      <c r="O34" s="16">
        <f>MAX(1-(INDEX('Stat Boosts'!$D$2:$D$192,O$1-9)-10)*$C34,1-0.4)</f>
        <v>0.6</v>
      </c>
      <c r="P34" s="16">
        <f>MAX(1-(INDEX('Stat Boosts'!$D$2:$D$192,P$1-9)-10)*$C34,1-0.4)</f>
        <v>0.6</v>
      </c>
      <c r="Q34" s="16">
        <f>MAX(1-(INDEX('Stat Boosts'!$D$2:$D$192,Q$1-9)-10)*$C34,1-0.4)</f>
        <v>0.6</v>
      </c>
      <c r="R34" s="16">
        <f>MAX(1-(INDEX('Stat Boosts'!$D$2:$D$192,R$1-9)-10)*$C34,1-0.4)</f>
        <v>0.6</v>
      </c>
    </row>
    <row r="35" spans="1:18">
      <c r="A35" s="9">
        <v>34</v>
      </c>
      <c r="B35" s="16">
        <f t="shared" si="0"/>
        <v>19.857142857142858</v>
      </c>
      <c r="C35" s="16">
        <f t="shared" si="1"/>
        <v>2.0289855072463767E-2</v>
      </c>
      <c r="E35" s="16">
        <f>MAX(1-(INDEX('Stat Boosts'!$D$2:$D$192,E$1-9)-10)*$C35,1-0.4)</f>
        <v>1</v>
      </c>
      <c r="F35" s="16">
        <f>MAX(1-(INDEX('Stat Boosts'!$D$2:$D$192,F$1-9)-10)*$C35,1-0.4)</f>
        <v>0.95942028985507244</v>
      </c>
      <c r="G35" s="16">
        <f>MAX(1-(INDEX('Stat Boosts'!$D$2:$D$192,G$1-9)-10)*$C35,1-0.4)</f>
        <v>0.89855072463768115</v>
      </c>
      <c r="H35" s="16">
        <f>MAX(1-(INDEX('Stat Boosts'!$D$2:$D$192,H$1-9)-10)*$C35,1-0.4)</f>
        <v>0.83768115942028987</v>
      </c>
      <c r="I35" s="16">
        <f>MAX(1-(INDEX('Stat Boosts'!$D$2:$D$192,I$1-9)-10)*$C35,1-0.4)</f>
        <v>0.77681159420289858</v>
      </c>
      <c r="J35" s="16">
        <f>MAX(1-(INDEX('Stat Boosts'!$D$2:$D$192,J$1-9)-10)*$C35,1-0.4)</f>
        <v>0.71594202898550729</v>
      </c>
      <c r="K35" s="16">
        <f>MAX(1-(INDEX('Stat Boosts'!$D$2:$D$192,K$1-9)-10)*$C35,1-0.4)</f>
        <v>0.65507246376811601</v>
      </c>
      <c r="L35" s="16">
        <f>MAX(1-(INDEX('Stat Boosts'!$D$2:$D$192,L$1-9)-10)*$C35,1-0.4)</f>
        <v>0.61449275362318845</v>
      </c>
      <c r="M35" s="16">
        <f>MAX(1-(INDEX('Stat Boosts'!$D$2:$D$192,M$1-9)-10)*$C35,1-0.4)</f>
        <v>0.6</v>
      </c>
      <c r="N35" s="16">
        <f>MAX(1-(INDEX('Stat Boosts'!$D$2:$D$192,N$1-9)-10)*$C35,1-0.4)</f>
        <v>0.6</v>
      </c>
      <c r="O35" s="16">
        <f>MAX(1-(INDEX('Stat Boosts'!$D$2:$D$192,O$1-9)-10)*$C35,1-0.4)</f>
        <v>0.6</v>
      </c>
      <c r="P35" s="16">
        <f>MAX(1-(INDEX('Stat Boosts'!$D$2:$D$192,P$1-9)-10)*$C35,1-0.4)</f>
        <v>0.6</v>
      </c>
      <c r="Q35" s="16">
        <f>MAX(1-(INDEX('Stat Boosts'!$D$2:$D$192,Q$1-9)-10)*$C35,1-0.4)</f>
        <v>0.6</v>
      </c>
      <c r="R35" s="16">
        <f>MAX(1-(INDEX('Stat Boosts'!$D$2:$D$192,R$1-9)-10)*$C35,1-0.4)</f>
        <v>0.6</v>
      </c>
    </row>
    <row r="36" spans="1:18">
      <c r="A36" s="9">
        <v>35</v>
      </c>
      <c r="B36" s="16">
        <f t="shared" si="0"/>
        <v>20</v>
      </c>
      <c r="C36" s="16">
        <f t="shared" si="1"/>
        <v>0.02</v>
      </c>
      <c r="E36" s="16">
        <f>MAX(1-(INDEX('Stat Boosts'!$D$2:$D$192,E$1-9)-10)*$C36,1-0.4)</f>
        <v>1</v>
      </c>
      <c r="F36" s="16">
        <f>MAX(1-(INDEX('Stat Boosts'!$D$2:$D$192,F$1-9)-10)*$C36,1-0.4)</f>
        <v>0.96</v>
      </c>
      <c r="G36" s="16">
        <f>MAX(1-(INDEX('Stat Boosts'!$D$2:$D$192,G$1-9)-10)*$C36,1-0.4)</f>
        <v>0.9</v>
      </c>
      <c r="H36" s="16">
        <f>MAX(1-(INDEX('Stat Boosts'!$D$2:$D$192,H$1-9)-10)*$C36,1-0.4)</f>
        <v>0.84</v>
      </c>
      <c r="I36" s="16">
        <f>MAX(1-(INDEX('Stat Boosts'!$D$2:$D$192,I$1-9)-10)*$C36,1-0.4)</f>
        <v>0.78</v>
      </c>
      <c r="J36" s="16">
        <f>MAX(1-(INDEX('Stat Boosts'!$D$2:$D$192,J$1-9)-10)*$C36,1-0.4)</f>
        <v>0.72</v>
      </c>
      <c r="K36" s="16">
        <f>MAX(1-(INDEX('Stat Boosts'!$D$2:$D$192,K$1-9)-10)*$C36,1-0.4)</f>
        <v>0.65999999999999992</v>
      </c>
      <c r="L36" s="16">
        <f>MAX(1-(INDEX('Stat Boosts'!$D$2:$D$192,L$1-9)-10)*$C36,1-0.4)</f>
        <v>0.62</v>
      </c>
      <c r="M36" s="16">
        <f>MAX(1-(INDEX('Stat Boosts'!$D$2:$D$192,M$1-9)-10)*$C36,1-0.4)</f>
        <v>0.6</v>
      </c>
      <c r="N36" s="16">
        <f>MAX(1-(INDEX('Stat Boosts'!$D$2:$D$192,N$1-9)-10)*$C36,1-0.4)</f>
        <v>0.6</v>
      </c>
      <c r="O36" s="16">
        <f>MAX(1-(INDEX('Stat Boosts'!$D$2:$D$192,O$1-9)-10)*$C36,1-0.4)</f>
        <v>0.6</v>
      </c>
      <c r="P36" s="16">
        <f>MAX(1-(INDEX('Stat Boosts'!$D$2:$D$192,P$1-9)-10)*$C36,1-0.4)</f>
        <v>0.6</v>
      </c>
      <c r="Q36" s="16">
        <f>MAX(1-(INDEX('Stat Boosts'!$D$2:$D$192,Q$1-9)-10)*$C36,1-0.4)</f>
        <v>0.6</v>
      </c>
      <c r="R36" s="16">
        <f>MAX(1-(INDEX('Stat Boosts'!$D$2:$D$192,R$1-9)-10)*$C36,1-0.4)</f>
        <v>0.6</v>
      </c>
    </row>
    <row r="37" spans="1:18">
      <c r="A37" s="9">
        <v>36</v>
      </c>
      <c r="B37" s="16">
        <f t="shared" si="0"/>
        <v>20.142857142857142</v>
      </c>
      <c r="C37" s="16">
        <f t="shared" si="1"/>
        <v>1.9718309859154931E-2</v>
      </c>
      <c r="E37" s="16">
        <f>MAX(1-(INDEX('Stat Boosts'!$D$2:$D$192,E$1-9)-10)*$C37,1-0.4)</f>
        <v>1</v>
      </c>
      <c r="F37" s="16">
        <f>MAX(1-(INDEX('Stat Boosts'!$D$2:$D$192,F$1-9)-10)*$C37,1-0.4)</f>
        <v>0.96056338028169019</v>
      </c>
      <c r="G37" s="16">
        <f>MAX(1-(INDEX('Stat Boosts'!$D$2:$D$192,G$1-9)-10)*$C37,1-0.4)</f>
        <v>0.90140845070422537</v>
      </c>
      <c r="H37" s="16">
        <f>MAX(1-(INDEX('Stat Boosts'!$D$2:$D$192,H$1-9)-10)*$C37,1-0.4)</f>
        <v>0.84225352112676055</v>
      </c>
      <c r="I37" s="16">
        <f>MAX(1-(INDEX('Stat Boosts'!$D$2:$D$192,I$1-9)-10)*$C37,1-0.4)</f>
        <v>0.78309859154929573</v>
      </c>
      <c r="J37" s="16">
        <f>MAX(1-(INDEX('Stat Boosts'!$D$2:$D$192,J$1-9)-10)*$C37,1-0.4)</f>
        <v>0.72394366197183091</v>
      </c>
      <c r="K37" s="16">
        <f>MAX(1-(INDEX('Stat Boosts'!$D$2:$D$192,K$1-9)-10)*$C37,1-0.4)</f>
        <v>0.6647887323943662</v>
      </c>
      <c r="L37" s="16">
        <f>MAX(1-(INDEX('Stat Boosts'!$D$2:$D$192,L$1-9)-10)*$C37,1-0.4)</f>
        <v>0.62535211267605628</v>
      </c>
      <c r="M37" s="16">
        <f>MAX(1-(INDEX('Stat Boosts'!$D$2:$D$192,M$1-9)-10)*$C37,1-0.4)</f>
        <v>0.6</v>
      </c>
      <c r="N37" s="16">
        <f>MAX(1-(INDEX('Stat Boosts'!$D$2:$D$192,N$1-9)-10)*$C37,1-0.4)</f>
        <v>0.6</v>
      </c>
      <c r="O37" s="16">
        <f>MAX(1-(INDEX('Stat Boosts'!$D$2:$D$192,O$1-9)-10)*$C37,1-0.4)</f>
        <v>0.6</v>
      </c>
      <c r="P37" s="16">
        <f>MAX(1-(INDEX('Stat Boosts'!$D$2:$D$192,P$1-9)-10)*$C37,1-0.4)</f>
        <v>0.6</v>
      </c>
      <c r="Q37" s="16">
        <f>MAX(1-(INDEX('Stat Boosts'!$D$2:$D$192,Q$1-9)-10)*$C37,1-0.4)</f>
        <v>0.6</v>
      </c>
      <c r="R37" s="16">
        <f>MAX(1-(INDEX('Stat Boosts'!$D$2:$D$192,R$1-9)-10)*$C37,1-0.4)</f>
        <v>0.6</v>
      </c>
    </row>
    <row r="38" spans="1:18">
      <c r="A38" s="9">
        <v>37</v>
      </c>
      <c r="B38" s="16">
        <f t="shared" si="0"/>
        <v>20.285714285714285</v>
      </c>
      <c r="C38" s="16">
        <f t="shared" si="1"/>
        <v>1.9444444444444448E-2</v>
      </c>
      <c r="E38" s="16">
        <f>MAX(1-(INDEX('Stat Boosts'!$D$2:$D$192,E$1-9)-10)*$C38,1-0.4)</f>
        <v>1</v>
      </c>
      <c r="F38" s="16">
        <f>MAX(1-(INDEX('Stat Boosts'!$D$2:$D$192,F$1-9)-10)*$C38,1-0.4)</f>
        <v>0.96111111111111114</v>
      </c>
      <c r="G38" s="16">
        <f>MAX(1-(INDEX('Stat Boosts'!$D$2:$D$192,G$1-9)-10)*$C38,1-0.4)</f>
        <v>0.90277777777777779</v>
      </c>
      <c r="H38" s="16">
        <f>MAX(1-(INDEX('Stat Boosts'!$D$2:$D$192,H$1-9)-10)*$C38,1-0.4)</f>
        <v>0.84444444444444444</v>
      </c>
      <c r="I38" s="16">
        <f>MAX(1-(INDEX('Stat Boosts'!$D$2:$D$192,I$1-9)-10)*$C38,1-0.4)</f>
        <v>0.78611111111111109</v>
      </c>
      <c r="J38" s="16">
        <f>MAX(1-(INDEX('Stat Boosts'!$D$2:$D$192,J$1-9)-10)*$C38,1-0.4)</f>
        <v>0.72777777777777775</v>
      </c>
      <c r="K38" s="16">
        <f>MAX(1-(INDEX('Stat Boosts'!$D$2:$D$192,K$1-9)-10)*$C38,1-0.4)</f>
        <v>0.6694444444444444</v>
      </c>
      <c r="L38" s="16">
        <f>MAX(1-(INDEX('Stat Boosts'!$D$2:$D$192,L$1-9)-10)*$C38,1-0.4)</f>
        <v>0.63055555555555554</v>
      </c>
      <c r="M38" s="16">
        <f>MAX(1-(INDEX('Stat Boosts'!$D$2:$D$192,M$1-9)-10)*$C38,1-0.4)</f>
        <v>0.6</v>
      </c>
      <c r="N38" s="16">
        <f>MAX(1-(INDEX('Stat Boosts'!$D$2:$D$192,N$1-9)-10)*$C38,1-0.4)</f>
        <v>0.6</v>
      </c>
      <c r="O38" s="16">
        <f>MAX(1-(INDEX('Stat Boosts'!$D$2:$D$192,O$1-9)-10)*$C38,1-0.4)</f>
        <v>0.6</v>
      </c>
      <c r="P38" s="16">
        <f>MAX(1-(INDEX('Stat Boosts'!$D$2:$D$192,P$1-9)-10)*$C38,1-0.4)</f>
        <v>0.6</v>
      </c>
      <c r="Q38" s="16">
        <f>MAX(1-(INDEX('Stat Boosts'!$D$2:$D$192,Q$1-9)-10)*$C38,1-0.4)</f>
        <v>0.6</v>
      </c>
      <c r="R38" s="16">
        <f>MAX(1-(INDEX('Stat Boosts'!$D$2:$D$192,R$1-9)-10)*$C38,1-0.4)</f>
        <v>0.6</v>
      </c>
    </row>
    <row r="39" spans="1:18">
      <c r="A39" s="9">
        <v>38</v>
      </c>
      <c r="B39" s="16">
        <f t="shared" si="0"/>
        <v>20.428571428571431</v>
      </c>
      <c r="C39" s="16">
        <f t="shared" si="1"/>
        <v>1.9178082191780819E-2</v>
      </c>
      <c r="E39" s="16">
        <f>MAX(1-(INDEX('Stat Boosts'!$D$2:$D$192,E$1-9)-10)*$C39,1-0.4)</f>
        <v>1</v>
      </c>
      <c r="F39" s="16">
        <f>MAX(1-(INDEX('Stat Boosts'!$D$2:$D$192,F$1-9)-10)*$C39,1-0.4)</f>
        <v>0.9616438356164384</v>
      </c>
      <c r="G39" s="16">
        <f>MAX(1-(INDEX('Stat Boosts'!$D$2:$D$192,G$1-9)-10)*$C39,1-0.4)</f>
        <v>0.90410958904109595</v>
      </c>
      <c r="H39" s="16">
        <f>MAX(1-(INDEX('Stat Boosts'!$D$2:$D$192,H$1-9)-10)*$C39,1-0.4)</f>
        <v>0.84657534246575339</v>
      </c>
      <c r="I39" s="16">
        <f>MAX(1-(INDEX('Stat Boosts'!$D$2:$D$192,I$1-9)-10)*$C39,1-0.4)</f>
        <v>0.78904109589041105</v>
      </c>
      <c r="J39" s="16">
        <f>MAX(1-(INDEX('Stat Boosts'!$D$2:$D$192,J$1-9)-10)*$C39,1-0.4)</f>
        <v>0.73150684931506849</v>
      </c>
      <c r="K39" s="16">
        <f>MAX(1-(INDEX('Stat Boosts'!$D$2:$D$192,K$1-9)-10)*$C39,1-0.4)</f>
        <v>0.67397260273972615</v>
      </c>
      <c r="L39" s="16">
        <f>MAX(1-(INDEX('Stat Boosts'!$D$2:$D$192,L$1-9)-10)*$C39,1-0.4)</f>
        <v>0.63561643835616444</v>
      </c>
      <c r="M39" s="16">
        <f>MAX(1-(INDEX('Stat Boosts'!$D$2:$D$192,M$1-9)-10)*$C39,1-0.4)</f>
        <v>0.6</v>
      </c>
      <c r="N39" s="16">
        <f>MAX(1-(INDEX('Stat Boosts'!$D$2:$D$192,N$1-9)-10)*$C39,1-0.4)</f>
        <v>0.6</v>
      </c>
      <c r="O39" s="16">
        <f>MAX(1-(INDEX('Stat Boosts'!$D$2:$D$192,O$1-9)-10)*$C39,1-0.4)</f>
        <v>0.6</v>
      </c>
      <c r="P39" s="16">
        <f>MAX(1-(INDEX('Stat Boosts'!$D$2:$D$192,P$1-9)-10)*$C39,1-0.4)</f>
        <v>0.6</v>
      </c>
      <c r="Q39" s="16">
        <f>MAX(1-(INDEX('Stat Boosts'!$D$2:$D$192,Q$1-9)-10)*$C39,1-0.4)</f>
        <v>0.6</v>
      </c>
      <c r="R39" s="16">
        <f>MAX(1-(INDEX('Stat Boosts'!$D$2:$D$192,R$1-9)-10)*$C39,1-0.4)</f>
        <v>0.6</v>
      </c>
    </row>
    <row r="40" spans="1:18">
      <c r="A40" s="9">
        <v>39</v>
      </c>
      <c r="B40" s="16">
        <f t="shared" si="0"/>
        <v>20.571428571428569</v>
      </c>
      <c r="C40" s="16">
        <f t="shared" si="1"/>
        <v>1.8918918918918923E-2</v>
      </c>
      <c r="E40" s="16">
        <f>MAX(1-(INDEX('Stat Boosts'!$D$2:$D$192,E$1-9)-10)*$C40,1-0.4)</f>
        <v>1</v>
      </c>
      <c r="F40" s="16">
        <f>MAX(1-(INDEX('Stat Boosts'!$D$2:$D$192,F$1-9)-10)*$C40,1-0.4)</f>
        <v>0.9621621621621621</v>
      </c>
      <c r="G40" s="16">
        <f>MAX(1-(INDEX('Stat Boosts'!$D$2:$D$192,G$1-9)-10)*$C40,1-0.4)</f>
        <v>0.90540540540540537</v>
      </c>
      <c r="H40" s="16">
        <f>MAX(1-(INDEX('Stat Boosts'!$D$2:$D$192,H$1-9)-10)*$C40,1-0.4)</f>
        <v>0.84864864864864864</v>
      </c>
      <c r="I40" s="16">
        <f>MAX(1-(INDEX('Stat Boosts'!$D$2:$D$192,I$1-9)-10)*$C40,1-0.4)</f>
        <v>0.7918918918918918</v>
      </c>
      <c r="J40" s="16">
        <f>MAX(1-(INDEX('Stat Boosts'!$D$2:$D$192,J$1-9)-10)*$C40,1-0.4)</f>
        <v>0.73513513513513506</v>
      </c>
      <c r="K40" s="16">
        <f>MAX(1-(INDEX('Stat Boosts'!$D$2:$D$192,K$1-9)-10)*$C40,1-0.4)</f>
        <v>0.67837837837837833</v>
      </c>
      <c r="L40" s="16">
        <f>MAX(1-(INDEX('Stat Boosts'!$D$2:$D$192,L$1-9)-10)*$C40,1-0.4)</f>
        <v>0.64054054054054044</v>
      </c>
      <c r="M40" s="16">
        <f>MAX(1-(INDEX('Stat Boosts'!$D$2:$D$192,M$1-9)-10)*$C40,1-0.4)</f>
        <v>0.6</v>
      </c>
      <c r="N40" s="16">
        <f>MAX(1-(INDEX('Stat Boosts'!$D$2:$D$192,N$1-9)-10)*$C40,1-0.4)</f>
        <v>0.6</v>
      </c>
      <c r="O40" s="16">
        <f>MAX(1-(INDEX('Stat Boosts'!$D$2:$D$192,O$1-9)-10)*$C40,1-0.4)</f>
        <v>0.6</v>
      </c>
      <c r="P40" s="16">
        <f>MAX(1-(INDEX('Stat Boosts'!$D$2:$D$192,P$1-9)-10)*$C40,1-0.4)</f>
        <v>0.6</v>
      </c>
      <c r="Q40" s="16">
        <f>MAX(1-(INDEX('Stat Boosts'!$D$2:$D$192,Q$1-9)-10)*$C40,1-0.4)</f>
        <v>0.6</v>
      </c>
      <c r="R40" s="16">
        <f>MAX(1-(INDEX('Stat Boosts'!$D$2:$D$192,R$1-9)-10)*$C40,1-0.4)</f>
        <v>0.6</v>
      </c>
    </row>
    <row r="41" spans="1:18">
      <c r="A41" s="9">
        <v>40</v>
      </c>
      <c r="B41" s="16">
        <f t="shared" si="0"/>
        <v>20.714285714285715</v>
      </c>
      <c r="C41" s="16">
        <f t="shared" si="1"/>
        <v>1.8666666666666665E-2</v>
      </c>
      <c r="E41" s="16">
        <f>MAX(1-(INDEX('Stat Boosts'!$D$2:$D$192,E$1-9)-10)*$C41,1-0.4)</f>
        <v>1</v>
      </c>
      <c r="F41" s="16">
        <f>MAX(1-(INDEX('Stat Boosts'!$D$2:$D$192,F$1-9)-10)*$C41,1-0.4)</f>
        <v>0.96266666666666667</v>
      </c>
      <c r="G41" s="16">
        <f>MAX(1-(INDEX('Stat Boosts'!$D$2:$D$192,G$1-9)-10)*$C41,1-0.4)</f>
        <v>0.90666666666666673</v>
      </c>
      <c r="H41" s="16">
        <f>MAX(1-(INDEX('Stat Boosts'!$D$2:$D$192,H$1-9)-10)*$C41,1-0.4)</f>
        <v>0.85066666666666668</v>
      </c>
      <c r="I41" s="16">
        <f>MAX(1-(INDEX('Stat Boosts'!$D$2:$D$192,I$1-9)-10)*$C41,1-0.4)</f>
        <v>0.79466666666666663</v>
      </c>
      <c r="J41" s="16">
        <f>MAX(1-(INDEX('Stat Boosts'!$D$2:$D$192,J$1-9)-10)*$C41,1-0.4)</f>
        <v>0.73866666666666669</v>
      </c>
      <c r="K41" s="16">
        <f>MAX(1-(INDEX('Stat Boosts'!$D$2:$D$192,K$1-9)-10)*$C41,1-0.4)</f>
        <v>0.68266666666666675</v>
      </c>
      <c r="L41" s="16">
        <f>MAX(1-(INDEX('Stat Boosts'!$D$2:$D$192,L$1-9)-10)*$C41,1-0.4)</f>
        <v>0.64533333333333331</v>
      </c>
      <c r="M41" s="16">
        <f>MAX(1-(INDEX('Stat Boosts'!$D$2:$D$192,M$1-9)-10)*$C41,1-0.4)</f>
        <v>0.6</v>
      </c>
      <c r="N41" s="16">
        <f>MAX(1-(INDEX('Stat Boosts'!$D$2:$D$192,N$1-9)-10)*$C41,1-0.4)</f>
        <v>0.6</v>
      </c>
      <c r="O41" s="16">
        <f>MAX(1-(INDEX('Stat Boosts'!$D$2:$D$192,O$1-9)-10)*$C41,1-0.4)</f>
        <v>0.6</v>
      </c>
      <c r="P41" s="16">
        <f>MAX(1-(INDEX('Stat Boosts'!$D$2:$D$192,P$1-9)-10)*$C41,1-0.4)</f>
        <v>0.6</v>
      </c>
      <c r="Q41" s="16">
        <f>MAX(1-(INDEX('Stat Boosts'!$D$2:$D$192,Q$1-9)-10)*$C41,1-0.4)</f>
        <v>0.6</v>
      </c>
      <c r="R41" s="16">
        <f>MAX(1-(INDEX('Stat Boosts'!$D$2:$D$192,R$1-9)-10)*$C41,1-0.4)</f>
        <v>0.6</v>
      </c>
    </row>
    <row r="42" spans="1:18">
      <c r="A42" s="9">
        <v>41</v>
      </c>
      <c r="B42" s="16">
        <f t="shared" si="0"/>
        <v>20.857142857142858</v>
      </c>
      <c r="C42" s="16">
        <f t="shared" si="1"/>
        <v>1.8421052631578949E-2</v>
      </c>
      <c r="E42" s="16">
        <f>MAX(1-(INDEX('Stat Boosts'!$D$2:$D$192,E$1-9)-10)*$C42,1-0.4)</f>
        <v>1</v>
      </c>
      <c r="F42" s="16">
        <f>MAX(1-(INDEX('Stat Boosts'!$D$2:$D$192,F$1-9)-10)*$C42,1-0.4)</f>
        <v>0.9631578947368421</v>
      </c>
      <c r="G42" s="16">
        <f>MAX(1-(INDEX('Stat Boosts'!$D$2:$D$192,G$1-9)-10)*$C42,1-0.4)</f>
        <v>0.90789473684210531</v>
      </c>
      <c r="H42" s="16">
        <f>MAX(1-(INDEX('Stat Boosts'!$D$2:$D$192,H$1-9)-10)*$C42,1-0.4)</f>
        <v>0.85263157894736841</v>
      </c>
      <c r="I42" s="16">
        <f>MAX(1-(INDEX('Stat Boosts'!$D$2:$D$192,I$1-9)-10)*$C42,1-0.4)</f>
        <v>0.7973684210526315</v>
      </c>
      <c r="J42" s="16">
        <f>MAX(1-(INDEX('Stat Boosts'!$D$2:$D$192,J$1-9)-10)*$C42,1-0.4)</f>
        <v>0.74210526315789471</v>
      </c>
      <c r="K42" s="16">
        <f>MAX(1-(INDEX('Stat Boosts'!$D$2:$D$192,K$1-9)-10)*$C42,1-0.4)</f>
        <v>0.68684210526315792</v>
      </c>
      <c r="L42" s="16">
        <f>MAX(1-(INDEX('Stat Boosts'!$D$2:$D$192,L$1-9)-10)*$C42,1-0.4)</f>
        <v>0.64999999999999991</v>
      </c>
      <c r="M42" s="16">
        <f>MAX(1-(INDEX('Stat Boosts'!$D$2:$D$192,M$1-9)-10)*$C42,1-0.4)</f>
        <v>0.6</v>
      </c>
      <c r="N42" s="16">
        <f>MAX(1-(INDEX('Stat Boosts'!$D$2:$D$192,N$1-9)-10)*$C42,1-0.4)</f>
        <v>0.6</v>
      </c>
      <c r="O42" s="16">
        <f>MAX(1-(INDEX('Stat Boosts'!$D$2:$D$192,O$1-9)-10)*$C42,1-0.4)</f>
        <v>0.6</v>
      </c>
      <c r="P42" s="16">
        <f>MAX(1-(INDEX('Stat Boosts'!$D$2:$D$192,P$1-9)-10)*$C42,1-0.4)</f>
        <v>0.6</v>
      </c>
      <c r="Q42" s="16">
        <f>MAX(1-(INDEX('Stat Boosts'!$D$2:$D$192,Q$1-9)-10)*$C42,1-0.4)</f>
        <v>0.6</v>
      </c>
      <c r="R42" s="16">
        <f>MAX(1-(INDEX('Stat Boosts'!$D$2:$D$192,R$1-9)-10)*$C42,1-0.4)</f>
        <v>0.6</v>
      </c>
    </row>
    <row r="43" spans="1:18">
      <c r="A43" s="9">
        <v>42</v>
      </c>
      <c r="B43" s="16">
        <f t="shared" si="0"/>
        <v>21</v>
      </c>
      <c r="C43" s="16">
        <f t="shared" si="1"/>
        <v>1.8181818181818184E-2</v>
      </c>
      <c r="E43" s="16">
        <f>MAX(1-(INDEX('Stat Boosts'!$D$2:$D$192,E$1-9)-10)*$C43,1-0.4)</f>
        <v>1</v>
      </c>
      <c r="F43" s="16">
        <f>MAX(1-(INDEX('Stat Boosts'!$D$2:$D$192,F$1-9)-10)*$C43,1-0.4)</f>
        <v>0.96363636363636362</v>
      </c>
      <c r="G43" s="16">
        <f>MAX(1-(INDEX('Stat Boosts'!$D$2:$D$192,G$1-9)-10)*$C43,1-0.4)</f>
        <v>0.90909090909090906</v>
      </c>
      <c r="H43" s="16">
        <f>MAX(1-(INDEX('Stat Boosts'!$D$2:$D$192,H$1-9)-10)*$C43,1-0.4)</f>
        <v>0.8545454545454545</v>
      </c>
      <c r="I43" s="16">
        <f>MAX(1-(INDEX('Stat Boosts'!$D$2:$D$192,I$1-9)-10)*$C43,1-0.4)</f>
        <v>0.79999999999999993</v>
      </c>
      <c r="J43" s="16">
        <f>MAX(1-(INDEX('Stat Boosts'!$D$2:$D$192,J$1-9)-10)*$C43,1-0.4)</f>
        <v>0.74545454545454537</v>
      </c>
      <c r="K43" s="16">
        <f>MAX(1-(INDEX('Stat Boosts'!$D$2:$D$192,K$1-9)-10)*$C43,1-0.4)</f>
        <v>0.69090909090909092</v>
      </c>
      <c r="L43" s="16">
        <f>MAX(1-(INDEX('Stat Boosts'!$D$2:$D$192,L$1-9)-10)*$C43,1-0.4)</f>
        <v>0.65454545454545454</v>
      </c>
      <c r="M43" s="16">
        <f>MAX(1-(INDEX('Stat Boosts'!$D$2:$D$192,M$1-9)-10)*$C43,1-0.4)</f>
        <v>0.6</v>
      </c>
      <c r="N43" s="16">
        <f>MAX(1-(INDEX('Stat Boosts'!$D$2:$D$192,N$1-9)-10)*$C43,1-0.4)</f>
        <v>0.6</v>
      </c>
      <c r="O43" s="16">
        <f>MAX(1-(INDEX('Stat Boosts'!$D$2:$D$192,O$1-9)-10)*$C43,1-0.4)</f>
        <v>0.6</v>
      </c>
      <c r="P43" s="16">
        <f>MAX(1-(INDEX('Stat Boosts'!$D$2:$D$192,P$1-9)-10)*$C43,1-0.4)</f>
        <v>0.6</v>
      </c>
      <c r="Q43" s="16">
        <f>MAX(1-(INDEX('Stat Boosts'!$D$2:$D$192,Q$1-9)-10)*$C43,1-0.4)</f>
        <v>0.6</v>
      </c>
      <c r="R43" s="16">
        <f>MAX(1-(INDEX('Stat Boosts'!$D$2:$D$192,R$1-9)-10)*$C43,1-0.4)</f>
        <v>0.6</v>
      </c>
    </row>
    <row r="44" spans="1:18">
      <c r="A44" s="9">
        <v>43</v>
      </c>
      <c r="B44" s="16">
        <f t="shared" si="0"/>
        <v>21.142857142857142</v>
      </c>
      <c r="C44" s="16">
        <f t="shared" si="1"/>
        <v>1.7948717948717951E-2</v>
      </c>
      <c r="E44" s="16">
        <f>MAX(1-(INDEX('Stat Boosts'!$D$2:$D$192,E$1-9)-10)*$C44,1-0.4)</f>
        <v>1</v>
      </c>
      <c r="F44" s="16">
        <f>MAX(1-(INDEX('Stat Boosts'!$D$2:$D$192,F$1-9)-10)*$C44,1-0.4)</f>
        <v>0.96410256410256412</v>
      </c>
      <c r="G44" s="16">
        <f>MAX(1-(INDEX('Stat Boosts'!$D$2:$D$192,G$1-9)-10)*$C44,1-0.4)</f>
        <v>0.91025641025641024</v>
      </c>
      <c r="H44" s="16">
        <f>MAX(1-(INDEX('Stat Boosts'!$D$2:$D$192,H$1-9)-10)*$C44,1-0.4)</f>
        <v>0.85641025641025637</v>
      </c>
      <c r="I44" s="16">
        <f>MAX(1-(INDEX('Stat Boosts'!$D$2:$D$192,I$1-9)-10)*$C44,1-0.4)</f>
        <v>0.8025641025641026</v>
      </c>
      <c r="J44" s="16">
        <f>MAX(1-(INDEX('Stat Boosts'!$D$2:$D$192,J$1-9)-10)*$C44,1-0.4)</f>
        <v>0.74871794871794872</v>
      </c>
      <c r="K44" s="16">
        <f>MAX(1-(INDEX('Stat Boosts'!$D$2:$D$192,K$1-9)-10)*$C44,1-0.4)</f>
        <v>0.69487179487179485</v>
      </c>
      <c r="L44" s="16">
        <f>MAX(1-(INDEX('Stat Boosts'!$D$2:$D$192,L$1-9)-10)*$C44,1-0.4)</f>
        <v>0.65897435897435885</v>
      </c>
      <c r="M44" s="16">
        <f>MAX(1-(INDEX('Stat Boosts'!$D$2:$D$192,M$1-9)-10)*$C44,1-0.4)</f>
        <v>0.60512820512820509</v>
      </c>
      <c r="N44" s="16">
        <f>MAX(1-(INDEX('Stat Boosts'!$D$2:$D$192,N$1-9)-10)*$C44,1-0.4)</f>
        <v>0.6</v>
      </c>
      <c r="O44" s="16">
        <f>MAX(1-(INDEX('Stat Boosts'!$D$2:$D$192,O$1-9)-10)*$C44,1-0.4)</f>
        <v>0.6</v>
      </c>
      <c r="P44" s="16">
        <f>MAX(1-(INDEX('Stat Boosts'!$D$2:$D$192,P$1-9)-10)*$C44,1-0.4)</f>
        <v>0.6</v>
      </c>
      <c r="Q44" s="16">
        <f>MAX(1-(INDEX('Stat Boosts'!$D$2:$D$192,Q$1-9)-10)*$C44,1-0.4)</f>
        <v>0.6</v>
      </c>
      <c r="R44" s="16">
        <f>MAX(1-(INDEX('Stat Boosts'!$D$2:$D$192,R$1-9)-10)*$C44,1-0.4)</f>
        <v>0.6</v>
      </c>
    </row>
    <row r="45" spans="1:18">
      <c r="A45" s="9">
        <v>44</v>
      </c>
      <c r="B45" s="16">
        <f t="shared" ref="B45:B108" si="2">15+A45/7</f>
        <v>21.285714285714285</v>
      </c>
      <c r="C45" s="16">
        <f t="shared" si="1"/>
        <v>1.7721518987341776E-2</v>
      </c>
      <c r="E45" s="16">
        <f>MAX(1-(INDEX('Stat Boosts'!$D$2:$D$192,E$1-9)-10)*$C45,1-0.4)</f>
        <v>1</v>
      </c>
      <c r="F45" s="16">
        <f>MAX(1-(INDEX('Stat Boosts'!$D$2:$D$192,F$1-9)-10)*$C45,1-0.4)</f>
        <v>0.96455696202531649</v>
      </c>
      <c r="G45" s="16">
        <f>MAX(1-(INDEX('Stat Boosts'!$D$2:$D$192,G$1-9)-10)*$C45,1-0.4)</f>
        <v>0.91139240506329111</v>
      </c>
      <c r="H45" s="16">
        <f>MAX(1-(INDEX('Stat Boosts'!$D$2:$D$192,H$1-9)-10)*$C45,1-0.4)</f>
        <v>0.85822784810126573</v>
      </c>
      <c r="I45" s="16">
        <f>MAX(1-(INDEX('Stat Boosts'!$D$2:$D$192,I$1-9)-10)*$C45,1-0.4)</f>
        <v>0.80506329113924047</v>
      </c>
      <c r="J45" s="16">
        <f>MAX(1-(INDEX('Stat Boosts'!$D$2:$D$192,J$1-9)-10)*$C45,1-0.4)</f>
        <v>0.7518987341772152</v>
      </c>
      <c r="K45" s="16">
        <f>MAX(1-(INDEX('Stat Boosts'!$D$2:$D$192,K$1-9)-10)*$C45,1-0.4)</f>
        <v>0.69873417721518982</v>
      </c>
      <c r="L45" s="16">
        <f>MAX(1-(INDEX('Stat Boosts'!$D$2:$D$192,L$1-9)-10)*$C45,1-0.4)</f>
        <v>0.66329113924050631</v>
      </c>
      <c r="M45" s="16">
        <f>MAX(1-(INDEX('Stat Boosts'!$D$2:$D$192,M$1-9)-10)*$C45,1-0.4)</f>
        <v>0.61012658227848093</v>
      </c>
      <c r="N45" s="16">
        <f>MAX(1-(INDEX('Stat Boosts'!$D$2:$D$192,N$1-9)-10)*$C45,1-0.4)</f>
        <v>0.6</v>
      </c>
      <c r="O45" s="16">
        <f>MAX(1-(INDEX('Stat Boosts'!$D$2:$D$192,O$1-9)-10)*$C45,1-0.4)</f>
        <v>0.6</v>
      </c>
      <c r="P45" s="16">
        <f>MAX(1-(INDEX('Stat Boosts'!$D$2:$D$192,P$1-9)-10)*$C45,1-0.4)</f>
        <v>0.6</v>
      </c>
      <c r="Q45" s="16">
        <f>MAX(1-(INDEX('Stat Boosts'!$D$2:$D$192,Q$1-9)-10)*$C45,1-0.4)</f>
        <v>0.6</v>
      </c>
      <c r="R45" s="16">
        <f>MAX(1-(INDEX('Stat Boosts'!$D$2:$D$192,R$1-9)-10)*$C45,1-0.4)</f>
        <v>0.6</v>
      </c>
    </row>
    <row r="46" spans="1:18">
      <c r="A46" s="9">
        <v>45</v>
      </c>
      <c r="B46" s="16">
        <f t="shared" si="2"/>
        <v>21.428571428571431</v>
      </c>
      <c r="C46" s="16">
        <f t="shared" si="1"/>
        <v>1.7499999999999998E-2</v>
      </c>
      <c r="E46" s="16">
        <f>MAX(1-(INDEX('Stat Boosts'!$D$2:$D$192,E$1-9)-10)*$C46,1-0.4)</f>
        <v>1</v>
      </c>
      <c r="F46" s="16">
        <f>MAX(1-(INDEX('Stat Boosts'!$D$2:$D$192,F$1-9)-10)*$C46,1-0.4)</f>
        <v>0.96499999999999997</v>
      </c>
      <c r="G46" s="16">
        <f>MAX(1-(INDEX('Stat Boosts'!$D$2:$D$192,G$1-9)-10)*$C46,1-0.4)</f>
        <v>0.91249999999999998</v>
      </c>
      <c r="H46" s="16">
        <f>MAX(1-(INDEX('Stat Boosts'!$D$2:$D$192,H$1-9)-10)*$C46,1-0.4)</f>
        <v>0.86</v>
      </c>
      <c r="I46" s="16">
        <f>MAX(1-(INDEX('Stat Boosts'!$D$2:$D$192,I$1-9)-10)*$C46,1-0.4)</f>
        <v>0.8075</v>
      </c>
      <c r="J46" s="16">
        <f>MAX(1-(INDEX('Stat Boosts'!$D$2:$D$192,J$1-9)-10)*$C46,1-0.4)</f>
        <v>0.755</v>
      </c>
      <c r="K46" s="16">
        <f>MAX(1-(INDEX('Stat Boosts'!$D$2:$D$192,K$1-9)-10)*$C46,1-0.4)</f>
        <v>0.70250000000000001</v>
      </c>
      <c r="L46" s="16">
        <f>MAX(1-(INDEX('Stat Boosts'!$D$2:$D$192,L$1-9)-10)*$C46,1-0.4)</f>
        <v>0.66749999999999998</v>
      </c>
      <c r="M46" s="16">
        <f>MAX(1-(INDEX('Stat Boosts'!$D$2:$D$192,M$1-9)-10)*$C46,1-0.4)</f>
        <v>0.61499999999999999</v>
      </c>
      <c r="N46" s="16">
        <f>MAX(1-(INDEX('Stat Boosts'!$D$2:$D$192,N$1-9)-10)*$C46,1-0.4)</f>
        <v>0.6</v>
      </c>
      <c r="O46" s="16">
        <f>MAX(1-(INDEX('Stat Boosts'!$D$2:$D$192,O$1-9)-10)*$C46,1-0.4)</f>
        <v>0.6</v>
      </c>
      <c r="P46" s="16">
        <f>MAX(1-(INDEX('Stat Boosts'!$D$2:$D$192,P$1-9)-10)*$C46,1-0.4)</f>
        <v>0.6</v>
      </c>
      <c r="Q46" s="16">
        <f>MAX(1-(INDEX('Stat Boosts'!$D$2:$D$192,Q$1-9)-10)*$C46,1-0.4)</f>
        <v>0.6</v>
      </c>
      <c r="R46" s="16">
        <f>MAX(1-(INDEX('Stat Boosts'!$D$2:$D$192,R$1-9)-10)*$C46,1-0.4)</f>
        <v>0.6</v>
      </c>
    </row>
    <row r="47" spans="1:18">
      <c r="A47" s="9">
        <v>46</v>
      </c>
      <c r="B47" s="16">
        <f t="shared" si="2"/>
        <v>21.571428571428569</v>
      </c>
      <c r="C47" s="16">
        <f t="shared" si="1"/>
        <v>1.7283950617283956E-2</v>
      </c>
      <c r="E47" s="16">
        <f>MAX(1-(INDEX('Stat Boosts'!$D$2:$D$192,E$1-9)-10)*$C47,1-0.4)</f>
        <v>1</v>
      </c>
      <c r="F47" s="16">
        <f>MAX(1-(INDEX('Stat Boosts'!$D$2:$D$192,F$1-9)-10)*$C47,1-0.4)</f>
        <v>0.96543209876543212</v>
      </c>
      <c r="G47" s="16">
        <f>MAX(1-(INDEX('Stat Boosts'!$D$2:$D$192,G$1-9)-10)*$C47,1-0.4)</f>
        <v>0.9135802469135802</v>
      </c>
      <c r="H47" s="16">
        <f>MAX(1-(INDEX('Stat Boosts'!$D$2:$D$192,H$1-9)-10)*$C47,1-0.4)</f>
        <v>0.86172839506172838</v>
      </c>
      <c r="I47" s="16">
        <f>MAX(1-(INDEX('Stat Boosts'!$D$2:$D$192,I$1-9)-10)*$C47,1-0.4)</f>
        <v>0.80987654320987645</v>
      </c>
      <c r="J47" s="16">
        <f>MAX(1-(INDEX('Stat Boosts'!$D$2:$D$192,J$1-9)-10)*$C47,1-0.4)</f>
        <v>0.75802469135802464</v>
      </c>
      <c r="K47" s="16">
        <f>MAX(1-(INDEX('Stat Boosts'!$D$2:$D$192,K$1-9)-10)*$C47,1-0.4)</f>
        <v>0.70617283950617282</v>
      </c>
      <c r="L47" s="16">
        <f>MAX(1-(INDEX('Stat Boosts'!$D$2:$D$192,L$1-9)-10)*$C47,1-0.4)</f>
        <v>0.67160493827160483</v>
      </c>
      <c r="M47" s="16">
        <f>MAX(1-(INDEX('Stat Boosts'!$D$2:$D$192,M$1-9)-10)*$C47,1-0.4)</f>
        <v>0.61975308641975291</v>
      </c>
      <c r="N47" s="16">
        <f>MAX(1-(INDEX('Stat Boosts'!$D$2:$D$192,N$1-9)-10)*$C47,1-0.4)</f>
        <v>0.6</v>
      </c>
      <c r="O47" s="16">
        <f>MAX(1-(INDEX('Stat Boosts'!$D$2:$D$192,O$1-9)-10)*$C47,1-0.4)</f>
        <v>0.6</v>
      </c>
      <c r="P47" s="16">
        <f>MAX(1-(INDEX('Stat Boosts'!$D$2:$D$192,P$1-9)-10)*$C47,1-0.4)</f>
        <v>0.6</v>
      </c>
      <c r="Q47" s="16">
        <f>MAX(1-(INDEX('Stat Boosts'!$D$2:$D$192,Q$1-9)-10)*$C47,1-0.4)</f>
        <v>0.6</v>
      </c>
      <c r="R47" s="16">
        <f>MAX(1-(INDEX('Stat Boosts'!$D$2:$D$192,R$1-9)-10)*$C47,1-0.4)</f>
        <v>0.6</v>
      </c>
    </row>
    <row r="48" spans="1:18">
      <c r="A48" s="9">
        <v>47</v>
      </c>
      <c r="B48" s="16">
        <f t="shared" si="2"/>
        <v>21.714285714285715</v>
      </c>
      <c r="C48" s="16">
        <f t="shared" si="1"/>
        <v>1.7073170731707315E-2</v>
      </c>
      <c r="E48" s="16">
        <f>MAX(1-(INDEX('Stat Boosts'!$D$2:$D$192,E$1-9)-10)*$C48,1-0.4)</f>
        <v>1</v>
      </c>
      <c r="F48" s="16">
        <f>MAX(1-(INDEX('Stat Boosts'!$D$2:$D$192,F$1-9)-10)*$C48,1-0.4)</f>
        <v>0.96585365853658534</v>
      </c>
      <c r="G48" s="16">
        <f>MAX(1-(INDEX('Stat Boosts'!$D$2:$D$192,G$1-9)-10)*$C48,1-0.4)</f>
        <v>0.91463414634146345</v>
      </c>
      <c r="H48" s="16">
        <f>MAX(1-(INDEX('Stat Boosts'!$D$2:$D$192,H$1-9)-10)*$C48,1-0.4)</f>
        <v>0.86341463414634145</v>
      </c>
      <c r="I48" s="16">
        <f>MAX(1-(INDEX('Stat Boosts'!$D$2:$D$192,I$1-9)-10)*$C48,1-0.4)</f>
        <v>0.81219512195121957</v>
      </c>
      <c r="J48" s="16">
        <f>MAX(1-(INDEX('Stat Boosts'!$D$2:$D$192,J$1-9)-10)*$C48,1-0.4)</f>
        <v>0.76097560975609757</v>
      </c>
      <c r="K48" s="16">
        <f>MAX(1-(INDEX('Stat Boosts'!$D$2:$D$192,K$1-9)-10)*$C48,1-0.4)</f>
        <v>0.70975609756097557</v>
      </c>
      <c r="L48" s="16">
        <f>MAX(1-(INDEX('Stat Boosts'!$D$2:$D$192,L$1-9)-10)*$C48,1-0.4)</f>
        <v>0.67560975609756102</v>
      </c>
      <c r="M48" s="16">
        <f>MAX(1-(INDEX('Stat Boosts'!$D$2:$D$192,M$1-9)-10)*$C48,1-0.4)</f>
        <v>0.62439024390243913</v>
      </c>
      <c r="N48" s="16">
        <f>MAX(1-(INDEX('Stat Boosts'!$D$2:$D$192,N$1-9)-10)*$C48,1-0.4)</f>
        <v>0.6</v>
      </c>
      <c r="O48" s="16">
        <f>MAX(1-(INDEX('Stat Boosts'!$D$2:$D$192,O$1-9)-10)*$C48,1-0.4)</f>
        <v>0.6</v>
      </c>
      <c r="P48" s="16">
        <f>MAX(1-(INDEX('Stat Boosts'!$D$2:$D$192,P$1-9)-10)*$C48,1-0.4)</f>
        <v>0.6</v>
      </c>
      <c r="Q48" s="16">
        <f>MAX(1-(INDEX('Stat Boosts'!$D$2:$D$192,Q$1-9)-10)*$C48,1-0.4)</f>
        <v>0.6</v>
      </c>
      <c r="R48" s="16">
        <f>MAX(1-(INDEX('Stat Boosts'!$D$2:$D$192,R$1-9)-10)*$C48,1-0.4)</f>
        <v>0.6</v>
      </c>
    </row>
    <row r="49" spans="1:18">
      <c r="A49" s="9">
        <v>48</v>
      </c>
      <c r="B49" s="16">
        <f t="shared" si="2"/>
        <v>21.857142857142858</v>
      </c>
      <c r="C49" s="16">
        <f t="shared" si="1"/>
        <v>1.6867469879518072E-2</v>
      </c>
      <c r="E49" s="16">
        <f>MAX(1-(INDEX('Stat Boosts'!$D$2:$D$192,E$1-9)-10)*$C49,1-0.4)</f>
        <v>1</v>
      </c>
      <c r="F49" s="16">
        <f>MAX(1-(INDEX('Stat Boosts'!$D$2:$D$192,F$1-9)-10)*$C49,1-0.4)</f>
        <v>0.96626506024096381</v>
      </c>
      <c r="G49" s="16">
        <f>MAX(1-(INDEX('Stat Boosts'!$D$2:$D$192,G$1-9)-10)*$C49,1-0.4)</f>
        <v>0.9156626506024097</v>
      </c>
      <c r="H49" s="16">
        <f>MAX(1-(INDEX('Stat Boosts'!$D$2:$D$192,H$1-9)-10)*$C49,1-0.4)</f>
        <v>0.86506024096385548</v>
      </c>
      <c r="I49" s="16">
        <f>MAX(1-(INDEX('Stat Boosts'!$D$2:$D$192,I$1-9)-10)*$C49,1-0.4)</f>
        <v>0.81445783132530125</v>
      </c>
      <c r="J49" s="16">
        <f>MAX(1-(INDEX('Stat Boosts'!$D$2:$D$192,J$1-9)-10)*$C49,1-0.4)</f>
        <v>0.76385542168674703</v>
      </c>
      <c r="K49" s="16">
        <f>MAX(1-(INDEX('Stat Boosts'!$D$2:$D$192,K$1-9)-10)*$C49,1-0.4)</f>
        <v>0.7132530120481928</v>
      </c>
      <c r="L49" s="16">
        <f>MAX(1-(INDEX('Stat Boosts'!$D$2:$D$192,L$1-9)-10)*$C49,1-0.4)</f>
        <v>0.67951807228915662</v>
      </c>
      <c r="M49" s="16">
        <f>MAX(1-(INDEX('Stat Boosts'!$D$2:$D$192,M$1-9)-10)*$C49,1-0.4)</f>
        <v>0.62891566265060239</v>
      </c>
      <c r="N49" s="16">
        <f>MAX(1-(INDEX('Stat Boosts'!$D$2:$D$192,N$1-9)-10)*$C49,1-0.4)</f>
        <v>0.6</v>
      </c>
      <c r="O49" s="16">
        <f>MAX(1-(INDEX('Stat Boosts'!$D$2:$D$192,O$1-9)-10)*$C49,1-0.4)</f>
        <v>0.6</v>
      </c>
      <c r="P49" s="16">
        <f>MAX(1-(INDEX('Stat Boosts'!$D$2:$D$192,P$1-9)-10)*$C49,1-0.4)</f>
        <v>0.6</v>
      </c>
      <c r="Q49" s="16">
        <f>MAX(1-(INDEX('Stat Boosts'!$D$2:$D$192,Q$1-9)-10)*$C49,1-0.4)</f>
        <v>0.6</v>
      </c>
      <c r="R49" s="16">
        <f>MAX(1-(INDEX('Stat Boosts'!$D$2:$D$192,R$1-9)-10)*$C49,1-0.4)</f>
        <v>0.6</v>
      </c>
    </row>
    <row r="50" spans="1:18">
      <c r="A50" s="9">
        <v>49</v>
      </c>
      <c r="B50" s="16">
        <f t="shared" si="2"/>
        <v>22</v>
      </c>
      <c r="C50" s="16">
        <f t="shared" si="1"/>
        <v>1.6666666666666666E-2</v>
      </c>
      <c r="E50" s="16">
        <f>MAX(1-(INDEX('Stat Boosts'!$D$2:$D$192,E$1-9)-10)*$C50,1-0.4)</f>
        <v>1</v>
      </c>
      <c r="F50" s="16">
        <f>MAX(1-(INDEX('Stat Boosts'!$D$2:$D$192,F$1-9)-10)*$C50,1-0.4)</f>
        <v>0.96666666666666667</v>
      </c>
      <c r="G50" s="16">
        <f>MAX(1-(INDEX('Stat Boosts'!$D$2:$D$192,G$1-9)-10)*$C50,1-0.4)</f>
        <v>0.91666666666666663</v>
      </c>
      <c r="H50" s="16">
        <f>MAX(1-(INDEX('Stat Boosts'!$D$2:$D$192,H$1-9)-10)*$C50,1-0.4)</f>
        <v>0.8666666666666667</v>
      </c>
      <c r="I50" s="16">
        <f>MAX(1-(INDEX('Stat Boosts'!$D$2:$D$192,I$1-9)-10)*$C50,1-0.4)</f>
        <v>0.81666666666666665</v>
      </c>
      <c r="J50" s="16">
        <f>MAX(1-(INDEX('Stat Boosts'!$D$2:$D$192,J$1-9)-10)*$C50,1-0.4)</f>
        <v>0.76666666666666661</v>
      </c>
      <c r="K50" s="16">
        <f>MAX(1-(INDEX('Stat Boosts'!$D$2:$D$192,K$1-9)-10)*$C50,1-0.4)</f>
        <v>0.71666666666666667</v>
      </c>
      <c r="L50" s="16">
        <f>MAX(1-(INDEX('Stat Boosts'!$D$2:$D$192,L$1-9)-10)*$C50,1-0.4)</f>
        <v>0.68333333333333335</v>
      </c>
      <c r="M50" s="16">
        <f>MAX(1-(INDEX('Stat Boosts'!$D$2:$D$192,M$1-9)-10)*$C50,1-0.4)</f>
        <v>0.6333333333333333</v>
      </c>
      <c r="N50" s="16">
        <f>MAX(1-(INDEX('Stat Boosts'!$D$2:$D$192,N$1-9)-10)*$C50,1-0.4)</f>
        <v>0.6</v>
      </c>
      <c r="O50" s="16">
        <f>MAX(1-(INDEX('Stat Boosts'!$D$2:$D$192,O$1-9)-10)*$C50,1-0.4)</f>
        <v>0.6</v>
      </c>
      <c r="P50" s="16">
        <f>MAX(1-(INDEX('Stat Boosts'!$D$2:$D$192,P$1-9)-10)*$C50,1-0.4)</f>
        <v>0.6</v>
      </c>
      <c r="Q50" s="16">
        <f>MAX(1-(INDEX('Stat Boosts'!$D$2:$D$192,Q$1-9)-10)*$C50,1-0.4)</f>
        <v>0.6</v>
      </c>
      <c r="R50" s="16">
        <f>MAX(1-(INDEX('Stat Boosts'!$D$2:$D$192,R$1-9)-10)*$C50,1-0.4)</f>
        <v>0.6</v>
      </c>
    </row>
    <row r="51" spans="1:18">
      <c r="A51" s="9">
        <v>50</v>
      </c>
      <c r="B51" s="16">
        <f t="shared" si="2"/>
        <v>22.142857142857142</v>
      </c>
      <c r="C51" s="16">
        <f t="shared" si="1"/>
        <v>1.6470588235294119E-2</v>
      </c>
      <c r="E51" s="16">
        <f>MAX(1-(INDEX('Stat Boosts'!$D$2:$D$192,E$1-9)-10)*$C51,1-0.4)</f>
        <v>1</v>
      </c>
      <c r="F51" s="16">
        <f>MAX(1-(INDEX('Stat Boosts'!$D$2:$D$192,F$1-9)-10)*$C51,1-0.4)</f>
        <v>0.96705882352941175</v>
      </c>
      <c r="G51" s="16">
        <f>MAX(1-(INDEX('Stat Boosts'!$D$2:$D$192,G$1-9)-10)*$C51,1-0.4)</f>
        <v>0.91764705882352937</v>
      </c>
      <c r="H51" s="16">
        <f>MAX(1-(INDEX('Stat Boosts'!$D$2:$D$192,H$1-9)-10)*$C51,1-0.4)</f>
        <v>0.86823529411764699</v>
      </c>
      <c r="I51" s="16">
        <f>MAX(1-(INDEX('Stat Boosts'!$D$2:$D$192,I$1-9)-10)*$C51,1-0.4)</f>
        <v>0.81882352941176473</v>
      </c>
      <c r="J51" s="16">
        <f>MAX(1-(INDEX('Stat Boosts'!$D$2:$D$192,J$1-9)-10)*$C51,1-0.4)</f>
        <v>0.76941176470588235</v>
      </c>
      <c r="K51" s="16">
        <f>MAX(1-(INDEX('Stat Boosts'!$D$2:$D$192,K$1-9)-10)*$C51,1-0.4)</f>
        <v>0.72</v>
      </c>
      <c r="L51" s="16">
        <f>MAX(1-(INDEX('Stat Boosts'!$D$2:$D$192,L$1-9)-10)*$C51,1-0.4)</f>
        <v>0.68705882352941172</v>
      </c>
      <c r="M51" s="16">
        <f>MAX(1-(INDEX('Stat Boosts'!$D$2:$D$192,M$1-9)-10)*$C51,1-0.4)</f>
        <v>0.63764705882352946</v>
      </c>
      <c r="N51" s="16">
        <f>MAX(1-(INDEX('Stat Boosts'!$D$2:$D$192,N$1-9)-10)*$C51,1-0.4)</f>
        <v>0.6047058823529412</v>
      </c>
      <c r="O51" s="16">
        <f>MAX(1-(INDEX('Stat Boosts'!$D$2:$D$192,O$1-9)-10)*$C51,1-0.4)</f>
        <v>0.6</v>
      </c>
      <c r="P51" s="16">
        <f>MAX(1-(INDEX('Stat Boosts'!$D$2:$D$192,P$1-9)-10)*$C51,1-0.4)</f>
        <v>0.6</v>
      </c>
      <c r="Q51" s="16">
        <f>MAX(1-(INDEX('Stat Boosts'!$D$2:$D$192,Q$1-9)-10)*$C51,1-0.4)</f>
        <v>0.6</v>
      </c>
      <c r="R51" s="16">
        <f>MAX(1-(INDEX('Stat Boosts'!$D$2:$D$192,R$1-9)-10)*$C51,1-0.4)</f>
        <v>0.6</v>
      </c>
    </row>
    <row r="52" spans="1:18">
      <c r="A52" s="9">
        <v>51</v>
      </c>
      <c r="B52" s="16">
        <f t="shared" si="2"/>
        <v>22.285714285714285</v>
      </c>
      <c r="C52" s="16">
        <f t="shared" si="1"/>
        <v>1.6279069767441864E-2</v>
      </c>
      <c r="E52" s="16">
        <f>MAX(1-(INDEX('Stat Boosts'!$D$2:$D$192,E$1-9)-10)*$C52,1-0.4)</f>
        <v>1</v>
      </c>
      <c r="F52" s="16">
        <f>MAX(1-(INDEX('Stat Boosts'!$D$2:$D$192,F$1-9)-10)*$C52,1-0.4)</f>
        <v>0.96744186046511627</v>
      </c>
      <c r="G52" s="16">
        <f>MAX(1-(INDEX('Stat Boosts'!$D$2:$D$192,G$1-9)-10)*$C52,1-0.4)</f>
        <v>0.91860465116279066</v>
      </c>
      <c r="H52" s="16">
        <f>MAX(1-(INDEX('Stat Boosts'!$D$2:$D$192,H$1-9)-10)*$C52,1-0.4)</f>
        <v>0.86976744186046506</v>
      </c>
      <c r="I52" s="16">
        <f>MAX(1-(INDEX('Stat Boosts'!$D$2:$D$192,I$1-9)-10)*$C52,1-0.4)</f>
        <v>0.82093023255813946</v>
      </c>
      <c r="J52" s="16">
        <f>MAX(1-(INDEX('Stat Boosts'!$D$2:$D$192,J$1-9)-10)*$C52,1-0.4)</f>
        <v>0.77209302325581386</v>
      </c>
      <c r="K52" s="16">
        <f>MAX(1-(INDEX('Stat Boosts'!$D$2:$D$192,K$1-9)-10)*$C52,1-0.4)</f>
        <v>0.72325581395348837</v>
      </c>
      <c r="L52" s="16">
        <f>MAX(1-(INDEX('Stat Boosts'!$D$2:$D$192,L$1-9)-10)*$C52,1-0.4)</f>
        <v>0.69069767441860463</v>
      </c>
      <c r="M52" s="16">
        <f>MAX(1-(INDEX('Stat Boosts'!$D$2:$D$192,M$1-9)-10)*$C52,1-0.4)</f>
        <v>0.64186046511627892</v>
      </c>
      <c r="N52" s="16">
        <f>MAX(1-(INDEX('Stat Boosts'!$D$2:$D$192,N$1-9)-10)*$C52,1-0.4)</f>
        <v>0.6093023255813953</v>
      </c>
      <c r="O52" s="16">
        <f>MAX(1-(INDEX('Stat Boosts'!$D$2:$D$192,O$1-9)-10)*$C52,1-0.4)</f>
        <v>0.6</v>
      </c>
      <c r="P52" s="16">
        <f>MAX(1-(INDEX('Stat Boosts'!$D$2:$D$192,P$1-9)-10)*$C52,1-0.4)</f>
        <v>0.6</v>
      </c>
      <c r="Q52" s="16">
        <f>MAX(1-(INDEX('Stat Boosts'!$D$2:$D$192,Q$1-9)-10)*$C52,1-0.4)</f>
        <v>0.6</v>
      </c>
      <c r="R52" s="16">
        <f>MAX(1-(INDEX('Stat Boosts'!$D$2:$D$192,R$1-9)-10)*$C52,1-0.4)</f>
        <v>0.6</v>
      </c>
    </row>
    <row r="53" spans="1:18">
      <c r="A53" s="9">
        <v>52</v>
      </c>
      <c r="B53" s="16">
        <f t="shared" si="2"/>
        <v>22.428571428571431</v>
      </c>
      <c r="C53" s="16">
        <f t="shared" si="1"/>
        <v>1.6091954022988506E-2</v>
      </c>
      <c r="E53" s="16">
        <f>MAX(1-(INDEX('Stat Boosts'!$D$2:$D$192,E$1-9)-10)*$C53,1-0.4)</f>
        <v>1</v>
      </c>
      <c r="F53" s="16">
        <f>MAX(1-(INDEX('Stat Boosts'!$D$2:$D$192,F$1-9)-10)*$C53,1-0.4)</f>
        <v>0.96781609195402296</v>
      </c>
      <c r="G53" s="16">
        <f>MAX(1-(INDEX('Stat Boosts'!$D$2:$D$192,G$1-9)-10)*$C53,1-0.4)</f>
        <v>0.91954022988505746</v>
      </c>
      <c r="H53" s="16">
        <f>MAX(1-(INDEX('Stat Boosts'!$D$2:$D$192,H$1-9)-10)*$C53,1-0.4)</f>
        <v>0.87126436781609196</v>
      </c>
      <c r="I53" s="16">
        <f>MAX(1-(INDEX('Stat Boosts'!$D$2:$D$192,I$1-9)-10)*$C53,1-0.4)</f>
        <v>0.82298850574712645</v>
      </c>
      <c r="J53" s="16">
        <f>MAX(1-(INDEX('Stat Boosts'!$D$2:$D$192,J$1-9)-10)*$C53,1-0.4)</f>
        <v>0.77471264367816095</v>
      </c>
      <c r="K53" s="16">
        <f>MAX(1-(INDEX('Stat Boosts'!$D$2:$D$192,K$1-9)-10)*$C53,1-0.4)</f>
        <v>0.72643678160919545</v>
      </c>
      <c r="L53" s="16">
        <f>MAX(1-(INDEX('Stat Boosts'!$D$2:$D$192,L$1-9)-10)*$C53,1-0.4)</f>
        <v>0.69425287356321841</v>
      </c>
      <c r="M53" s="16">
        <f>MAX(1-(INDEX('Stat Boosts'!$D$2:$D$192,M$1-9)-10)*$C53,1-0.4)</f>
        <v>0.64597701149425291</v>
      </c>
      <c r="N53" s="16">
        <f>MAX(1-(INDEX('Stat Boosts'!$D$2:$D$192,N$1-9)-10)*$C53,1-0.4)</f>
        <v>0.61379310344827587</v>
      </c>
      <c r="O53" s="16">
        <f>MAX(1-(INDEX('Stat Boosts'!$D$2:$D$192,O$1-9)-10)*$C53,1-0.4)</f>
        <v>0.6</v>
      </c>
      <c r="P53" s="16">
        <f>MAX(1-(INDEX('Stat Boosts'!$D$2:$D$192,P$1-9)-10)*$C53,1-0.4)</f>
        <v>0.6</v>
      </c>
      <c r="Q53" s="16">
        <f>MAX(1-(INDEX('Stat Boosts'!$D$2:$D$192,Q$1-9)-10)*$C53,1-0.4)</f>
        <v>0.6</v>
      </c>
      <c r="R53" s="16">
        <f>MAX(1-(INDEX('Stat Boosts'!$D$2:$D$192,R$1-9)-10)*$C53,1-0.4)</f>
        <v>0.6</v>
      </c>
    </row>
    <row r="54" spans="1:18">
      <c r="A54" s="9">
        <v>53</v>
      </c>
      <c r="B54" s="16">
        <f t="shared" si="2"/>
        <v>22.571428571428569</v>
      </c>
      <c r="C54" s="16">
        <f t="shared" si="1"/>
        <v>1.5909090909090911E-2</v>
      </c>
      <c r="E54" s="16">
        <f>MAX(1-(INDEX('Stat Boosts'!$D$2:$D$192,E$1-9)-10)*$C54,1-0.4)</f>
        <v>1</v>
      </c>
      <c r="F54" s="16">
        <f>MAX(1-(INDEX('Stat Boosts'!$D$2:$D$192,F$1-9)-10)*$C54,1-0.4)</f>
        <v>0.96818181818181814</v>
      </c>
      <c r="G54" s="16">
        <f>MAX(1-(INDEX('Stat Boosts'!$D$2:$D$192,G$1-9)-10)*$C54,1-0.4)</f>
        <v>0.92045454545454541</v>
      </c>
      <c r="H54" s="16">
        <f>MAX(1-(INDEX('Stat Boosts'!$D$2:$D$192,H$1-9)-10)*$C54,1-0.4)</f>
        <v>0.87272727272727268</v>
      </c>
      <c r="I54" s="16">
        <f>MAX(1-(INDEX('Stat Boosts'!$D$2:$D$192,I$1-9)-10)*$C54,1-0.4)</f>
        <v>0.82499999999999996</v>
      </c>
      <c r="J54" s="16">
        <f>MAX(1-(INDEX('Stat Boosts'!$D$2:$D$192,J$1-9)-10)*$C54,1-0.4)</f>
        <v>0.77727272727272723</v>
      </c>
      <c r="K54" s="16">
        <f>MAX(1-(INDEX('Stat Boosts'!$D$2:$D$192,K$1-9)-10)*$C54,1-0.4)</f>
        <v>0.7295454545454545</v>
      </c>
      <c r="L54" s="16">
        <f>MAX(1-(INDEX('Stat Boosts'!$D$2:$D$192,L$1-9)-10)*$C54,1-0.4)</f>
        <v>0.69772727272727275</v>
      </c>
      <c r="M54" s="16">
        <f>MAX(1-(INDEX('Stat Boosts'!$D$2:$D$192,M$1-9)-10)*$C54,1-0.4)</f>
        <v>0.64999999999999991</v>
      </c>
      <c r="N54" s="16">
        <f>MAX(1-(INDEX('Stat Boosts'!$D$2:$D$192,N$1-9)-10)*$C54,1-0.4)</f>
        <v>0.61818181818181817</v>
      </c>
      <c r="O54" s="16">
        <f>MAX(1-(INDEX('Stat Boosts'!$D$2:$D$192,O$1-9)-10)*$C54,1-0.4)</f>
        <v>0.6</v>
      </c>
      <c r="P54" s="16">
        <f>MAX(1-(INDEX('Stat Boosts'!$D$2:$D$192,P$1-9)-10)*$C54,1-0.4)</f>
        <v>0.6</v>
      </c>
      <c r="Q54" s="16">
        <f>MAX(1-(INDEX('Stat Boosts'!$D$2:$D$192,Q$1-9)-10)*$C54,1-0.4)</f>
        <v>0.6</v>
      </c>
      <c r="R54" s="16">
        <f>MAX(1-(INDEX('Stat Boosts'!$D$2:$D$192,R$1-9)-10)*$C54,1-0.4)</f>
        <v>0.6</v>
      </c>
    </row>
    <row r="55" spans="1:18">
      <c r="A55" s="9">
        <v>54</v>
      </c>
      <c r="B55" s="16">
        <f t="shared" si="2"/>
        <v>22.714285714285715</v>
      </c>
      <c r="C55" s="16">
        <f t="shared" si="1"/>
        <v>1.5730337078651686E-2</v>
      </c>
      <c r="E55" s="16">
        <f>MAX(1-(INDEX('Stat Boosts'!$D$2:$D$192,E$1-9)-10)*$C55,1-0.4)</f>
        <v>1</v>
      </c>
      <c r="F55" s="16">
        <f>MAX(1-(INDEX('Stat Boosts'!$D$2:$D$192,F$1-9)-10)*$C55,1-0.4)</f>
        <v>0.96853932584269664</v>
      </c>
      <c r="G55" s="16">
        <f>MAX(1-(INDEX('Stat Boosts'!$D$2:$D$192,G$1-9)-10)*$C55,1-0.4)</f>
        <v>0.9213483146067416</v>
      </c>
      <c r="H55" s="16">
        <f>MAX(1-(INDEX('Stat Boosts'!$D$2:$D$192,H$1-9)-10)*$C55,1-0.4)</f>
        <v>0.87415730337078656</v>
      </c>
      <c r="I55" s="16">
        <f>MAX(1-(INDEX('Stat Boosts'!$D$2:$D$192,I$1-9)-10)*$C55,1-0.4)</f>
        <v>0.82696629213483142</v>
      </c>
      <c r="J55" s="16">
        <f>MAX(1-(INDEX('Stat Boosts'!$D$2:$D$192,J$1-9)-10)*$C55,1-0.4)</f>
        <v>0.77977528089887638</v>
      </c>
      <c r="K55" s="16">
        <f>MAX(1-(INDEX('Stat Boosts'!$D$2:$D$192,K$1-9)-10)*$C55,1-0.4)</f>
        <v>0.73258426966292134</v>
      </c>
      <c r="L55" s="16">
        <f>MAX(1-(INDEX('Stat Boosts'!$D$2:$D$192,L$1-9)-10)*$C55,1-0.4)</f>
        <v>0.70112359550561798</v>
      </c>
      <c r="M55" s="16">
        <f>MAX(1-(INDEX('Stat Boosts'!$D$2:$D$192,M$1-9)-10)*$C55,1-0.4)</f>
        <v>0.65393258426966283</v>
      </c>
      <c r="N55" s="16">
        <f>MAX(1-(INDEX('Stat Boosts'!$D$2:$D$192,N$1-9)-10)*$C55,1-0.4)</f>
        <v>0.62247191011235947</v>
      </c>
      <c r="O55" s="16">
        <f>MAX(1-(INDEX('Stat Boosts'!$D$2:$D$192,O$1-9)-10)*$C55,1-0.4)</f>
        <v>0.6</v>
      </c>
      <c r="P55" s="16">
        <f>MAX(1-(INDEX('Stat Boosts'!$D$2:$D$192,P$1-9)-10)*$C55,1-0.4)</f>
        <v>0.6</v>
      </c>
      <c r="Q55" s="16">
        <f>MAX(1-(INDEX('Stat Boosts'!$D$2:$D$192,Q$1-9)-10)*$C55,1-0.4)</f>
        <v>0.6</v>
      </c>
      <c r="R55" s="16">
        <f>MAX(1-(INDEX('Stat Boosts'!$D$2:$D$192,R$1-9)-10)*$C55,1-0.4)</f>
        <v>0.6</v>
      </c>
    </row>
    <row r="56" spans="1:18">
      <c r="A56" s="9">
        <v>55</v>
      </c>
      <c r="B56" s="16">
        <f t="shared" si="2"/>
        <v>22.857142857142858</v>
      </c>
      <c r="C56" s="16">
        <f t="shared" si="1"/>
        <v>1.5555555555555555E-2</v>
      </c>
      <c r="E56" s="16">
        <f>MAX(1-(INDEX('Stat Boosts'!$D$2:$D$192,E$1-9)-10)*$C56,1-0.4)</f>
        <v>1</v>
      </c>
      <c r="F56" s="16">
        <f>MAX(1-(INDEX('Stat Boosts'!$D$2:$D$192,F$1-9)-10)*$C56,1-0.4)</f>
        <v>0.96888888888888891</v>
      </c>
      <c r="G56" s="16">
        <f>MAX(1-(INDEX('Stat Boosts'!$D$2:$D$192,G$1-9)-10)*$C56,1-0.4)</f>
        <v>0.92222222222222228</v>
      </c>
      <c r="H56" s="16">
        <f>MAX(1-(INDEX('Stat Boosts'!$D$2:$D$192,H$1-9)-10)*$C56,1-0.4)</f>
        <v>0.87555555555555553</v>
      </c>
      <c r="I56" s="16">
        <f>MAX(1-(INDEX('Stat Boosts'!$D$2:$D$192,I$1-9)-10)*$C56,1-0.4)</f>
        <v>0.8288888888888889</v>
      </c>
      <c r="J56" s="16">
        <f>MAX(1-(INDEX('Stat Boosts'!$D$2:$D$192,J$1-9)-10)*$C56,1-0.4)</f>
        <v>0.78222222222222226</v>
      </c>
      <c r="K56" s="16">
        <f>MAX(1-(INDEX('Stat Boosts'!$D$2:$D$192,K$1-9)-10)*$C56,1-0.4)</f>
        <v>0.73555555555555552</v>
      </c>
      <c r="L56" s="16">
        <f>MAX(1-(INDEX('Stat Boosts'!$D$2:$D$192,L$1-9)-10)*$C56,1-0.4)</f>
        <v>0.70444444444444443</v>
      </c>
      <c r="M56" s="16">
        <f>MAX(1-(INDEX('Stat Boosts'!$D$2:$D$192,M$1-9)-10)*$C56,1-0.4)</f>
        <v>0.65777777777777779</v>
      </c>
      <c r="N56" s="16">
        <f>MAX(1-(INDEX('Stat Boosts'!$D$2:$D$192,N$1-9)-10)*$C56,1-0.4)</f>
        <v>0.62666666666666671</v>
      </c>
      <c r="O56" s="16">
        <f>MAX(1-(INDEX('Stat Boosts'!$D$2:$D$192,O$1-9)-10)*$C56,1-0.4)</f>
        <v>0.6</v>
      </c>
      <c r="P56" s="16">
        <f>MAX(1-(INDEX('Stat Boosts'!$D$2:$D$192,P$1-9)-10)*$C56,1-0.4)</f>
        <v>0.6</v>
      </c>
      <c r="Q56" s="16">
        <f>MAX(1-(INDEX('Stat Boosts'!$D$2:$D$192,Q$1-9)-10)*$C56,1-0.4)</f>
        <v>0.6</v>
      </c>
      <c r="R56" s="16">
        <f>MAX(1-(INDEX('Stat Boosts'!$D$2:$D$192,R$1-9)-10)*$C56,1-0.4)</f>
        <v>0.6</v>
      </c>
    </row>
    <row r="57" spans="1:18">
      <c r="A57" s="9">
        <v>56</v>
      </c>
      <c r="B57" s="16">
        <f t="shared" si="2"/>
        <v>23</v>
      </c>
      <c r="C57" s="16">
        <f t="shared" si="1"/>
        <v>1.5384615384615385E-2</v>
      </c>
      <c r="E57" s="16">
        <f>MAX(1-(INDEX('Stat Boosts'!$D$2:$D$192,E$1-9)-10)*$C57,1-0.4)</f>
        <v>1</v>
      </c>
      <c r="F57" s="16">
        <f>MAX(1-(INDEX('Stat Boosts'!$D$2:$D$192,F$1-9)-10)*$C57,1-0.4)</f>
        <v>0.96923076923076923</v>
      </c>
      <c r="G57" s="16">
        <f>MAX(1-(INDEX('Stat Boosts'!$D$2:$D$192,G$1-9)-10)*$C57,1-0.4)</f>
        <v>0.92307692307692313</v>
      </c>
      <c r="H57" s="16">
        <f>MAX(1-(INDEX('Stat Boosts'!$D$2:$D$192,H$1-9)-10)*$C57,1-0.4)</f>
        <v>0.87692307692307692</v>
      </c>
      <c r="I57" s="16">
        <f>MAX(1-(INDEX('Stat Boosts'!$D$2:$D$192,I$1-9)-10)*$C57,1-0.4)</f>
        <v>0.8307692307692307</v>
      </c>
      <c r="J57" s="16">
        <f>MAX(1-(INDEX('Stat Boosts'!$D$2:$D$192,J$1-9)-10)*$C57,1-0.4)</f>
        <v>0.7846153846153846</v>
      </c>
      <c r="K57" s="16">
        <f>MAX(1-(INDEX('Stat Boosts'!$D$2:$D$192,K$1-9)-10)*$C57,1-0.4)</f>
        <v>0.7384615384615385</v>
      </c>
      <c r="L57" s="16">
        <f>MAX(1-(INDEX('Stat Boosts'!$D$2:$D$192,L$1-9)-10)*$C57,1-0.4)</f>
        <v>0.70769230769230762</v>
      </c>
      <c r="M57" s="16">
        <f>MAX(1-(INDEX('Stat Boosts'!$D$2:$D$192,M$1-9)-10)*$C57,1-0.4)</f>
        <v>0.66153846153846152</v>
      </c>
      <c r="N57" s="16">
        <f>MAX(1-(INDEX('Stat Boosts'!$D$2:$D$192,N$1-9)-10)*$C57,1-0.4)</f>
        <v>0.63076923076923075</v>
      </c>
      <c r="O57" s="16">
        <f>MAX(1-(INDEX('Stat Boosts'!$D$2:$D$192,O$1-9)-10)*$C57,1-0.4)</f>
        <v>0.6</v>
      </c>
      <c r="P57" s="16">
        <f>MAX(1-(INDEX('Stat Boosts'!$D$2:$D$192,P$1-9)-10)*$C57,1-0.4)</f>
        <v>0.6</v>
      </c>
      <c r="Q57" s="16">
        <f>MAX(1-(INDEX('Stat Boosts'!$D$2:$D$192,Q$1-9)-10)*$C57,1-0.4)</f>
        <v>0.6</v>
      </c>
      <c r="R57" s="16">
        <f>MAX(1-(INDEX('Stat Boosts'!$D$2:$D$192,R$1-9)-10)*$C57,1-0.4)</f>
        <v>0.6</v>
      </c>
    </row>
    <row r="58" spans="1:18">
      <c r="A58" s="9">
        <v>57</v>
      </c>
      <c r="B58" s="16">
        <f t="shared" si="2"/>
        <v>23.142857142857142</v>
      </c>
      <c r="C58" s="16">
        <f t="shared" si="1"/>
        <v>1.5217391304347827E-2</v>
      </c>
      <c r="E58" s="16">
        <f>MAX(1-(INDEX('Stat Boosts'!$D$2:$D$192,E$1-9)-10)*$C58,1-0.4)</f>
        <v>1</v>
      </c>
      <c r="F58" s="16">
        <f>MAX(1-(INDEX('Stat Boosts'!$D$2:$D$192,F$1-9)-10)*$C58,1-0.4)</f>
        <v>0.9695652173913043</v>
      </c>
      <c r="G58" s="16">
        <f>MAX(1-(INDEX('Stat Boosts'!$D$2:$D$192,G$1-9)-10)*$C58,1-0.4)</f>
        <v>0.92391304347826086</v>
      </c>
      <c r="H58" s="16">
        <f>MAX(1-(INDEX('Stat Boosts'!$D$2:$D$192,H$1-9)-10)*$C58,1-0.4)</f>
        <v>0.87826086956521743</v>
      </c>
      <c r="I58" s="16">
        <f>MAX(1-(INDEX('Stat Boosts'!$D$2:$D$192,I$1-9)-10)*$C58,1-0.4)</f>
        <v>0.83260869565217388</v>
      </c>
      <c r="J58" s="16">
        <f>MAX(1-(INDEX('Stat Boosts'!$D$2:$D$192,J$1-9)-10)*$C58,1-0.4)</f>
        <v>0.78695652173913044</v>
      </c>
      <c r="K58" s="16">
        <f>MAX(1-(INDEX('Stat Boosts'!$D$2:$D$192,K$1-9)-10)*$C58,1-0.4)</f>
        <v>0.74130434782608701</v>
      </c>
      <c r="L58" s="16">
        <f>MAX(1-(INDEX('Stat Boosts'!$D$2:$D$192,L$1-9)-10)*$C58,1-0.4)</f>
        <v>0.71086956521739131</v>
      </c>
      <c r="M58" s="16">
        <f>MAX(1-(INDEX('Stat Boosts'!$D$2:$D$192,M$1-9)-10)*$C58,1-0.4)</f>
        <v>0.66521739130434776</v>
      </c>
      <c r="N58" s="16">
        <f>MAX(1-(INDEX('Stat Boosts'!$D$2:$D$192,N$1-9)-10)*$C58,1-0.4)</f>
        <v>0.63478260869565217</v>
      </c>
      <c r="O58" s="16">
        <f>MAX(1-(INDEX('Stat Boosts'!$D$2:$D$192,O$1-9)-10)*$C58,1-0.4)</f>
        <v>0.6</v>
      </c>
      <c r="P58" s="16">
        <f>MAX(1-(INDEX('Stat Boosts'!$D$2:$D$192,P$1-9)-10)*$C58,1-0.4)</f>
        <v>0.6</v>
      </c>
      <c r="Q58" s="16">
        <f>MAX(1-(INDEX('Stat Boosts'!$D$2:$D$192,Q$1-9)-10)*$C58,1-0.4)</f>
        <v>0.6</v>
      </c>
      <c r="R58" s="16">
        <f>MAX(1-(INDEX('Stat Boosts'!$D$2:$D$192,R$1-9)-10)*$C58,1-0.4)</f>
        <v>0.6</v>
      </c>
    </row>
    <row r="59" spans="1:18">
      <c r="A59" s="9">
        <v>58</v>
      </c>
      <c r="B59" s="16">
        <f t="shared" si="2"/>
        <v>23.285714285714285</v>
      </c>
      <c r="C59" s="16">
        <f t="shared" si="1"/>
        <v>1.5053763440860218E-2</v>
      </c>
      <c r="E59" s="16">
        <f>MAX(1-(INDEX('Stat Boosts'!$D$2:$D$192,E$1-9)-10)*$C59,1-0.4)</f>
        <v>1</v>
      </c>
      <c r="F59" s="16">
        <f>MAX(1-(INDEX('Stat Boosts'!$D$2:$D$192,F$1-9)-10)*$C59,1-0.4)</f>
        <v>0.96989247311827953</v>
      </c>
      <c r="G59" s="16">
        <f>MAX(1-(INDEX('Stat Boosts'!$D$2:$D$192,G$1-9)-10)*$C59,1-0.4)</f>
        <v>0.92473118279569888</v>
      </c>
      <c r="H59" s="16">
        <f>MAX(1-(INDEX('Stat Boosts'!$D$2:$D$192,H$1-9)-10)*$C59,1-0.4)</f>
        <v>0.87956989247311823</v>
      </c>
      <c r="I59" s="16">
        <f>MAX(1-(INDEX('Stat Boosts'!$D$2:$D$192,I$1-9)-10)*$C59,1-0.4)</f>
        <v>0.83440860215053758</v>
      </c>
      <c r="J59" s="16">
        <f>MAX(1-(INDEX('Stat Boosts'!$D$2:$D$192,J$1-9)-10)*$C59,1-0.4)</f>
        <v>0.78924731182795693</v>
      </c>
      <c r="K59" s="16">
        <f>MAX(1-(INDEX('Stat Boosts'!$D$2:$D$192,K$1-9)-10)*$C59,1-0.4)</f>
        <v>0.74408602150537628</v>
      </c>
      <c r="L59" s="16">
        <f>MAX(1-(INDEX('Stat Boosts'!$D$2:$D$192,L$1-9)-10)*$C59,1-0.4)</f>
        <v>0.71397849462365581</v>
      </c>
      <c r="M59" s="16">
        <f>MAX(1-(INDEX('Stat Boosts'!$D$2:$D$192,M$1-9)-10)*$C59,1-0.4)</f>
        <v>0.66881720430107516</v>
      </c>
      <c r="N59" s="16">
        <f>MAX(1-(INDEX('Stat Boosts'!$D$2:$D$192,N$1-9)-10)*$C59,1-0.4)</f>
        <v>0.6387096774193548</v>
      </c>
      <c r="O59" s="16">
        <f>MAX(1-(INDEX('Stat Boosts'!$D$2:$D$192,O$1-9)-10)*$C59,1-0.4)</f>
        <v>0.6</v>
      </c>
      <c r="P59" s="16">
        <f>MAX(1-(INDEX('Stat Boosts'!$D$2:$D$192,P$1-9)-10)*$C59,1-0.4)</f>
        <v>0.6</v>
      </c>
      <c r="Q59" s="16">
        <f>MAX(1-(INDEX('Stat Boosts'!$D$2:$D$192,Q$1-9)-10)*$C59,1-0.4)</f>
        <v>0.6</v>
      </c>
      <c r="R59" s="16">
        <f>MAX(1-(INDEX('Stat Boosts'!$D$2:$D$192,R$1-9)-10)*$C59,1-0.4)</f>
        <v>0.6</v>
      </c>
    </row>
    <row r="60" spans="1:18">
      <c r="A60" s="9">
        <v>59</v>
      </c>
      <c r="B60" s="16">
        <f t="shared" si="2"/>
        <v>23.428571428571431</v>
      </c>
      <c r="C60" s="16">
        <f t="shared" si="1"/>
        <v>1.4893617021276595E-2</v>
      </c>
      <c r="E60" s="16">
        <f>MAX(1-(INDEX('Stat Boosts'!$D$2:$D$192,E$1-9)-10)*$C60,1-0.4)</f>
        <v>1</v>
      </c>
      <c r="F60" s="16">
        <f>MAX(1-(INDEX('Stat Boosts'!$D$2:$D$192,F$1-9)-10)*$C60,1-0.4)</f>
        <v>0.97021276595744677</v>
      </c>
      <c r="G60" s="16">
        <f>MAX(1-(INDEX('Stat Boosts'!$D$2:$D$192,G$1-9)-10)*$C60,1-0.4)</f>
        <v>0.92553191489361697</v>
      </c>
      <c r="H60" s="16">
        <f>MAX(1-(INDEX('Stat Boosts'!$D$2:$D$192,H$1-9)-10)*$C60,1-0.4)</f>
        <v>0.88085106382978728</v>
      </c>
      <c r="I60" s="16">
        <f>MAX(1-(INDEX('Stat Boosts'!$D$2:$D$192,I$1-9)-10)*$C60,1-0.4)</f>
        <v>0.83617021276595749</v>
      </c>
      <c r="J60" s="16">
        <f>MAX(1-(INDEX('Stat Boosts'!$D$2:$D$192,J$1-9)-10)*$C60,1-0.4)</f>
        <v>0.79148936170212769</v>
      </c>
      <c r="K60" s="16">
        <f>MAX(1-(INDEX('Stat Boosts'!$D$2:$D$192,K$1-9)-10)*$C60,1-0.4)</f>
        <v>0.7468085106382979</v>
      </c>
      <c r="L60" s="16">
        <f>MAX(1-(INDEX('Stat Boosts'!$D$2:$D$192,L$1-9)-10)*$C60,1-0.4)</f>
        <v>0.71702127659574466</v>
      </c>
      <c r="M60" s="16">
        <f>MAX(1-(INDEX('Stat Boosts'!$D$2:$D$192,M$1-9)-10)*$C60,1-0.4)</f>
        <v>0.67234042553191498</v>
      </c>
      <c r="N60" s="16">
        <f>MAX(1-(INDEX('Stat Boosts'!$D$2:$D$192,N$1-9)-10)*$C60,1-0.4)</f>
        <v>0.64255319148936174</v>
      </c>
      <c r="O60" s="16">
        <f>MAX(1-(INDEX('Stat Boosts'!$D$2:$D$192,O$1-9)-10)*$C60,1-0.4)</f>
        <v>0.6</v>
      </c>
      <c r="P60" s="16">
        <f>MAX(1-(INDEX('Stat Boosts'!$D$2:$D$192,P$1-9)-10)*$C60,1-0.4)</f>
        <v>0.6</v>
      </c>
      <c r="Q60" s="16">
        <f>MAX(1-(INDEX('Stat Boosts'!$D$2:$D$192,Q$1-9)-10)*$C60,1-0.4)</f>
        <v>0.6</v>
      </c>
      <c r="R60" s="16">
        <f>MAX(1-(INDEX('Stat Boosts'!$D$2:$D$192,R$1-9)-10)*$C60,1-0.4)</f>
        <v>0.6</v>
      </c>
    </row>
    <row r="61" spans="1:18">
      <c r="A61" s="9">
        <v>60</v>
      </c>
      <c r="B61" s="16">
        <f t="shared" si="2"/>
        <v>23.571428571428569</v>
      </c>
      <c r="C61" s="16">
        <f t="shared" si="1"/>
        <v>1.4736842105263161E-2</v>
      </c>
      <c r="E61" s="16">
        <f>MAX(1-(INDEX('Stat Boosts'!$D$2:$D$192,E$1-9)-10)*$C61,1-0.4)</f>
        <v>1</v>
      </c>
      <c r="F61" s="16">
        <f>MAX(1-(INDEX('Stat Boosts'!$D$2:$D$192,F$1-9)-10)*$C61,1-0.4)</f>
        <v>0.97052631578947368</v>
      </c>
      <c r="G61" s="16">
        <f>MAX(1-(INDEX('Stat Boosts'!$D$2:$D$192,G$1-9)-10)*$C61,1-0.4)</f>
        <v>0.9263157894736842</v>
      </c>
      <c r="H61" s="16">
        <f>MAX(1-(INDEX('Stat Boosts'!$D$2:$D$192,H$1-9)-10)*$C61,1-0.4)</f>
        <v>0.88210526315789473</v>
      </c>
      <c r="I61" s="16">
        <f>MAX(1-(INDEX('Stat Boosts'!$D$2:$D$192,I$1-9)-10)*$C61,1-0.4)</f>
        <v>0.83789473684210525</v>
      </c>
      <c r="J61" s="16">
        <f>MAX(1-(INDEX('Stat Boosts'!$D$2:$D$192,J$1-9)-10)*$C61,1-0.4)</f>
        <v>0.79368421052631577</v>
      </c>
      <c r="K61" s="16">
        <f>MAX(1-(INDEX('Stat Boosts'!$D$2:$D$192,K$1-9)-10)*$C61,1-0.4)</f>
        <v>0.74947368421052629</v>
      </c>
      <c r="L61" s="16">
        <f>MAX(1-(INDEX('Stat Boosts'!$D$2:$D$192,L$1-9)-10)*$C61,1-0.4)</f>
        <v>0.72</v>
      </c>
      <c r="M61" s="16">
        <f>MAX(1-(INDEX('Stat Boosts'!$D$2:$D$192,M$1-9)-10)*$C61,1-0.4)</f>
        <v>0.6757894736842105</v>
      </c>
      <c r="N61" s="16">
        <f>MAX(1-(INDEX('Stat Boosts'!$D$2:$D$192,N$1-9)-10)*$C61,1-0.4)</f>
        <v>0.64631578947368418</v>
      </c>
      <c r="O61" s="16">
        <f>MAX(1-(INDEX('Stat Boosts'!$D$2:$D$192,O$1-9)-10)*$C61,1-0.4)</f>
        <v>0.6021052631578947</v>
      </c>
      <c r="P61" s="16">
        <f>MAX(1-(INDEX('Stat Boosts'!$D$2:$D$192,P$1-9)-10)*$C61,1-0.4)</f>
        <v>0.6</v>
      </c>
      <c r="Q61" s="16">
        <f>MAX(1-(INDEX('Stat Boosts'!$D$2:$D$192,Q$1-9)-10)*$C61,1-0.4)</f>
        <v>0.6</v>
      </c>
      <c r="R61" s="16">
        <f>MAX(1-(INDEX('Stat Boosts'!$D$2:$D$192,R$1-9)-10)*$C61,1-0.4)</f>
        <v>0.6</v>
      </c>
    </row>
    <row r="62" spans="1:18">
      <c r="A62" s="9">
        <v>61</v>
      </c>
      <c r="B62" s="16">
        <f t="shared" si="2"/>
        <v>23.714285714285715</v>
      </c>
      <c r="C62" s="16">
        <f t="shared" si="1"/>
        <v>1.4583333333333334E-2</v>
      </c>
      <c r="E62" s="16">
        <f>MAX(1-(INDEX('Stat Boosts'!$D$2:$D$192,E$1-9)-10)*$C62,1-0.4)</f>
        <v>1</v>
      </c>
      <c r="F62" s="16">
        <f>MAX(1-(INDEX('Stat Boosts'!$D$2:$D$192,F$1-9)-10)*$C62,1-0.4)</f>
        <v>0.97083333333333333</v>
      </c>
      <c r="G62" s="16">
        <f>MAX(1-(INDEX('Stat Boosts'!$D$2:$D$192,G$1-9)-10)*$C62,1-0.4)</f>
        <v>0.92708333333333337</v>
      </c>
      <c r="H62" s="16">
        <f>MAX(1-(INDEX('Stat Boosts'!$D$2:$D$192,H$1-9)-10)*$C62,1-0.4)</f>
        <v>0.8833333333333333</v>
      </c>
      <c r="I62" s="16">
        <f>MAX(1-(INDEX('Stat Boosts'!$D$2:$D$192,I$1-9)-10)*$C62,1-0.4)</f>
        <v>0.83958333333333335</v>
      </c>
      <c r="J62" s="16">
        <f>MAX(1-(INDEX('Stat Boosts'!$D$2:$D$192,J$1-9)-10)*$C62,1-0.4)</f>
        <v>0.79583333333333339</v>
      </c>
      <c r="K62" s="16">
        <f>MAX(1-(INDEX('Stat Boosts'!$D$2:$D$192,K$1-9)-10)*$C62,1-0.4)</f>
        <v>0.75208333333333333</v>
      </c>
      <c r="L62" s="16">
        <f>MAX(1-(INDEX('Stat Boosts'!$D$2:$D$192,L$1-9)-10)*$C62,1-0.4)</f>
        <v>0.72291666666666665</v>
      </c>
      <c r="M62" s="16">
        <f>MAX(1-(INDEX('Stat Boosts'!$D$2:$D$192,M$1-9)-10)*$C62,1-0.4)</f>
        <v>0.6791666666666667</v>
      </c>
      <c r="N62" s="16">
        <f>MAX(1-(INDEX('Stat Boosts'!$D$2:$D$192,N$1-9)-10)*$C62,1-0.4)</f>
        <v>0.65</v>
      </c>
      <c r="O62" s="16">
        <f>MAX(1-(INDEX('Stat Boosts'!$D$2:$D$192,O$1-9)-10)*$C62,1-0.4)</f>
        <v>0.60624999999999996</v>
      </c>
      <c r="P62" s="16">
        <f>MAX(1-(INDEX('Stat Boosts'!$D$2:$D$192,P$1-9)-10)*$C62,1-0.4)</f>
        <v>0.6</v>
      </c>
      <c r="Q62" s="16">
        <f>MAX(1-(INDEX('Stat Boosts'!$D$2:$D$192,Q$1-9)-10)*$C62,1-0.4)</f>
        <v>0.6</v>
      </c>
      <c r="R62" s="16">
        <f>MAX(1-(INDEX('Stat Boosts'!$D$2:$D$192,R$1-9)-10)*$C62,1-0.4)</f>
        <v>0.6</v>
      </c>
    </row>
    <row r="63" spans="1:18">
      <c r="A63" s="9">
        <v>62</v>
      </c>
      <c r="B63" s="16">
        <f t="shared" si="2"/>
        <v>23.857142857142858</v>
      </c>
      <c r="C63" s="16">
        <f t="shared" si="1"/>
        <v>1.443298969072165E-2</v>
      </c>
      <c r="E63" s="16">
        <f>MAX(1-(INDEX('Stat Boosts'!$D$2:$D$192,E$1-9)-10)*$C63,1-0.4)</f>
        <v>1</v>
      </c>
      <c r="F63" s="16">
        <f>MAX(1-(INDEX('Stat Boosts'!$D$2:$D$192,F$1-9)-10)*$C63,1-0.4)</f>
        <v>0.97113402061855669</v>
      </c>
      <c r="G63" s="16">
        <f>MAX(1-(INDEX('Stat Boosts'!$D$2:$D$192,G$1-9)-10)*$C63,1-0.4)</f>
        <v>0.92783505154639179</v>
      </c>
      <c r="H63" s="16">
        <f>MAX(1-(INDEX('Stat Boosts'!$D$2:$D$192,H$1-9)-10)*$C63,1-0.4)</f>
        <v>0.88453608247422677</v>
      </c>
      <c r="I63" s="16">
        <f>MAX(1-(INDEX('Stat Boosts'!$D$2:$D$192,I$1-9)-10)*$C63,1-0.4)</f>
        <v>0.84123711340206186</v>
      </c>
      <c r="J63" s="16">
        <f>MAX(1-(INDEX('Stat Boosts'!$D$2:$D$192,J$1-9)-10)*$C63,1-0.4)</f>
        <v>0.79793814432989696</v>
      </c>
      <c r="K63" s="16">
        <f>MAX(1-(INDEX('Stat Boosts'!$D$2:$D$192,K$1-9)-10)*$C63,1-0.4)</f>
        <v>0.75463917525773194</v>
      </c>
      <c r="L63" s="16">
        <f>MAX(1-(INDEX('Stat Boosts'!$D$2:$D$192,L$1-9)-10)*$C63,1-0.4)</f>
        <v>0.72577319587628863</v>
      </c>
      <c r="M63" s="16">
        <f>MAX(1-(INDEX('Stat Boosts'!$D$2:$D$192,M$1-9)-10)*$C63,1-0.4)</f>
        <v>0.68247422680412373</v>
      </c>
      <c r="N63" s="16">
        <f>MAX(1-(INDEX('Stat Boosts'!$D$2:$D$192,N$1-9)-10)*$C63,1-0.4)</f>
        <v>0.65360824742268042</v>
      </c>
      <c r="O63" s="16">
        <f>MAX(1-(INDEX('Stat Boosts'!$D$2:$D$192,O$1-9)-10)*$C63,1-0.4)</f>
        <v>0.61030927835051552</v>
      </c>
      <c r="P63" s="16">
        <f>MAX(1-(INDEX('Stat Boosts'!$D$2:$D$192,P$1-9)-10)*$C63,1-0.4)</f>
        <v>0.6</v>
      </c>
      <c r="Q63" s="16">
        <f>MAX(1-(INDEX('Stat Boosts'!$D$2:$D$192,Q$1-9)-10)*$C63,1-0.4)</f>
        <v>0.6</v>
      </c>
      <c r="R63" s="16">
        <f>MAX(1-(INDEX('Stat Boosts'!$D$2:$D$192,R$1-9)-10)*$C63,1-0.4)</f>
        <v>0.6</v>
      </c>
    </row>
    <row r="64" spans="1:18">
      <c r="A64" s="9">
        <v>63</v>
      </c>
      <c r="B64" s="16">
        <f t="shared" si="2"/>
        <v>24</v>
      </c>
      <c r="C64" s="16">
        <f t="shared" si="1"/>
        <v>1.4285714285714287E-2</v>
      </c>
      <c r="E64" s="16">
        <f>MAX(1-(INDEX('Stat Boosts'!$D$2:$D$192,E$1-9)-10)*$C64,1-0.4)</f>
        <v>1</v>
      </c>
      <c r="F64" s="16">
        <f>MAX(1-(INDEX('Stat Boosts'!$D$2:$D$192,F$1-9)-10)*$C64,1-0.4)</f>
        <v>0.97142857142857142</v>
      </c>
      <c r="G64" s="16">
        <f>MAX(1-(INDEX('Stat Boosts'!$D$2:$D$192,G$1-9)-10)*$C64,1-0.4)</f>
        <v>0.9285714285714286</v>
      </c>
      <c r="H64" s="16">
        <f>MAX(1-(INDEX('Stat Boosts'!$D$2:$D$192,H$1-9)-10)*$C64,1-0.4)</f>
        <v>0.88571428571428568</v>
      </c>
      <c r="I64" s="16">
        <f>MAX(1-(INDEX('Stat Boosts'!$D$2:$D$192,I$1-9)-10)*$C64,1-0.4)</f>
        <v>0.84285714285714286</v>
      </c>
      <c r="J64" s="16">
        <f>MAX(1-(INDEX('Stat Boosts'!$D$2:$D$192,J$1-9)-10)*$C64,1-0.4)</f>
        <v>0.8</v>
      </c>
      <c r="K64" s="16">
        <f>MAX(1-(INDEX('Stat Boosts'!$D$2:$D$192,K$1-9)-10)*$C64,1-0.4)</f>
        <v>0.75714285714285712</v>
      </c>
      <c r="L64" s="16">
        <f>MAX(1-(INDEX('Stat Boosts'!$D$2:$D$192,L$1-9)-10)*$C64,1-0.4)</f>
        <v>0.72857142857142854</v>
      </c>
      <c r="M64" s="16">
        <f>MAX(1-(INDEX('Stat Boosts'!$D$2:$D$192,M$1-9)-10)*$C64,1-0.4)</f>
        <v>0.68571428571428572</v>
      </c>
      <c r="N64" s="16">
        <f>MAX(1-(INDEX('Stat Boosts'!$D$2:$D$192,N$1-9)-10)*$C64,1-0.4)</f>
        <v>0.65714285714285714</v>
      </c>
      <c r="O64" s="16">
        <f>MAX(1-(INDEX('Stat Boosts'!$D$2:$D$192,O$1-9)-10)*$C64,1-0.4)</f>
        <v>0.61428571428571432</v>
      </c>
      <c r="P64" s="16">
        <f>MAX(1-(INDEX('Stat Boosts'!$D$2:$D$192,P$1-9)-10)*$C64,1-0.4)</f>
        <v>0.6</v>
      </c>
      <c r="Q64" s="16">
        <f>MAX(1-(INDEX('Stat Boosts'!$D$2:$D$192,Q$1-9)-10)*$C64,1-0.4)</f>
        <v>0.6</v>
      </c>
      <c r="R64" s="16">
        <f>MAX(1-(INDEX('Stat Boosts'!$D$2:$D$192,R$1-9)-10)*$C64,1-0.4)</f>
        <v>0.6</v>
      </c>
    </row>
    <row r="65" spans="1:18">
      <c r="A65" s="9">
        <v>64</v>
      </c>
      <c r="B65" s="16">
        <f t="shared" si="2"/>
        <v>24.142857142857142</v>
      </c>
      <c r="C65" s="16">
        <f t="shared" si="1"/>
        <v>1.4141414141414142E-2</v>
      </c>
      <c r="E65" s="16">
        <f>MAX(1-(INDEX('Stat Boosts'!$D$2:$D$192,E$1-9)-10)*$C65,1-0.4)</f>
        <v>1</v>
      </c>
      <c r="F65" s="16">
        <f>MAX(1-(INDEX('Stat Boosts'!$D$2:$D$192,F$1-9)-10)*$C65,1-0.4)</f>
        <v>0.97171717171717176</v>
      </c>
      <c r="G65" s="16">
        <f>MAX(1-(INDEX('Stat Boosts'!$D$2:$D$192,G$1-9)-10)*$C65,1-0.4)</f>
        <v>0.92929292929292928</v>
      </c>
      <c r="H65" s="16">
        <f>MAX(1-(INDEX('Stat Boosts'!$D$2:$D$192,H$1-9)-10)*$C65,1-0.4)</f>
        <v>0.88686868686868681</v>
      </c>
      <c r="I65" s="16">
        <f>MAX(1-(INDEX('Stat Boosts'!$D$2:$D$192,I$1-9)-10)*$C65,1-0.4)</f>
        <v>0.84444444444444444</v>
      </c>
      <c r="J65" s="16">
        <f>MAX(1-(INDEX('Stat Boosts'!$D$2:$D$192,J$1-9)-10)*$C65,1-0.4)</f>
        <v>0.80202020202020208</v>
      </c>
      <c r="K65" s="16">
        <f>MAX(1-(INDEX('Stat Boosts'!$D$2:$D$192,K$1-9)-10)*$C65,1-0.4)</f>
        <v>0.7595959595959596</v>
      </c>
      <c r="L65" s="16">
        <f>MAX(1-(INDEX('Stat Boosts'!$D$2:$D$192,L$1-9)-10)*$C65,1-0.4)</f>
        <v>0.73131313131313136</v>
      </c>
      <c r="M65" s="16">
        <f>MAX(1-(INDEX('Stat Boosts'!$D$2:$D$192,M$1-9)-10)*$C65,1-0.4)</f>
        <v>0.68888888888888888</v>
      </c>
      <c r="N65" s="16">
        <f>MAX(1-(INDEX('Stat Boosts'!$D$2:$D$192,N$1-9)-10)*$C65,1-0.4)</f>
        <v>0.66060606060606064</v>
      </c>
      <c r="O65" s="16">
        <f>MAX(1-(INDEX('Stat Boosts'!$D$2:$D$192,O$1-9)-10)*$C65,1-0.4)</f>
        <v>0.61818181818181817</v>
      </c>
      <c r="P65" s="16">
        <f>MAX(1-(INDEX('Stat Boosts'!$D$2:$D$192,P$1-9)-10)*$C65,1-0.4)</f>
        <v>0.6</v>
      </c>
      <c r="Q65" s="16">
        <f>MAX(1-(INDEX('Stat Boosts'!$D$2:$D$192,Q$1-9)-10)*$C65,1-0.4)</f>
        <v>0.6</v>
      </c>
      <c r="R65" s="16">
        <f>MAX(1-(INDEX('Stat Boosts'!$D$2:$D$192,R$1-9)-10)*$C65,1-0.4)</f>
        <v>0.6</v>
      </c>
    </row>
    <row r="66" spans="1:18">
      <c r="A66" s="9">
        <v>65</v>
      </c>
      <c r="B66" s="16">
        <f t="shared" si="2"/>
        <v>24.285714285714285</v>
      </c>
      <c r="C66" s="16">
        <f t="shared" si="1"/>
        <v>1.4000000000000002E-2</v>
      </c>
      <c r="E66" s="16">
        <f>MAX(1-(INDEX('Stat Boosts'!$D$2:$D$192,E$1-9)-10)*$C66,1-0.4)</f>
        <v>1</v>
      </c>
      <c r="F66" s="16">
        <f>MAX(1-(INDEX('Stat Boosts'!$D$2:$D$192,F$1-9)-10)*$C66,1-0.4)</f>
        <v>0.97199999999999998</v>
      </c>
      <c r="G66" s="16">
        <f>MAX(1-(INDEX('Stat Boosts'!$D$2:$D$192,G$1-9)-10)*$C66,1-0.4)</f>
        <v>0.92999999999999994</v>
      </c>
      <c r="H66" s="16">
        <f>MAX(1-(INDEX('Stat Boosts'!$D$2:$D$192,H$1-9)-10)*$C66,1-0.4)</f>
        <v>0.88800000000000001</v>
      </c>
      <c r="I66" s="16">
        <f>MAX(1-(INDEX('Stat Boosts'!$D$2:$D$192,I$1-9)-10)*$C66,1-0.4)</f>
        <v>0.84599999999999997</v>
      </c>
      <c r="J66" s="16">
        <f>MAX(1-(INDEX('Stat Boosts'!$D$2:$D$192,J$1-9)-10)*$C66,1-0.4)</f>
        <v>0.80399999999999994</v>
      </c>
      <c r="K66" s="16">
        <f>MAX(1-(INDEX('Stat Boosts'!$D$2:$D$192,K$1-9)-10)*$C66,1-0.4)</f>
        <v>0.76200000000000001</v>
      </c>
      <c r="L66" s="16">
        <f>MAX(1-(INDEX('Stat Boosts'!$D$2:$D$192,L$1-9)-10)*$C66,1-0.4)</f>
        <v>0.73399999999999999</v>
      </c>
      <c r="M66" s="16">
        <f>MAX(1-(INDEX('Stat Boosts'!$D$2:$D$192,M$1-9)-10)*$C66,1-0.4)</f>
        <v>0.69199999999999995</v>
      </c>
      <c r="N66" s="16">
        <f>MAX(1-(INDEX('Stat Boosts'!$D$2:$D$192,N$1-9)-10)*$C66,1-0.4)</f>
        <v>0.66399999999999992</v>
      </c>
      <c r="O66" s="16">
        <f>MAX(1-(INDEX('Stat Boosts'!$D$2:$D$192,O$1-9)-10)*$C66,1-0.4)</f>
        <v>0.62199999999999989</v>
      </c>
      <c r="P66" s="16">
        <f>MAX(1-(INDEX('Stat Boosts'!$D$2:$D$192,P$1-9)-10)*$C66,1-0.4)</f>
        <v>0.6</v>
      </c>
      <c r="Q66" s="16">
        <f>MAX(1-(INDEX('Stat Boosts'!$D$2:$D$192,Q$1-9)-10)*$C66,1-0.4)</f>
        <v>0.6</v>
      </c>
      <c r="R66" s="16">
        <f>MAX(1-(INDEX('Stat Boosts'!$D$2:$D$192,R$1-9)-10)*$C66,1-0.4)</f>
        <v>0.6</v>
      </c>
    </row>
    <row r="67" spans="1:18">
      <c r="A67" s="9">
        <v>66</v>
      </c>
      <c r="B67" s="16">
        <f t="shared" si="2"/>
        <v>24.428571428571431</v>
      </c>
      <c r="C67" s="16">
        <f t="shared" ref="C67:C130" si="3">0.2/(B67-10)</f>
        <v>1.386138613861386E-2</v>
      </c>
      <c r="E67" s="16">
        <f>MAX(1-(INDEX('Stat Boosts'!$D$2:$D$192,E$1-9)-10)*$C67,1-0.4)</f>
        <v>1</v>
      </c>
      <c r="F67" s="16">
        <f>MAX(1-(INDEX('Stat Boosts'!$D$2:$D$192,F$1-9)-10)*$C67,1-0.4)</f>
        <v>0.97227722772277225</v>
      </c>
      <c r="G67" s="16">
        <f>MAX(1-(INDEX('Stat Boosts'!$D$2:$D$192,G$1-9)-10)*$C67,1-0.4)</f>
        <v>0.93069306930693074</v>
      </c>
      <c r="H67" s="16">
        <f>MAX(1-(INDEX('Stat Boosts'!$D$2:$D$192,H$1-9)-10)*$C67,1-0.4)</f>
        <v>0.88910891089108912</v>
      </c>
      <c r="I67" s="16">
        <f>MAX(1-(INDEX('Stat Boosts'!$D$2:$D$192,I$1-9)-10)*$C67,1-0.4)</f>
        <v>0.84752475247524761</v>
      </c>
      <c r="J67" s="16">
        <f>MAX(1-(INDEX('Stat Boosts'!$D$2:$D$192,J$1-9)-10)*$C67,1-0.4)</f>
        <v>0.80594059405940599</v>
      </c>
      <c r="K67" s="16">
        <f>MAX(1-(INDEX('Stat Boosts'!$D$2:$D$192,K$1-9)-10)*$C67,1-0.4)</f>
        <v>0.76435643564356437</v>
      </c>
      <c r="L67" s="16">
        <f>MAX(1-(INDEX('Stat Boosts'!$D$2:$D$192,L$1-9)-10)*$C67,1-0.4)</f>
        <v>0.73663366336633662</v>
      </c>
      <c r="M67" s="16">
        <f>MAX(1-(INDEX('Stat Boosts'!$D$2:$D$192,M$1-9)-10)*$C67,1-0.4)</f>
        <v>0.69504950495049511</v>
      </c>
      <c r="N67" s="16">
        <f>MAX(1-(INDEX('Stat Boosts'!$D$2:$D$192,N$1-9)-10)*$C67,1-0.4)</f>
        <v>0.66732673267326736</v>
      </c>
      <c r="O67" s="16">
        <f>MAX(1-(INDEX('Stat Boosts'!$D$2:$D$192,O$1-9)-10)*$C67,1-0.4)</f>
        <v>0.62574257425742585</v>
      </c>
      <c r="P67" s="16">
        <f>MAX(1-(INDEX('Stat Boosts'!$D$2:$D$192,P$1-9)-10)*$C67,1-0.4)</f>
        <v>0.6</v>
      </c>
      <c r="Q67" s="16">
        <f>MAX(1-(INDEX('Stat Boosts'!$D$2:$D$192,Q$1-9)-10)*$C67,1-0.4)</f>
        <v>0.6</v>
      </c>
      <c r="R67" s="16">
        <f>MAX(1-(INDEX('Stat Boosts'!$D$2:$D$192,R$1-9)-10)*$C67,1-0.4)</f>
        <v>0.6</v>
      </c>
    </row>
    <row r="68" spans="1:18">
      <c r="A68" s="9">
        <v>67</v>
      </c>
      <c r="B68" s="16">
        <f t="shared" si="2"/>
        <v>24.571428571428569</v>
      </c>
      <c r="C68" s="16">
        <f t="shared" si="3"/>
        <v>1.3725490196078435E-2</v>
      </c>
      <c r="E68" s="16">
        <f>MAX(1-(INDEX('Stat Boosts'!$D$2:$D$192,E$1-9)-10)*$C68,1-0.4)</f>
        <v>1</v>
      </c>
      <c r="F68" s="16">
        <f>MAX(1-(INDEX('Stat Boosts'!$D$2:$D$192,F$1-9)-10)*$C68,1-0.4)</f>
        <v>0.97254901960784312</v>
      </c>
      <c r="G68" s="16">
        <f>MAX(1-(INDEX('Stat Boosts'!$D$2:$D$192,G$1-9)-10)*$C68,1-0.4)</f>
        <v>0.93137254901960786</v>
      </c>
      <c r="H68" s="16">
        <f>MAX(1-(INDEX('Stat Boosts'!$D$2:$D$192,H$1-9)-10)*$C68,1-0.4)</f>
        <v>0.8901960784313725</v>
      </c>
      <c r="I68" s="16">
        <f>MAX(1-(INDEX('Stat Boosts'!$D$2:$D$192,I$1-9)-10)*$C68,1-0.4)</f>
        <v>0.84901960784313724</v>
      </c>
      <c r="J68" s="16">
        <f>MAX(1-(INDEX('Stat Boosts'!$D$2:$D$192,J$1-9)-10)*$C68,1-0.4)</f>
        <v>0.80784313725490198</v>
      </c>
      <c r="K68" s="16">
        <f>MAX(1-(INDEX('Stat Boosts'!$D$2:$D$192,K$1-9)-10)*$C68,1-0.4)</f>
        <v>0.76666666666666661</v>
      </c>
      <c r="L68" s="16">
        <f>MAX(1-(INDEX('Stat Boosts'!$D$2:$D$192,L$1-9)-10)*$C68,1-0.4)</f>
        <v>0.73921568627450973</v>
      </c>
      <c r="M68" s="16">
        <f>MAX(1-(INDEX('Stat Boosts'!$D$2:$D$192,M$1-9)-10)*$C68,1-0.4)</f>
        <v>0.69803921568627447</v>
      </c>
      <c r="N68" s="16">
        <f>MAX(1-(INDEX('Stat Boosts'!$D$2:$D$192,N$1-9)-10)*$C68,1-0.4)</f>
        <v>0.6705882352941176</v>
      </c>
      <c r="O68" s="16">
        <f>MAX(1-(INDEX('Stat Boosts'!$D$2:$D$192,O$1-9)-10)*$C68,1-0.4)</f>
        <v>0.62941176470588234</v>
      </c>
      <c r="P68" s="16">
        <f>MAX(1-(INDEX('Stat Boosts'!$D$2:$D$192,P$1-9)-10)*$C68,1-0.4)</f>
        <v>0.60196078431372535</v>
      </c>
      <c r="Q68" s="16">
        <f>MAX(1-(INDEX('Stat Boosts'!$D$2:$D$192,Q$1-9)-10)*$C68,1-0.4)</f>
        <v>0.6</v>
      </c>
      <c r="R68" s="16">
        <f>MAX(1-(INDEX('Stat Boosts'!$D$2:$D$192,R$1-9)-10)*$C68,1-0.4)</f>
        <v>0.6</v>
      </c>
    </row>
    <row r="69" spans="1:18">
      <c r="A69" s="9">
        <v>68</v>
      </c>
      <c r="B69" s="16">
        <f t="shared" si="2"/>
        <v>24.714285714285715</v>
      </c>
      <c r="C69" s="16">
        <f t="shared" si="3"/>
        <v>1.3592233009708738E-2</v>
      </c>
      <c r="E69" s="16">
        <f>MAX(1-(INDEX('Stat Boosts'!$D$2:$D$192,E$1-9)-10)*$C69,1-0.4)</f>
        <v>1</v>
      </c>
      <c r="F69" s="16">
        <f>MAX(1-(INDEX('Stat Boosts'!$D$2:$D$192,F$1-9)-10)*$C69,1-0.4)</f>
        <v>0.97281553398058251</v>
      </c>
      <c r="G69" s="16">
        <f>MAX(1-(INDEX('Stat Boosts'!$D$2:$D$192,G$1-9)-10)*$C69,1-0.4)</f>
        <v>0.93203883495145634</v>
      </c>
      <c r="H69" s="16">
        <f>MAX(1-(INDEX('Stat Boosts'!$D$2:$D$192,H$1-9)-10)*$C69,1-0.4)</f>
        <v>0.89126213592233006</v>
      </c>
      <c r="I69" s="16">
        <f>MAX(1-(INDEX('Stat Boosts'!$D$2:$D$192,I$1-9)-10)*$C69,1-0.4)</f>
        <v>0.85048543689320388</v>
      </c>
      <c r="J69" s="16">
        <f>MAX(1-(INDEX('Stat Boosts'!$D$2:$D$192,J$1-9)-10)*$C69,1-0.4)</f>
        <v>0.80970873786407771</v>
      </c>
      <c r="K69" s="16">
        <f>MAX(1-(INDEX('Stat Boosts'!$D$2:$D$192,K$1-9)-10)*$C69,1-0.4)</f>
        <v>0.76893203883495143</v>
      </c>
      <c r="L69" s="16">
        <f>MAX(1-(INDEX('Stat Boosts'!$D$2:$D$192,L$1-9)-10)*$C69,1-0.4)</f>
        <v>0.74174757281553405</v>
      </c>
      <c r="M69" s="16">
        <f>MAX(1-(INDEX('Stat Boosts'!$D$2:$D$192,M$1-9)-10)*$C69,1-0.4)</f>
        <v>0.70097087378640777</v>
      </c>
      <c r="N69" s="16">
        <f>MAX(1-(INDEX('Stat Boosts'!$D$2:$D$192,N$1-9)-10)*$C69,1-0.4)</f>
        <v>0.67378640776699028</v>
      </c>
      <c r="O69" s="16">
        <f>MAX(1-(INDEX('Stat Boosts'!$D$2:$D$192,O$1-9)-10)*$C69,1-0.4)</f>
        <v>0.63300970873786411</v>
      </c>
      <c r="P69" s="16">
        <f>MAX(1-(INDEX('Stat Boosts'!$D$2:$D$192,P$1-9)-10)*$C69,1-0.4)</f>
        <v>0.60582524271844662</v>
      </c>
      <c r="Q69" s="16">
        <f>MAX(1-(INDEX('Stat Boosts'!$D$2:$D$192,Q$1-9)-10)*$C69,1-0.4)</f>
        <v>0.6</v>
      </c>
      <c r="R69" s="16">
        <f>MAX(1-(INDEX('Stat Boosts'!$D$2:$D$192,R$1-9)-10)*$C69,1-0.4)</f>
        <v>0.6</v>
      </c>
    </row>
    <row r="70" spans="1:18">
      <c r="A70" s="9">
        <v>69</v>
      </c>
      <c r="B70" s="16">
        <f t="shared" si="2"/>
        <v>24.857142857142858</v>
      </c>
      <c r="C70" s="16">
        <f t="shared" si="3"/>
        <v>1.3461538461538462E-2</v>
      </c>
      <c r="E70" s="16">
        <f>MAX(1-(INDEX('Stat Boosts'!$D$2:$D$192,E$1-9)-10)*$C70,1-0.4)</f>
        <v>1</v>
      </c>
      <c r="F70" s="16">
        <f>MAX(1-(INDEX('Stat Boosts'!$D$2:$D$192,F$1-9)-10)*$C70,1-0.4)</f>
        <v>0.97307692307692306</v>
      </c>
      <c r="G70" s="16">
        <f>MAX(1-(INDEX('Stat Boosts'!$D$2:$D$192,G$1-9)-10)*$C70,1-0.4)</f>
        <v>0.93269230769230771</v>
      </c>
      <c r="H70" s="16">
        <f>MAX(1-(INDEX('Stat Boosts'!$D$2:$D$192,H$1-9)-10)*$C70,1-0.4)</f>
        <v>0.89230769230769225</v>
      </c>
      <c r="I70" s="16">
        <f>MAX(1-(INDEX('Stat Boosts'!$D$2:$D$192,I$1-9)-10)*$C70,1-0.4)</f>
        <v>0.85192307692307689</v>
      </c>
      <c r="J70" s="16">
        <f>MAX(1-(INDEX('Stat Boosts'!$D$2:$D$192,J$1-9)-10)*$C70,1-0.4)</f>
        <v>0.81153846153846154</v>
      </c>
      <c r="K70" s="16">
        <f>MAX(1-(INDEX('Stat Boosts'!$D$2:$D$192,K$1-9)-10)*$C70,1-0.4)</f>
        <v>0.77115384615384608</v>
      </c>
      <c r="L70" s="16">
        <f>MAX(1-(INDEX('Stat Boosts'!$D$2:$D$192,L$1-9)-10)*$C70,1-0.4)</f>
        <v>0.74423076923076925</v>
      </c>
      <c r="M70" s="16">
        <f>MAX(1-(INDEX('Stat Boosts'!$D$2:$D$192,M$1-9)-10)*$C70,1-0.4)</f>
        <v>0.70384615384615379</v>
      </c>
      <c r="N70" s="16">
        <f>MAX(1-(INDEX('Stat Boosts'!$D$2:$D$192,N$1-9)-10)*$C70,1-0.4)</f>
        <v>0.67692307692307696</v>
      </c>
      <c r="O70" s="16">
        <f>MAX(1-(INDEX('Stat Boosts'!$D$2:$D$192,O$1-9)-10)*$C70,1-0.4)</f>
        <v>0.6365384615384615</v>
      </c>
      <c r="P70" s="16">
        <f>MAX(1-(INDEX('Stat Boosts'!$D$2:$D$192,P$1-9)-10)*$C70,1-0.4)</f>
        <v>0.60961538461538467</v>
      </c>
      <c r="Q70" s="16">
        <f>MAX(1-(INDEX('Stat Boosts'!$D$2:$D$192,Q$1-9)-10)*$C70,1-0.4)</f>
        <v>0.6</v>
      </c>
      <c r="R70" s="16">
        <f>MAX(1-(INDEX('Stat Boosts'!$D$2:$D$192,R$1-9)-10)*$C70,1-0.4)</f>
        <v>0.6</v>
      </c>
    </row>
    <row r="71" spans="1:18">
      <c r="A71" s="9">
        <v>70</v>
      </c>
      <c r="B71" s="16">
        <f t="shared" si="2"/>
        <v>25</v>
      </c>
      <c r="C71" s="16">
        <f t="shared" si="3"/>
        <v>1.3333333333333334E-2</v>
      </c>
      <c r="E71" s="16">
        <f>MAX(1-(INDEX('Stat Boosts'!$D$2:$D$192,E$1-9)-10)*$C71,1-0.4)</f>
        <v>1</v>
      </c>
      <c r="F71" s="16">
        <f>MAX(1-(INDEX('Stat Boosts'!$D$2:$D$192,F$1-9)-10)*$C71,1-0.4)</f>
        <v>0.97333333333333338</v>
      </c>
      <c r="G71" s="16">
        <f>MAX(1-(INDEX('Stat Boosts'!$D$2:$D$192,G$1-9)-10)*$C71,1-0.4)</f>
        <v>0.93333333333333335</v>
      </c>
      <c r="H71" s="16">
        <f>MAX(1-(INDEX('Stat Boosts'!$D$2:$D$192,H$1-9)-10)*$C71,1-0.4)</f>
        <v>0.89333333333333331</v>
      </c>
      <c r="I71" s="16">
        <f>MAX(1-(INDEX('Stat Boosts'!$D$2:$D$192,I$1-9)-10)*$C71,1-0.4)</f>
        <v>0.85333333333333328</v>
      </c>
      <c r="J71" s="16">
        <f>MAX(1-(INDEX('Stat Boosts'!$D$2:$D$192,J$1-9)-10)*$C71,1-0.4)</f>
        <v>0.81333333333333335</v>
      </c>
      <c r="K71" s="16">
        <f>MAX(1-(INDEX('Stat Boosts'!$D$2:$D$192,K$1-9)-10)*$C71,1-0.4)</f>
        <v>0.77333333333333332</v>
      </c>
      <c r="L71" s="16">
        <f>MAX(1-(INDEX('Stat Boosts'!$D$2:$D$192,L$1-9)-10)*$C71,1-0.4)</f>
        <v>0.74666666666666659</v>
      </c>
      <c r="M71" s="16">
        <f>MAX(1-(INDEX('Stat Boosts'!$D$2:$D$192,M$1-9)-10)*$C71,1-0.4)</f>
        <v>0.70666666666666667</v>
      </c>
      <c r="N71" s="16">
        <f>MAX(1-(INDEX('Stat Boosts'!$D$2:$D$192,N$1-9)-10)*$C71,1-0.4)</f>
        <v>0.67999999999999994</v>
      </c>
      <c r="O71" s="16">
        <f>MAX(1-(INDEX('Stat Boosts'!$D$2:$D$192,O$1-9)-10)*$C71,1-0.4)</f>
        <v>0.6399999999999999</v>
      </c>
      <c r="P71" s="16">
        <f>MAX(1-(INDEX('Stat Boosts'!$D$2:$D$192,P$1-9)-10)*$C71,1-0.4)</f>
        <v>0.61333333333333329</v>
      </c>
      <c r="Q71" s="16">
        <f>MAX(1-(INDEX('Stat Boosts'!$D$2:$D$192,Q$1-9)-10)*$C71,1-0.4)</f>
        <v>0.6</v>
      </c>
      <c r="R71" s="16">
        <f>MAX(1-(INDEX('Stat Boosts'!$D$2:$D$192,R$1-9)-10)*$C71,1-0.4)</f>
        <v>0.6</v>
      </c>
    </row>
    <row r="72" spans="1:18">
      <c r="A72" s="9">
        <v>71</v>
      </c>
      <c r="B72" s="16">
        <f t="shared" si="2"/>
        <v>25.142857142857142</v>
      </c>
      <c r="C72" s="16">
        <f t="shared" si="3"/>
        <v>1.3207547169811321E-2</v>
      </c>
      <c r="E72" s="16">
        <f>MAX(1-(INDEX('Stat Boosts'!$D$2:$D$192,E$1-9)-10)*$C72,1-0.4)</f>
        <v>1</v>
      </c>
      <c r="F72" s="16">
        <f>MAX(1-(INDEX('Stat Boosts'!$D$2:$D$192,F$1-9)-10)*$C72,1-0.4)</f>
        <v>0.97358490566037736</v>
      </c>
      <c r="G72" s="16">
        <f>MAX(1-(INDEX('Stat Boosts'!$D$2:$D$192,G$1-9)-10)*$C72,1-0.4)</f>
        <v>0.93396226415094341</v>
      </c>
      <c r="H72" s="16">
        <f>MAX(1-(INDEX('Stat Boosts'!$D$2:$D$192,H$1-9)-10)*$C72,1-0.4)</f>
        <v>0.89433962264150946</v>
      </c>
      <c r="I72" s="16">
        <f>MAX(1-(INDEX('Stat Boosts'!$D$2:$D$192,I$1-9)-10)*$C72,1-0.4)</f>
        <v>0.8547169811320755</v>
      </c>
      <c r="J72" s="16">
        <f>MAX(1-(INDEX('Stat Boosts'!$D$2:$D$192,J$1-9)-10)*$C72,1-0.4)</f>
        <v>0.81509433962264155</v>
      </c>
      <c r="K72" s="16">
        <f>MAX(1-(INDEX('Stat Boosts'!$D$2:$D$192,K$1-9)-10)*$C72,1-0.4)</f>
        <v>0.77547169811320749</v>
      </c>
      <c r="L72" s="16">
        <f>MAX(1-(INDEX('Stat Boosts'!$D$2:$D$192,L$1-9)-10)*$C72,1-0.4)</f>
        <v>0.74905660377358485</v>
      </c>
      <c r="M72" s="16">
        <f>MAX(1-(INDEX('Stat Boosts'!$D$2:$D$192,M$1-9)-10)*$C72,1-0.4)</f>
        <v>0.70943396226415101</v>
      </c>
      <c r="N72" s="16">
        <f>MAX(1-(INDEX('Stat Boosts'!$D$2:$D$192,N$1-9)-10)*$C72,1-0.4)</f>
        <v>0.68301886792452826</v>
      </c>
      <c r="O72" s="16">
        <f>MAX(1-(INDEX('Stat Boosts'!$D$2:$D$192,O$1-9)-10)*$C72,1-0.4)</f>
        <v>0.64339622641509431</v>
      </c>
      <c r="P72" s="16">
        <f>MAX(1-(INDEX('Stat Boosts'!$D$2:$D$192,P$1-9)-10)*$C72,1-0.4)</f>
        <v>0.61698113207547167</v>
      </c>
      <c r="Q72" s="16">
        <f>MAX(1-(INDEX('Stat Boosts'!$D$2:$D$192,Q$1-9)-10)*$C72,1-0.4)</f>
        <v>0.6</v>
      </c>
      <c r="R72" s="16">
        <f>MAX(1-(INDEX('Stat Boosts'!$D$2:$D$192,R$1-9)-10)*$C72,1-0.4)</f>
        <v>0.6</v>
      </c>
    </row>
    <row r="73" spans="1:18">
      <c r="A73" s="9">
        <v>72</v>
      </c>
      <c r="B73" s="16">
        <f t="shared" si="2"/>
        <v>25.285714285714285</v>
      </c>
      <c r="C73" s="16">
        <f t="shared" si="3"/>
        <v>1.3084112149532711E-2</v>
      </c>
      <c r="E73" s="16">
        <f>MAX(1-(INDEX('Stat Boosts'!$D$2:$D$192,E$1-9)-10)*$C73,1-0.4)</f>
        <v>1</v>
      </c>
      <c r="F73" s="16">
        <f>MAX(1-(INDEX('Stat Boosts'!$D$2:$D$192,F$1-9)-10)*$C73,1-0.4)</f>
        <v>0.9738317757009346</v>
      </c>
      <c r="G73" s="16">
        <f>MAX(1-(INDEX('Stat Boosts'!$D$2:$D$192,G$1-9)-10)*$C73,1-0.4)</f>
        <v>0.93457943925233644</v>
      </c>
      <c r="H73" s="16">
        <f>MAX(1-(INDEX('Stat Boosts'!$D$2:$D$192,H$1-9)-10)*$C73,1-0.4)</f>
        <v>0.89532710280373828</v>
      </c>
      <c r="I73" s="16">
        <f>MAX(1-(INDEX('Stat Boosts'!$D$2:$D$192,I$1-9)-10)*$C73,1-0.4)</f>
        <v>0.85607476635514024</v>
      </c>
      <c r="J73" s="16">
        <f>MAX(1-(INDEX('Stat Boosts'!$D$2:$D$192,J$1-9)-10)*$C73,1-0.4)</f>
        <v>0.81682242990654208</v>
      </c>
      <c r="K73" s="16">
        <f>MAX(1-(INDEX('Stat Boosts'!$D$2:$D$192,K$1-9)-10)*$C73,1-0.4)</f>
        <v>0.77757009345794392</v>
      </c>
      <c r="L73" s="16">
        <f>MAX(1-(INDEX('Stat Boosts'!$D$2:$D$192,L$1-9)-10)*$C73,1-0.4)</f>
        <v>0.75140186915887852</v>
      </c>
      <c r="M73" s="16">
        <f>MAX(1-(INDEX('Stat Boosts'!$D$2:$D$192,M$1-9)-10)*$C73,1-0.4)</f>
        <v>0.71214953271028036</v>
      </c>
      <c r="N73" s="16">
        <f>MAX(1-(INDEX('Stat Boosts'!$D$2:$D$192,N$1-9)-10)*$C73,1-0.4)</f>
        <v>0.68598130841121496</v>
      </c>
      <c r="O73" s="16">
        <f>MAX(1-(INDEX('Stat Boosts'!$D$2:$D$192,O$1-9)-10)*$C73,1-0.4)</f>
        <v>0.64672897196261681</v>
      </c>
      <c r="P73" s="16">
        <f>MAX(1-(INDEX('Stat Boosts'!$D$2:$D$192,P$1-9)-10)*$C73,1-0.4)</f>
        <v>0.6205607476635514</v>
      </c>
      <c r="Q73" s="16">
        <f>MAX(1-(INDEX('Stat Boosts'!$D$2:$D$192,Q$1-9)-10)*$C73,1-0.4)</f>
        <v>0.6</v>
      </c>
      <c r="R73" s="16">
        <f>MAX(1-(INDEX('Stat Boosts'!$D$2:$D$192,R$1-9)-10)*$C73,1-0.4)</f>
        <v>0.6</v>
      </c>
    </row>
    <row r="74" spans="1:18">
      <c r="A74" s="9">
        <v>73</v>
      </c>
      <c r="B74" s="16">
        <f t="shared" si="2"/>
        <v>25.428571428571431</v>
      </c>
      <c r="C74" s="16">
        <f t="shared" si="3"/>
        <v>1.2962962962962963E-2</v>
      </c>
      <c r="E74" s="16">
        <f>MAX(1-(INDEX('Stat Boosts'!$D$2:$D$192,E$1-9)-10)*$C74,1-0.4)</f>
        <v>1</v>
      </c>
      <c r="F74" s="16">
        <f>MAX(1-(INDEX('Stat Boosts'!$D$2:$D$192,F$1-9)-10)*$C74,1-0.4)</f>
        <v>0.97407407407407409</v>
      </c>
      <c r="G74" s="16">
        <f>MAX(1-(INDEX('Stat Boosts'!$D$2:$D$192,G$1-9)-10)*$C74,1-0.4)</f>
        <v>0.93518518518518523</v>
      </c>
      <c r="H74" s="16">
        <f>MAX(1-(INDEX('Stat Boosts'!$D$2:$D$192,H$1-9)-10)*$C74,1-0.4)</f>
        <v>0.89629629629629626</v>
      </c>
      <c r="I74" s="16">
        <f>MAX(1-(INDEX('Stat Boosts'!$D$2:$D$192,I$1-9)-10)*$C74,1-0.4)</f>
        <v>0.8574074074074074</v>
      </c>
      <c r="J74" s="16">
        <f>MAX(1-(INDEX('Stat Boosts'!$D$2:$D$192,J$1-9)-10)*$C74,1-0.4)</f>
        <v>0.81851851851851853</v>
      </c>
      <c r="K74" s="16">
        <f>MAX(1-(INDEX('Stat Boosts'!$D$2:$D$192,K$1-9)-10)*$C74,1-0.4)</f>
        <v>0.77962962962962967</v>
      </c>
      <c r="L74" s="16">
        <f>MAX(1-(INDEX('Stat Boosts'!$D$2:$D$192,L$1-9)-10)*$C74,1-0.4)</f>
        <v>0.75370370370370376</v>
      </c>
      <c r="M74" s="16">
        <f>MAX(1-(INDEX('Stat Boosts'!$D$2:$D$192,M$1-9)-10)*$C74,1-0.4)</f>
        <v>0.71481481481481479</v>
      </c>
      <c r="N74" s="16">
        <f>MAX(1-(INDEX('Stat Boosts'!$D$2:$D$192,N$1-9)-10)*$C74,1-0.4)</f>
        <v>0.68888888888888888</v>
      </c>
      <c r="O74" s="16">
        <f>MAX(1-(INDEX('Stat Boosts'!$D$2:$D$192,O$1-9)-10)*$C74,1-0.4)</f>
        <v>0.65</v>
      </c>
      <c r="P74" s="16">
        <f>MAX(1-(INDEX('Stat Boosts'!$D$2:$D$192,P$1-9)-10)*$C74,1-0.4)</f>
        <v>0.624074074074074</v>
      </c>
      <c r="Q74" s="16">
        <f>MAX(1-(INDEX('Stat Boosts'!$D$2:$D$192,Q$1-9)-10)*$C74,1-0.4)</f>
        <v>0.6</v>
      </c>
      <c r="R74" s="16">
        <f>MAX(1-(INDEX('Stat Boosts'!$D$2:$D$192,R$1-9)-10)*$C74,1-0.4)</f>
        <v>0.6</v>
      </c>
    </row>
    <row r="75" spans="1:18">
      <c r="A75" s="9">
        <v>74</v>
      </c>
      <c r="B75" s="16">
        <f t="shared" si="2"/>
        <v>25.571428571428569</v>
      </c>
      <c r="C75" s="16">
        <f t="shared" si="3"/>
        <v>1.2844036697247709E-2</v>
      </c>
      <c r="E75" s="16">
        <f>MAX(1-(INDEX('Stat Boosts'!$D$2:$D$192,E$1-9)-10)*$C75,1-0.4)</f>
        <v>1</v>
      </c>
      <c r="F75" s="16">
        <f>MAX(1-(INDEX('Stat Boosts'!$D$2:$D$192,F$1-9)-10)*$C75,1-0.4)</f>
        <v>0.97431192660550459</v>
      </c>
      <c r="G75" s="16">
        <f>MAX(1-(INDEX('Stat Boosts'!$D$2:$D$192,G$1-9)-10)*$C75,1-0.4)</f>
        <v>0.93577981651376141</v>
      </c>
      <c r="H75" s="16">
        <f>MAX(1-(INDEX('Stat Boosts'!$D$2:$D$192,H$1-9)-10)*$C75,1-0.4)</f>
        <v>0.89724770642201834</v>
      </c>
      <c r="I75" s="16">
        <f>MAX(1-(INDEX('Stat Boosts'!$D$2:$D$192,I$1-9)-10)*$C75,1-0.4)</f>
        <v>0.85871559633027517</v>
      </c>
      <c r="J75" s="16">
        <f>MAX(1-(INDEX('Stat Boosts'!$D$2:$D$192,J$1-9)-10)*$C75,1-0.4)</f>
        <v>0.8201834862385321</v>
      </c>
      <c r="K75" s="16">
        <f>MAX(1-(INDEX('Stat Boosts'!$D$2:$D$192,K$1-9)-10)*$C75,1-0.4)</f>
        <v>0.78165137614678892</v>
      </c>
      <c r="L75" s="16">
        <f>MAX(1-(INDEX('Stat Boosts'!$D$2:$D$192,L$1-9)-10)*$C75,1-0.4)</f>
        <v>0.75596330275229351</v>
      </c>
      <c r="M75" s="16">
        <f>MAX(1-(INDEX('Stat Boosts'!$D$2:$D$192,M$1-9)-10)*$C75,1-0.4)</f>
        <v>0.71743119266055033</v>
      </c>
      <c r="N75" s="16">
        <f>MAX(1-(INDEX('Stat Boosts'!$D$2:$D$192,N$1-9)-10)*$C75,1-0.4)</f>
        <v>0.69174311926605503</v>
      </c>
      <c r="O75" s="16">
        <f>MAX(1-(INDEX('Stat Boosts'!$D$2:$D$192,O$1-9)-10)*$C75,1-0.4)</f>
        <v>0.65321100917431185</v>
      </c>
      <c r="P75" s="16">
        <f>MAX(1-(INDEX('Stat Boosts'!$D$2:$D$192,P$1-9)-10)*$C75,1-0.4)</f>
        <v>0.62752293577981644</v>
      </c>
      <c r="Q75" s="16">
        <f>MAX(1-(INDEX('Stat Boosts'!$D$2:$D$192,Q$1-9)-10)*$C75,1-0.4)</f>
        <v>0.6</v>
      </c>
      <c r="R75" s="16">
        <f>MAX(1-(INDEX('Stat Boosts'!$D$2:$D$192,R$1-9)-10)*$C75,1-0.4)</f>
        <v>0.6</v>
      </c>
    </row>
    <row r="76" spans="1:18">
      <c r="A76" s="9">
        <v>75</v>
      </c>
      <c r="B76" s="16">
        <f t="shared" si="2"/>
        <v>25.714285714285715</v>
      </c>
      <c r="C76" s="16">
        <f t="shared" si="3"/>
        <v>1.2727272727272728E-2</v>
      </c>
      <c r="E76" s="16">
        <f>MAX(1-(INDEX('Stat Boosts'!$D$2:$D$192,E$1-9)-10)*$C76,1-0.4)</f>
        <v>1</v>
      </c>
      <c r="F76" s="16">
        <f>MAX(1-(INDEX('Stat Boosts'!$D$2:$D$192,F$1-9)-10)*$C76,1-0.4)</f>
        <v>0.97454545454545449</v>
      </c>
      <c r="G76" s="16">
        <f>MAX(1-(INDEX('Stat Boosts'!$D$2:$D$192,G$1-9)-10)*$C76,1-0.4)</f>
        <v>0.9363636363636364</v>
      </c>
      <c r="H76" s="16">
        <f>MAX(1-(INDEX('Stat Boosts'!$D$2:$D$192,H$1-9)-10)*$C76,1-0.4)</f>
        <v>0.89818181818181819</v>
      </c>
      <c r="I76" s="16">
        <f>MAX(1-(INDEX('Stat Boosts'!$D$2:$D$192,I$1-9)-10)*$C76,1-0.4)</f>
        <v>0.86</v>
      </c>
      <c r="J76" s="16">
        <f>MAX(1-(INDEX('Stat Boosts'!$D$2:$D$192,J$1-9)-10)*$C76,1-0.4)</f>
        <v>0.82181818181818178</v>
      </c>
      <c r="K76" s="16">
        <f>MAX(1-(INDEX('Stat Boosts'!$D$2:$D$192,K$1-9)-10)*$C76,1-0.4)</f>
        <v>0.78363636363636369</v>
      </c>
      <c r="L76" s="16">
        <f>MAX(1-(INDEX('Stat Boosts'!$D$2:$D$192,L$1-9)-10)*$C76,1-0.4)</f>
        <v>0.75818181818181818</v>
      </c>
      <c r="M76" s="16">
        <f>MAX(1-(INDEX('Stat Boosts'!$D$2:$D$192,M$1-9)-10)*$C76,1-0.4)</f>
        <v>0.72</v>
      </c>
      <c r="N76" s="16">
        <f>MAX(1-(INDEX('Stat Boosts'!$D$2:$D$192,N$1-9)-10)*$C76,1-0.4)</f>
        <v>0.69454545454545458</v>
      </c>
      <c r="O76" s="16">
        <f>MAX(1-(INDEX('Stat Boosts'!$D$2:$D$192,O$1-9)-10)*$C76,1-0.4)</f>
        <v>0.65636363636363637</v>
      </c>
      <c r="P76" s="16">
        <f>MAX(1-(INDEX('Stat Boosts'!$D$2:$D$192,P$1-9)-10)*$C76,1-0.4)</f>
        <v>0.63090909090909086</v>
      </c>
      <c r="Q76" s="16">
        <f>MAX(1-(INDEX('Stat Boosts'!$D$2:$D$192,Q$1-9)-10)*$C76,1-0.4)</f>
        <v>0.6</v>
      </c>
      <c r="R76" s="16">
        <f>MAX(1-(INDEX('Stat Boosts'!$D$2:$D$192,R$1-9)-10)*$C76,1-0.4)</f>
        <v>0.6</v>
      </c>
    </row>
    <row r="77" spans="1:18">
      <c r="A77" s="9">
        <v>76</v>
      </c>
      <c r="B77" s="16">
        <f t="shared" si="2"/>
        <v>25.857142857142858</v>
      </c>
      <c r="C77" s="16">
        <f t="shared" si="3"/>
        <v>1.2612612612612612E-2</v>
      </c>
      <c r="E77" s="16">
        <f>MAX(1-(INDEX('Stat Boosts'!$D$2:$D$192,E$1-9)-10)*$C77,1-0.4)</f>
        <v>1</v>
      </c>
      <c r="F77" s="16">
        <f>MAX(1-(INDEX('Stat Boosts'!$D$2:$D$192,F$1-9)-10)*$C77,1-0.4)</f>
        <v>0.97477477477477481</v>
      </c>
      <c r="G77" s="16">
        <f>MAX(1-(INDEX('Stat Boosts'!$D$2:$D$192,G$1-9)-10)*$C77,1-0.4)</f>
        <v>0.93693693693693691</v>
      </c>
      <c r="H77" s="16">
        <f>MAX(1-(INDEX('Stat Boosts'!$D$2:$D$192,H$1-9)-10)*$C77,1-0.4)</f>
        <v>0.89909909909909913</v>
      </c>
      <c r="I77" s="16">
        <f>MAX(1-(INDEX('Stat Boosts'!$D$2:$D$192,I$1-9)-10)*$C77,1-0.4)</f>
        <v>0.86126126126126124</v>
      </c>
      <c r="J77" s="16">
        <f>MAX(1-(INDEX('Stat Boosts'!$D$2:$D$192,J$1-9)-10)*$C77,1-0.4)</f>
        <v>0.82342342342342345</v>
      </c>
      <c r="K77" s="16">
        <f>MAX(1-(INDEX('Stat Boosts'!$D$2:$D$192,K$1-9)-10)*$C77,1-0.4)</f>
        <v>0.78558558558558556</v>
      </c>
      <c r="L77" s="16">
        <f>MAX(1-(INDEX('Stat Boosts'!$D$2:$D$192,L$1-9)-10)*$C77,1-0.4)</f>
        <v>0.76036036036036037</v>
      </c>
      <c r="M77" s="16">
        <f>MAX(1-(INDEX('Stat Boosts'!$D$2:$D$192,M$1-9)-10)*$C77,1-0.4)</f>
        <v>0.72252252252252247</v>
      </c>
      <c r="N77" s="16">
        <f>MAX(1-(INDEX('Stat Boosts'!$D$2:$D$192,N$1-9)-10)*$C77,1-0.4)</f>
        <v>0.69729729729729728</v>
      </c>
      <c r="O77" s="16">
        <f>MAX(1-(INDEX('Stat Boosts'!$D$2:$D$192,O$1-9)-10)*$C77,1-0.4)</f>
        <v>0.6594594594594595</v>
      </c>
      <c r="P77" s="16">
        <f>MAX(1-(INDEX('Stat Boosts'!$D$2:$D$192,P$1-9)-10)*$C77,1-0.4)</f>
        <v>0.6342342342342342</v>
      </c>
      <c r="Q77" s="16">
        <f>MAX(1-(INDEX('Stat Boosts'!$D$2:$D$192,Q$1-9)-10)*$C77,1-0.4)</f>
        <v>0.6</v>
      </c>
      <c r="R77" s="16">
        <f>MAX(1-(INDEX('Stat Boosts'!$D$2:$D$192,R$1-9)-10)*$C77,1-0.4)</f>
        <v>0.6</v>
      </c>
    </row>
    <row r="78" spans="1:18">
      <c r="A78" s="9">
        <v>77</v>
      </c>
      <c r="B78" s="16">
        <f t="shared" si="2"/>
        <v>26</v>
      </c>
      <c r="C78" s="16">
        <f t="shared" si="3"/>
        <v>1.2500000000000001E-2</v>
      </c>
      <c r="E78" s="16">
        <f>MAX(1-(INDEX('Stat Boosts'!$D$2:$D$192,E$1-9)-10)*$C78,1-0.4)</f>
        <v>1</v>
      </c>
      <c r="F78" s="16">
        <f>MAX(1-(INDEX('Stat Boosts'!$D$2:$D$192,F$1-9)-10)*$C78,1-0.4)</f>
        <v>0.97499999999999998</v>
      </c>
      <c r="G78" s="16">
        <f>MAX(1-(INDEX('Stat Boosts'!$D$2:$D$192,G$1-9)-10)*$C78,1-0.4)</f>
        <v>0.9375</v>
      </c>
      <c r="H78" s="16">
        <f>MAX(1-(INDEX('Stat Boosts'!$D$2:$D$192,H$1-9)-10)*$C78,1-0.4)</f>
        <v>0.9</v>
      </c>
      <c r="I78" s="16">
        <f>MAX(1-(INDEX('Stat Boosts'!$D$2:$D$192,I$1-9)-10)*$C78,1-0.4)</f>
        <v>0.86250000000000004</v>
      </c>
      <c r="J78" s="16">
        <f>MAX(1-(INDEX('Stat Boosts'!$D$2:$D$192,J$1-9)-10)*$C78,1-0.4)</f>
        <v>0.82499999999999996</v>
      </c>
      <c r="K78" s="16">
        <f>MAX(1-(INDEX('Stat Boosts'!$D$2:$D$192,K$1-9)-10)*$C78,1-0.4)</f>
        <v>0.78749999999999998</v>
      </c>
      <c r="L78" s="16">
        <f>MAX(1-(INDEX('Stat Boosts'!$D$2:$D$192,L$1-9)-10)*$C78,1-0.4)</f>
        <v>0.76249999999999996</v>
      </c>
      <c r="M78" s="16">
        <f>MAX(1-(INDEX('Stat Boosts'!$D$2:$D$192,M$1-9)-10)*$C78,1-0.4)</f>
        <v>0.72499999999999998</v>
      </c>
      <c r="N78" s="16">
        <f>MAX(1-(INDEX('Stat Boosts'!$D$2:$D$192,N$1-9)-10)*$C78,1-0.4)</f>
        <v>0.7</v>
      </c>
      <c r="O78" s="16">
        <f>MAX(1-(INDEX('Stat Boosts'!$D$2:$D$192,O$1-9)-10)*$C78,1-0.4)</f>
        <v>0.66249999999999998</v>
      </c>
      <c r="P78" s="16">
        <f>MAX(1-(INDEX('Stat Boosts'!$D$2:$D$192,P$1-9)-10)*$C78,1-0.4)</f>
        <v>0.63749999999999996</v>
      </c>
      <c r="Q78" s="16">
        <f>MAX(1-(INDEX('Stat Boosts'!$D$2:$D$192,Q$1-9)-10)*$C78,1-0.4)</f>
        <v>0.6</v>
      </c>
      <c r="R78" s="16">
        <f>MAX(1-(INDEX('Stat Boosts'!$D$2:$D$192,R$1-9)-10)*$C78,1-0.4)</f>
        <v>0.6</v>
      </c>
    </row>
    <row r="79" spans="1:18">
      <c r="A79" s="9">
        <v>78</v>
      </c>
      <c r="B79" s="16">
        <f t="shared" si="2"/>
        <v>26.142857142857142</v>
      </c>
      <c r="C79" s="16">
        <f t="shared" si="3"/>
        <v>1.2389380530973453E-2</v>
      </c>
      <c r="E79" s="16">
        <f>MAX(1-(INDEX('Stat Boosts'!$D$2:$D$192,E$1-9)-10)*$C79,1-0.4)</f>
        <v>1</v>
      </c>
      <c r="F79" s="16">
        <f>MAX(1-(INDEX('Stat Boosts'!$D$2:$D$192,F$1-9)-10)*$C79,1-0.4)</f>
        <v>0.97522123893805313</v>
      </c>
      <c r="G79" s="16">
        <f>MAX(1-(INDEX('Stat Boosts'!$D$2:$D$192,G$1-9)-10)*$C79,1-0.4)</f>
        <v>0.93805309734513276</v>
      </c>
      <c r="H79" s="16">
        <f>MAX(1-(INDEX('Stat Boosts'!$D$2:$D$192,H$1-9)-10)*$C79,1-0.4)</f>
        <v>0.90088495575221239</v>
      </c>
      <c r="I79" s="16">
        <f>MAX(1-(INDEX('Stat Boosts'!$D$2:$D$192,I$1-9)-10)*$C79,1-0.4)</f>
        <v>0.86371681415929202</v>
      </c>
      <c r="J79" s="16">
        <f>MAX(1-(INDEX('Stat Boosts'!$D$2:$D$192,J$1-9)-10)*$C79,1-0.4)</f>
        <v>0.82654867256637166</v>
      </c>
      <c r="K79" s="16">
        <f>MAX(1-(INDEX('Stat Boosts'!$D$2:$D$192,K$1-9)-10)*$C79,1-0.4)</f>
        <v>0.78938053097345129</v>
      </c>
      <c r="L79" s="16">
        <f>MAX(1-(INDEX('Stat Boosts'!$D$2:$D$192,L$1-9)-10)*$C79,1-0.4)</f>
        <v>0.76460176991150441</v>
      </c>
      <c r="M79" s="16">
        <f>MAX(1-(INDEX('Stat Boosts'!$D$2:$D$192,M$1-9)-10)*$C79,1-0.4)</f>
        <v>0.72743362831858405</v>
      </c>
      <c r="N79" s="16">
        <f>MAX(1-(INDEX('Stat Boosts'!$D$2:$D$192,N$1-9)-10)*$C79,1-0.4)</f>
        <v>0.70265486725663706</v>
      </c>
      <c r="O79" s="16">
        <f>MAX(1-(INDEX('Stat Boosts'!$D$2:$D$192,O$1-9)-10)*$C79,1-0.4)</f>
        <v>0.66548672566371669</v>
      </c>
      <c r="P79" s="16">
        <f>MAX(1-(INDEX('Stat Boosts'!$D$2:$D$192,P$1-9)-10)*$C79,1-0.4)</f>
        <v>0.64070796460176993</v>
      </c>
      <c r="Q79" s="16">
        <f>MAX(1-(INDEX('Stat Boosts'!$D$2:$D$192,Q$1-9)-10)*$C79,1-0.4)</f>
        <v>0.60353982300884956</v>
      </c>
      <c r="R79" s="16">
        <f>MAX(1-(INDEX('Stat Boosts'!$D$2:$D$192,R$1-9)-10)*$C79,1-0.4)</f>
        <v>0.6</v>
      </c>
    </row>
    <row r="80" spans="1:18">
      <c r="A80" s="9">
        <v>79</v>
      </c>
      <c r="B80" s="16">
        <f t="shared" si="2"/>
        <v>26.285714285714285</v>
      </c>
      <c r="C80" s="16">
        <f t="shared" si="3"/>
        <v>1.2280701754385967E-2</v>
      </c>
      <c r="E80" s="16">
        <f>MAX(1-(INDEX('Stat Boosts'!$D$2:$D$192,E$1-9)-10)*$C80,1-0.4)</f>
        <v>1</v>
      </c>
      <c r="F80" s="16">
        <f>MAX(1-(INDEX('Stat Boosts'!$D$2:$D$192,F$1-9)-10)*$C80,1-0.4)</f>
        <v>0.9754385964912281</v>
      </c>
      <c r="G80" s="16">
        <f>MAX(1-(INDEX('Stat Boosts'!$D$2:$D$192,G$1-9)-10)*$C80,1-0.4)</f>
        <v>0.93859649122807021</v>
      </c>
      <c r="H80" s="16">
        <f>MAX(1-(INDEX('Stat Boosts'!$D$2:$D$192,H$1-9)-10)*$C80,1-0.4)</f>
        <v>0.90175438596491231</v>
      </c>
      <c r="I80" s="16">
        <f>MAX(1-(INDEX('Stat Boosts'!$D$2:$D$192,I$1-9)-10)*$C80,1-0.4)</f>
        <v>0.86491228070175441</v>
      </c>
      <c r="J80" s="16">
        <f>MAX(1-(INDEX('Stat Boosts'!$D$2:$D$192,J$1-9)-10)*$C80,1-0.4)</f>
        <v>0.8280701754385964</v>
      </c>
      <c r="K80" s="16">
        <f>MAX(1-(INDEX('Stat Boosts'!$D$2:$D$192,K$1-9)-10)*$C80,1-0.4)</f>
        <v>0.79122807017543861</v>
      </c>
      <c r="L80" s="16">
        <f>MAX(1-(INDEX('Stat Boosts'!$D$2:$D$192,L$1-9)-10)*$C80,1-0.4)</f>
        <v>0.76666666666666661</v>
      </c>
      <c r="M80" s="16">
        <f>MAX(1-(INDEX('Stat Boosts'!$D$2:$D$192,M$1-9)-10)*$C80,1-0.4)</f>
        <v>0.72982456140350871</v>
      </c>
      <c r="N80" s="16">
        <f>MAX(1-(INDEX('Stat Boosts'!$D$2:$D$192,N$1-9)-10)*$C80,1-0.4)</f>
        <v>0.70526315789473681</v>
      </c>
      <c r="O80" s="16">
        <f>MAX(1-(INDEX('Stat Boosts'!$D$2:$D$192,O$1-9)-10)*$C80,1-0.4)</f>
        <v>0.66842105263157892</v>
      </c>
      <c r="P80" s="16">
        <f>MAX(1-(INDEX('Stat Boosts'!$D$2:$D$192,P$1-9)-10)*$C80,1-0.4)</f>
        <v>0.64385964912280702</v>
      </c>
      <c r="Q80" s="16">
        <f>MAX(1-(INDEX('Stat Boosts'!$D$2:$D$192,Q$1-9)-10)*$C80,1-0.4)</f>
        <v>0.60701754385964901</v>
      </c>
      <c r="R80" s="16">
        <f>MAX(1-(INDEX('Stat Boosts'!$D$2:$D$192,R$1-9)-10)*$C80,1-0.4)</f>
        <v>0.6</v>
      </c>
    </row>
    <row r="81" spans="1:18">
      <c r="A81" s="9">
        <v>80</v>
      </c>
      <c r="B81" s="16">
        <f t="shared" si="2"/>
        <v>26.428571428571431</v>
      </c>
      <c r="C81" s="16">
        <f t="shared" si="3"/>
        <v>1.2173913043478261E-2</v>
      </c>
      <c r="E81" s="16">
        <f>MAX(1-(INDEX('Stat Boosts'!$D$2:$D$192,E$1-9)-10)*$C81,1-0.4)</f>
        <v>1</v>
      </c>
      <c r="F81" s="16">
        <f>MAX(1-(INDEX('Stat Boosts'!$D$2:$D$192,F$1-9)-10)*$C81,1-0.4)</f>
        <v>0.97565217391304349</v>
      </c>
      <c r="G81" s="16">
        <f>MAX(1-(INDEX('Stat Boosts'!$D$2:$D$192,G$1-9)-10)*$C81,1-0.4)</f>
        <v>0.93913043478260871</v>
      </c>
      <c r="H81" s="16">
        <f>MAX(1-(INDEX('Stat Boosts'!$D$2:$D$192,H$1-9)-10)*$C81,1-0.4)</f>
        <v>0.90260869565217394</v>
      </c>
      <c r="I81" s="16">
        <f>MAX(1-(INDEX('Stat Boosts'!$D$2:$D$192,I$1-9)-10)*$C81,1-0.4)</f>
        <v>0.86608695652173917</v>
      </c>
      <c r="J81" s="16">
        <f>MAX(1-(INDEX('Stat Boosts'!$D$2:$D$192,J$1-9)-10)*$C81,1-0.4)</f>
        <v>0.8295652173913044</v>
      </c>
      <c r="K81" s="16">
        <f>MAX(1-(INDEX('Stat Boosts'!$D$2:$D$192,K$1-9)-10)*$C81,1-0.4)</f>
        <v>0.79304347826086952</v>
      </c>
      <c r="L81" s="16">
        <f>MAX(1-(INDEX('Stat Boosts'!$D$2:$D$192,L$1-9)-10)*$C81,1-0.4)</f>
        <v>0.768695652173913</v>
      </c>
      <c r="M81" s="16">
        <f>MAX(1-(INDEX('Stat Boosts'!$D$2:$D$192,M$1-9)-10)*$C81,1-0.4)</f>
        <v>0.73217391304347834</v>
      </c>
      <c r="N81" s="16">
        <f>MAX(1-(INDEX('Stat Boosts'!$D$2:$D$192,N$1-9)-10)*$C81,1-0.4)</f>
        <v>0.70782608695652172</v>
      </c>
      <c r="O81" s="16">
        <f>MAX(1-(INDEX('Stat Boosts'!$D$2:$D$192,O$1-9)-10)*$C81,1-0.4)</f>
        <v>0.67130434782608694</v>
      </c>
      <c r="P81" s="16">
        <f>MAX(1-(INDEX('Stat Boosts'!$D$2:$D$192,P$1-9)-10)*$C81,1-0.4)</f>
        <v>0.64695652173913043</v>
      </c>
      <c r="Q81" s="16">
        <f>MAX(1-(INDEX('Stat Boosts'!$D$2:$D$192,Q$1-9)-10)*$C81,1-0.4)</f>
        <v>0.61043478260869566</v>
      </c>
      <c r="R81" s="16">
        <f>MAX(1-(INDEX('Stat Boosts'!$D$2:$D$192,R$1-9)-10)*$C81,1-0.4)</f>
        <v>0.6</v>
      </c>
    </row>
    <row r="82" spans="1:18">
      <c r="A82" s="9">
        <v>81</v>
      </c>
      <c r="B82" s="16">
        <f t="shared" si="2"/>
        <v>26.571428571428569</v>
      </c>
      <c r="C82" s="16">
        <f t="shared" si="3"/>
        <v>1.2068965517241381E-2</v>
      </c>
      <c r="E82" s="16">
        <f>MAX(1-(INDEX('Stat Boosts'!$D$2:$D$192,E$1-9)-10)*$C82,1-0.4)</f>
        <v>1</v>
      </c>
      <c r="F82" s="16">
        <f>MAX(1-(INDEX('Stat Boosts'!$D$2:$D$192,F$1-9)-10)*$C82,1-0.4)</f>
        <v>0.97586206896551719</v>
      </c>
      <c r="G82" s="16">
        <f>MAX(1-(INDEX('Stat Boosts'!$D$2:$D$192,G$1-9)-10)*$C82,1-0.4)</f>
        <v>0.93965517241379315</v>
      </c>
      <c r="H82" s="16">
        <f>MAX(1-(INDEX('Stat Boosts'!$D$2:$D$192,H$1-9)-10)*$C82,1-0.4)</f>
        <v>0.90344827586206899</v>
      </c>
      <c r="I82" s="16">
        <f>MAX(1-(INDEX('Stat Boosts'!$D$2:$D$192,I$1-9)-10)*$C82,1-0.4)</f>
        <v>0.86724137931034484</v>
      </c>
      <c r="J82" s="16">
        <f>MAX(1-(INDEX('Stat Boosts'!$D$2:$D$192,J$1-9)-10)*$C82,1-0.4)</f>
        <v>0.83103448275862069</v>
      </c>
      <c r="K82" s="16">
        <f>MAX(1-(INDEX('Stat Boosts'!$D$2:$D$192,K$1-9)-10)*$C82,1-0.4)</f>
        <v>0.79482758620689653</v>
      </c>
      <c r="L82" s="16">
        <f>MAX(1-(INDEX('Stat Boosts'!$D$2:$D$192,L$1-9)-10)*$C82,1-0.4)</f>
        <v>0.77068965517241372</v>
      </c>
      <c r="M82" s="16">
        <f>MAX(1-(INDEX('Stat Boosts'!$D$2:$D$192,M$1-9)-10)*$C82,1-0.4)</f>
        <v>0.73448275862068968</v>
      </c>
      <c r="N82" s="16">
        <f>MAX(1-(INDEX('Stat Boosts'!$D$2:$D$192,N$1-9)-10)*$C82,1-0.4)</f>
        <v>0.71034482758620687</v>
      </c>
      <c r="O82" s="16">
        <f>MAX(1-(INDEX('Stat Boosts'!$D$2:$D$192,O$1-9)-10)*$C82,1-0.4)</f>
        <v>0.67413793103448272</v>
      </c>
      <c r="P82" s="16">
        <f>MAX(1-(INDEX('Stat Boosts'!$D$2:$D$192,P$1-9)-10)*$C82,1-0.4)</f>
        <v>0.64999999999999991</v>
      </c>
      <c r="Q82" s="16">
        <f>MAX(1-(INDEX('Stat Boosts'!$D$2:$D$192,Q$1-9)-10)*$C82,1-0.4)</f>
        <v>0.61379310344827576</v>
      </c>
      <c r="R82" s="16">
        <f>MAX(1-(INDEX('Stat Boosts'!$D$2:$D$192,R$1-9)-10)*$C82,1-0.4)</f>
        <v>0.6</v>
      </c>
    </row>
    <row r="83" spans="1:18">
      <c r="A83" s="9">
        <v>82</v>
      </c>
      <c r="B83" s="16">
        <f t="shared" si="2"/>
        <v>26.714285714285715</v>
      </c>
      <c r="C83" s="16">
        <f t="shared" si="3"/>
        <v>1.1965811965811965E-2</v>
      </c>
      <c r="E83" s="16">
        <f>MAX(1-(INDEX('Stat Boosts'!$D$2:$D$192,E$1-9)-10)*$C83,1-0.4)</f>
        <v>1</v>
      </c>
      <c r="F83" s="16">
        <f>MAX(1-(INDEX('Stat Boosts'!$D$2:$D$192,F$1-9)-10)*$C83,1-0.4)</f>
        <v>0.97606837606837604</v>
      </c>
      <c r="G83" s="16">
        <f>MAX(1-(INDEX('Stat Boosts'!$D$2:$D$192,G$1-9)-10)*$C83,1-0.4)</f>
        <v>0.94017094017094016</v>
      </c>
      <c r="H83" s="16">
        <f>MAX(1-(INDEX('Stat Boosts'!$D$2:$D$192,H$1-9)-10)*$C83,1-0.4)</f>
        <v>0.90427350427350428</v>
      </c>
      <c r="I83" s="16">
        <f>MAX(1-(INDEX('Stat Boosts'!$D$2:$D$192,I$1-9)-10)*$C83,1-0.4)</f>
        <v>0.8683760683760684</v>
      </c>
      <c r="J83" s="16">
        <f>MAX(1-(INDEX('Stat Boosts'!$D$2:$D$192,J$1-9)-10)*$C83,1-0.4)</f>
        <v>0.83247863247863252</v>
      </c>
      <c r="K83" s="16">
        <f>MAX(1-(INDEX('Stat Boosts'!$D$2:$D$192,K$1-9)-10)*$C83,1-0.4)</f>
        <v>0.79658119658119664</v>
      </c>
      <c r="L83" s="16">
        <f>MAX(1-(INDEX('Stat Boosts'!$D$2:$D$192,L$1-9)-10)*$C83,1-0.4)</f>
        <v>0.77264957264957268</v>
      </c>
      <c r="M83" s="16">
        <f>MAX(1-(INDEX('Stat Boosts'!$D$2:$D$192,M$1-9)-10)*$C83,1-0.4)</f>
        <v>0.7367521367521368</v>
      </c>
      <c r="N83" s="16">
        <f>MAX(1-(INDEX('Stat Boosts'!$D$2:$D$192,N$1-9)-10)*$C83,1-0.4)</f>
        <v>0.71282051282051284</v>
      </c>
      <c r="O83" s="16">
        <f>MAX(1-(INDEX('Stat Boosts'!$D$2:$D$192,O$1-9)-10)*$C83,1-0.4)</f>
        <v>0.67692307692307696</v>
      </c>
      <c r="P83" s="16">
        <f>MAX(1-(INDEX('Stat Boosts'!$D$2:$D$192,P$1-9)-10)*$C83,1-0.4)</f>
        <v>0.652991452991453</v>
      </c>
      <c r="Q83" s="16">
        <f>MAX(1-(INDEX('Stat Boosts'!$D$2:$D$192,Q$1-9)-10)*$C83,1-0.4)</f>
        <v>0.61709401709401712</v>
      </c>
      <c r="R83" s="16">
        <f>MAX(1-(INDEX('Stat Boosts'!$D$2:$D$192,R$1-9)-10)*$C83,1-0.4)</f>
        <v>0.6</v>
      </c>
    </row>
    <row r="84" spans="1:18">
      <c r="A84" s="9">
        <v>83</v>
      </c>
      <c r="B84" s="16">
        <f t="shared" si="2"/>
        <v>26.857142857142858</v>
      </c>
      <c r="C84" s="16">
        <f t="shared" si="3"/>
        <v>1.1864406779661017E-2</v>
      </c>
      <c r="E84" s="16">
        <f>MAX(1-(INDEX('Stat Boosts'!$D$2:$D$192,E$1-9)-10)*$C84,1-0.4)</f>
        <v>1</v>
      </c>
      <c r="F84" s="16">
        <f>MAX(1-(INDEX('Stat Boosts'!$D$2:$D$192,F$1-9)-10)*$C84,1-0.4)</f>
        <v>0.97627118644067801</v>
      </c>
      <c r="G84" s="16">
        <f>MAX(1-(INDEX('Stat Boosts'!$D$2:$D$192,G$1-9)-10)*$C84,1-0.4)</f>
        <v>0.94067796610169496</v>
      </c>
      <c r="H84" s="16">
        <f>MAX(1-(INDEX('Stat Boosts'!$D$2:$D$192,H$1-9)-10)*$C84,1-0.4)</f>
        <v>0.90508474576271181</v>
      </c>
      <c r="I84" s="16">
        <f>MAX(1-(INDEX('Stat Boosts'!$D$2:$D$192,I$1-9)-10)*$C84,1-0.4)</f>
        <v>0.86949152542372876</v>
      </c>
      <c r="J84" s="16">
        <f>MAX(1-(INDEX('Stat Boosts'!$D$2:$D$192,J$1-9)-10)*$C84,1-0.4)</f>
        <v>0.83389830508474572</v>
      </c>
      <c r="K84" s="16">
        <f>MAX(1-(INDEX('Stat Boosts'!$D$2:$D$192,K$1-9)-10)*$C84,1-0.4)</f>
        <v>0.79830508474576267</v>
      </c>
      <c r="L84" s="16">
        <f>MAX(1-(INDEX('Stat Boosts'!$D$2:$D$192,L$1-9)-10)*$C84,1-0.4)</f>
        <v>0.77457627118644068</v>
      </c>
      <c r="M84" s="16">
        <f>MAX(1-(INDEX('Stat Boosts'!$D$2:$D$192,M$1-9)-10)*$C84,1-0.4)</f>
        <v>0.73898305084745763</v>
      </c>
      <c r="N84" s="16">
        <f>MAX(1-(INDEX('Stat Boosts'!$D$2:$D$192,N$1-9)-10)*$C84,1-0.4)</f>
        <v>0.71525423728813564</v>
      </c>
      <c r="O84" s="16">
        <f>MAX(1-(INDEX('Stat Boosts'!$D$2:$D$192,O$1-9)-10)*$C84,1-0.4)</f>
        <v>0.6796610169491526</v>
      </c>
      <c r="P84" s="16">
        <f>MAX(1-(INDEX('Stat Boosts'!$D$2:$D$192,P$1-9)-10)*$C84,1-0.4)</f>
        <v>0.65593220338983049</v>
      </c>
      <c r="Q84" s="16">
        <f>MAX(1-(INDEX('Stat Boosts'!$D$2:$D$192,Q$1-9)-10)*$C84,1-0.4)</f>
        <v>0.62033898305084745</v>
      </c>
      <c r="R84" s="16">
        <f>MAX(1-(INDEX('Stat Boosts'!$D$2:$D$192,R$1-9)-10)*$C84,1-0.4)</f>
        <v>0.6</v>
      </c>
    </row>
    <row r="85" spans="1:18">
      <c r="A85" s="9">
        <v>84</v>
      </c>
      <c r="B85" s="16">
        <f t="shared" si="2"/>
        <v>27</v>
      </c>
      <c r="C85" s="16">
        <f t="shared" si="3"/>
        <v>1.1764705882352941E-2</v>
      </c>
      <c r="E85" s="16">
        <f>MAX(1-(INDEX('Stat Boosts'!$D$2:$D$192,E$1-9)-10)*$C85,1-0.4)</f>
        <v>1</v>
      </c>
      <c r="F85" s="16">
        <f>MAX(1-(INDEX('Stat Boosts'!$D$2:$D$192,F$1-9)-10)*$C85,1-0.4)</f>
        <v>0.97647058823529409</v>
      </c>
      <c r="G85" s="16">
        <f>MAX(1-(INDEX('Stat Boosts'!$D$2:$D$192,G$1-9)-10)*$C85,1-0.4)</f>
        <v>0.94117647058823528</v>
      </c>
      <c r="H85" s="16">
        <f>MAX(1-(INDEX('Stat Boosts'!$D$2:$D$192,H$1-9)-10)*$C85,1-0.4)</f>
        <v>0.90588235294117647</v>
      </c>
      <c r="I85" s="16">
        <f>MAX(1-(INDEX('Stat Boosts'!$D$2:$D$192,I$1-9)-10)*$C85,1-0.4)</f>
        <v>0.87058823529411766</v>
      </c>
      <c r="J85" s="16">
        <f>MAX(1-(INDEX('Stat Boosts'!$D$2:$D$192,J$1-9)-10)*$C85,1-0.4)</f>
        <v>0.83529411764705885</v>
      </c>
      <c r="K85" s="16">
        <f>MAX(1-(INDEX('Stat Boosts'!$D$2:$D$192,K$1-9)-10)*$C85,1-0.4)</f>
        <v>0.8</v>
      </c>
      <c r="L85" s="16">
        <f>MAX(1-(INDEX('Stat Boosts'!$D$2:$D$192,L$1-9)-10)*$C85,1-0.4)</f>
        <v>0.77647058823529413</v>
      </c>
      <c r="M85" s="16">
        <f>MAX(1-(INDEX('Stat Boosts'!$D$2:$D$192,M$1-9)-10)*$C85,1-0.4)</f>
        <v>0.74117647058823533</v>
      </c>
      <c r="N85" s="16">
        <f>MAX(1-(INDEX('Stat Boosts'!$D$2:$D$192,N$1-9)-10)*$C85,1-0.4)</f>
        <v>0.71764705882352942</v>
      </c>
      <c r="O85" s="16">
        <f>MAX(1-(INDEX('Stat Boosts'!$D$2:$D$192,O$1-9)-10)*$C85,1-0.4)</f>
        <v>0.68235294117647061</v>
      </c>
      <c r="P85" s="16">
        <f>MAX(1-(INDEX('Stat Boosts'!$D$2:$D$192,P$1-9)-10)*$C85,1-0.4)</f>
        <v>0.6588235294117647</v>
      </c>
      <c r="Q85" s="16">
        <f>MAX(1-(INDEX('Stat Boosts'!$D$2:$D$192,Q$1-9)-10)*$C85,1-0.4)</f>
        <v>0.62352941176470589</v>
      </c>
      <c r="R85" s="16">
        <f>MAX(1-(INDEX('Stat Boosts'!$D$2:$D$192,R$1-9)-10)*$C85,1-0.4)</f>
        <v>0.6</v>
      </c>
    </row>
    <row r="86" spans="1:18">
      <c r="A86" s="9">
        <v>85</v>
      </c>
      <c r="B86" s="16">
        <f t="shared" si="2"/>
        <v>27.142857142857142</v>
      </c>
      <c r="C86" s="16">
        <f t="shared" si="3"/>
        <v>1.1666666666666667E-2</v>
      </c>
      <c r="E86" s="16">
        <f>MAX(1-(INDEX('Stat Boosts'!$D$2:$D$192,E$1-9)-10)*$C86,1-0.4)</f>
        <v>1</v>
      </c>
      <c r="F86" s="16">
        <f>MAX(1-(INDEX('Stat Boosts'!$D$2:$D$192,F$1-9)-10)*$C86,1-0.4)</f>
        <v>0.97666666666666668</v>
      </c>
      <c r="G86" s="16">
        <f>MAX(1-(INDEX('Stat Boosts'!$D$2:$D$192,G$1-9)-10)*$C86,1-0.4)</f>
        <v>0.94166666666666665</v>
      </c>
      <c r="H86" s="16">
        <f>MAX(1-(INDEX('Stat Boosts'!$D$2:$D$192,H$1-9)-10)*$C86,1-0.4)</f>
        <v>0.90666666666666662</v>
      </c>
      <c r="I86" s="16">
        <f>MAX(1-(INDEX('Stat Boosts'!$D$2:$D$192,I$1-9)-10)*$C86,1-0.4)</f>
        <v>0.8716666666666667</v>
      </c>
      <c r="J86" s="16">
        <f>MAX(1-(INDEX('Stat Boosts'!$D$2:$D$192,J$1-9)-10)*$C86,1-0.4)</f>
        <v>0.83666666666666667</v>
      </c>
      <c r="K86" s="16">
        <f>MAX(1-(INDEX('Stat Boosts'!$D$2:$D$192,K$1-9)-10)*$C86,1-0.4)</f>
        <v>0.80166666666666664</v>
      </c>
      <c r="L86" s="16">
        <f>MAX(1-(INDEX('Stat Boosts'!$D$2:$D$192,L$1-9)-10)*$C86,1-0.4)</f>
        <v>0.77833333333333332</v>
      </c>
      <c r="M86" s="16">
        <f>MAX(1-(INDEX('Stat Boosts'!$D$2:$D$192,M$1-9)-10)*$C86,1-0.4)</f>
        <v>0.7433333333333334</v>
      </c>
      <c r="N86" s="16">
        <f>MAX(1-(INDEX('Stat Boosts'!$D$2:$D$192,N$1-9)-10)*$C86,1-0.4)</f>
        <v>0.72</v>
      </c>
      <c r="O86" s="16">
        <f>MAX(1-(INDEX('Stat Boosts'!$D$2:$D$192,O$1-9)-10)*$C86,1-0.4)</f>
        <v>0.68500000000000005</v>
      </c>
      <c r="P86" s="16">
        <f>MAX(1-(INDEX('Stat Boosts'!$D$2:$D$192,P$1-9)-10)*$C86,1-0.4)</f>
        <v>0.66166666666666663</v>
      </c>
      <c r="Q86" s="16">
        <f>MAX(1-(INDEX('Stat Boosts'!$D$2:$D$192,Q$1-9)-10)*$C86,1-0.4)</f>
        <v>0.62666666666666671</v>
      </c>
      <c r="R86" s="16">
        <f>MAX(1-(INDEX('Stat Boosts'!$D$2:$D$192,R$1-9)-10)*$C86,1-0.4)</f>
        <v>0.60333333333333328</v>
      </c>
    </row>
    <row r="87" spans="1:18">
      <c r="A87" s="9">
        <v>86</v>
      </c>
      <c r="B87" s="16">
        <f t="shared" si="2"/>
        <v>27.285714285714285</v>
      </c>
      <c r="C87" s="16">
        <f t="shared" si="3"/>
        <v>1.1570247933884299E-2</v>
      </c>
      <c r="E87" s="16">
        <f>MAX(1-(INDEX('Stat Boosts'!$D$2:$D$192,E$1-9)-10)*$C87,1-0.4)</f>
        <v>1</v>
      </c>
      <c r="F87" s="16">
        <f>MAX(1-(INDEX('Stat Boosts'!$D$2:$D$192,F$1-9)-10)*$C87,1-0.4)</f>
        <v>0.97685950413223144</v>
      </c>
      <c r="G87" s="16">
        <f>MAX(1-(INDEX('Stat Boosts'!$D$2:$D$192,G$1-9)-10)*$C87,1-0.4)</f>
        <v>0.94214876033057848</v>
      </c>
      <c r="H87" s="16">
        <f>MAX(1-(INDEX('Stat Boosts'!$D$2:$D$192,H$1-9)-10)*$C87,1-0.4)</f>
        <v>0.90743801652892564</v>
      </c>
      <c r="I87" s="16">
        <f>MAX(1-(INDEX('Stat Boosts'!$D$2:$D$192,I$1-9)-10)*$C87,1-0.4)</f>
        <v>0.87272727272727268</v>
      </c>
      <c r="J87" s="16">
        <f>MAX(1-(INDEX('Stat Boosts'!$D$2:$D$192,J$1-9)-10)*$C87,1-0.4)</f>
        <v>0.83801652892561984</v>
      </c>
      <c r="K87" s="16">
        <f>MAX(1-(INDEX('Stat Boosts'!$D$2:$D$192,K$1-9)-10)*$C87,1-0.4)</f>
        <v>0.80330578512396689</v>
      </c>
      <c r="L87" s="16">
        <f>MAX(1-(INDEX('Stat Boosts'!$D$2:$D$192,L$1-9)-10)*$C87,1-0.4)</f>
        <v>0.78016528925619832</v>
      </c>
      <c r="M87" s="16">
        <f>MAX(1-(INDEX('Stat Boosts'!$D$2:$D$192,M$1-9)-10)*$C87,1-0.4)</f>
        <v>0.74545454545454537</v>
      </c>
      <c r="N87" s="16">
        <f>MAX(1-(INDEX('Stat Boosts'!$D$2:$D$192,N$1-9)-10)*$C87,1-0.4)</f>
        <v>0.72231404958677681</v>
      </c>
      <c r="O87" s="16">
        <f>MAX(1-(INDEX('Stat Boosts'!$D$2:$D$192,O$1-9)-10)*$C87,1-0.4)</f>
        <v>0.68760330578512396</v>
      </c>
      <c r="P87" s="16">
        <f>MAX(1-(INDEX('Stat Boosts'!$D$2:$D$192,P$1-9)-10)*$C87,1-0.4)</f>
        <v>0.66446280991735529</v>
      </c>
      <c r="Q87" s="16">
        <f>MAX(1-(INDEX('Stat Boosts'!$D$2:$D$192,Q$1-9)-10)*$C87,1-0.4)</f>
        <v>0.62975206611570245</v>
      </c>
      <c r="R87" s="16">
        <f>MAX(1-(INDEX('Stat Boosts'!$D$2:$D$192,R$1-9)-10)*$C87,1-0.4)</f>
        <v>0.60661157024793377</v>
      </c>
    </row>
    <row r="88" spans="1:18">
      <c r="A88" s="9">
        <v>87</v>
      </c>
      <c r="B88" s="16">
        <f t="shared" si="2"/>
        <v>27.428571428571431</v>
      </c>
      <c r="C88" s="16">
        <f t="shared" si="3"/>
        <v>1.1475409836065573E-2</v>
      </c>
      <c r="E88" s="16">
        <f>MAX(1-(INDEX('Stat Boosts'!$D$2:$D$192,E$1-9)-10)*$C88,1-0.4)</f>
        <v>1</v>
      </c>
      <c r="F88" s="16">
        <f>MAX(1-(INDEX('Stat Boosts'!$D$2:$D$192,F$1-9)-10)*$C88,1-0.4)</f>
        <v>0.9770491803278688</v>
      </c>
      <c r="G88" s="16">
        <f>MAX(1-(INDEX('Stat Boosts'!$D$2:$D$192,G$1-9)-10)*$C88,1-0.4)</f>
        <v>0.94262295081967218</v>
      </c>
      <c r="H88" s="16">
        <f>MAX(1-(INDEX('Stat Boosts'!$D$2:$D$192,H$1-9)-10)*$C88,1-0.4)</f>
        <v>0.90819672131147544</v>
      </c>
      <c r="I88" s="16">
        <f>MAX(1-(INDEX('Stat Boosts'!$D$2:$D$192,I$1-9)-10)*$C88,1-0.4)</f>
        <v>0.8737704918032787</v>
      </c>
      <c r="J88" s="16">
        <f>MAX(1-(INDEX('Stat Boosts'!$D$2:$D$192,J$1-9)-10)*$C88,1-0.4)</f>
        <v>0.83934426229508197</v>
      </c>
      <c r="K88" s="16">
        <f>MAX(1-(INDEX('Stat Boosts'!$D$2:$D$192,K$1-9)-10)*$C88,1-0.4)</f>
        <v>0.80491803278688523</v>
      </c>
      <c r="L88" s="16">
        <f>MAX(1-(INDEX('Stat Boosts'!$D$2:$D$192,L$1-9)-10)*$C88,1-0.4)</f>
        <v>0.78196721311475414</v>
      </c>
      <c r="M88" s="16">
        <f>MAX(1-(INDEX('Stat Boosts'!$D$2:$D$192,M$1-9)-10)*$C88,1-0.4)</f>
        <v>0.74754098360655741</v>
      </c>
      <c r="N88" s="16">
        <f>MAX(1-(INDEX('Stat Boosts'!$D$2:$D$192,N$1-9)-10)*$C88,1-0.4)</f>
        <v>0.72459016393442621</v>
      </c>
      <c r="O88" s="16">
        <f>MAX(1-(INDEX('Stat Boosts'!$D$2:$D$192,O$1-9)-10)*$C88,1-0.4)</f>
        <v>0.69016393442622959</v>
      </c>
      <c r="P88" s="16">
        <f>MAX(1-(INDEX('Stat Boosts'!$D$2:$D$192,P$1-9)-10)*$C88,1-0.4)</f>
        <v>0.66721311475409839</v>
      </c>
      <c r="Q88" s="16">
        <f>MAX(1-(INDEX('Stat Boosts'!$D$2:$D$192,Q$1-9)-10)*$C88,1-0.4)</f>
        <v>0.63278688524590165</v>
      </c>
      <c r="R88" s="16">
        <f>MAX(1-(INDEX('Stat Boosts'!$D$2:$D$192,R$1-9)-10)*$C88,1-0.4)</f>
        <v>0.60983606557377046</v>
      </c>
    </row>
    <row r="89" spans="1:18">
      <c r="A89" s="9">
        <v>88</v>
      </c>
      <c r="B89" s="16">
        <f t="shared" si="2"/>
        <v>27.571428571428569</v>
      </c>
      <c r="C89" s="16">
        <f t="shared" si="3"/>
        <v>1.1382113821138214E-2</v>
      </c>
      <c r="E89" s="16">
        <f>MAX(1-(INDEX('Stat Boosts'!$D$2:$D$192,E$1-9)-10)*$C89,1-0.4)</f>
        <v>1</v>
      </c>
      <c r="F89" s="16">
        <f>MAX(1-(INDEX('Stat Boosts'!$D$2:$D$192,F$1-9)-10)*$C89,1-0.4)</f>
        <v>0.97723577235772352</v>
      </c>
      <c r="G89" s="16">
        <f>MAX(1-(INDEX('Stat Boosts'!$D$2:$D$192,G$1-9)-10)*$C89,1-0.4)</f>
        <v>0.94308943089430897</v>
      </c>
      <c r="H89" s="16">
        <f>MAX(1-(INDEX('Stat Boosts'!$D$2:$D$192,H$1-9)-10)*$C89,1-0.4)</f>
        <v>0.9089430894308943</v>
      </c>
      <c r="I89" s="16">
        <f>MAX(1-(INDEX('Stat Boosts'!$D$2:$D$192,I$1-9)-10)*$C89,1-0.4)</f>
        <v>0.87479674796747964</v>
      </c>
      <c r="J89" s="16">
        <f>MAX(1-(INDEX('Stat Boosts'!$D$2:$D$192,J$1-9)-10)*$C89,1-0.4)</f>
        <v>0.84065040650406497</v>
      </c>
      <c r="K89" s="16">
        <f>MAX(1-(INDEX('Stat Boosts'!$D$2:$D$192,K$1-9)-10)*$C89,1-0.4)</f>
        <v>0.80650406504065031</v>
      </c>
      <c r="L89" s="16">
        <f>MAX(1-(INDEX('Stat Boosts'!$D$2:$D$192,L$1-9)-10)*$C89,1-0.4)</f>
        <v>0.78373983739837394</v>
      </c>
      <c r="M89" s="16">
        <f>MAX(1-(INDEX('Stat Boosts'!$D$2:$D$192,M$1-9)-10)*$C89,1-0.4)</f>
        <v>0.74959349593495928</v>
      </c>
      <c r="N89" s="16">
        <f>MAX(1-(INDEX('Stat Boosts'!$D$2:$D$192,N$1-9)-10)*$C89,1-0.4)</f>
        <v>0.72682926829268291</v>
      </c>
      <c r="O89" s="16">
        <f>MAX(1-(INDEX('Stat Boosts'!$D$2:$D$192,O$1-9)-10)*$C89,1-0.4)</f>
        <v>0.69268292682926824</v>
      </c>
      <c r="P89" s="16">
        <f>MAX(1-(INDEX('Stat Boosts'!$D$2:$D$192,P$1-9)-10)*$C89,1-0.4)</f>
        <v>0.66991869918699187</v>
      </c>
      <c r="Q89" s="16">
        <f>MAX(1-(INDEX('Stat Boosts'!$D$2:$D$192,Q$1-9)-10)*$C89,1-0.4)</f>
        <v>0.63577235772357721</v>
      </c>
      <c r="R89" s="16">
        <f>MAX(1-(INDEX('Stat Boosts'!$D$2:$D$192,R$1-9)-10)*$C89,1-0.4)</f>
        <v>0.61300813008130073</v>
      </c>
    </row>
    <row r="90" spans="1:18">
      <c r="A90" s="9">
        <v>89</v>
      </c>
      <c r="B90" s="16">
        <f t="shared" si="2"/>
        <v>27.714285714285715</v>
      </c>
      <c r="C90" s="16">
        <f t="shared" si="3"/>
        <v>1.1290322580645161E-2</v>
      </c>
      <c r="E90" s="16">
        <f>MAX(1-(INDEX('Stat Boosts'!$D$2:$D$192,E$1-9)-10)*$C90,1-0.4)</f>
        <v>1</v>
      </c>
      <c r="F90" s="16">
        <f>MAX(1-(INDEX('Stat Boosts'!$D$2:$D$192,F$1-9)-10)*$C90,1-0.4)</f>
        <v>0.97741935483870968</v>
      </c>
      <c r="G90" s="16">
        <f>MAX(1-(INDEX('Stat Boosts'!$D$2:$D$192,G$1-9)-10)*$C90,1-0.4)</f>
        <v>0.94354838709677424</v>
      </c>
      <c r="H90" s="16">
        <f>MAX(1-(INDEX('Stat Boosts'!$D$2:$D$192,H$1-9)-10)*$C90,1-0.4)</f>
        <v>0.9096774193548387</v>
      </c>
      <c r="I90" s="16">
        <f>MAX(1-(INDEX('Stat Boosts'!$D$2:$D$192,I$1-9)-10)*$C90,1-0.4)</f>
        <v>0.87580645161290327</v>
      </c>
      <c r="J90" s="16">
        <f>MAX(1-(INDEX('Stat Boosts'!$D$2:$D$192,J$1-9)-10)*$C90,1-0.4)</f>
        <v>0.84193548387096773</v>
      </c>
      <c r="K90" s="16">
        <f>MAX(1-(INDEX('Stat Boosts'!$D$2:$D$192,K$1-9)-10)*$C90,1-0.4)</f>
        <v>0.8080645161290323</v>
      </c>
      <c r="L90" s="16">
        <f>MAX(1-(INDEX('Stat Boosts'!$D$2:$D$192,L$1-9)-10)*$C90,1-0.4)</f>
        <v>0.78548387096774197</v>
      </c>
      <c r="M90" s="16">
        <f>MAX(1-(INDEX('Stat Boosts'!$D$2:$D$192,M$1-9)-10)*$C90,1-0.4)</f>
        <v>0.75161290322580643</v>
      </c>
      <c r="N90" s="16">
        <f>MAX(1-(INDEX('Stat Boosts'!$D$2:$D$192,N$1-9)-10)*$C90,1-0.4)</f>
        <v>0.7290322580645161</v>
      </c>
      <c r="O90" s="16">
        <f>MAX(1-(INDEX('Stat Boosts'!$D$2:$D$192,O$1-9)-10)*$C90,1-0.4)</f>
        <v>0.69516129032258067</v>
      </c>
      <c r="P90" s="16">
        <f>MAX(1-(INDEX('Stat Boosts'!$D$2:$D$192,P$1-9)-10)*$C90,1-0.4)</f>
        <v>0.67258064516129035</v>
      </c>
      <c r="Q90" s="16">
        <f>MAX(1-(INDEX('Stat Boosts'!$D$2:$D$192,Q$1-9)-10)*$C90,1-0.4)</f>
        <v>0.6387096774193548</v>
      </c>
      <c r="R90" s="16">
        <f>MAX(1-(INDEX('Stat Boosts'!$D$2:$D$192,R$1-9)-10)*$C90,1-0.4)</f>
        <v>0.61612903225806459</v>
      </c>
    </row>
    <row r="91" spans="1:18">
      <c r="A91" s="9">
        <v>90</v>
      </c>
      <c r="B91" s="16">
        <f t="shared" si="2"/>
        <v>27.857142857142858</v>
      </c>
      <c r="C91" s="16">
        <f t="shared" si="3"/>
        <v>1.12E-2</v>
      </c>
      <c r="E91" s="16">
        <f>MAX(1-(INDEX('Stat Boosts'!$D$2:$D$192,E$1-9)-10)*$C91,1-0.4)</f>
        <v>1</v>
      </c>
      <c r="F91" s="16">
        <f>MAX(1-(INDEX('Stat Boosts'!$D$2:$D$192,F$1-9)-10)*$C91,1-0.4)</f>
        <v>0.97760000000000002</v>
      </c>
      <c r="G91" s="16">
        <f>MAX(1-(INDEX('Stat Boosts'!$D$2:$D$192,G$1-9)-10)*$C91,1-0.4)</f>
        <v>0.94399999999999995</v>
      </c>
      <c r="H91" s="16">
        <f>MAX(1-(INDEX('Stat Boosts'!$D$2:$D$192,H$1-9)-10)*$C91,1-0.4)</f>
        <v>0.91039999999999999</v>
      </c>
      <c r="I91" s="16">
        <f>MAX(1-(INDEX('Stat Boosts'!$D$2:$D$192,I$1-9)-10)*$C91,1-0.4)</f>
        <v>0.87680000000000002</v>
      </c>
      <c r="J91" s="16">
        <f>MAX(1-(INDEX('Stat Boosts'!$D$2:$D$192,J$1-9)-10)*$C91,1-0.4)</f>
        <v>0.84319999999999995</v>
      </c>
      <c r="K91" s="16">
        <f>MAX(1-(INDEX('Stat Boosts'!$D$2:$D$192,K$1-9)-10)*$C91,1-0.4)</f>
        <v>0.80959999999999999</v>
      </c>
      <c r="L91" s="16">
        <f>MAX(1-(INDEX('Stat Boosts'!$D$2:$D$192,L$1-9)-10)*$C91,1-0.4)</f>
        <v>0.78720000000000001</v>
      </c>
      <c r="M91" s="16">
        <f>MAX(1-(INDEX('Stat Boosts'!$D$2:$D$192,M$1-9)-10)*$C91,1-0.4)</f>
        <v>0.75360000000000005</v>
      </c>
      <c r="N91" s="16">
        <f>MAX(1-(INDEX('Stat Boosts'!$D$2:$D$192,N$1-9)-10)*$C91,1-0.4)</f>
        <v>0.73120000000000007</v>
      </c>
      <c r="O91" s="16">
        <f>MAX(1-(INDEX('Stat Boosts'!$D$2:$D$192,O$1-9)-10)*$C91,1-0.4)</f>
        <v>0.6976</v>
      </c>
      <c r="P91" s="16">
        <f>MAX(1-(INDEX('Stat Boosts'!$D$2:$D$192,P$1-9)-10)*$C91,1-0.4)</f>
        <v>0.67520000000000002</v>
      </c>
      <c r="Q91" s="16">
        <f>MAX(1-(INDEX('Stat Boosts'!$D$2:$D$192,Q$1-9)-10)*$C91,1-0.4)</f>
        <v>0.64159999999999995</v>
      </c>
      <c r="R91" s="16">
        <f>MAX(1-(INDEX('Stat Boosts'!$D$2:$D$192,R$1-9)-10)*$C91,1-0.4)</f>
        <v>0.61919999999999997</v>
      </c>
    </row>
    <row r="92" spans="1:18">
      <c r="A92" s="9">
        <v>91</v>
      </c>
      <c r="B92" s="16">
        <f t="shared" si="2"/>
        <v>28</v>
      </c>
      <c r="C92" s="16">
        <f t="shared" si="3"/>
        <v>1.1111111111111112E-2</v>
      </c>
      <c r="E92" s="16">
        <f>MAX(1-(INDEX('Stat Boosts'!$D$2:$D$192,E$1-9)-10)*$C92,1-0.4)</f>
        <v>1</v>
      </c>
      <c r="F92" s="16">
        <f>MAX(1-(INDEX('Stat Boosts'!$D$2:$D$192,F$1-9)-10)*$C92,1-0.4)</f>
        <v>0.97777777777777775</v>
      </c>
      <c r="G92" s="16">
        <f>MAX(1-(INDEX('Stat Boosts'!$D$2:$D$192,G$1-9)-10)*$C92,1-0.4)</f>
        <v>0.94444444444444442</v>
      </c>
      <c r="H92" s="16">
        <f>MAX(1-(INDEX('Stat Boosts'!$D$2:$D$192,H$1-9)-10)*$C92,1-0.4)</f>
        <v>0.91111111111111109</v>
      </c>
      <c r="I92" s="16">
        <f>MAX(1-(INDEX('Stat Boosts'!$D$2:$D$192,I$1-9)-10)*$C92,1-0.4)</f>
        <v>0.87777777777777777</v>
      </c>
      <c r="J92" s="16">
        <f>MAX(1-(INDEX('Stat Boosts'!$D$2:$D$192,J$1-9)-10)*$C92,1-0.4)</f>
        <v>0.84444444444444444</v>
      </c>
      <c r="K92" s="16">
        <f>MAX(1-(INDEX('Stat Boosts'!$D$2:$D$192,K$1-9)-10)*$C92,1-0.4)</f>
        <v>0.81111111111111112</v>
      </c>
      <c r="L92" s="16">
        <f>MAX(1-(INDEX('Stat Boosts'!$D$2:$D$192,L$1-9)-10)*$C92,1-0.4)</f>
        <v>0.78888888888888886</v>
      </c>
      <c r="M92" s="16">
        <f>MAX(1-(INDEX('Stat Boosts'!$D$2:$D$192,M$1-9)-10)*$C92,1-0.4)</f>
        <v>0.75555555555555554</v>
      </c>
      <c r="N92" s="16">
        <f>MAX(1-(INDEX('Stat Boosts'!$D$2:$D$192,N$1-9)-10)*$C92,1-0.4)</f>
        <v>0.73333333333333339</v>
      </c>
      <c r="O92" s="16">
        <f>MAX(1-(INDEX('Stat Boosts'!$D$2:$D$192,O$1-9)-10)*$C92,1-0.4)</f>
        <v>0.7</v>
      </c>
      <c r="P92" s="16">
        <f>MAX(1-(INDEX('Stat Boosts'!$D$2:$D$192,P$1-9)-10)*$C92,1-0.4)</f>
        <v>0.67777777777777781</v>
      </c>
      <c r="Q92" s="16">
        <f>MAX(1-(INDEX('Stat Boosts'!$D$2:$D$192,Q$1-9)-10)*$C92,1-0.4)</f>
        <v>0.64444444444444438</v>
      </c>
      <c r="R92" s="16">
        <f>MAX(1-(INDEX('Stat Boosts'!$D$2:$D$192,R$1-9)-10)*$C92,1-0.4)</f>
        <v>0.62222222222222223</v>
      </c>
    </row>
    <row r="93" spans="1:18">
      <c r="A93" s="9">
        <v>92</v>
      </c>
      <c r="B93" s="16">
        <f t="shared" si="2"/>
        <v>28.142857142857142</v>
      </c>
      <c r="C93" s="16">
        <f t="shared" si="3"/>
        <v>1.1023622047244096E-2</v>
      </c>
      <c r="E93" s="16">
        <f>MAX(1-(INDEX('Stat Boosts'!$D$2:$D$192,E$1-9)-10)*$C93,1-0.4)</f>
        <v>1</v>
      </c>
      <c r="F93" s="16">
        <f>MAX(1-(INDEX('Stat Boosts'!$D$2:$D$192,F$1-9)-10)*$C93,1-0.4)</f>
        <v>0.97795275590551178</v>
      </c>
      <c r="G93" s="16">
        <f>MAX(1-(INDEX('Stat Boosts'!$D$2:$D$192,G$1-9)-10)*$C93,1-0.4)</f>
        <v>0.94488188976377951</v>
      </c>
      <c r="H93" s="16">
        <f>MAX(1-(INDEX('Stat Boosts'!$D$2:$D$192,H$1-9)-10)*$C93,1-0.4)</f>
        <v>0.91181102362204725</v>
      </c>
      <c r="I93" s="16">
        <f>MAX(1-(INDEX('Stat Boosts'!$D$2:$D$192,I$1-9)-10)*$C93,1-0.4)</f>
        <v>0.87874015748031498</v>
      </c>
      <c r="J93" s="16">
        <f>MAX(1-(INDEX('Stat Boosts'!$D$2:$D$192,J$1-9)-10)*$C93,1-0.4)</f>
        <v>0.8456692913385826</v>
      </c>
      <c r="K93" s="16">
        <f>MAX(1-(INDEX('Stat Boosts'!$D$2:$D$192,K$1-9)-10)*$C93,1-0.4)</f>
        <v>0.81259842519685033</v>
      </c>
      <c r="L93" s="16">
        <f>MAX(1-(INDEX('Stat Boosts'!$D$2:$D$192,L$1-9)-10)*$C93,1-0.4)</f>
        <v>0.79055118110236222</v>
      </c>
      <c r="M93" s="16">
        <f>MAX(1-(INDEX('Stat Boosts'!$D$2:$D$192,M$1-9)-10)*$C93,1-0.4)</f>
        <v>0.75748031496062995</v>
      </c>
      <c r="N93" s="16">
        <f>MAX(1-(INDEX('Stat Boosts'!$D$2:$D$192,N$1-9)-10)*$C93,1-0.4)</f>
        <v>0.73543307086614162</v>
      </c>
      <c r="O93" s="16">
        <f>MAX(1-(INDEX('Stat Boosts'!$D$2:$D$192,O$1-9)-10)*$C93,1-0.4)</f>
        <v>0.70236220472440936</v>
      </c>
      <c r="P93" s="16">
        <f>MAX(1-(INDEX('Stat Boosts'!$D$2:$D$192,P$1-9)-10)*$C93,1-0.4)</f>
        <v>0.68031496062992125</v>
      </c>
      <c r="Q93" s="16">
        <f>MAX(1-(INDEX('Stat Boosts'!$D$2:$D$192,Q$1-9)-10)*$C93,1-0.4)</f>
        <v>0.64724409448818898</v>
      </c>
      <c r="R93" s="16">
        <f>MAX(1-(INDEX('Stat Boosts'!$D$2:$D$192,R$1-9)-10)*$C93,1-0.4)</f>
        <v>0.62519685039370065</v>
      </c>
    </row>
    <row r="94" spans="1:18">
      <c r="A94" s="9">
        <v>93</v>
      </c>
      <c r="B94" s="16">
        <f t="shared" si="2"/>
        <v>28.285714285714285</v>
      </c>
      <c r="C94" s="16">
        <f t="shared" si="3"/>
        <v>1.0937500000000001E-2</v>
      </c>
      <c r="E94" s="16">
        <f>MAX(1-(INDEX('Stat Boosts'!$D$2:$D$192,E$1-9)-10)*$C94,1-0.4)</f>
        <v>1</v>
      </c>
      <c r="F94" s="16">
        <f>MAX(1-(INDEX('Stat Boosts'!$D$2:$D$192,F$1-9)-10)*$C94,1-0.4)</f>
        <v>0.97812500000000002</v>
      </c>
      <c r="G94" s="16">
        <f>MAX(1-(INDEX('Stat Boosts'!$D$2:$D$192,G$1-9)-10)*$C94,1-0.4)</f>
        <v>0.9453125</v>
      </c>
      <c r="H94" s="16">
        <f>MAX(1-(INDEX('Stat Boosts'!$D$2:$D$192,H$1-9)-10)*$C94,1-0.4)</f>
        <v>0.91249999999999998</v>
      </c>
      <c r="I94" s="16">
        <f>MAX(1-(INDEX('Stat Boosts'!$D$2:$D$192,I$1-9)-10)*$C94,1-0.4)</f>
        <v>0.87968749999999996</v>
      </c>
      <c r="J94" s="16">
        <f>MAX(1-(INDEX('Stat Boosts'!$D$2:$D$192,J$1-9)-10)*$C94,1-0.4)</f>
        <v>0.84687500000000004</v>
      </c>
      <c r="K94" s="16">
        <f>MAX(1-(INDEX('Stat Boosts'!$D$2:$D$192,K$1-9)-10)*$C94,1-0.4)</f>
        <v>0.81406250000000002</v>
      </c>
      <c r="L94" s="16">
        <f>MAX(1-(INDEX('Stat Boosts'!$D$2:$D$192,L$1-9)-10)*$C94,1-0.4)</f>
        <v>0.79218750000000004</v>
      </c>
      <c r="M94" s="16">
        <f>MAX(1-(INDEX('Stat Boosts'!$D$2:$D$192,M$1-9)-10)*$C94,1-0.4)</f>
        <v>0.75937499999999991</v>
      </c>
      <c r="N94" s="16">
        <f>MAX(1-(INDEX('Stat Boosts'!$D$2:$D$192,N$1-9)-10)*$C94,1-0.4)</f>
        <v>0.73750000000000004</v>
      </c>
      <c r="O94" s="16">
        <f>MAX(1-(INDEX('Stat Boosts'!$D$2:$D$192,O$1-9)-10)*$C94,1-0.4)</f>
        <v>0.70468749999999991</v>
      </c>
      <c r="P94" s="16">
        <f>MAX(1-(INDEX('Stat Boosts'!$D$2:$D$192,P$1-9)-10)*$C94,1-0.4)</f>
        <v>0.68281250000000004</v>
      </c>
      <c r="Q94" s="16">
        <f>MAX(1-(INDEX('Stat Boosts'!$D$2:$D$192,Q$1-9)-10)*$C94,1-0.4)</f>
        <v>0.64999999999999991</v>
      </c>
      <c r="R94" s="16">
        <f>MAX(1-(INDEX('Stat Boosts'!$D$2:$D$192,R$1-9)-10)*$C94,1-0.4)</f>
        <v>0.62812500000000004</v>
      </c>
    </row>
    <row r="95" spans="1:18">
      <c r="A95" s="9">
        <v>94</v>
      </c>
      <c r="B95" s="16">
        <f t="shared" si="2"/>
        <v>28.428571428571431</v>
      </c>
      <c r="C95" s="16">
        <f t="shared" si="3"/>
        <v>1.0852713178294573E-2</v>
      </c>
      <c r="E95" s="16">
        <f>MAX(1-(INDEX('Stat Boosts'!$D$2:$D$192,E$1-9)-10)*$C95,1-0.4)</f>
        <v>1</v>
      </c>
      <c r="F95" s="16">
        <f>MAX(1-(INDEX('Stat Boosts'!$D$2:$D$192,F$1-9)-10)*$C95,1-0.4)</f>
        <v>0.97829457364341088</v>
      </c>
      <c r="G95" s="16">
        <f>MAX(1-(INDEX('Stat Boosts'!$D$2:$D$192,G$1-9)-10)*$C95,1-0.4)</f>
        <v>0.94573643410852715</v>
      </c>
      <c r="H95" s="16">
        <f>MAX(1-(INDEX('Stat Boosts'!$D$2:$D$192,H$1-9)-10)*$C95,1-0.4)</f>
        <v>0.91317829457364341</v>
      </c>
      <c r="I95" s="16">
        <f>MAX(1-(INDEX('Stat Boosts'!$D$2:$D$192,I$1-9)-10)*$C95,1-0.4)</f>
        <v>0.88062015503875968</v>
      </c>
      <c r="J95" s="16">
        <f>MAX(1-(INDEX('Stat Boosts'!$D$2:$D$192,J$1-9)-10)*$C95,1-0.4)</f>
        <v>0.84806201550387594</v>
      </c>
      <c r="K95" s="16">
        <f>MAX(1-(INDEX('Stat Boosts'!$D$2:$D$192,K$1-9)-10)*$C95,1-0.4)</f>
        <v>0.81550387596899232</v>
      </c>
      <c r="L95" s="16">
        <f>MAX(1-(INDEX('Stat Boosts'!$D$2:$D$192,L$1-9)-10)*$C95,1-0.4)</f>
        <v>0.79379844961240309</v>
      </c>
      <c r="M95" s="16">
        <f>MAX(1-(INDEX('Stat Boosts'!$D$2:$D$192,M$1-9)-10)*$C95,1-0.4)</f>
        <v>0.76124031007751936</v>
      </c>
      <c r="N95" s="16">
        <f>MAX(1-(INDEX('Stat Boosts'!$D$2:$D$192,N$1-9)-10)*$C95,1-0.4)</f>
        <v>0.73953488372093024</v>
      </c>
      <c r="O95" s="16">
        <f>MAX(1-(INDEX('Stat Boosts'!$D$2:$D$192,O$1-9)-10)*$C95,1-0.4)</f>
        <v>0.7069767441860465</v>
      </c>
      <c r="P95" s="16">
        <f>MAX(1-(INDEX('Stat Boosts'!$D$2:$D$192,P$1-9)-10)*$C95,1-0.4)</f>
        <v>0.68527131782945738</v>
      </c>
      <c r="Q95" s="16">
        <f>MAX(1-(INDEX('Stat Boosts'!$D$2:$D$192,Q$1-9)-10)*$C95,1-0.4)</f>
        <v>0.65271317829457365</v>
      </c>
      <c r="R95" s="16">
        <f>MAX(1-(INDEX('Stat Boosts'!$D$2:$D$192,R$1-9)-10)*$C95,1-0.4)</f>
        <v>0.63100775193798453</v>
      </c>
    </row>
    <row r="96" spans="1:18">
      <c r="A96" s="9">
        <v>95</v>
      </c>
      <c r="B96" s="16">
        <f t="shared" si="2"/>
        <v>28.571428571428569</v>
      </c>
      <c r="C96" s="16">
        <f t="shared" si="3"/>
        <v>1.0769230769230771E-2</v>
      </c>
      <c r="E96" s="16">
        <f>MAX(1-(INDEX('Stat Boosts'!$D$2:$D$192,E$1-9)-10)*$C96,1-0.4)</f>
        <v>1</v>
      </c>
      <c r="F96" s="16">
        <f>MAX(1-(INDEX('Stat Boosts'!$D$2:$D$192,F$1-9)-10)*$C96,1-0.4)</f>
        <v>0.97846153846153849</v>
      </c>
      <c r="G96" s="16">
        <f>MAX(1-(INDEX('Stat Boosts'!$D$2:$D$192,G$1-9)-10)*$C96,1-0.4)</f>
        <v>0.94615384615384612</v>
      </c>
      <c r="H96" s="16">
        <f>MAX(1-(INDEX('Stat Boosts'!$D$2:$D$192,H$1-9)-10)*$C96,1-0.4)</f>
        <v>0.91384615384615386</v>
      </c>
      <c r="I96" s="16">
        <f>MAX(1-(INDEX('Stat Boosts'!$D$2:$D$192,I$1-9)-10)*$C96,1-0.4)</f>
        <v>0.88153846153846149</v>
      </c>
      <c r="J96" s="16">
        <f>MAX(1-(INDEX('Stat Boosts'!$D$2:$D$192,J$1-9)-10)*$C96,1-0.4)</f>
        <v>0.84923076923076923</v>
      </c>
      <c r="K96" s="16">
        <f>MAX(1-(INDEX('Stat Boosts'!$D$2:$D$192,K$1-9)-10)*$C96,1-0.4)</f>
        <v>0.81692307692307686</v>
      </c>
      <c r="L96" s="16">
        <f>MAX(1-(INDEX('Stat Boosts'!$D$2:$D$192,L$1-9)-10)*$C96,1-0.4)</f>
        <v>0.79538461538461536</v>
      </c>
      <c r="M96" s="16">
        <f>MAX(1-(INDEX('Stat Boosts'!$D$2:$D$192,M$1-9)-10)*$C96,1-0.4)</f>
        <v>0.76307692307692299</v>
      </c>
      <c r="N96" s="16">
        <f>MAX(1-(INDEX('Stat Boosts'!$D$2:$D$192,N$1-9)-10)*$C96,1-0.4)</f>
        <v>0.74153846153846148</v>
      </c>
      <c r="O96" s="16">
        <f>MAX(1-(INDEX('Stat Boosts'!$D$2:$D$192,O$1-9)-10)*$C96,1-0.4)</f>
        <v>0.70923076923076922</v>
      </c>
      <c r="P96" s="16">
        <f>MAX(1-(INDEX('Stat Boosts'!$D$2:$D$192,P$1-9)-10)*$C96,1-0.4)</f>
        <v>0.6876923076923076</v>
      </c>
      <c r="Q96" s="16">
        <f>MAX(1-(INDEX('Stat Boosts'!$D$2:$D$192,Q$1-9)-10)*$C96,1-0.4)</f>
        <v>0.65538461538461534</v>
      </c>
      <c r="R96" s="16">
        <f>MAX(1-(INDEX('Stat Boosts'!$D$2:$D$192,R$1-9)-10)*$C96,1-0.4)</f>
        <v>0.63384615384615373</v>
      </c>
    </row>
    <row r="97" spans="1:18">
      <c r="A97" s="9">
        <v>96</v>
      </c>
      <c r="B97" s="16">
        <f t="shared" si="2"/>
        <v>28.714285714285715</v>
      </c>
      <c r="C97" s="16">
        <f t="shared" si="3"/>
        <v>1.0687022900763359E-2</v>
      </c>
      <c r="E97" s="16">
        <f>MAX(1-(INDEX('Stat Boosts'!$D$2:$D$192,E$1-9)-10)*$C97,1-0.4)</f>
        <v>1</v>
      </c>
      <c r="F97" s="16">
        <f>MAX(1-(INDEX('Stat Boosts'!$D$2:$D$192,F$1-9)-10)*$C97,1-0.4)</f>
        <v>0.97862595419847331</v>
      </c>
      <c r="G97" s="16">
        <f>MAX(1-(INDEX('Stat Boosts'!$D$2:$D$192,G$1-9)-10)*$C97,1-0.4)</f>
        <v>0.94656488549618323</v>
      </c>
      <c r="H97" s="16">
        <f>MAX(1-(INDEX('Stat Boosts'!$D$2:$D$192,H$1-9)-10)*$C97,1-0.4)</f>
        <v>0.91450381679389314</v>
      </c>
      <c r="I97" s="16">
        <f>MAX(1-(INDEX('Stat Boosts'!$D$2:$D$192,I$1-9)-10)*$C97,1-0.4)</f>
        <v>0.88244274809160306</v>
      </c>
      <c r="J97" s="16">
        <f>MAX(1-(INDEX('Stat Boosts'!$D$2:$D$192,J$1-9)-10)*$C97,1-0.4)</f>
        <v>0.85038167938931297</v>
      </c>
      <c r="K97" s="16">
        <f>MAX(1-(INDEX('Stat Boosts'!$D$2:$D$192,K$1-9)-10)*$C97,1-0.4)</f>
        <v>0.81832061068702289</v>
      </c>
      <c r="L97" s="16">
        <f>MAX(1-(INDEX('Stat Boosts'!$D$2:$D$192,L$1-9)-10)*$C97,1-0.4)</f>
        <v>0.7969465648854962</v>
      </c>
      <c r="M97" s="16">
        <f>MAX(1-(INDEX('Stat Boosts'!$D$2:$D$192,M$1-9)-10)*$C97,1-0.4)</f>
        <v>0.76488549618320612</v>
      </c>
      <c r="N97" s="16">
        <f>MAX(1-(INDEX('Stat Boosts'!$D$2:$D$192,N$1-9)-10)*$C97,1-0.4)</f>
        <v>0.74351145038167932</v>
      </c>
      <c r="O97" s="16">
        <f>MAX(1-(INDEX('Stat Boosts'!$D$2:$D$192,O$1-9)-10)*$C97,1-0.4)</f>
        <v>0.71145038167938934</v>
      </c>
      <c r="P97" s="16">
        <f>MAX(1-(INDEX('Stat Boosts'!$D$2:$D$192,P$1-9)-10)*$C97,1-0.4)</f>
        <v>0.69007633587786255</v>
      </c>
      <c r="Q97" s="16">
        <f>MAX(1-(INDEX('Stat Boosts'!$D$2:$D$192,Q$1-9)-10)*$C97,1-0.4)</f>
        <v>0.65801526717557257</v>
      </c>
      <c r="R97" s="16">
        <f>MAX(1-(INDEX('Stat Boosts'!$D$2:$D$192,R$1-9)-10)*$C97,1-0.4)</f>
        <v>0.63664122137404577</v>
      </c>
    </row>
    <row r="98" spans="1:18">
      <c r="A98" s="9">
        <v>97</v>
      </c>
      <c r="B98" s="16">
        <f t="shared" si="2"/>
        <v>28.857142857142858</v>
      </c>
      <c r="C98" s="16">
        <f t="shared" si="3"/>
        <v>1.0606060606060607E-2</v>
      </c>
      <c r="E98" s="16">
        <f>MAX(1-(INDEX('Stat Boosts'!$D$2:$D$192,E$1-9)-10)*$C98,1-0.4)</f>
        <v>1</v>
      </c>
      <c r="F98" s="16">
        <f>MAX(1-(INDEX('Stat Boosts'!$D$2:$D$192,F$1-9)-10)*$C98,1-0.4)</f>
        <v>0.97878787878787876</v>
      </c>
      <c r="G98" s="16">
        <f>MAX(1-(INDEX('Stat Boosts'!$D$2:$D$192,G$1-9)-10)*$C98,1-0.4)</f>
        <v>0.94696969696969702</v>
      </c>
      <c r="H98" s="16">
        <f>MAX(1-(INDEX('Stat Boosts'!$D$2:$D$192,H$1-9)-10)*$C98,1-0.4)</f>
        <v>0.91515151515151516</v>
      </c>
      <c r="I98" s="16">
        <f>MAX(1-(INDEX('Stat Boosts'!$D$2:$D$192,I$1-9)-10)*$C98,1-0.4)</f>
        <v>0.8833333333333333</v>
      </c>
      <c r="J98" s="16">
        <f>MAX(1-(INDEX('Stat Boosts'!$D$2:$D$192,J$1-9)-10)*$C98,1-0.4)</f>
        <v>0.85151515151515156</v>
      </c>
      <c r="K98" s="16">
        <f>MAX(1-(INDEX('Stat Boosts'!$D$2:$D$192,K$1-9)-10)*$C98,1-0.4)</f>
        <v>0.8196969696969697</v>
      </c>
      <c r="L98" s="16">
        <f>MAX(1-(INDEX('Stat Boosts'!$D$2:$D$192,L$1-9)-10)*$C98,1-0.4)</f>
        <v>0.79848484848484846</v>
      </c>
      <c r="M98" s="16">
        <f>MAX(1-(INDEX('Stat Boosts'!$D$2:$D$192,M$1-9)-10)*$C98,1-0.4)</f>
        <v>0.76666666666666661</v>
      </c>
      <c r="N98" s="16">
        <f>MAX(1-(INDEX('Stat Boosts'!$D$2:$D$192,N$1-9)-10)*$C98,1-0.4)</f>
        <v>0.74545454545454537</v>
      </c>
      <c r="O98" s="16">
        <f>MAX(1-(INDEX('Stat Boosts'!$D$2:$D$192,O$1-9)-10)*$C98,1-0.4)</f>
        <v>0.71363636363636362</v>
      </c>
      <c r="P98" s="16">
        <f>MAX(1-(INDEX('Stat Boosts'!$D$2:$D$192,P$1-9)-10)*$C98,1-0.4)</f>
        <v>0.69242424242424239</v>
      </c>
      <c r="Q98" s="16">
        <f>MAX(1-(INDEX('Stat Boosts'!$D$2:$D$192,Q$1-9)-10)*$C98,1-0.4)</f>
        <v>0.66060606060606064</v>
      </c>
      <c r="R98" s="16">
        <f>MAX(1-(INDEX('Stat Boosts'!$D$2:$D$192,R$1-9)-10)*$C98,1-0.4)</f>
        <v>0.6393939393939394</v>
      </c>
    </row>
    <row r="99" spans="1:18">
      <c r="A99" s="9">
        <v>98</v>
      </c>
      <c r="B99" s="16">
        <f t="shared" si="2"/>
        <v>29</v>
      </c>
      <c r="C99" s="16">
        <f t="shared" si="3"/>
        <v>1.0526315789473684E-2</v>
      </c>
      <c r="E99" s="16">
        <f>MAX(1-(INDEX('Stat Boosts'!$D$2:$D$192,E$1-9)-10)*$C99,1-0.4)</f>
        <v>1</v>
      </c>
      <c r="F99" s="16">
        <f>MAX(1-(INDEX('Stat Boosts'!$D$2:$D$192,F$1-9)-10)*$C99,1-0.4)</f>
        <v>0.97894736842105268</v>
      </c>
      <c r="G99" s="16">
        <f>MAX(1-(INDEX('Stat Boosts'!$D$2:$D$192,G$1-9)-10)*$C99,1-0.4)</f>
        <v>0.94736842105263164</v>
      </c>
      <c r="H99" s="16">
        <f>MAX(1-(INDEX('Stat Boosts'!$D$2:$D$192,H$1-9)-10)*$C99,1-0.4)</f>
        <v>0.91578947368421049</v>
      </c>
      <c r="I99" s="16">
        <f>MAX(1-(INDEX('Stat Boosts'!$D$2:$D$192,I$1-9)-10)*$C99,1-0.4)</f>
        <v>0.88421052631578945</v>
      </c>
      <c r="J99" s="16">
        <f>MAX(1-(INDEX('Stat Boosts'!$D$2:$D$192,J$1-9)-10)*$C99,1-0.4)</f>
        <v>0.85263157894736841</v>
      </c>
      <c r="K99" s="16">
        <f>MAX(1-(INDEX('Stat Boosts'!$D$2:$D$192,K$1-9)-10)*$C99,1-0.4)</f>
        <v>0.82105263157894737</v>
      </c>
      <c r="L99" s="16">
        <f>MAX(1-(INDEX('Stat Boosts'!$D$2:$D$192,L$1-9)-10)*$C99,1-0.4)</f>
        <v>0.8</v>
      </c>
      <c r="M99" s="16">
        <f>MAX(1-(INDEX('Stat Boosts'!$D$2:$D$192,M$1-9)-10)*$C99,1-0.4)</f>
        <v>0.76842105263157889</v>
      </c>
      <c r="N99" s="16">
        <f>MAX(1-(INDEX('Stat Boosts'!$D$2:$D$192,N$1-9)-10)*$C99,1-0.4)</f>
        <v>0.74736842105263157</v>
      </c>
      <c r="O99" s="16">
        <f>MAX(1-(INDEX('Stat Boosts'!$D$2:$D$192,O$1-9)-10)*$C99,1-0.4)</f>
        <v>0.71578947368421053</v>
      </c>
      <c r="P99" s="16">
        <f>MAX(1-(INDEX('Stat Boosts'!$D$2:$D$192,P$1-9)-10)*$C99,1-0.4)</f>
        <v>0.6947368421052631</v>
      </c>
      <c r="Q99" s="16">
        <f>MAX(1-(INDEX('Stat Boosts'!$D$2:$D$192,Q$1-9)-10)*$C99,1-0.4)</f>
        <v>0.66315789473684217</v>
      </c>
      <c r="R99" s="16">
        <f>MAX(1-(INDEX('Stat Boosts'!$D$2:$D$192,R$1-9)-10)*$C99,1-0.4)</f>
        <v>0.64210526315789473</v>
      </c>
    </row>
    <row r="100" spans="1:18">
      <c r="A100" s="9">
        <v>99</v>
      </c>
      <c r="B100" s="16">
        <f t="shared" si="2"/>
        <v>29.142857142857142</v>
      </c>
      <c r="C100" s="16">
        <f t="shared" si="3"/>
        <v>1.0447761194029851E-2</v>
      </c>
      <c r="E100" s="16">
        <f>MAX(1-(INDEX('Stat Boosts'!$D$2:$D$192,E$1-9)-10)*$C100,1-0.4)</f>
        <v>1</v>
      </c>
      <c r="F100" s="16">
        <f>MAX(1-(INDEX('Stat Boosts'!$D$2:$D$192,F$1-9)-10)*$C100,1-0.4)</f>
        <v>0.9791044776119403</v>
      </c>
      <c r="G100" s="16">
        <f>MAX(1-(INDEX('Stat Boosts'!$D$2:$D$192,G$1-9)-10)*$C100,1-0.4)</f>
        <v>0.94776119402985071</v>
      </c>
      <c r="H100" s="16">
        <f>MAX(1-(INDEX('Stat Boosts'!$D$2:$D$192,H$1-9)-10)*$C100,1-0.4)</f>
        <v>0.91641791044776122</v>
      </c>
      <c r="I100" s="16">
        <f>MAX(1-(INDEX('Stat Boosts'!$D$2:$D$192,I$1-9)-10)*$C100,1-0.4)</f>
        <v>0.88507462686567162</v>
      </c>
      <c r="J100" s="16">
        <f>MAX(1-(INDEX('Stat Boosts'!$D$2:$D$192,J$1-9)-10)*$C100,1-0.4)</f>
        <v>0.85373134328358202</v>
      </c>
      <c r="K100" s="16">
        <f>MAX(1-(INDEX('Stat Boosts'!$D$2:$D$192,K$1-9)-10)*$C100,1-0.4)</f>
        <v>0.82238805970149254</v>
      </c>
      <c r="L100" s="16">
        <f>MAX(1-(INDEX('Stat Boosts'!$D$2:$D$192,L$1-9)-10)*$C100,1-0.4)</f>
        <v>0.80149253731343284</v>
      </c>
      <c r="M100" s="16">
        <f>MAX(1-(INDEX('Stat Boosts'!$D$2:$D$192,M$1-9)-10)*$C100,1-0.4)</f>
        <v>0.77014925373134324</v>
      </c>
      <c r="N100" s="16">
        <f>MAX(1-(INDEX('Stat Boosts'!$D$2:$D$192,N$1-9)-10)*$C100,1-0.4)</f>
        <v>0.74925373134328355</v>
      </c>
      <c r="O100" s="16">
        <f>MAX(1-(INDEX('Stat Boosts'!$D$2:$D$192,O$1-9)-10)*$C100,1-0.4)</f>
        <v>0.71791044776119395</v>
      </c>
      <c r="P100" s="16">
        <f>MAX(1-(INDEX('Stat Boosts'!$D$2:$D$192,P$1-9)-10)*$C100,1-0.4)</f>
        <v>0.69701492537313436</v>
      </c>
      <c r="Q100" s="16">
        <f>MAX(1-(INDEX('Stat Boosts'!$D$2:$D$192,Q$1-9)-10)*$C100,1-0.4)</f>
        <v>0.66567164179104477</v>
      </c>
      <c r="R100" s="16">
        <f>MAX(1-(INDEX('Stat Boosts'!$D$2:$D$192,R$1-9)-10)*$C100,1-0.4)</f>
        <v>0.64477611940298507</v>
      </c>
    </row>
    <row r="101" spans="1:18">
      <c r="A101" s="9">
        <v>100</v>
      </c>
      <c r="B101" s="16">
        <f t="shared" si="2"/>
        <v>29.285714285714285</v>
      </c>
      <c r="C101" s="16">
        <f t="shared" si="3"/>
        <v>1.0370370370370372E-2</v>
      </c>
      <c r="E101" s="16">
        <f>MAX(1-(INDEX('Stat Boosts'!$D$2:$D$192,E$1-9)-10)*$C101,1-0.4)</f>
        <v>1</v>
      </c>
      <c r="F101" s="16">
        <f>MAX(1-(INDEX('Stat Boosts'!$D$2:$D$192,F$1-9)-10)*$C101,1-0.4)</f>
        <v>0.97925925925925927</v>
      </c>
      <c r="G101" s="16">
        <f>MAX(1-(INDEX('Stat Boosts'!$D$2:$D$192,G$1-9)-10)*$C101,1-0.4)</f>
        <v>0.94814814814814818</v>
      </c>
      <c r="H101" s="16">
        <f>MAX(1-(INDEX('Stat Boosts'!$D$2:$D$192,H$1-9)-10)*$C101,1-0.4)</f>
        <v>0.91703703703703698</v>
      </c>
      <c r="I101" s="16">
        <f>MAX(1-(INDEX('Stat Boosts'!$D$2:$D$192,I$1-9)-10)*$C101,1-0.4)</f>
        <v>0.88592592592592589</v>
      </c>
      <c r="J101" s="16">
        <f>MAX(1-(INDEX('Stat Boosts'!$D$2:$D$192,J$1-9)-10)*$C101,1-0.4)</f>
        <v>0.85481481481481481</v>
      </c>
      <c r="K101" s="16">
        <f>MAX(1-(INDEX('Stat Boosts'!$D$2:$D$192,K$1-9)-10)*$C101,1-0.4)</f>
        <v>0.82370370370370372</v>
      </c>
      <c r="L101" s="16">
        <f>MAX(1-(INDEX('Stat Boosts'!$D$2:$D$192,L$1-9)-10)*$C101,1-0.4)</f>
        <v>0.80296296296296288</v>
      </c>
      <c r="M101" s="16">
        <f>MAX(1-(INDEX('Stat Boosts'!$D$2:$D$192,M$1-9)-10)*$C101,1-0.4)</f>
        <v>0.77185185185185179</v>
      </c>
      <c r="N101" s="16">
        <f>MAX(1-(INDEX('Stat Boosts'!$D$2:$D$192,N$1-9)-10)*$C101,1-0.4)</f>
        <v>0.75111111111111106</v>
      </c>
      <c r="O101" s="16">
        <f>MAX(1-(INDEX('Stat Boosts'!$D$2:$D$192,O$1-9)-10)*$C101,1-0.4)</f>
        <v>0.72</v>
      </c>
      <c r="P101" s="16">
        <f>MAX(1-(INDEX('Stat Boosts'!$D$2:$D$192,P$1-9)-10)*$C101,1-0.4)</f>
        <v>0.69925925925925925</v>
      </c>
      <c r="Q101" s="16">
        <f>MAX(1-(INDEX('Stat Boosts'!$D$2:$D$192,Q$1-9)-10)*$C101,1-0.4)</f>
        <v>0.66814814814814816</v>
      </c>
      <c r="R101" s="16">
        <f>MAX(1-(INDEX('Stat Boosts'!$D$2:$D$192,R$1-9)-10)*$C101,1-0.4)</f>
        <v>0.64740740740740743</v>
      </c>
    </row>
    <row r="102" spans="1:18">
      <c r="A102" s="9">
        <v>101</v>
      </c>
      <c r="B102" s="16">
        <f t="shared" si="2"/>
        <v>29.428571428571431</v>
      </c>
      <c r="C102" s="16">
        <f t="shared" si="3"/>
        <v>1.0294117647058823E-2</v>
      </c>
      <c r="E102" s="16">
        <f>MAX(1-(INDEX('Stat Boosts'!$D$2:$D$192,E$1-9)-10)*$C102,1-0.4)</f>
        <v>1</v>
      </c>
      <c r="F102" s="16">
        <f>MAX(1-(INDEX('Stat Boosts'!$D$2:$D$192,F$1-9)-10)*$C102,1-0.4)</f>
        <v>0.97941176470588232</v>
      </c>
      <c r="G102" s="16">
        <f>MAX(1-(INDEX('Stat Boosts'!$D$2:$D$192,G$1-9)-10)*$C102,1-0.4)</f>
        <v>0.94852941176470584</v>
      </c>
      <c r="H102" s="16">
        <f>MAX(1-(INDEX('Stat Boosts'!$D$2:$D$192,H$1-9)-10)*$C102,1-0.4)</f>
        <v>0.91764705882352937</v>
      </c>
      <c r="I102" s="16">
        <f>MAX(1-(INDEX('Stat Boosts'!$D$2:$D$192,I$1-9)-10)*$C102,1-0.4)</f>
        <v>0.8867647058823529</v>
      </c>
      <c r="J102" s="16">
        <f>MAX(1-(INDEX('Stat Boosts'!$D$2:$D$192,J$1-9)-10)*$C102,1-0.4)</f>
        <v>0.85588235294117654</v>
      </c>
      <c r="K102" s="16">
        <f>MAX(1-(INDEX('Stat Boosts'!$D$2:$D$192,K$1-9)-10)*$C102,1-0.4)</f>
        <v>0.82499999999999996</v>
      </c>
      <c r="L102" s="16">
        <f>MAX(1-(INDEX('Stat Boosts'!$D$2:$D$192,L$1-9)-10)*$C102,1-0.4)</f>
        <v>0.80441176470588238</v>
      </c>
      <c r="M102" s="16">
        <f>MAX(1-(INDEX('Stat Boosts'!$D$2:$D$192,M$1-9)-10)*$C102,1-0.4)</f>
        <v>0.77352941176470591</v>
      </c>
      <c r="N102" s="16">
        <f>MAX(1-(INDEX('Stat Boosts'!$D$2:$D$192,N$1-9)-10)*$C102,1-0.4)</f>
        <v>0.75294117647058822</v>
      </c>
      <c r="O102" s="16">
        <f>MAX(1-(INDEX('Stat Boosts'!$D$2:$D$192,O$1-9)-10)*$C102,1-0.4)</f>
        <v>0.72205882352941175</v>
      </c>
      <c r="P102" s="16">
        <f>MAX(1-(INDEX('Stat Boosts'!$D$2:$D$192,P$1-9)-10)*$C102,1-0.4)</f>
        <v>0.70147058823529407</v>
      </c>
      <c r="Q102" s="16">
        <f>MAX(1-(INDEX('Stat Boosts'!$D$2:$D$192,Q$1-9)-10)*$C102,1-0.4)</f>
        <v>0.67058823529411771</v>
      </c>
      <c r="R102" s="16">
        <f>MAX(1-(INDEX('Stat Boosts'!$D$2:$D$192,R$1-9)-10)*$C102,1-0.4)</f>
        <v>0.65</v>
      </c>
    </row>
    <row r="103" spans="1:18">
      <c r="A103" s="9">
        <v>102</v>
      </c>
      <c r="B103" s="16">
        <f t="shared" si="2"/>
        <v>29.571428571428569</v>
      </c>
      <c r="C103" s="16">
        <f t="shared" si="3"/>
        <v>1.0218978102189783E-2</v>
      </c>
      <c r="E103" s="16">
        <f>MAX(1-(INDEX('Stat Boosts'!$D$2:$D$192,E$1-9)-10)*$C103,1-0.4)</f>
        <v>1</v>
      </c>
      <c r="F103" s="16">
        <f>MAX(1-(INDEX('Stat Boosts'!$D$2:$D$192,F$1-9)-10)*$C103,1-0.4)</f>
        <v>0.9795620437956204</v>
      </c>
      <c r="G103" s="16">
        <f>MAX(1-(INDEX('Stat Boosts'!$D$2:$D$192,G$1-9)-10)*$C103,1-0.4)</f>
        <v>0.94890510948905105</v>
      </c>
      <c r="H103" s="16">
        <f>MAX(1-(INDEX('Stat Boosts'!$D$2:$D$192,H$1-9)-10)*$C103,1-0.4)</f>
        <v>0.9182481751824817</v>
      </c>
      <c r="I103" s="16">
        <f>MAX(1-(INDEX('Stat Boosts'!$D$2:$D$192,I$1-9)-10)*$C103,1-0.4)</f>
        <v>0.88759124087591235</v>
      </c>
      <c r="J103" s="16">
        <f>MAX(1-(INDEX('Stat Boosts'!$D$2:$D$192,J$1-9)-10)*$C103,1-0.4)</f>
        <v>0.85693430656934311</v>
      </c>
      <c r="K103" s="16">
        <f>MAX(1-(INDEX('Stat Boosts'!$D$2:$D$192,K$1-9)-10)*$C103,1-0.4)</f>
        <v>0.82627737226277365</v>
      </c>
      <c r="L103" s="16">
        <f>MAX(1-(INDEX('Stat Boosts'!$D$2:$D$192,L$1-9)-10)*$C103,1-0.4)</f>
        <v>0.80583941605839415</v>
      </c>
      <c r="M103" s="16">
        <f>MAX(1-(INDEX('Stat Boosts'!$D$2:$D$192,M$1-9)-10)*$C103,1-0.4)</f>
        <v>0.7751824817518248</v>
      </c>
      <c r="N103" s="16">
        <f>MAX(1-(INDEX('Stat Boosts'!$D$2:$D$192,N$1-9)-10)*$C103,1-0.4)</f>
        <v>0.7547445255474452</v>
      </c>
      <c r="O103" s="16">
        <f>MAX(1-(INDEX('Stat Boosts'!$D$2:$D$192,O$1-9)-10)*$C103,1-0.4)</f>
        <v>0.72408759124087585</v>
      </c>
      <c r="P103" s="16">
        <f>MAX(1-(INDEX('Stat Boosts'!$D$2:$D$192,P$1-9)-10)*$C103,1-0.4)</f>
        <v>0.70364963503649625</v>
      </c>
      <c r="Q103" s="16">
        <f>MAX(1-(INDEX('Stat Boosts'!$D$2:$D$192,Q$1-9)-10)*$C103,1-0.4)</f>
        <v>0.67299270072992701</v>
      </c>
      <c r="R103" s="16">
        <f>MAX(1-(INDEX('Stat Boosts'!$D$2:$D$192,R$1-9)-10)*$C103,1-0.4)</f>
        <v>0.6525547445255474</v>
      </c>
    </row>
    <row r="104" spans="1:18">
      <c r="A104" s="9">
        <v>103</v>
      </c>
      <c r="B104" s="16">
        <f t="shared" si="2"/>
        <v>29.714285714285715</v>
      </c>
      <c r="C104" s="16">
        <f t="shared" si="3"/>
        <v>1.0144927536231883E-2</v>
      </c>
      <c r="E104" s="16">
        <f>MAX(1-(INDEX('Stat Boosts'!$D$2:$D$192,E$1-9)-10)*$C104,1-0.4)</f>
        <v>1</v>
      </c>
      <c r="F104" s="16">
        <f>MAX(1-(INDEX('Stat Boosts'!$D$2:$D$192,F$1-9)-10)*$C104,1-0.4)</f>
        <v>0.97971014492753628</v>
      </c>
      <c r="G104" s="16">
        <f>MAX(1-(INDEX('Stat Boosts'!$D$2:$D$192,G$1-9)-10)*$C104,1-0.4)</f>
        <v>0.94927536231884058</v>
      </c>
      <c r="H104" s="16">
        <f>MAX(1-(INDEX('Stat Boosts'!$D$2:$D$192,H$1-9)-10)*$C104,1-0.4)</f>
        <v>0.91884057971014488</v>
      </c>
      <c r="I104" s="16">
        <f>MAX(1-(INDEX('Stat Boosts'!$D$2:$D$192,I$1-9)-10)*$C104,1-0.4)</f>
        <v>0.88840579710144929</v>
      </c>
      <c r="J104" s="16">
        <f>MAX(1-(INDEX('Stat Boosts'!$D$2:$D$192,J$1-9)-10)*$C104,1-0.4)</f>
        <v>0.8579710144927537</v>
      </c>
      <c r="K104" s="16">
        <f>MAX(1-(INDEX('Stat Boosts'!$D$2:$D$192,K$1-9)-10)*$C104,1-0.4)</f>
        <v>0.827536231884058</v>
      </c>
      <c r="L104" s="16">
        <f>MAX(1-(INDEX('Stat Boosts'!$D$2:$D$192,L$1-9)-10)*$C104,1-0.4)</f>
        <v>0.80724637681159428</v>
      </c>
      <c r="M104" s="16">
        <f>MAX(1-(INDEX('Stat Boosts'!$D$2:$D$192,M$1-9)-10)*$C104,1-0.4)</f>
        <v>0.77681159420289858</v>
      </c>
      <c r="N104" s="16">
        <f>MAX(1-(INDEX('Stat Boosts'!$D$2:$D$192,N$1-9)-10)*$C104,1-0.4)</f>
        <v>0.75652173913043486</v>
      </c>
      <c r="O104" s="16">
        <f>MAX(1-(INDEX('Stat Boosts'!$D$2:$D$192,O$1-9)-10)*$C104,1-0.4)</f>
        <v>0.72608695652173916</v>
      </c>
      <c r="P104" s="16">
        <f>MAX(1-(INDEX('Stat Boosts'!$D$2:$D$192,P$1-9)-10)*$C104,1-0.4)</f>
        <v>0.70579710144927543</v>
      </c>
      <c r="Q104" s="16">
        <f>MAX(1-(INDEX('Stat Boosts'!$D$2:$D$192,Q$1-9)-10)*$C104,1-0.4)</f>
        <v>0.67536231884057973</v>
      </c>
      <c r="R104" s="16">
        <f>MAX(1-(INDEX('Stat Boosts'!$D$2:$D$192,R$1-9)-10)*$C104,1-0.4)</f>
        <v>0.65507246376811601</v>
      </c>
    </row>
    <row r="105" spans="1:18">
      <c r="A105" s="9">
        <v>104</v>
      </c>
      <c r="B105" s="16">
        <f t="shared" si="2"/>
        <v>29.857142857142858</v>
      </c>
      <c r="C105" s="16">
        <f t="shared" si="3"/>
        <v>1.0071942446043166E-2</v>
      </c>
      <c r="E105" s="16">
        <f>MAX(1-(INDEX('Stat Boosts'!$D$2:$D$192,E$1-9)-10)*$C105,1-0.4)</f>
        <v>1</v>
      </c>
      <c r="F105" s="16">
        <f>MAX(1-(INDEX('Stat Boosts'!$D$2:$D$192,F$1-9)-10)*$C105,1-0.4)</f>
        <v>0.97985611510791371</v>
      </c>
      <c r="G105" s="16">
        <f>MAX(1-(INDEX('Stat Boosts'!$D$2:$D$192,G$1-9)-10)*$C105,1-0.4)</f>
        <v>0.94964028776978415</v>
      </c>
      <c r="H105" s="16">
        <f>MAX(1-(INDEX('Stat Boosts'!$D$2:$D$192,H$1-9)-10)*$C105,1-0.4)</f>
        <v>0.91942446043165471</v>
      </c>
      <c r="I105" s="16">
        <f>MAX(1-(INDEX('Stat Boosts'!$D$2:$D$192,I$1-9)-10)*$C105,1-0.4)</f>
        <v>0.88920863309352516</v>
      </c>
      <c r="J105" s="16">
        <f>MAX(1-(INDEX('Stat Boosts'!$D$2:$D$192,J$1-9)-10)*$C105,1-0.4)</f>
        <v>0.85899280575539572</v>
      </c>
      <c r="K105" s="16">
        <f>MAX(1-(INDEX('Stat Boosts'!$D$2:$D$192,K$1-9)-10)*$C105,1-0.4)</f>
        <v>0.82877697841726616</v>
      </c>
      <c r="L105" s="16">
        <f>MAX(1-(INDEX('Stat Boosts'!$D$2:$D$192,L$1-9)-10)*$C105,1-0.4)</f>
        <v>0.80863309352517987</v>
      </c>
      <c r="M105" s="16">
        <f>MAX(1-(INDEX('Stat Boosts'!$D$2:$D$192,M$1-9)-10)*$C105,1-0.4)</f>
        <v>0.77841726618705032</v>
      </c>
      <c r="N105" s="16">
        <f>MAX(1-(INDEX('Stat Boosts'!$D$2:$D$192,N$1-9)-10)*$C105,1-0.4)</f>
        <v>0.75827338129496402</v>
      </c>
      <c r="O105" s="16">
        <f>MAX(1-(INDEX('Stat Boosts'!$D$2:$D$192,O$1-9)-10)*$C105,1-0.4)</f>
        <v>0.72805755395683458</v>
      </c>
      <c r="P105" s="16">
        <f>MAX(1-(INDEX('Stat Boosts'!$D$2:$D$192,P$1-9)-10)*$C105,1-0.4)</f>
        <v>0.70791366906474817</v>
      </c>
      <c r="Q105" s="16">
        <f>MAX(1-(INDEX('Stat Boosts'!$D$2:$D$192,Q$1-9)-10)*$C105,1-0.4)</f>
        <v>0.67769784172661862</v>
      </c>
      <c r="R105" s="16">
        <f>MAX(1-(INDEX('Stat Boosts'!$D$2:$D$192,R$1-9)-10)*$C105,1-0.4)</f>
        <v>0.65755395683453233</v>
      </c>
    </row>
    <row r="106" spans="1:18">
      <c r="A106" s="9">
        <v>105</v>
      </c>
      <c r="B106" s="16">
        <f t="shared" si="2"/>
        <v>30</v>
      </c>
      <c r="C106" s="16">
        <f t="shared" si="3"/>
        <v>0.01</v>
      </c>
      <c r="E106" s="16">
        <f>MAX(1-(INDEX('Stat Boosts'!$D$2:$D$192,E$1-9)-10)*$C106,1-0.4)</f>
        <v>1</v>
      </c>
      <c r="F106" s="16">
        <f>MAX(1-(INDEX('Stat Boosts'!$D$2:$D$192,F$1-9)-10)*$C106,1-0.4)</f>
        <v>0.98</v>
      </c>
      <c r="G106" s="16">
        <f>MAX(1-(INDEX('Stat Boosts'!$D$2:$D$192,G$1-9)-10)*$C106,1-0.4)</f>
        <v>0.95</v>
      </c>
      <c r="H106" s="16">
        <f>MAX(1-(INDEX('Stat Boosts'!$D$2:$D$192,H$1-9)-10)*$C106,1-0.4)</f>
        <v>0.92</v>
      </c>
      <c r="I106" s="16">
        <f>MAX(1-(INDEX('Stat Boosts'!$D$2:$D$192,I$1-9)-10)*$C106,1-0.4)</f>
        <v>0.89</v>
      </c>
      <c r="J106" s="16">
        <f>MAX(1-(INDEX('Stat Boosts'!$D$2:$D$192,J$1-9)-10)*$C106,1-0.4)</f>
        <v>0.86</v>
      </c>
      <c r="K106" s="16">
        <f>MAX(1-(INDEX('Stat Boosts'!$D$2:$D$192,K$1-9)-10)*$C106,1-0.4)</f>
        <v>0.83</v>
      </c>
      <c r="L106" s="16">
        <f>MAX(1-(INDEX('Stat Boosts'!$D$2:$D$192,L$1-9)-10)*$C106,1-0.4)</f>
        <v>0.81</v>
      </c>
      <c r="M106" s="16">
        <f>MAX(1-(INDEX('Stat Boosts'!$D$2:$D$192,M$1-9)-10)*$C106,1-0.4)</f>
        <v>0.78</v>
      </c>
      <c r="N106" s="16">
        <f>MAX(1-(INDEX('Stat Boosts'!$D$2:$D$192,N$1-9)-10)*$C106,1-0.4)</f>
        <v>0.76</v>
      </c>
      <c r="O106" s="16">
        <f>MAX(1-(INDEX('Stat Boosts'!$D$2:$D$192,O$1-9)-10)*$C106,1-0.4)</f>
        <v>0.73</v>
      </c>
      <c r="P106" s="16">
        <f>MAX(1-(INDEX('Stat Boosts'!$D$2:$D$192,P$1-9)-10)*$C106,1-0.4)</f>
        <v>0.71</v>
      </c>
      <c r="Q106" s="16">
        <f>MAX(1-(INDEX('Stat Boosts'!$D$2:$D$192,Q$1-9)-10)*$C106,1-0.4)</f>
        <v>0.67999999999999994</v>
      </c>
      <c r="R106" s="16">
        <f>MAX(1-(INDEX('Stat Boosts'!$D$2:$D$192,R$1-9)-10)*$C106,1-0.4)</f>
        <v>0.65999999999999992</v>
      </c>
    </row>
    <row r="107" spans="1:18">
      <c r="A107" s="9">
        <v>106</v>
      </c>
      <c r="B107" s="16">
        <f t="shared" si="2"/>
        <v>30.142857142857142</v>
      </c>
      <c r="C107" s="16">
        <f t="shared" si="3"/>
        <v>9.9290780141843976E-3</v>
      </c>
      <c r="E107" s="16">
        <f>MAX(1-(INDEX('Stat Boosts'!$D$2:$D$192,E$1-9)-10)*$C107,1-0.4)</f>
        <v>1</v>
      </c>
      <c r="F107" s="16">
        <f>MAX(1-(INDEX('Stat Boosts'!$D$2:$D$192,F$1-9)-10)*$C107,1-0.4)</f>
        <v>0.98014184397163118</v>
      </c>
      <c r="G107" s="16">
        <f>MAX(1-(INDEX('Stat Boosts'!$D$2:$D$192,G$1-9)-10)*$C107,1-0.4)</f>
        <v>0.95035460992907805</v>
      </c>
      <c r="H107" s="16">
        <f>MAX(1-(INDEX('Stat Boosts'!$D$2:$D$192,H$1-9)-10)*$C107,1-0.4)</f>
        <v>0.92056737588652482</v>
      </c>
      <c r="I107" s="16">
        <f>MAX(1-(INDEX('Stat Boosts'!$D$2:$D$192,I$1-9)-10)*$C107,1-0.4)</f>
        <v>0.89078014184397158</v>
      </c>
      <c r="J107" s="16">
        <f>MAX(1-(INDEX('Stat Boosts'!$D$2:$D$192,J$1-9)-10)*$C107,1-0.4)</f>
        <v>0.86099290780141846</v>
      </c>
      <c r="K107" s="16">
        <f>MAX(1-(INDEX('Stat Boosts'!$D$2:$D$192,K$1-9)-10)*$C107,1-0.4)</f>
        <v>0.83120567375886523</v>
      </c>
      <c r="L107" s="16">
        <f>MAX(1-(INDEX('Stat Boosts'!$D$2:$D$192,L$1-9)-10)*$C107,1-0.4)</f>
        <v>0.81134751773049651</v>
      </c>
      <c r="M107" s="16">
        <f>MAX(1-(INDEX('Stat Boosts'!$D$2:$D$192,M$1-9)-10)*$C107,1-0.4)</f>
        <v>0.78156028368794328</v>
      </c>
      <c r="N107" s="16">
        <f>MAX(1-(INDEX('Stat Boosts'!$D$2:$D$192,N$1-9)-10)*$C107,1-0.4)</f>
        <v>0.76170212765957446</v>
      </c>
      <c r="O107" s="16">
        <f>MAX(1-(INDEX('Stat Boosts'!$D$2:$D$192,O$1-9)-10)*$C107,1-0.4)</f>
        <v>0.73191489361702122</v>
      </c>
      <c r="P107" s="16">
        <f>MAX(1-(INDEX('Stat Boosts'!$D$2:$D$192,P$1-9)-10)*$C107,1-0.4)</f>
        <v>0.7120567375886524</v>
      </c>
      <c r="Q107" s="16">
        <f>MAX(1-(INDEX('Stat Boosts'!$D$2:$D$192,Q$1-9)-10)*$C107,1-0.4)</f>
        <v>0.68226950354609928</v>
      </c>
      <c r="R107" s="16">
        <f>MAX(1-(INDEX('Stat Boosts'!$D$2:$D$192,R$1-9)-10)*$C107,1-0.4)</f>
        <v>0.66241134751773045</v>
      </c>
    </row>
    <row r="108" spans="1:18">
      <c r="A108" s="9">
        <v>107</v>
      </c>
      <c r="B108" s="16">
        <f t="shared" si="2"/>
        <v>30.285714285714285</v>
      </c>
      <c r="C108" s="16">
        <f t="shared" si="3"/>
        <v>9.8591549295774655E-3</v>
      </c>
      <c r="E108" s="16">
        <f>MAX(1-(INDEX('Stat Boosts'!$D$2:$D$192,E$1-9)-10)*$C108,1-0.4)</f>
        <v>1</v>
      </c>
      <c r="F108" s="16">
        <f>MAX(1-(INDEX('Stat Boosts'!$D$2:$D$192,F$1-9)-10)*$C108,1-0.4)</f>
        <v>0.9802816901408451</v>
      </c>
      <c r="G108" s="16">
        <f>MAX(1-(INDEX('Stat Boosts'!$D$2:$D$192,G$1-9)-10)*$C108,1-0.4)</f>
        <v>0.95070422535211263</v>
      </c>
      <c r="H108" s="16">
        <f>MAX(1-(INDEX('Stat Boosts'!$D$2:$D$192,H$1-9)-10)*$C108,1-0.4)</f>
        <v>0.92112676056338028</v>
      </c>
      <c r="I108" s="16">
        <f>MAX(1-(INDEX('Stat Boosts'!$D$2:$D$192,I$1-9)-10)*$C108,1-0.4)</f>
        <v>0.89154929577464792</v>
      </c>
      <c r="J108" s="16">
        <f>MAX(1-(INDEX('Stat Boosts'!$D$2:$D$192,J$1-9)-10)*$C108,1-0.4)</f>
        <v>0.86197183098591545</v>
      </c>
      <c r="K108" s="16">
        <f>MAX(1-(INDEX('Stat Boosts'!$D$2:$D$192,K$1-9)-10)*$C108,1-0.4)</f>
        <v>0.8323943661971831</v>
      </c>
      <c r="L108" s="16">
        <f>MAX(1-(INDEX('Stat Boosts'!$D$2:$D$192,L$1-9)-10)*$C108,1-0.4)</f>
        <v>0.8126760563380282</v>
      </c>
      <c r="M108" s="16">
        <f>MAX(1-(INDEX('Stat Boosts'!$D$2:$D$192,M$1-9)-10)*$C108,1-0.4)</f>
        <v>0.78309859154929573</v>
      </c>
      <c r="N108" s="16">
        <f>MAX(1-(INDEX('Stat Boosts'!$D$2:$D$192,N$1-9)-10)*$C108,1-0.4)</f>
        <v>0.76338028169014083</v>
      </c>
      <c r="O108" s="16">
        <f>MAX(1-(INDEX('Stat Boosts'!$D$2:$D$192,O$1-9)-10)*$C108,1-0.4)</f>
        <v>0.73380281690140836</v>
      </c>
      <c r="P108" s="16">
        <f>MAX(1-(INDEX('Stat Boosts'!$D$2:$D$192,P$1-9)-10)*$C108,1-0.4)</f>
        <v>0.71408450704225346</v>
      </c>
      <c r="Q108" s="16">
        <f>MAX(1-(INDEX('Stat Boosts'!$D$2:$D$192,Q$1-9)-10)*$C108,1-0.4)</f>
        <v>0.6845070422535211</v>
      </c>
      <c r="R108" s="16">
        <f>MAX(1-(INDEX('Stat Boosts'!$D$2:$D$192,R$1-9)-10)*$C108,1-0.4)</f>
        <v>0.6647887323943662</v>
      </c>
    </row>
    <row r="109" spans="1:18">
      <c r="A109" s="9">
        <v>108</v>
      </c>
      <c r="B109" s="16">
        <f t="shared" ref="B109:B151" si="4">15+A109/7</f>
        <v>30.428571428571431</v>
      </c>
      <c r="C109" s="16">
        <f t="shared" si="3"/>
        <v>9.7902097902097893E-3</v>
      </c>
      <c r="E109" s="16">
        <f>MAX(1-(INDEX('Stat Boosts'!$D$2:$D$192,E$1-9)-10)*$C109,1-0.4)</f>
        <v>1</v>
      </c>
      <c r="F109" s="16">
        <f>MAX(1-(INDEX('Stat Boosts'!$D$2:$D$192,F$1-9)-10)*$C109,1-0.4)</f>
        <v>0.98041958041958044</v>
      </c>
      <c r="G109" s="16">
        <f>MAX(1-(INDEX('Stat Boosts'!$D$2:$D$192,G$1-9)-10)*$C109,1-0.4)</f>
        <v>0.95104895104895104</v>
      </c>
      <c r="H109" s="16">
        <f>MAX(1-(INDEX('Stat Boosts'!$D$2:$D$192,H$1-9)-10)*$C109,1-0.4)</f>
        <v>0.92167832167832164</v>
      </c>
      <c r="I109" s="16">
        <f>MAX(1-(INDEX('Stat Boosts'!$D$2:$D$192,I$1-9)-10)*$C109,1-0.4)</f>
        <v>0.89230769230769236</v>
      </c>
      <c r="J109" s="16">
        <f>MAX(1-(INDEX('Stat Boosts'!$D$2:$D$192,J$1-9)-10)*$C109,1-0.4)</f>
        <v>0.86293706293706296</v>
      </c>
      <c r="K109" s="16">
        <f>MAX(1-(INDEX('Stat Boosts'!$D$2:$D$192,K$1-9)-10)*$C109,1-0.4)</f>
        <v>0.83356643356643356</v>
      </c>
      <c r="L109" s="16">
        <f>MAX(1-(INDEX('Stat Boosts'!$D$2:$D$192,L$1-9)-10)*$C109,1-0.4)</f>
        <v>0.813986013986014</v>
      </c>
      <c r="M109" s="16">
        <f>MAX(1-(INDEX('Stat Boosts'!$D$2:$D$192,M$1-9)-10)*$C109,1-0.4)</f>
        <v>0.7846153846153846</v>
      </c>
      <c r="N109" s="16">
        <f>MAX(1-(INDEX('Stat Boosts'!$D$2:$D$192,N$1-9)-10)*$C109,1-0.4)</f>
        <v>0.76503496503496504</v>
      </c>
      <c r="O109" s="16">
        <f>MAX(1-(INDEX('Stat Boosts'!$D$2:$D$192,O$1-9)-10)*$C109,1-0.4)</f>
        <v>0.73566433566433576</v>
      </c>
      <c r="P109" s="16">
        <f>MAX(1-(INDEX('Stat Boosts'!$D$2:$D$192,P$1-9)-10)*$C109,1-0.4)</f>
        <v>0.71608391608391608</v>
      </c>
      <c r="Q109" s="16">
        <f>MAX(1-(INDEX('Stat Boosts'!$D$2:$D$192,Q$1-9)-10)*$C109,1-0.4)</f>
        <v>0.6867132867132868</v>
      </c>
      <c r="R109" s="16">
        <f>MAX(1-(INDEX('Stat Boosts'!$D$2:$D$192,R$1-9)-10)*$C109,1-0.4)</f>
        <v>0.66713286713286712</v>
      </c>
    </row>
    <row r="110" spans="1:18">
      <c r="A110" s="9">
        <v>109</v>
      </c>
      <c r="B110" s="16">
        <f t="shared" si="4"/>
        <v>30.571428571428569</v>
      </c>
      <c r="C110" s="16">
        <f t="shared" si="3"/>
        <v>9.7222222222222241E-3</v>
      </c>
      <c r="E110" s="16">
        <f>MAX(1-(INDEX('Stat Boosts'!$D$2:$D$192,E$1-9)-10)*$C110,1-0.4)</f>
        <v>1</v>
      </c>
      <c r="F110" s="16">
        <f>MAX(1-(INDEX('Stat Boosts'!$D$2:$D$192,F$1-9)-10)*$C110,1-0.4)</f>
        <v>0.98055555555555551</v>
      </c>
      <c r="G110" s="16">
        <f>MAX(1-(INDEX('Stat Boosts'!$D$2:$D$192,G$1-9)-10)*$C110,1-0.4)</f>
        <v>0.95138888888888884</v>
      </c>
      <c r="H110" s="16">
        <f>MAX(1-(INDEX('Stat Boosts'!$D$2:$D$192,H$1-9)-10)*$C110,1-0.4)</f>
        <v>0.92222222222222217</v>
      </c>
      <c r="I110" s="16">
        <f>MAX(1-(INDEX('Stat Boosts'!$D$2:$D$192,I$1-9)-10)*$C110,1-0.4)</f>
        <v>0.89305555555555549</v>
      </c>
      <c r="J110" s="16">
        <f>MAX(1-(INDEX('Stat Boosts'!$D$2:$D$192,J$1-9)-10)*$C110,1-0.4)</f>
        <v>0.86388888888888893</v>
      </c>
      <c r="K110" s="16">
        <f>MAX(1-(INDEX('Stat Boosts'!$D$2:$D$192,K$1-9)-10)*$C110,1-0.4)</f>
        <v>0.83472222222222214</v>
      </c>
      <c r="L110" s="16">
        <f>MAX(1-(INDEX('Stat Boosts'!$D$2:$D$192,L$1-9)-10)*$C110,1-0.4)</f>
        <v>0.81527777777777777</v>
      </c>
      <c r="M110" s="16">
        <f>MAX(1-(INDEX('Stat Boosts'!$D$2:$D$192,M$1-9)-10)*$C110,1-0.4)</f>
        <v>0.78611111111111109</v>
      </c>
      <c r="N110" s="16">
        <f>MAX(1-(INDEX('Stat Boosts'!$D$2:$D$192,N$1-9)-10)*$C110,1-0.4)</f>
        <v>0.76666666666666661</v>
      </c>
      <c r="O110" s="16">
        <f>MAX(1-(INDEX('Stat Boosts'!$D$2:$D$192,O$1-9)-10)*$C110,1-0.4)</f>
        <v>0.73749999999999993</v>
      </c>
      <c r="P110" s="16">
        <f>MAX(1-(INDEX('Stat Boosts'!$D$2:$D$192,P$1-9)-10)*$C110,1-0.4)</f>
        <v>0.71805555555555545</v>
      </c>
      <c r="Q110" s="16">
        <f>MAX(1-(INDEX('Stat Boosts'!$D$2:$D$192,Q$1-9)-10)*$C110,1-0.4)</f>
        <v>0.68888888888888888</v>
      </c>
      <c r="R110" s="16">
        <f>MAX(1-(INDEX('Stat Boosts'!$D$2:$D$192,R$1-9)-10)*$C110,1-0.4)</f>
        <v>0.6694444444444444</v>
      </c>
    </row>
    <row r="111" spans="1:18">
      <c r="A111" s="9">
        <v>110</v>
      </c>
      <c r="B111" s="16">
        <f t="shared" si="4"/>
        <v>30.714285714285715</v>
      </c>
      <c r="C111" s="16">
        <f t="shared" si="3"/>
        <v>9.655172413793104E-3</v>
      </c>
      <c r="E111" s="16">
        <f>MAX(1-(INDEX('Stat Boosts'!$D$2:$D$192,E$1-9)-10)*$C111,1-0.4)</f>
        <v>1</v>
      </c>
      <c r="F111" s="16">
        <f>MAX(1-(INDEX('Stat Boosts'!$D$2:$D$192,F$1-9)-10)*$C111,1-0.4)</f>
        <v>0.9806896551724138</v>
      </c>
      <c r="G111" s="16">
        <f>MAX(1-(INDEX('Stat Boosts'!$D$2:$D$192,G$1-9)-10)*$C111,1-0.4)</f>
        <v>0.9517241379310345</v>
      </c>
      <c r="H111" s="16">
        <f>MAX(1-(INDEX('Stat Boosts'!$D$2:$D$192,H$1-9)-10)*$C111,1-0.4)</f>
        <v>0.9227586206896552</v>
      </c>
      <c r="I111" s="16">
        <f>MAX(1-(INDEX('Stat Boosts'!$D$2:$D$192,I$1-9)-10)*$C111,1-0.4)</f>
        <v>0.89379310344827589</v>
      </c>
      <c r="J111" s="16">
        <f>MAX(1-(INDEX('Stat Boosts'!$D$2:$D$192,J$1-9)-10)*$C111,1-0.4)</f>
        <v>0.86482758620689659</v>
      </c>
      <c r="K111" s="16">
        <f>MAX(1-(INDEX('Stat Boosts'!$D$2:$D$192,K$1-9)-10)*$C111,1-0.4)</f>
        <v>0.83586206896551718</v>
      </c>
      <c r="L111" s="16">
        <f>MAX(1-(INDEX('Stat Boosts'!$D$2:$D$192,L$1-9)-10)*$C111,1-0.4)</f>
        <v>0.81655172413793098</v>
      </c>
      <c r="M111" s="16">
        <f>MAX(1-(INDEX('Stat Boosts'!$D$2:$D$192,M$1-9)-10)*$C111,1-0.4)</f>
        <v>0.78758620689655168</v>
      </c>
      <c r="N111" s="16">
        <f>MAX(1-(INDEX('Stat Boosts'!$D$2:$D$192,N$1-9)-10)*$C111,1-0.4)</f>
        <v>0.76827586206896548</v>
      </c>
      <c r="O111" s="16">
        <f>MAX(1-(INDEX('Stat Boosts'!$D$2:$D$192,O$1-9)-10)*$C111,1-0.4)</f>
        <v>0.73931034482758617</v>
      </c>
      <c r="P111" s="16">
        <f>MAX(1-(INDEX('Stat Boosts'!$D$2:$D$192,P$1-9)-10)*$C111,1-0.4)</f>
        <v>0.72</v>
      </c>
      <c r="Q111" s="16">
        <f>MAX(1-(INDEX('Stat Boosts'!$D$2:$D$192,Q$1-9)-10)*$C111,1-0.4)</f>
        <v>0.69103448275862067</v>
      </c>
      <c r="R111" s="16">
        <f>MAX(1-(INDEX('Stat Boosts'!$D$2:$D$192,R$1-9)-10)*$C111,1-0.4)</f>
        <v>0.67172413793103447</v>
      </c>
    </row>
    <row r="112" spans="1:18">
      <c r="A112" s="9">
        <v>111</v>
      </c>
      <c r="B112" s="16">
        <f t="shared" si="4"/>
        <v>30.857142857142858</v>
      </c>
      <c r="C112" s="16">
        <f t="shared" si="3"/>
        <v>9.5890410958904115E-3</v>
      </c>
      <c r="E112" s="16">
        <f>MAX(1-(INDEX('Stat Boosts'!$D$2:$D$192,E$1-9)-10)*$C112,1-0.4)</f>
        <v>1</v>
      </c>
      <c r="F112" s="16">
        <f>MAX(1-(INDEX('Stat Boosts'!$D$2:$D$192,F$1-9)-10)*$C112,1-0.4)</f>
        <v>0.98082191780821915</v>
      </c>
      <c r="G112" s="16">
        <f>MAX(1-(INDEX('Stat Boosts'!$D$2:$D$192,G$1-9)-10)*$C112,1-0.4)</f>
        <v>0.95205479452054798</v>
      </c>
      <c r="H112" s="16">
        <f>MAX(1-(INDEX('Stat Boosts'!$D$2:$D$192,H$1-9)-10)*$C112,1-0.4)</f>
        <v>0.92328767123287669</v>
      </c>
      <c r="I112" s="16">
        <f>MAX(1-(INDEX('Stat Boosts'!$D$2:$D$192,I$1-9)-10)*$C112,1-0.4)</f>
        <v>0.89452054794520541</v>
      </c>
      <c r="J112" s="16">
        <f>MAX(1-(INDEX('Stat Boosts'!$D$2:$D$192,J$1-9)-10)*$C112,1-0.4)</f>
        <v>0.86575342465753424</v>
      </c>
      <c r="K112" s="16">
        <f>MAX(1-(INDEX('Stat Boosts'!$D$2:$D$192,K$1-9)-10)*$C112,1-0.4)</f>
        <v>0.83698630136986307</v>
      </c>
      <c r="L112" s="16">
        <f>MAX(1-(INDEX('Stat Boosts'!$D$2:$D$192,L$1-9)-10)*$C112,1-0.4)</f>
        <v>0.81780821917808222</v>
      </c>
      <c r="M112" s="16">
        <f>MAX(1-(INDEX('Stat Boosts'!$D$2:$D$192,M$1-9)-10)*$C112,1-0.4)</f>
        <v>0.78904109589041094</v>
      </c>
      <c r="N112" s="16">
        <f>MAX(1-(INDEX('Stat Boosts'!$D$2:$D$192,N$1-9)-10)*$C112,1-0.4)</f>
        <v>0.76986301369863019</v>
      </c>
      <c r="O112" s="16">
        <f>MAX(1-(INDEX('Stat Boosts'!$D$2:$D$192,O$1-9)-10)*$C112,1-0.4)</f>
        <v>0.74109589041095891</v>
      </c>
      <c r="P112" s="16">
        <f>MAX(1-(INDEX('Stat Boosts'!$D$2:$D$192,P$1-9)-10)*$C112,1-0.4)</f>
        <v>0.72191780821917806</v>
      </c>
      <c r="Q112" s="16">
        <f>MAX(1-(INDEX('Stat Boosts'!$D$2:$D$192,Q$1-9)-10)*$C112,1-0.4)</f>
        <v>0.69315068493150678</v>
      </c>
      <c r="R112" s="16">
        <f>MAX(1-(INDEX('Stat Boosts'!$D$2:$D$192,R$1-9)-10)*$C112,1-0.4)</f>
        <v>0.67397260273972603</v>
      </c>
    </row>
    <row r="113" spans="1:18">
      <c r="A113" s="9">
        <v>112</v>
      </c>
      <c r="B113" s="16">
        <f t="shared" si="4"/>
        <v>31</v>
      </c>
      <c r="C113" s="16">
        <f t="shared" si="3"/>
        <v>9.5238095238095247E-3</v>
      </c>
      <c r="E113" s="16">
        <f>MAX(1-(INDEX('Stat Boosts'!$D$2:$D$192,E$1-9)-10)*$C113,1-0.4)</f>
        <v>1</v>
      </c>
      <c r="F113" s="16">
        <f>MAX(1-(INDEX('Stat Boosts'!$D$2:$D$192,F$1-9)-10)*$C113,1-0.4)</f>
        <v>0.98095238095238091</v>
      </c>
      <c r="G113" s="16">
        <f>MAX(1-(INDEX('Stat Boosts'!$D$2:$D$192,G$1-9)-10)*$C113,1-0.4)</f>
        <v>0.95238095238095233</v>
      </c>
      <c r="H113" s="16">
        <f>MAX(1-(INDEX('Stat Boosts'!$D$2:$D$192,H$1-9)-10)*$C113,1-0.4)</f>
        <v>0.92380952380952386</v>
      </c>
      <c r="I113" s="16">
        <f>MAX(1-(INDEX('Stat Boosts'!$D$2:$D$192,I$1-9)-10)*$C113,1-0.4)</f>
        <v>0.89523809523809517</v>
      </c>
      <c r="J113" s="16">
        <f>MAX(1-(INDEX('Stat Boosts'!$D$2:$D$192,J$1-9)-10)*$C113,1-0.4)</f>
        <v>0.8666666666666667</v>
      </c>
      <c r="K113" s="16">
        <f>MAX(1-(INDEX('Stat Boosts'!$D$2:$D$192,K$1-9)-10)*$C113,1-0.4)</f>
        <v>0.83809523809523812</v>
      </c>
      <c r="L113" s="16">
        <f>MAX(1-(INDEX('Stat Boosts'!$D$2:$D$192,L$1-9)-10)*$C113,1-0.4)</f>
        <v>0.81904761904761902</v>
      </c>
      <c r="M113" s="16">
        <f>MAX(1-(INDEX('Stat Boosts'!$D$2:$D$192,M$1-9)-10)*$C113,1-0.4)</f>
        <v>0.79047619047619044</v>
      </c>
      <c r="N113" s="16">
        <f>MAX(1-(INDEX('Stat Boosts'!$D$2:$D$192,N$1-9)-10)*$C113,1-0.4)</f>
        <v>0.77142857142857135</v>
      </c>
      <c r="O113" s="16">
        <f>MAX(1-(INDEX('Stat Boosts'!$D$2:$D$192,O$1-9)-10)*$C113,1-0.4)</f>
        <v>0.74285714285714288</v>
      </c>
      <c r="P113" s="16">
        <f>MAX(1-(INDEX('Stat Boosts'!$D$2:$D$192,P$1-9)-10)*$C113,1-0.4)</f>
        <v>0.72380952380952379</v>
      </c>
      <c r="Q113" s="16">
        <f>MAX(1-(INDEX('Stat Boosts'!$D$2:$D$192,Q$1-9)-10)*$C113,1-0.4)</f>
        <v>0.69523809523809521</v>
      </c>
      <c r="R113" s="16">
        <f>MAX(1-(INDEX('Stat Boosts'!$D$2:$D$192,R$1-9)-10)*$C113,1-0.4)</f>
        <v>0.67619047619047623</v>
      </c>
    </row>
    <row r="114" spans="1:18">
      <c r="A114" s="9">
        <v>113</v>
      </c>
      <c r="B114" s="16">
        <f t="shared" si="4"/>
        <v>31.142857142857142</v>
      </c>
      <c r="C114" s="16">
        <f t="shared" si="3"/>
        <v>9.45945945945946E-3</v>
      </c>
      <c r="E114" s="16">
        <f>MAX(1-(INDEX('Stat Boosts'!$D$2:$D$192,E$1-9)-10)*$C114,1-0.4)</f>
        <v>1</v>
      </c>
      <c r="F114" s="16">
        <f>MAX(1-(INDEX('Stat Boosts'!$D$2:$D$192,F$1-9)-10)*$C114,1-0.4)</f>
        <v>0.98108108108108105</v>
      </c>
      <c r="G114" s="16">
        <f>MAX(1-(INDEX('Stat Boosts'!$D$2:$D$192,G$1-9)-10)*$C114,1-0.4)</f>
        <v>0.95270270270270274</v>
      </c>
      <c r="H114" s="16">
        <f>MAX(1-(INDEX('Stat Boosts'!$D$2:$D$192,H$1-9)-10)*$C114,1-0.4)</f>
        <v>0.92432432432432432</v>
      </c>
      <c r="I114" s="16">
        <f>MAX(1-(INDEX('Stat Boosts'!$D$2:$D$192,I$1-9)-10)*$C114,1-0.4)</f>
        <v>0.8959459459459459</v>
      </c>
      <c r="J114" s="16">
        <f>MAX(1-(INDEX('Stat Boosts'!$D$2:$D$192,J$1-9)-10)*$C114,1-0.4)</f>
        <v>0.86756756756756759</v>
      </c>
      <c r="K114" s="16">
        <f>MAX(1-(INDEX('Stat Boosts'!$D$2:$D$192,K$1-9)-10)*$C114,1-0.4)</f>
        <v>0.83918918918918917</v>
      </c>
      <c r="L114" s="16">
        <f>MAX(1-(INDEX('Stat Boosts'!$D$2:$D$192,L$1-9)-10)*$C114,1-0.4)</f>
        <v>0.82027027027027022</v>
      </c>
      <c r="M114" s="16">
        <f>MAX(1-(INDEX('Stat Boosts'!$D$2:$D$192,M$1-9)-10)*$C114,1-0.4)</f>
        <v>0.79189189189189191</v>
      </c>
      <c r="N114" s="16">
        <f>MAX(1-(INDEX('Stat Boosts'!$D$2:$D$192,N$1-9)-10)*$C114,1-0.4)</f>
        <v>0.77297297297297296</v>
      </c>
      <c r="O114" s="16">
        <f>MAX(1-(INDEX('Stat Boosts'!$D$2:$D$192,O$1-9)-10)*$C114,1-0.4)</f>
        <v>0.74459459459459465</v>
      </c>
      <c r="P114" s="16">
        <f>MAX(1-(INDEX('Stat Boosts'!$D$2:$D$192,P$1-9)-10)*$C114,1-0.4)</f>
        <v>0.7256756756756757</v>
      </c>
      <c r="Q114" s="16">
        <f>MAX(1-(INDEX('Stat Boosts'!$D$2:$D$192,Q$1-9)-10)*$C114,1-0.4)</f>
        <v>0.69729729729729728</v>
      </c>
      <c r="R114" s="16">
        <f>MAX(1-(INDEX('Stat Boosts'!$D$2:$D$192,R$1-9)-10)*$C114,1-0.4)</f>
        <v>0.67837837837837833</v>
      </c>
    </row>
    <row r="115" spans="1:18">
      <c r="A115" s="9">
        <v>114</v>
      </c>
      <c r="B115" s="16">
        <f t="shared" si="4"/>
        <v>31.285714285714285</v>
      </c>
      <c r="C115" s="16">
        <f t="shared" si="3"/>
        <v>9.3959731543624171E-3</v>
      </c>
      <c r="E115" s="16">
        <f>MAX(1-(INDEX('Stat Boosts'!$D$2:$D$192,E$1-9)-10)*$C115,1-0.4)</f>
        <v>1</v>
      </c>
      <c r="F115" s="16">
        <f>MAX(1-(INDEX('Stat Boosts'!$D$2:$D$192,F$1-9)-10)*$C115,1-0.4)</f>
        <v>0.98120805369127517</v>
      </c>
      <c r="G115" s="16">
        <f>MAX(1-(INDEX('Stat Boosts'!$D$2:$D$192,G$1-9)-10)*$C115,1-0.4)</f>
        <v>0.95302013422818788</v>
      </c>
      <c r="H115" s="16">
        <f>MAX(1-(INDEX('Stat Boosts'!$D$2:$D$192,H$1-9)-10)*$C115,1-0.4)</f>
        <v>0.92483221476510069</v>
      </c>
      <c r="I115" s="16">
        <f>MAX(1-(INDEX('Stat Boosts'!$D$2:$D$192,I$1-9)-10)*$C115,1-0.4)</f>
        <v>0.89664429530201339</v>
      </c>
      <c r="J115" s="16">
        <f>MAX(1-(INDEX('Stat Boosts'!$D$2:$D$192,J$1-9)-10)*$C115,1-0.4)</f>
        <v>0.8684563758389261</v>
      </c>
      <c r="K115" s="16">
        <f>MAX(1-(INDEX('Stat Boosts'!$D$2:$D$192,K$1-9)-10)*$C115,1-0.4)</f>
        <v>0.84026845637583891</v>
      </c>
      <c r="L115" s="16">
        <f>MAX(1-(INDEX('Stat Boosts'!$D$2:$D$192,L$1-9)-10)*$C115,1-0.4)</f>
        <v>0.82147651006711409</v>
      </c>
      <c r="M115" s="16">
        <f>MAX(1-(INDEX('Stat Boosts'!$D$2:$D$192,M$1-9)-10)*$C115,1-0.4)</f>
        <v>0.79328859060402679</v>
      </c>
      <c r="N115" s="16">
        <f>MAX(1-(INDEX('Stat Boosts'!$D$2:$D$192,N$1-9)-10)*$C115,1-0.4)</f>
        <v>0.77449664429530196</v>
      </c>
      <c r="O115" s="16">
        <f>MAX(1-(INDEX('Stat Boosts'!$D$2:$D$192,O$1-9)-10)*$C115,1-0.4)</f>
        <v>0.74630872483221466</v>
      </c>
      <c r="P115" s="16">
        <f>MAX(1-(INDEX('Stat Boosts'!$D$2:$D$192,P$1-9)-10)*$C115,1-0.4)</f>
        <v>0.72751677852348995</v>
      </c>
      <c r="Q115" s="16">
        <f>MAX(1-(INDEX('Stat Boosts'!$D$2:$D$192,Q$1-9)-10)*$C115,1-0.4)</f>
        <v>0.69932885906040265</v>
      </c>
      <c r="R115" s="16">
        <f>MAX(1-(INDEX('Stat Boosts'!$D$2:$D$192,R$1-9)-10)*$C115,1-0.4)</f>
        <v>0.68053691275167782</v>
      </c>
    </row>
    <row r="116" spans="1:18">
      <c r="A116" s="9">
        <v>115</v>
      </c>
      <c r="B116" s="16">
        <f t="shared" si="4"/>
        <v>31.428571428571427</v>
      </c>
      <c r="C116" s="16">
        <f t="shared" si="3"/>
        <v>9.3333333333333341E-3</v>
      </c>
      <c r="E116" s="16">
        <f>MAX(1-(INDEX('Stat Boosts'!$D$2:$D$192,E$1-9)-10)*$C116,1-0.4)</f>
        <v>1</v>
      </c>
      <c r="F116" s="16">
        <f>MAX(1-(INDEX('Stat Boosts'!$D$2:$D$192,F$1-9)-10)*$C116,1-0.4)</f>
        <v>0.98133333333333328</v>
      </c>
      <c r="G116" s="16">
        <f>MAX(1-(INDEX('Stat Boosts'!$D$2:$D$192,G$1-9)-10)*$C116,1-0.4)</f>
        <v>0.95333333333333337</v>
      </c>
      <c r="H116" s="16">
        <f>MAX(1-(INDEX('Stat Boosts'!$D$2:$D$192,H$1-9)-10)*$C116,1-0.4)</f>
        <v>0.92533333333333334</v>
      </c>
      <c r="I116" s="16">
        <f>MAX(1-(INDEX('Stat Boosts'!$D$2:$D$192,I$1-9)-10)*$C116,1-0.4)</f>
        <v>0.89733333333333332</v>
      </c>
      <c r="J116" s="16">
        <f>MAX(1-(INDEX('Stat Boosts'!$D$2:$D$192,J$1-9)-10)*$C116,1-0.4)</f>
        <v>0.86933333333333329</v>
      </c>
      <c r="K116" s="16">
        <f>MAX(1-(INDEX('Stat Boosts'!$D$2:$D$192,K$1-9)-10)*$C116,1-0.4)</f>
        <v>0.84133333333333327</v>
      </c>
      <c r="L116" s="16">
        <f>MAX(1-(INDEX('Stat Boosts'!$D$2:$D$192,L$1-9)-10)*$C116,1-0.4)</f>
        <v>0.82266666666666666</v>
      </c>
      <c r="M116" s="16">
        <f>MAX(1-(INDEX('Stat Boosts'!$D$2:$D$192,M$1-9)-10)*$C116,1-0.4)</f>
        <v>0.79466666666666663</v>
      </c>
      <c r="N116" s="16">
        <f>MAX(1-(INDEX('Stat Boosts'!$D$2:$D$192,N$1-9)-10)*$C116,1-0.4)</f>
        <v>0.77600000000000002</v>
      </c>
      <c r="O116" s="16">
        <f>MAX(1-(INDEX('Stat Boosts'!$D$2:$D$192,O$1-9)-10)*$C116,1-0.4)</f>
        <v>0.748</v>
      </c>
      <c r="P116" s="16">
        <f>MAX(1-(INDEX('Stat Boosts'!$D$2:$D$192,P$1-9)-10)*$C116,1-0.4)</f>
        <v>0.72933333333333339</v>
      </c>
      <c r="Q116" s="16">
        <f>MAX(1-(INDEX('Stat Boosts'!$D$2:$D$192,Q$1-9)-10)*$C116,1-0.4)</f>
        <v>0.70133333333333336</v>
      </c>
      <c r="R116" s="16">
        <f>MAX(1-(INDEX('Stat Boosts'!$D$2:$D$192,R$1-9)-10)*$C116,1-0.4)</f>
        <v>0.68266666666666664</v>
      </c>
    </row>
    <row r="117" spans="1:18">
      <c r="A117" s="9">
        <v>116</v>
      </c>
      <c r="B117" s="16">
        <f t="shared" si="4"/>
        <v>31.571428571428573</v>
      </c>
      <c r="C117" s="16">
        <f t="shared" si="3"/>
        <v>9.2715231788079461E-3</v>
      </c>
      <c r="E117" s="16">
        <f>MAX(1-(INDEX('Stat Boosts'!$D$2:$D$192,E$1-9)-10)*$C117,1-0.4)</f>
        <v>1</v>
      </c>
      <c r="F117" s="16">
        <f>MAX(1-(INDEX('Stat Boosts'!$D$2:$D$192,F$1-9)-10)*$C117,1-0.4)</f>
        <v>0.98145695364238406</v>
      </c>
      <c r="G117" s="16">
        <f>MAX(1-(INDEX('Stat Boosts'!$D$2:$D$192,G$1-9)-10)*$C117,1-0.4)</f>
        <v>0.95364238410596025</v>
      </c>
      <c r="H117" s="16">
        <f>MAX(1-(INDEX('Stat Boosts'!$D$2:$D$192,H$1-9)-10)*$C117,1-0.4)</f>
        <v>0.92582781456953644</v>
      </c>
      <c r="I117" s="16">
        <f>MAX(1-(INDEX('Stat Boosts'!$D$2:$D$192,I$1-9)-10)*$C117,1-0.4)</f>
        <v>0.89801324503311264</v>
      </c>
      <c r="J117" s="16">
        <f>MAX(1-(INDEX('Stat Boosts'!$D$2:$D$192,J$1-9)-10)*$C117,1-0.4)</f>
        <v>0.87019867549668872</v>
      </c>
      <c r="K117" s="16">
        <f>MAX(1-(INDEX('Stat Boosts'!$D$2:$D$192,K$1-9)-10)*$C117,1-0.4)</f>
        <v>0.84238410596026492</v>
      </c>
      <c r="L117" s="16">
        <f>MAX(1-(INDEX('Stat Boosts'!$D$2:$D$192,L$1-9)-10)*$C117,1-0.4)</f>
        <v>0.82384105960264908</v>
      </c>
      <c r="M117" s="16">
        <f>MAX(1-(INDEX('Stat Boosts'!$D$2:$D$192,M$1-9)-10)*$C117,1-0.4)</f>
        <v>0.79602649006622517</v>
      </c>
      <c r="N117" s="16">
        <f>MAX(1-(INDEX('Stat Boosts'!$D$2:$D$192,N$1-9)-10)*$C117,1-0.4)</f>
        <v>0.77748344370860933</v>
      </c>
      <c r="O117" s="16">
        <f>MAX(1-(INDEX('Stat Boosts'!$D$2:$D$192,O$1-9)-10)*$C117,1-0.4)</f>
        <v>0.74966887417218553</v>
      </c>
      <c r="P117" s="16">
        <f>MAX(1-(INDEX('Stat Boosts'!$D$2:$D$192,P$1-9)-10)*$C117,1-0.4)</f>
        <v>0.73112582781456958</v>
      </c>
      <c r="Q117" s="16">
        <f>MAX(1-(INDEX('Stat Boosts'!$D$2:$D$192,Q$1-9)-10)*$C117,1-0.4)</f>
        <v>0.70331125827814578</v>
      </c>
      <c r="R117" s="16">
        <f>MAX(1-(INDEX('Stat Boosts'!$D$2:$D$192,R$1-9)-10)*$C117,1-0.4)</f>
        <v>0.68476821192052983</v>
      </c>
    </row>
    <row r="118" spans="1:18">
      <c r="A118" s="9">
        <v>117</v>
      </c>
      <c r="B118" s="16">
        <f t="shared" si="4"/>
        <v>31.714285714285715</v>
      </c>
      <c r="C118" s="16">
        <f t="shared" si="3"/>
        <v>9.2105263157894746E-3</v>
      </c>
      <c r="E118" s="16">
        <f>MAX(1-(INDEX('Stat Boosts'!$D$2:$D$192,E$1-9)-10)*$C118,1-0.4)</f>
        <v>1</v>
      </c>
      <c r="F118" s="16">
        <f>MAX(1-(INDEX('Stat Boosts'!$D$2:$D$192,F$1-9)-10)*$C118,1-0.4)</f>
        <v>0.98157894736842111</v>
      </c>
      <c r="G118" s="16">
        <f>MAX(1-(INDEX('Stat Boosts'!$D$2:$D$192,G$1-9)-10)*$C118,1-0.4)</f>
        <v>0.95394736842105265</v>
      </c>
      <c r="H118" s="16">
        <f>MAX(1-(INDEX('Stat Boosts'!$D$2:$D$192,H$1-9)-10)*$C118,1-0.4)</f>
        <v>0.9263157894736842</v>
      </c>
      <c r="I118" s="16">
        <f>MAX(1-(INDEX('Stat Boosts'!$D$2:$D$192,I$1-9)-10)*$C118,1-0.4)</f>
        <v>0.89868421052631575</v>
      </c>
      <c r="J118" s="16">
        <f>MAX(1-(INDEX('Stat Boosts'!$D$2:$D$192,J$1-9)-10)*$C118,1-0.4)</f>
        <v>0.8710526315789473</v>
      </c>
      <c r="K118" s="16">
        <f>MAX(1-(INDEX('Stat Boosts'!$D$2:$D$192,K$1-9)-10)*$C118,1-0.4)</f>
        <v>0.84342105263157896</v>
      </c>
      <c r="L118" s="16">
        <f>MAX(1-(INDEX('Stat Boosts'!$D$2:$D$192,L$1-9)-10)*$C118,1-0.4)</f>
        <v>0.82499999999999996</v>
      </c>
      <c r="M118" s="16">
        <f>MAX(1-(INDEX('Stat Boosts'!$D$2:$D$192,M$1-9)-10)*$C118,1-0.4)</f>
        <v>0.7973684210526315</v>
      </c>
      <c r="N118" s="16">
        <f>MAX(1-(INDEX('Stat Boosts'!$D$2:$D$192,N$1-9)-10)*$C118,1-0.4)</f>
        <v>0.77894736842105261</v>
      </c>
      <c r="O118" s="16">
        <f>MAX(1-(INDEX('Stat Boosts'!$D$2:$D$192,O$1-9)-10)*$C118,1-0.4)</f>
        <v>0.75131578947368416</v>
      </c>
      <c r="P118" s="16">
        <f>MAX(1-(INDEX('Stat Boosts'!$D$2:$D$192,P$1-9)-10)*$C118,1-0.4)</f>
        <v>0.73289473684210527</v>
      </c>
      <c r="Q118" s="16">
        <f>MAX(1-(INDEX('Stat Boosts'!$D$2:$D$192,Q$1-9)-10)*$C118,1-0.4)</f>
        <v>0.70526315789473681</v>
      </c>
      <c r="R118" s="16">
        <f>MAX(1-(INDEX('Stat Boosts'!$D$2:$D$192,R$1-9)-10)*$C118,1-0.4)</f>
        <v>0.68684210526315792</v>
      </c>
    </row>
    <row r="119" spans="1:18">
      <c r="A119" s="9">
        <v>118</v>
      </c>
      <c r="B119" s="16">
        <f t="shared" si="4"/>
        <v>31.857142857142858</v>
      </c>
      <c r="C119" s="16">
        <f t="shared" si="3"/>
        <v>9.1503267973856214E-3</v>
      </c>
      <c r="E119" s="16">
        <f>MAX(1-(INDEX('Stat Boosts'!$D$2:$D$192,E$1-9)-10)*$C119,1-0.4)</f>
        <v>1</v>
      </c>
      <c r="F119" s="16">
        <f>MAX(1-(INDEX('Stat Boosts'!$D$2:$D$192,F$1-9)-10)*$C119,1-0.4)</f>
        <v>0.98169934640522871</v>
      </c>
      <c r="G119" s="16">
        <f>MAX(1-(INDEX('Stat Boosts'!$D$2:$D$192,G$1-9)-10)*$C119,1-0.4)</f>
        <v>0.95424836601307184</v>
      </c>
      <c r="H119" s="16">
        <f>MAX(1-(INDEX('Stat Boosts'!$D$2:$D$192,H$1-9)-10)*$C119,1-0.4)</f>
        <v>0.92679738562091507</v>
      </c>
      <c r="I119" s="16">
        <f>MAX(1-(INDEX('Stat Boosts'!$D$2:$D$192,I$1-9)-10)*$C119,1-0.4)</f>
        <v>0.89934640522875819</v>
      </c>
      <c r="J119" s="16">
        <f>MAX(1-(INDEX('Stat Boosts'!$D$2:$D$192,J$1-9)-10)*$C119,1-0.4)</f>
        <v>0.87189542483660132</v>
      </c>
      <c r="K119" s="16">
        <f>MAX(1-(INDEX('Stat Boosts'!$D$2:$D$192,K$1-9)-10)*$C119,1-0.4)</f>
        <v>0.84444444444444444</v>
      </c>
      <c r="L119" s="16">
        <f>MAX(1-(INDEX('Stat Boosts'!$D$2:$D$192,L$1-9)-10)*$C119,1-0.4)</f>
        <v>0.82614379084967315</v>
      </c>
      <c r="M119" s="16">
        <f>MAX(1-(INDEX('Stat Boosts'!$D$2:$D$192,M$1-9)-10)*$C119,1-0.4)</f>
        <v>0.79869281045751639</v>
      </c>
      <c r="N119" s="16">
        <f>MAX(1-(INDEX('Stat Boosts'!$D$2:$D$192,N$1-9)-10)*$C119,1-0.4)</f>
        <v>0.7803921568627451</v>
      </c>
      <c r="O119" s="16">
        <f>MAX(1-(INDEX('Stat Boosts'!$D$2:$D$192,O$1-9)-10)*$C119,1-0.4)</f>
        <v>0.75294117647058822</v>
      </c>
      <c r="P119" s="16">
        <f>MAX(1-(INDEX('Stat Boosts'!$D$2:$D$192,P$1-9)-10)*$C119,1-0.4)</f>
        <v>0.73464052287581705</v>
      </c>
      <c r="Q119" s="16">
        <f>MAX(1-(INDEX('Stat Boosts'!$D$2:$D$192,Q$1-9)-10)*$C119,1-0.4)</f>
        <v>0.70718954248366006</v>
      </c>
      <c r="R119" s="16">
        <f>MAX(1-(INDEX('Stat Boosts'!$D$2:$D$192,R$1-9)-10)*$C119,1-0.4)</f>
        <v>0.68888888888888888</v>
      </c>
    </row>
    <row r="120" spans="1:18">
      <c r="A120" s="9">
        <v>119</v>
      </c>
      <c r="B120" s="16">
        <f t="shared" si="4"/>
        <v>32</v>
      </c>
      <c r="C120" s="16">
        <f t="shared" si="3"/>
        <v>9.0909090909090922E-3</v>
      </c>
      <c r="E120" s="16">
        <f>MAX(1-(INDEX('Stat Boosts'!$D$2:$D$192,E$1-9)-10)*$C120,1-0.4)</f>
        <v>1</v>
      </c>
      <c r="F120" s="16">
        <f>MAX(1-(INDEX('Stat Boosts'!$D$2:$D$192,F$1-9)-10)*$C120,1-0.4)</f>
        <v>0.98181818181818181</v>
      </c>
      <c r="G120" s="16">
        <f>MAX(1-(INDEX('Stat Boosts'!$D$2:$D$192,G$1-9)-10)*$C120,1-0.4)</f>
        <v>0.95454545454545459</v>
      </c>
      <c r="H120" s="16">
        <f>MAX(1-(INDEX('Stat Boosts'!$D$2:$D$192,H$1-9)-10)*$C120,1-0.4)</f>
        <v>0.92727272727272725</v>
      </c>
      <c r="I120" s="16">
        <f>MAX(1-(INDEX('Stat Boosts'!$D$2:$D$192,I$1-9)-10)*$C120,1-0.4)</f>
        <v>0.9</v>
      </c>
      <c r="J120" s="16">
        <f>MAX(1-(INDEX('Stat Boosts'!$D$2:$D$192,J$1-9)-10)*$C120,1-0.4)</f>
        <v>0.87272727272727268</v>
      </c>
      <c r="K120" s="16">
        <f>MAX(1-(INDEX('Stat Boosts'!$D$2:$D$192,K$1-9)-10)*$C120,1-0.4)</f>
        <v>0.84545454545454546</v>
      </c>
      <c r="L120" s="16">
        <f>MAX(1-(INDEX('Stat Boosts'!$D$2:$D$192,L$1-9)-10)*$C120,1-0.4)</f>
        <v>0.82727272727272727</v>
      </c>
      <c r="M120" s="16">
        <f>MAX(1-(INDEX('Stat Boosts'!$D$2:$D$192,M$1-9)-10)*$C120,1-0.4)</f>
        <v>0.79999999999999993</v>
      </c>
      <c r="N120" s="16">
        <f>MAX(1-(INDEX('Stat Boosts'!$D$2:$D$192,N$1-9)-10)*$C120,1-0.4)</f>
        <v>0.78181818181818175</v>
      </c>
      <c r="O120" s="16">
        <f>MAX(1-(INDEX('Stat Boosts'!$D$2:$D$192,O$1-9)-10)*$C120,1-0.4)</f>
        <v>0.75454545454545452</v>
      </c>
      <c r="P120" s="16">
        <f>MAX(1-(INDEX('Stat Boosts'!$D$2:$D$192,P$1-9)-10)*$C120,1-0.4)</f>
        <v>0.73636363636363633</v>
      </c>
      <c r="Q120" s="16">
        <f>MAX(1-(INDEX('Stat Boosts'!$D$2:$D$192,Q$1-9)-10)*$C120,1-0.4)</f>
        <v>0.70909090909090899</v>
      </c>
      <c r="R120" s="16">
        <f>MAX(1-(INDEX('Stat Boosts'!$D$2:$D$192,R$1-9)-10)*$C120,1-0.4)</f>
        <v>0.69090909090909092</v>
      </c>
    </row>
    <row r="121" spans="1:18">
      <c r="A121" s="9">
        <v>120</v>
      </c>
      <c r="B121" s="16">
        <f t="shared" si="4"/>
        <v>32.142857142857139</v>
      </c>
      <c r="C121" s="16">
        <f t="shared" si="3"/>
        <v>9.0322580645161316E-3</v>
      </c>
      <c r="E121" s="16">
        <f>MAX(1-(INDEX('Stat Boosts'!$D$2:$D$192,E$1-9)-10)*$C121,1-0.4)</f>
        <v>1</v>
      </c>
      <c r="F121" s="16">
        <f>MAX(1-(INDEX('Stat Boosts'!$D$2:$D$192,F$1-9)-10)*$C121,1-0.4)</f>
        <v>0.98193548387096774</v>
      </c>
      <c r="G121" s="16">
        <f>MAX(1-(INDEX('Stat Boosts'!$D$2:$D$192,G$1-9)-10)*$C121,1-0.4)</f>
        <v>0.95483870967741935</v>
      </c>
      <c r="H121" s="16">
        <f>MAX(1-(INDEX('Stat Boosts'!$D$2:$D$192,H$1-9)-10)*$C121,1-0.4)</f>
        <v>0.92774193548387096</v>
      </c>
      <c r="I121" s="16">
        <f>MAX(1-(INDEX('Stat Boosts'!$D$2:$D$192,I$1-9)-10)*$C121,1-0.4)</f>
        <v>0.90064516129032257</v>
      </c>
      <c r="J121" s="16">
        <f>MAX(1-(INDEX('Stat Boosts'!$D$2:$D$192,J$1-9)-10)*$C121,1-0.4)</f>
        <v>0.87354838709677418</v>
      </c>
      <c r="K121" s="16">
        <f>MAX(1-(INDEX('Stat Boosts'!$D$2:$D$192,K$1-9)-10)*$C121,1-0.4)</f>
        <v>0.84645161290322579</v>
      </c>
      <c r="L121" s="16">
        <f>MAX(1-(INDEX('Stat Boosts'!$D$2:$D$192,L$1-9)-10)*$C121,1-0.4)</f>
        <v>0.82838709677419353</v>
      </c>
      <c r="M121" s="16">
        <f>MAX(1-(INDEX('Stat Boosts'!$D$2:$D$192,M$1-9)-10)*$C121,1-0.4)</f>
        <v>0.80129032258064514</v>
      </c>
      <c r="N121" s="16">
        <f>MAX(1-(INDEX('Stat Boosts'!$D$2:$D$192,N$1-9)-10)*$C121,1-0.4)</f>
        <v>0.78322580645161288</v>
      </c>
      <c r="O121" s="16">
        <f>MAX(1-(INDEX('Stat Boosts'!$D$2:$D$192,O$1-9)-10)*$C121,1-0.4)</f>
        <v>0.75612903225806449</v>
      </c>
      <c r="P121" s="16">
        <f>MAX(1-(INDEX('Stat Boosts'!$D$2:$D$192,P$1-9)-10)*$C121,1-0.4)</f>
        <v>0.73806451612903223</v>
      </c>
      <c r="Q121" s="16">
        <f>MAX(1-(INDEX('Stat Boosts'!$D$2:$D$192,Q$1-9)-10)*$C121,1-0.4)</f>
        <v>0.71096774193548384</v>
      </c>
      <c r="R121" s="16">
        <f>MAX(1-(INDEX('Stat Boosts'!$D$2:$D$192,R$1-9)-10)*$C121,1-0.4)</f>
        <v>0.69290322580645158</v>
      </c>
    </row>
    <row r="122" spans="1:18">
      <c r="A122" s="9">
        <v>121</v>
      </c>
      <c r="B122" s="16">
        <f t="shared" si="4"/>
        <v>32.285714285714285</v>
      </c>
      <c r="C122" s="16">
        <f t="shared" si="3"/>
        <v>8.9743589743589754E-3</v>
      </c>
      <c r="E122" s="16">
        <f>MAX(1-(INDEX('Stat Boosts'!$D$2:$D$192,E$1-9)-10)*$C122,1-0.4)</f>
        <v>1</v>
      </c>
      <c r="F122" s="16">
        <f>MAX(1-(INDEX('Stat Boosts'!$D$2:$D$192,F$1-9)-10)*$C122,1-0.4)</f>
        <v>0.982051282051282</v>
      </c>
      <c r="G122" s="16">
        <f>MAX(1-(INDEX('Stat Boosts'!$D$2:$D$192,G$1-9)-10)*$C122,1-0.4)</f>
        <v>0.95512820512820507</v>
      </c>
      <c r="H122" s="16">
        <f>MAX(1-(INDEX('Stat Boosts'!$D$2:$D$192,H$1-9)-10)*$C122,1-0.4)</f>
        <v>0.92820512820512824</v>
      </c>
      <c r="I122" s="16">
        <f>MAX(1-(INDEX('Stat Boosts'!$D$2:$D$192,I$1-9)-10)*$C122,1-0.4)</f>
        <v>0.9012820512820513</v>
      </c>
      <c r="J122" s="16">
        <f>MAX(1-(INDEX('Stat Boosts'!$D$2:$D$192,J$1-9)-10)*$C122,1-0.4)</f>
        <v>0.87435897435897436</v>
      </c>
      <c r="K122" s="16">
        <f>MAX(1-(INDEX('Stat Boosts'!$D$2:$D$192,K$1-9)-10)*$C122,1-0.4)</f>
        <v>0.84743589743589742</v>
      </c>
      <c r="L122" s="16">
        <f>MAX(1-(INDEX('Stat Boosts'!$D$2:$D$192,L$1-9)-10)*$C122,1-0.4)</f>
        <v>0.82948717948717943</v>
      </c>
      <c r="M122" s="16">
        <f>MAX(1-(INDEX('Stat Boosts'!$D$2:$D$192,M$1-9)-10)*$C122,1-0.4)</f>
        <v>0.8025641025641026</v>
      </c>
      <c r="N122" s="16">
        <f>MAX(1-(INDEX('Stat Boosts'!$D$2:$D$192,N$1-9)-10)*$C122,1-0.4)</f>
        <v>0.7846153846153846</v>
      </c>
      <c r="O122" s="16">
        <f>MAX(1-(INDEX('Stat Boosts'!$D$2:$D$192,O$1-9)-10)*$C122,1-0.4)</f>
        <v>0.75769230769230766</v>
      </c>
      <c r="P122" s="16">
        <f>MAX(1-(INDEX('Stat Boosts'!$D$2:$D$192,P$1-9)-10)*$C122,1-0.4)</f>
        <v>0.73974358974358978</v>
      </c>
      <c r="Q122" s="16">
        <f>MAX(1-(INDEX('Stat Boosts'!$D$2:$D$192,Q$1-9)-10)*$C122,1-0.4)</f>
        <v>0.71282051282051273</v>
      </c>
      <c r="R122" s="16">
        <f>MAX(1-(INDEX('Stat Boosts'!$D$2:$D$192,R$1-9)-10)*$C122,1-0.4)</f>
        <v>0.69487179487179485</v>
      </c>
    </row>
    <row r="123" spans="1:18">
      <c r="A123" s="9">
        <v>122</v>
      </c>
      <c r="B123" s="16">
        <f t="shared" si="4"/>
        <v>32.428571428571431</v>
      </c>
      <c r="C123" s="16">
        <f t="shared" si="3"/>
        <v>8.9171974522292991E-3</v>
      </c>
      <c r="E123" s="16">
        <f>MAX(1-(INDEX('Stat Boosts'!$D$2:$D$192,E$1-9)-10)*$C123,1-0.4)</f>
        <v>1</v>
      </c>
      <c r="F123" s="16">
        <f>MAX(1-(INDEX('Stat Boosts'!$D$2:$D$192,F$1-9)-10)*$C123,1-0.4)</f>
        <v>0.98216560509554141</v>
      </c>
      <c r="G123" s="16">
        <f>MAX(1-(INDEX('Stat Boosts'!$D$2:$D$192,G$1-9)-10)*$C123,1-0.4)</f>
        <v>0.95541401273885351</v>
      </c>
      <c r="H123" s="16">
        <f>MAX(1-(INDEX('Stat Boosts'!$D$2:$D$192,H$1-9)-10)*$C123,1-0.4)</f>
        <v>0.92866242038216562</v>
      </c>
      <c r="I123" s="16">
        <f>MAX(1-(INDEX('Stat Boosts'!$D$2:$D$192,I$1-9)-10)*$C123,1-0.4)</f>
        <v>0.90191082802547773</v>
      </c>
      <c r="J123" s="16">
        <f>MAX(1-(INDEX('Stat Boosts'!$D$2:$D$192,J$1-9)-10)*$C123,1-0.4)</f>
        <v>0.87515923566878984</v>
      </c>
      <c r="K123" s="16">
        <f>MAX(1-(INDEX('Stat Boosts'!$D$2:$D$192,K$1-9)-10)*$C123,1-0.4)</f>
        <v>0.84840764331210194</v>
      </c>
      <c r="L123" s="16">
        <f>MAX(1-(INDEX('Stat Boosts'!$D$2:$D$192,L$1-9)-10)*$C123,1-0.4)</f>
        <v>0.83057324840764335</v>
      </c>
      <c r="M123" s="16">
        <f>MAX(1-(INDEX('Stat Boosts'!$D$2:$D$192,M$1-9)-10)*$C123,1-0.4)</f>
        <v>0.80382165605095546</v>
      </c>
      <c r="N123" s="16">
        <f>MAX(1-(INDEX('Stat Boosts'!$D$2:$D$192,N$1-9)-10)*$C123,1-0.4)</f>
        <v>0.78598726114649686</v>
      </c>
      <c r="O123" s="16">
        <f>MAX(1-(INDEX('Stat Boosts'!$D$2:$D$192,O$1-9)-10)*$C123,1-0.4)</f>
        <v>0.75923566878980897</v>
      </c>
      <c r="P123" s="16">
        <f>MAX(1-(INDEX('Stat Boosts'!$D$2:$D$192,P$1-9)-10)*$C123,1-0.4)</f>
        <v>0.74140127388535038</v>
      </c>
      <c r="Q123" s="16">
        <f>MAX(1-(INDEX('Stat Boosts'!$D$2:$D$192,Q$1-9)-10)*$C123,1-0.4)</f>
        <v>0.71464968152866248</v>
      </c>
      <c r="R123" s="16">
        <f>MAX(1-(INDEX('Stat Boosts'!$D$2:$D$192,R$1-9)-10)*$C123,1-0.4)</f>
        <v>0.69681528662420389</v>
      </c>
    </row>
    <row r="124" spans="1:18">
      <c r="A124" s="9">
        <v>123</v>
      </c>
      <c r="B124" s="16">
        <f t="shared" si="4"/>
        <v>32.571428571428569</v>
      </c>
      <c r="C124" s="16">
        <f t="shared" si="3"/>
        <v>8.8607594936708882E-3</v>
      </c>
      <c r="E124" s="16">
        <f>MAX(1-(INDEX('Stat Boosts'!$D$2:$D$192,E$1-9)-10)*$C124,1-0.4)</f>
        <v>1</v>
      </c>
      <c r="F124" s="16">
        <f>MAX(1-(INDEX('Stat Boosts'!$D$2:$D$192,F$1-9)-10)*$C124,1-0.4)</f>
        <v>0.98227848101265824</v>
      </c>
      <c r="G124" s="16">
        <f>MAX(1-(INDEX('Stat Boosts'!$D$2:$D$192,G$1-9)-10)*$C124,1-0.4)</f>
        <v>0.95569620253164556</v>
      </c>
      <c r="H124" s="16">
        <f>MAX(1-(INDEX('Stat Boosts'!$D$2:$D$192,H$1-9)-10)*$C124,1-0.4)</f>
        <v>0.92911392405063287</v>
      </c>
      <c r="I124" s="16">
        <f>MAX(1-(INDEX('Stat Boosts'!$D$2:$D$192,I$1-9)-10)*$C124,1-0.4)</f>
        <v>0.90253164556962018</v>
      </c>
      <c r="J124" s="16">
        <f>MAX(1-(INDEX('Stat Boosts'!$D$2:$D$192,J$1-9)-10)*$C124,1-0.4)</f>
        <v>0.8759493670886076</v>
      </c>
      <c r="K124" s="16">
        <f>MAX(1-(INDEX('Stat Boosts'!$D$2:$D$192,K$1-9)-10)*$C124,1-0.4)</f>
        <v>0.84936708860759491</v>
      </c>
      <c r="L124" s="16">
        <f>MAX(1-(INDEX('Stat Boosts'!$D$2:$D$192,L$1-9)-10)*$C124,1-0.4)</f>
        <v>0.83164556962025316</v>
      </c>
      <c r="M124" s="16">
        <f>MAX(1-(INDEX('Stat Boosts'!$D$2:$D$192,M$1-9)-10)*$C124,1-0.4)</f>
        <v>0.80506329113924047</v>
      </c>
      <c r="N124" s="16">
        <f>MAX(1-(INDEX('Stat Boosts'!$D$2:$D$192,N$1-9)-10)*$C124,1-0.4)</f>
        <v>0.78734177215189871</v>
      </c>
      <c r="O124" s="16">
        <f>MAX(1-(INDEX('Stat Boosts'!$D$2:$D$192,O$1-9)-10)*$C124,1-0.4)</f>
        <v>0.76075949367088602</v>
      </c>
      <c r="P124" s="16">
        <f>MAX(1-(INDEX('Stat Boosts'!$D$2:$D$192,P$1-9)-10)*$C124,1-0.4)</f>
        <v>0.74303797468354427</v>
      </c>
      <c r="Q124" s="16">
        <f>MAX(1-(INDEX('Stat Boosts'!$D$2:$D$192,Q$1-9)-10)*$C124,1-0.4)</f>
        <v>0.71645569620253158</v>
      </c>
      <c r="R124" s="16">
        <f>MAX(1-(INDEX('Stat Boosts'!$D$2:$D$192,R$1-9)-10)*$C124,1-0.4)</f>
        <v>0.69873417721518982</v>
      </c>
    </row>
    <row r="125" spans="1:18">
      <c r="A125" s="9">
        <v>124</v>
      </c>
      <c r="B125" s="16">
        <f t="shared" si="4"/>
        <v>32.714285714285715</v>
      </c>
      <c r="C125" s="16">
        <f t="shared" si="3"/>
        <v>8.8050314465408803E-3</v>
      </c>
      <c r="E125" s="16">
        <f>MAX(1-(INDEX('Stat Boosts'!$D$2:$D$192,E$1-9)-10)*$C125,1-0.4)</f>
        <v>1</v>
      </c>
      <c r="F125" s="16">
        <f>MAX(1-(INDEX('Stat Boosts'!$D$2:$D$192,F$1-9)-10)*$C125,1-0.4)</f>
        <v>0.98238993710691824</v>
      </c>
      <c r="G125" s="16">
        <f>MAX(1-(INDEX('Stat Boosts'!$D$2:$D$192,G$1-9)-10)*$C125,1-0.4)</f>
        <v>0.95597484276729561</v>
      </c>
      <c r="H125" s="16">
        <f>MAX(1-(INDEX('Stat Boosts'!$D$2:$D$192,H$1-9)-10)*$C125,1-0.4)</f>
        <v>0.92955974842767297</v>
      </c>
      <c r="I125" s="16">
        <f>MAX(1-(INDEX('Stat Boosts'!$D$2:$D$192,I$1-9)-10)*$C125,1-0.4)</f>
        <v>0.90314465408805034</v>
      </c>
      <c r="J125" s="16">
        <f>MAX(1-(INDEX('Stat Boosts'!$D$2:$D$192,J$1-9)-10)*$C125,1-0.4)</f>
        <v>0.8767295597484277</v>
      </c>
      <c r="K125" s="16">
        <f>MAX(1-(INDEX('Stat Boosts'!$D$2:$D$192,K$1-9)-10)*$C125,1-0.4)</f>
        <v>0.85031446540880506</v>
      </c>
      <c r="L125" s="16">
        <f>MAX(1-(INDEX('Stat Boosts'!$D$2:$D$192,L$1-9)-10)*$C125,1-0.4)</f>
        <v>0.83270440251572331</v>
      </c>
      <c r="M125" s="16">
        <f>MAX(1-(INDEX('Stat Boosts'!$D$2:$D$192,M$1-9)-10)*$C125,1-0.4)</f>
        <v>0.80628930817610067</v>
      </c>
      <c r="N125" s="16">
        <f>MAX(1-(INDEX('Stat Boosts'!$D$2:$D$192,N$1-9)-10)*$C125,1-0.4)</f>
        <v>0.78867924528301891</v>
      </c>
      <c r="O125" s="16">
        <f>MAX(1-(INDEX('Stat Boosts'!$D$2:$D$192,O$1-9)-10)*$C125,1-0.4)</f>
        <v>0.76226415094339628</v>
      </c>
      <c r="P125" s="16">
        <f>MAX(1-(INDEX('Stat Boosts'!$D$2:$D$192,P$1-9)-10)*$C125,1-0.4)</f>
        <v>0.74465408805031452</v>
      </c>
      <c r="Q125" s="16">
        <f>MAX(1-(INDEX('Stat Boosts'!$D$2:$D$192,Q$1-9)-10)*$C125,1-0.4)</f>
        <v>0.71823899371069189</v>
      </c>
      <c r="R125" s="16">
        <f>MAX(1-(INDEX('Stat Boosts'!$D$2:$D$192,R$1-9)-10)*$C125,1-0.4)</f>
        <v>0.70062893081761013</v>
      </c>
    </row>
    <row r="126" spans="1:18">
      <c r="A126" s="9">
        <v>125</v>
      </c>
      <c r="B126" s="16">
        <f t="shared" si="4"/>
        <v>32.857142857142861</v>
      </c>
      <c r="C126" s="16">
        <f t="shared" si="3"/>
        <v>8.7499999999999991E-3</v>
      </c>
      <c r="E126" s="16">
        <f>MAX(1-(INDEX('Stat Boosts'!$D$2:$D$192,E$1-9)-10)*$C126,1-0.4)</f>
        <v>1</v>
      </c>
      <c r="F126" s="16">
        <f>MAX(1-(INDEX('Stat Boosts'!$D$2:$D$192,F$1-9)-10)*$C126,1-0.4)</f>
        <v>0.98250000000000004</v>
      </c>
      <c r="G126" s="16">
        <f>MAX(1-(INDEX('Stat Boosts'!$D$2:$D$192,G$1-9)-10)*$C126,1-0.4)</f>
        <v>0.95625000000000004</v>
      </c>
      <c r="H126" s="16">
        <f>MAX(1-(INDEX('Stat Boosts'!$D$2:$D$192,H$1-9)-10)*$C126,1-0.4)</f>
        <v>0.93</v>
      </c>
      <c r="I126" s="16">
        <f>MAX(1-(INDEX('Stat Boosts'!$D$2:$D$192,I$1-9)-10)*$C126,1-0.4)</f>
        <v>0.90375000000000005</v>
      </c>
      <c r="J126" s="16">
        <f>MAX(1-(INDEX('Stat Boosts'!$D$2:$D$192,J$1-9)-10)*$C126,1-0.4)</f>
        <v>0.87750000000000006</v>
      </c>
      <c r="K126" s="16">
        <f>MAX(1-(INDEX('Stat Boosts'!$D$2:$D$192,K$1-9)-10)*$C126,1-0.4)</f>
        <v>0.85125000000000006</v>
      </c>
      <c r="L126" s="16">
        <f>MAX(1-(INDEX('Stat Boosts'!$D$2:$D$192,L$1-9)-10)*$C126,1-0.4)</f>
        <v>0.83374999999999999</v>
      </c>
      <c r="M126" s="16">
        <f>MAX(1-(INDEX('Stat Boosts'!$D$2:$D$192,M$1-9)-10)*$C126,1-0.4)</f>
        <v>0.8075</v>
      </c>
      <c r="N126" s="16">
        <f>MAX(1-(INDEX('Stat Boosts'!$D$2:$D$192,N$1-9)-10)*$C126,1-0.4)</f>
        <v>0.79</v>
      </c>
      <c r="O126" s="16">
        <f>MAX(1-(INDEX('Stat Boosts'!$D$2:$D$192,O$1-9)-10)*$C126,1-0.4)</f>
        <v>0.76375000000000004</v>
      </c>
      <c r="P126" s="16">
        <f>MAX(1-(INDEX('Stat Boosts'!$D$2:$D$192,P$1-9)-10)*$C126,1-0.4)</f>
        <v>0.74625000000000008</v>
      </c>
      <c r="Q126" s="16">
        <f>MAX(1-(INDEX('Stat Boosts'!$D$2:$D$192,Q$1-9)-10)*$C126,1-0.4)</f>
        <v>0.72</v>
      </c>
      <c r="R126" s="16">
        <f>MAX(1-(INDEX('Stat Boosts'!$D$2:$D$192,R$1-9)-10)*$C126,1-0.4)</f>
        <v>0.70250000000000001</v>
      </c>
    </row>
    <row r="127" spans="1:18">
      <c r="A127" s="9">
        <v>126</v>
      </c>
      <c r="B127" s="16">
        <f t="shared" si="4"/>
        <v>33</v>
      </c>
      <c r="C127" s="16">
        <f t="shared" si="3"/>
        <v>8.6956521739130436E-3</v>
      </c>
      <c r="E127" s="16">
        <f>MAX(1-(INDEX('Stat Boosts'!$D$2:$D$192,E$1-9)-10)*$C127,1-0.4)</f>
        <v>1</v>
      </c>
      <c r="F127" s="16">
        <f>MAX(1-(INDEX('Stat Boosts'!$D$2:$D$192,F$1-9)-10)*$C127,1-0.4)</f>
        <v>0.9826086956521739</v>
      </c>
      <c r="G127" s="16">
        <f>MAX(1-(INDEX('Stat Boosts'!$D$2:$D$192,G$1-9)-10)*$C127,1-0.4)</f>
        <v>0.95652173913043481</v>
      </c>
      <c r="H127" s="16">
        <f>MAX(1-(INDEX('Stat Boosts'!$D$2:$D$192,H$1-9)-10)*$C127,1-0.4)</f>
        <v>0.93043478260869561</v>
      </c>
      <c r="I127" s="16">
        <f>MAX(1-(INDEX('Stat Boosts'!$D$2:$D$192,I$1-9)-10)*$C127,1-0.4)</f>
        <v>0.90434782608695652</v>
      </c>
      <c r="J127" s="16">
        <f>MAX(1-(INDEX('Stat Boosts'!$D$2:$D$192,J$1-9)-10)*$C127,1-0.4)</f>
        <v>0.87826086956521743</v>
      </c>
      <c r="K127" s="16">
        <f>MAX(1-(INDEX('Stat Boosts'!$D$2:$D$192,K$1-9)-10)*$C127,1-0.4)</f>
        <v>0.85217391304347823</v>
      </c>
      <c r="L127" s="16">
        <f>MAX(1-(INDEX('Stat Boosts'!$D$2:$D$192,L$1-9)-10)*$C127,1-0.4)</f>
        <v>0.83478260869565224</v>
      </c>
      <c r="M127" s="16">
        <f>MAX(1-(INDEX('Stat Boosts'!$D$2:$D$192,M$1-9)-10)*$C127,1-0.4)</f>
        <v>0.80869565217391304</v>
      </c>
      <c r="N127" s="16">
        <f>MAX(1-(INDEX('Stat Boosts'!$D$2:$D$192,N$1-9)-10)*$C127,1-0.4)</f>
        <v>0.79130434782608694</v>
      </c>
      <c r="O127" s="16">
        <f>MAX(1-(INDEX('Stat Boosts'!$D$2:$D$192,O$1-9)-10)*$C127,1-0.4)</f>
        <v>0.76521739130434785</v>
      </c>
      <c r="P127" s="16">
        <f>MAX(1-(INDEX('Stat Boosts'!$D$2:$D$192,P$1-9)-10)*$C127,1-0.4)</f>
        <v>0.74782608695652175</v>
      </c>
      <c r="Q127" s="16">
        <f>MAX(1-(INDEX('Stat Boosts'!$D$2:$D$192,Q$1-9)-10)*$C127,1-0.4)</f>
        <v>0.72173913043478266</v>
      </c>
      <c r="R127" s="16">
        <f>MAX(1-(INDEX('Stat Boosts'!$D$2:$D$192,R$1-9)-10)*$C127,1-0.4)</f>
        <v>0.70434782608695645</v>
      </c>
    </row>
    <row r="128" spans="1:18">
      <c r="A128" s="9">
        <v>127</v>
      </c>
      <c r="B128" s="16">
        <f t="shared" si="4"/>
        <v>33.142857142857139</v>
      </c>
      <c r="C128" s="16">
        <f t="shared" si="3"/>
        <v>8.641975308641978E-3</v>
      </c>
      <c r="E128" s="16">
        <f>MAX(1-(INDEX('Stat Boosts'!$D$2:$D$192,E$1-9)-10)*$C128,1-0.4)</f>
        <v>1</v>
      </c>
      <c r="F128" s="16">
        <f>MAX(1-(INDEX('Stat Boosts'!$D$2:$D$192,F$1-9)-10)*$C128,1-0.4)</f>
        <v>0.98271604938271606</v>
      </c>
      <c r="G128" s="16">
        <f>MAX(1-(INDEX('Stat Boosts'!$D$2:$D$192,G$1-9)-10)*$C128,1-0.4)</f>
        <v>0.95679012345679015</v>
      </c>
      <c r="H128" s="16">
        <f>MAX(1-(INDEX('Stat Boosts'!$D$2:$D$192,H$1-9)-10)*$C128,1-0.4)</f>
        <v>0.93086419753086413</v>
      </c>
      <c r="I128" s="16">
        <f>MAX(1-(INDEX('Stat Boosts'!$D$2:$D$192,I$1-9)-10)*$C128,1-0.4)</f>
        <v>0.90493827160493823</v>
      </c>
      <c r="J128" s="16">
        <f>MAX(1-(INDEX('Stat Boosts'!$D$2:$D$192,J$1-9)-10)*$C128,1-0.4)</f>
        <v>0.87901234567901232</v>
      </c>
      <c r="K128" s="16">
        <f>MAX(1-(INDEX('Stat Boosts'!$D$2:$D$192,K$1-9)-10)*$C128,1-0.4)</f>
        <v>0.85308641975308641</v>
      </c>
      <c r="L128" s="16">
        <f>MAX(1-(INDEX('Stat Boosts'!$D$2:$D$192,L$1-9)-10)*$C128,1-0.4)</f>
        <v>0.83580246913580236</v>
      </c>
      <c r="M128" s="16">
        <f>MAX(1-(INDEX('Stat Boosts'!$D$2:$D$192,M$1-9)-10)*$C128,1-0.4)</f>
        <v>0.80987654320987645</v>
      </c>
      <c r="N128" s="16">
        <f>MAX(1-(INDEX('Stat Boosts'!$D$2:$D$192,N$1-9)-10)*$C128,1-0.4)</f>
        <v>0.79259259259259252</v>
      </c>
      <c r="O128" s="16">
        <f>MAX(1-(INDEX('Stat Boosts'!$D$2:$D$192,O$1-9)-10)*$C128,1-0.4)</f>
        <v>0.76666666666666661</v>
      </c>
      <c r="P128" s="16">
        <f>MAX(1-(INDEX('Stat Boosts'!$D$2:$D$192,P$1-9)-10)*$C128,1-0.4)</f>
        <v>0.74938271604938267</v>
      </c>
      <c r="Q128" s="16">
        <f>MAX(1-(INDEX('Stat Boosts'!$D$2:$D$192,Q$1-9)-10)*$C128,1-0.4)</f>
        <v>0.72345679012345676</v>
      </c>
      <c r="R128" s="16">
        <f>MAX(1-(INDEX('Stat Boosts'!$D$2:$D$192,R$1-9)-10)*$C128,1-0.4)</f>
        <v>0.70617283950617282</v>
      </c>
    </row>
    <row r="129" spans="1:18">
      <c r="A129" s="9">
        <v>128</v>
      </c>
      <c r="B129" s="16">
        <f t="shared" si="4"/>
        <v>33.285714285714285</v>
      </c>
      <c r="C129" s="16">
        <f t="shared" si="3"/>
        <v>8.5889570552147246E-3</v>
      </c>
      <c r="E129" s="16">
        <f>MAX(1-(INDEX('Stat Boosts'!$D$2:$D$192,E$1-9)-10)*$C129,1-0.4)</f>
        <v>1</v>
      </c>
      <c r="F129" s="16">
        <f>MAX(1-(INDEX('Stat Boosts'!$D$2:$D$192,F$1-9)-10)*$C129,1-0.4)</f>
        <v>0.98282208588957054</v>
      </c>
      <c r="G129" s="16">
        <f>MAX(1-(INDEX('Stat Boosts'!$D$2:$D$192,G$1-9)-10)*$C129,1-0.4)</f>
        <v>0.95705521472392641</v>
      </c>
      <c r="H129" s="16">
        <f>MAX(1-(INDEX('Stat Boosts'!$D$2:$D$192,H$1-9)-10)*$C129,1-0.4)</f>
        <v>0.93128834355828216</v>
      </c>
      <c r="I129" s="16">
        <f>MAX(1-(INDEX('Stat Boosts'!$D$2:$D$192,I$1-9)-10)*$C129,1-0.4)</f>
        <v>0.90552147239263803</v>
      </c>
      <c r="J129" s="16">
        <f>MAX(1-(INDEX('Stat Boosts'!$D$2:$D$192,J$1-9)-10)*$C129,1-0.4)</f>
        <v>0.87975460122699389</v>
      </c>
      <c r="K129" s="16">
        <f>MAX(1-(INDEX('Stat Boosts'!$D$2:$D$192,K$1-9)-10)*$C129,1-0.4)</f>
        <v>0.85398773006134965</v>
      </c>
      <c r="L129" s="16">
        <f>MAX(1-(INDEX('Stat Boosts'!$D$2:$D$192,L$1-9)-10)*$C129,1-0.4)</f>
        <v>0.8368098159509203</v>
      </c>
      <c r="M129" s="16">
        <f>MAX(1-(INDEX('Stat Boosts'!$D$2:$D$192,M$1-9)-10)*$C129,1-0.4)</f>
        <v>0.81104294478527605</v>
      </c>
      <c r="N129" s="16">
        <f>MAX(1-(INDEX('Stat Boosts'!$D$2:$D$192,N$1-9)-10)*$C129,1-0.4)</f>
        <v>0.79386503067484659</v>
      </c>
      <c r="O129" s="16">
        <f>MAX(1-(INDEX('Stat Boosts'!$D$2:$D$192,O$1-9)-10)*$C129,1-0.4)</f>
        <v>0.76809815950920246</v>
      </c>
      <c r="P129" s="16">
        <f>MAX(1-(INDEX('Stat Boosts'!$D$2:$D$192,P$1-9)-10)*$C129,1-0.4)</f>
        <v>0.750920245398773</v>
      </c>
      <c r="Q129" s="16">
        <f>MAX(1-(INDEX('Stat Boosts'!$D$2:$D$192,Q$1-9)-10)*$C129,1-0.4)</f>
        <v>0.72515337423312887</v>
      </c>
      <c r="R129" s="16">
        <f>MAX(1-(INDEX('Stat Boosts'!$D$2:$D$192,R$1-9)-10)*$C129,1-0.4)</f>
        <v>0.7079754601226993</v>
      </c>
    </row>
    <row r="130" spans="1:18">
      <c r="A130" s="9">
        <v>129</v>
      </c>
      <c r="B130" s="16">
        <f t="shared" si="4"/>
        <v>33.428571428571431</v>
      </c>
      <c r="C130" s="16">
        <f t="shared" si="3"/>
        <v>8.5365853658536574E-3</v>
      </c>
      <c r="E130" s="16">
        <f>MAX(1-(INDEX('Stat Boosts'!$D$2:$D$192,E$1-9)-10)*$C130,1-0.4)</f>
        <v>1</v>
      </c>
      <c r="F130" s="16">
        <f>MAX(1-(INDEX('Stat Boosts'!$D$2:$D$192,F$1-9)-10)*$C130,1-0.4)</f>
        <v>0.98292682926829267</v>
      </c>
      <c r="G130" s="16">
        <f>MAX(1-(INDEX('Stat Boosts'!$D$2:$D$192,G$1-9)-10)*$C130,1-0.4)</f>
        <v>0.95731707317073167</v>
      </c>
      <c r="H130" s="16">
        <f>MAX(1-(INDEX('Stat Boosts'!$D$2:$D$192,H$1-9)-10)*$C130,1-0.4)</f>
        <v>0.93170731707317078</v>
      </c>
      <c r="I130" s="16">
        <f>MAX(1-(INDEX('Stat Boosts'!$D$2:$D$192,I$1-9)-10)*$C130,1-0.4)</f>
        <v>0.90609756097560978</v>
      </c>
      <c r="J130" s="16">
        <f>MAX(1-(INDEX('Stat Boosts'!$D$2:$D$192,J$1-9)-10)*$C130,1-0.4)</f>
        <v>0.88048780487804879</v>
      </c>
      <c r="K130" s="16">
        <f>MAX(1-(INDEX('Stat Boosts'!$D$2:$D$192,K$1-9)-10)*$C130,1-0.4)</f>
        <v>0.85487804878048779</v>
      </c>
      <c r="L130" s="16">
        <f>MAX(1-(INDEX('Stat Boosts'!$D$2:$D$192,L$1-9)-10)*$C130,1-0.4)</f>
        <v>0.83780487804878057</v>
      </c>
      <c r="M130" s="16">
        <f>MAX(1-(INDEX('Stat Boosts'!$D$2:$D$192,M$1-9)-10)*$C130,1-0.4)</f>
        <v>0.81219512195121957</v>
      </c>
      <c r="N130" s="16">
        <f>MAX(1-(INDEX('Stat Boosts'!$D$2:$D$192,N$1-9)-10)*$C130,1-0.4)</f>
        <v>0.79512195121951224</v>
      </c>
      <c r="O130" s="16">
        <f>MAX(1-(INDEX('Stat Boosts'!$D$2:$D$192,O$1-9)-10)*$C130,1-0.4)</f>
        <v>0.76951219512195124</v>
      </c>
      <c r="P130" s="16">
        <f>MAX(1-(INDEX('Stat Boosts'!$D$2:$D$192,P$1-9)-10)*$C130,1-0.4)</f>
        <v>0.7524390243902439</v>
      </c>
      <c r="Q130" s="16">
        <f>MAX(1-(INDEX('Stat Boosts'!$D$2:$D$192,Q$1-9)-10)*$C130,1-0.4)</f>
        <v>0.72682926829268291</v>
      </c>
      <c r="R130" s="16">
        <f>MAX(1-(INDEX('Stat Boosts'!$D$2:$D$192,R$1-9)-10)*$C130,1-0.4)</f>
        <v>0.70975609756097557</v>
      </c>
    </row>
    <row r="131" spans="1:18">
      <c r="A131" s="9">
        <v>130</v>
      </c>
      <c r="B131" s="16">
        <f t="shared" si="4"/>
        <v>33.571428571428569</v>
      </c>
      <c r="C131" s="16">
        <f t="shared" ref="C131:C151" si="5">0.2/(B131-10)</f>
        <v>8.4848484848484857E-3</v>
      </c>
      <c r="E131" s="16">
        <f>MAX(1-(INDEX('Stat Boosts'!$D$2:$D$192,E$1-9)-10)*$C131,1-0.4)</f>
        <v>1</v>
      </c>
      <c r="F131" s="16">
        <f>MAX(1-(INDEX('Stat Boosts'!$D$2:$D$192,F$1-9)-10)*$C131,1-0.4)</f>
        <v>0.98303030303030303</v>
      </c>
      <c r="G131" s="16">
        <f>MAX(1-(INDEX('Stat Boosts'!$D$2:$D$192,G$1-9)-10)*$C131,1-0.4)</f>
        <v>0.95757575757575752</v>
      </c>
      <c r="H131" s="16">
        <f>MAX(1-(INDEX('Stat Boosts'!$D$2:$D$192,H$1-9)-10)*$C131,1-0.4)</f>
        <v>0.93212121212121213</v>
      </c>
      <c r="I131" s="16">
        <f>MAX(1-(INDEX('Stat Boosts'!$D$2:$D$192,I$1-9)-10)*$C131,1-0.4)</f>
        <v>0.90666666666666662</v>
      </c>
      <c r="J131" s="16">
        <f>MAX(1-(INDEX('Stat Boosts'!$D$2:$D$192,J$1-9)-10)*$C131,1-0.4)</f>
        <v>0.88121212121212122</v>
      </c>
      <c r="K131" s="16">
        <f>MAX(1-(INDEX('Stat Boosts'!$D$2:$D$192,K$1-9)-10)*$C131,1-0.4)</f>
        <v>0.85575757575757572</v>
      </c>
      <c r="L131" s="16">
        <f>MAX(1-(INDEX('Stat Boosts'!$D$2:$D$192,L$1-9)-10)*$C131,1-0.4)</f>
        <v>0.83878787878787875</v>
      </c>
      <c r="M131" s="16">
        <f>MAX(1-(INDEX('Stat Boosts'!$D$2:$D$192,M$1-9)-10)*$C131,1-0.4)</f>
        <v>0.81333333333333335</v>
      </c>
      <c r="N131" s="16">
        <f>MAX(1-(INDEX('Stat Boosts'!$D$2:$D$192,N$1-9)-10)*$C131,1-0.4)</f>
        <v>0.79636363636363638</v>
      </c>
      <c r="O131" s="16">
        <f>MAX(1-(INDEX('Stat Boosts'!$D$2:$D$192,O$1-9)-10)*$C131,1-0.4)</f>
        <v>0.77090909090909088</v>
      </c>
      <c r="P131" s="16">
        <f>MAX(1-(INDEX('Stat Boosts'!$D$2:$D$192,P$1-9)-10)*$C131,1-0.4)</f>
        <v>0.75393939393939391</v>
      </c>
      <c r="Q131" s="16">
        <f>MAX(1-(INDEX('Stat Boosts'!$D$2:$D$192,Q$1-9)-10)*$C131,1-0.4)</f>
        <v>0.72848484848484851</v>
      </c>
      <c r="R131" s="16">
        <f>MAX(1-(INDEX('Stat Boosts'!$D$2:$D$192,R$1-9)-10)*$C131,1-0.4)</f>
        <v>0.71151515151515143</v>
      </c>
    </row>
    <row r="132" spans="1:18">
      <c r="A132" s="9">
        <v>131</v>
      </c>
      <c r="B132" s="16">
        <f t="shared" si="4"/>
        <v>33.714285714285715</v>
      </c>
      <c r="C132" s="16">
        <f t="shared" si="5"/>
        <v>8.4337349397590362E-3</v>
      </c>
      <c r="E132" s="16">
        <f>MAX(1-(INDEX('Stat Boosts'!$D$2:$D$192,E$1-9)-10)*$C132,1-0.4)</f>
        <v>1</v>
      </c>
      <c r="F132" s="16">
        <f>MAX(1-(INDEX('Stat Boosts'!$D$2:$D$192,F$1-9)-10)*$C132,1-0.4)</f>
        <v>0.98313253012048196</v>
      </c>
      <c r="G132" s="16">
        <f>MAX(1-(INDEX('Stat Boosts'!$D$2:$D$192,G$1-9)-10)*$C132,1-0.4)</f>
        <v>0.95783132530120485</v>
      </c>
      <c r="H132" s="16">
        <f>MAX(1-(INDEX('Stat Boosts'!$D$2:$D$192,H$1-9)-10)*$C132,1-0.4)</f>
        <v>0.93253012048192774</v>
      </c>
      <c r="I132" s="16">
        <f>MAX(1-(INDEX('Stat Boosts'!$D$2:$D$192,I$1-9)-10)*$C132,1-0.4)</f>
        <v>0.90722891566265063</v>
      </c>
      <c r="J132" s="16">
        <f>MAX(1-(INDEX('Stat Boosts'!$D$2:$D$192,J$1-9)-10)*$C132,1-0.4)</f>
        <v>0.88192771084337351</v>
      </c>
      <c r="K132" s="16">
        <f>MAX(1-(INDEX('Stat Boosts'!$D$2:$D$192,K$1-9)-10)*$C132,1-0.4)</f>
        <v>0.8566265060240964</v>
      </c>
      <c r="L132" s="16">
        <f>MAX(1-(INDEX('Stat Boosts'!$D$2:$D$192,L$1-9)-10)*$C132,1-0.4)</f>
        <v>0.83975903614457836</v>
      </c>
      <c r="M132" s="16">
        <f>MAX(1-(INDEX('Stat Boosts'!$D$2:$D$192,M$1-9)-10)*$C132,1-0.4)</f>
        <v>0.81445783132530125</v>
      </c>
      <c r="N132" s="16">
        <f>MAX(1-(INDEX('Stat Boosts'!$D$2:$D$192,N$1-9)-10)*$C132,1-0.4)</f>
        <v>0.7975903614457831</v>
      </c>
      <c r="O132" s="16">
        <f>MAX(1-(INDEX('Stat Boosts'!$D$2:$D$192,O$1-9)-10)*$C132,1-0.4)</f>
        <v>0.77228915662650599</v>
      </c>
      <c r="P132" s="16">
        <f>MAX(1-(INDEX('Stat Boosts'!$D$2:$D$192,P$1-9)-10)*$C132,1-0.4)</f>
        <v>0.75542168674698795</v>
      </c>
      <c r="Q132" s="16">
        <f>MAX(1-(INDEX('Stat Boosts'!$D$2:$D$192,Q$1-9)-10)*$C132,1-0.4)</f>
        <v>0.73012048192771084</v>
      </c>
      <c r="R132" s="16">
        <f>MAX(1-(INDEX('Stat Boosts'!$D$2:$D$192,R$1-9)-10)*$C132,1-0.4)</f>
        <v>0.7132530120481928</v>
      </c>
    </row>
    <row r="133" spans="1:18">
      <c r="A133" s="9">
        <v>132</v>
      </c>
      <c r="B133" s="16">
        <f t="shared" si="4"/>
        <v>33.857142857142861</v>
      </c>
      <c r="C133" s="16">
        <f t="shared" si="5"/>
        <v>8.3832335329341312E-3</v>
      </c>
      <c r="E133" s="16">
        <f>MAX(1-(INDEX('Stat Boosts'!$D$2:$D$192,E$1-9)-10)*$C133,1-0.4)</f>
        <v>1</v>
      </c>
      <c r="F133" s="16">
        <f>MAX(1-(INDEX('Stat Boosts'!$D$2:$D$192,F$1-9)-10)*$C133,1-0.4)</f>
        <v>0.98323353293413174</v>
      </c>
      <c r="G133" s="16">
        <f>MAX(1-(INDEX('Stat Boosts'!$D$2:$D$192,G$1-9)-10)*$C133,1-0.4)</f>
        <v>0.95808383233532934</v>
      </c>
      <c r="H133" s="16">
        <f>MAX(1-(INDEX('Stat Boosts'!$D$2:$D$192,H$1-9)-10)*$C133,1-0.4)</f>
        <v>0.93293413173652695</v>
      </c>
      <c r="I133" s="16">
        <f>MAX(1-(INDEX('Stat Boosts'!$D$2:$D$192,I$1-9)-10)*$C133,1-0.4)</f>
        <v>0.90778443113772456</v>
      </c>
      <c r="J133" s="16">
        <f>MAX(1-(INDEX('Stat Boosts'!$D$2:$D$192,J$1-9)-10)*$C133,1-0.4)</f>
        <v>0.88263473053892216</v>
      </c>
      <c r="K133" s="16">
        <f>MAX(1-(INDEX('Stat Boosts'!$D$2:$D$192,K$1-9)-10)*$C133,1-0.4)</f>
        <v>0.85748502994011977</v>
      </c>
      <c r="L133" s="16">
        <f>MAX(1-(INDEX('Stat Boosts'!$D$2:$D$192,L$1-9)-10)*$C133,1-0.4)</f>
        <v>0.84071856287425151</v>
      </c>
      <c r="M133" s="16">
        <f>MAX(1-(INDEX('Stat Boosts'!$D$2:$D$192,M$1-9)-10)*$C133,1-0.4)</f>
        <v>0.81556886227544911</v>
      </c>
      <c r="N133" s="16">
        <f>MAX(1-(INDEX('Stat Boosts'!$D$2:$D$192,N$1-9)-10)*$C133,1-0.4)</f>
        <v>0.79880239520958085</v>
      </c>
      <c r="O133" s="16">
        <f>MAX(1-(INDEX('Stat Boosts'!$D$2:$D$192,O$1-9)-10)*$C133,1-0.4)</f>
        <v>0.77365269461077846</v>
      </c>
      <c r="P133" s="16">
        <f>MAX(1-(INDEX('Stat Boosts'!$D$2:$D$192,P$1-9)-10)*$C133,1-0.4)</f>
        <v>0.7568862275449102</v>
      </c>
      <c r="Q133" s="16">
        <f>MAX(1-(INDEX('Stat Boosts'!$D$2:$D$192,Q$1-9)-10)*$C133,1-0.4)</f>
        <v>0.7317365269461078</v>
      </c>
      <c r="R133" s="16">
        <f>MAX(1-(INDEX('Stat Boosts'!$D$2:$D$192,R$1-9)-10)*$C133,1-0.4)</f>
        <v>0.71497005988023954</v>
      </c>
    </row>
    <row r="134" spans="1:18">
      <c r="A134" s="9">
        <v>133</v>
      </c>
      <c r="B134" s="16">
        <f t="shared" si="4"/>
        <v>34</v>
      </c>
      <c r="C134" s="16">
        <f t="shared" si="5"/>
        <v>8.3333333333333332E-3</v>
      </c>
      <c r="E134" s="16">
        <f>MAX(1-(INDEX('Stat Boosts'!$D$2:$D$192,E$1-9)-10)*$C134,1-0.4)</f>
        <v>1</v>
      </c>
      <c r="F134" s="16">
        <f>MAX(1-(INDEX('Stat Boosts'!$D$2:$D$192,F$1-9)-10)*$C134,1-0.4)</f>
        <v>0.98333333333333328</v>
      </c>
      <c r="G134" s="16">
        <f>MAX(1-(INDEX('Stat Boosts'!$D$2:$D$192,G$1-9)-10)*$C134,1-0.4)</f>
        <v>0.95833333333333337</v>
      </c>
      <c r="H134" s="16">
        <f>MAX(1-(INDEX('Stat Boosts'!$D$2:$D$192,H$1-9)-10)*$C134,1-0.4)</f>
        <v>0.93333333333333335</v>
      </c>
      <c r="I134" s="16">
        <f>MAX(1-(INDEX('Stat Boosts'!$D$2:$D$192,I$1-9)-10)*$C134,1-0.4)</f>
        <v>0.90833333333333333</v>
      </c>
      <c r="J134" s="16">
        <f>MAX(1-(INDEX('Stat Boosts'!$D$2:$D$192,J$1-9)-10)*$C134,1-0.4)</f>
        <v>0.8833333333333333</v>
      </c>
      <c r="K134" s="16">
        <f>MAX(1-(INDEX('Stat Boosts'!$D$2:$D$192,K$1-9)-10)*$C134,1-0.4)</f>
        <v>0.85833333333333339</v>
      </c>
      <c r="L134" s="16">
        <f>MAX(1-(INDEX('Stat Boosts'!$D$2:$D$192,L$1-9)-10)*$C134,1-0.4)</f>
        <v>0.84166666666666667</v>
      </c>
      <c r="M134" s="16">
        <f>MAX(1-(INDEX('Stat Boosts'!$D$2:$D$192,M$1-9)-10)*$C134,1-0.4)</f>
        <v>0.81666666666666665</v>
      </c>
      <c r="N134" s="16">
        <f>MAX(1-(INDEX('Stat Boosts'!$D$2:$D$192,N$1-9)-10)*$C134,1-0.4)</f>
        <v>0.8</v>
      </c>
      <c r="O134" s="16">
        <f>MAX(1-(INDEX('Stat Boosts'!$D$2:$D$192,O$1-9)-10)*$C134,1-0.4)</f>
        <v>0.77500000000000002</v>
      </c>
      <c r="P134" s="16">
        <f>MAX(1-(INDEX('Stat Boosts'!$D$2:$D$192,P$1-9)-10)*$C134,1-0.4)</f>
        <v>0.7583333333333333</v>
      </c>
      <c r="Q134" s="16">
        <f>MAX(1-(INDEX('Stat Boosts'!$D$2:$D$192,Q$1-9)-10)*$C134,1-0.4)</f>
        <v>0.73333333333333339</v>
      </c>
      <c r="R134" s="16">
        <f>MAX(1-(INDEX('Stat Boosts'!$D$2:$D$192,R$1-9)-10)*$C134,1-0.4)</f>
        <v>0.71666666666666667</v>
      </c>
    </row>
    <row r="135" spans="1:18">
      <c r="A135" s="9">
        <v>134</v>
      </c>
      <c r="B135" s="16">
        <f t="shared" si="4"/>
        <v>34.142857142857139</v>
      </c>
      <c r="C135" s="16">
        <f t="shared" si="5"/>
        <v>8.2840236686390553E-3</v>
      </c>
      <c r="E135" s="16">
        <f>MAX(1-(INDEX('Stat Boosts'!$D$2:$D$192,E$1-9)-10)*$C135,1-0.4)</f>
        <v>1</v>
      </c>
      <c r="F135" s="16">
        <f>MAX(1-(INDEX('Stat Boosts'!$D$2:$D$192,F$1-9)-10)*$C135,1-0.4)</f>
        <v>0.98343195266272188</v>
      </c>
      <c r="G135" s="16">
        <f>MAX(1-(INDEX('Stat Boosts'!$D$2:$D$192,G$1-9)-10)*$C135,1-0.4)</f>
        <v>0.95857988165680474</v>
      </c>
      <c r="H135" s="16">
        <f>MAX(1-(INDEX('Stat Boosts'!$D$2:$D$192,H$1-9)-10)*$C135,1-0.4)</f>
        <v>0.9337278106508875</v>
      </c>
      <c r="I135" s="16">
        <f>MAX(1-(INDEX('Stat Boosts'!$D$2:$D$192,I$1-9)-10)*$C135,1-0.4)</f>
        <v>0.90887573964497037</v>
      </c>
      <c r="J135" s="16">
        <f>MAX(1-(INDEX('Stat Boosts'!$D$2:$D$192,J$1-9)-10)*$C135,1-0.4)</f>
        <v>0.88402366863905324</v>
      </c>
      <c r="K135" s="16">
        <f>MAX(1-(INDEX('Stat Boosts'!$D$2:$D$192,K$1-9)-10)*$C135,1-0.4)</f>
        <v>0.859171597633136</v>
      </c>
      <c r="L135" s="16">
        <f>MAX(1-(INDEX('Stat Boosts'!$D$2:$D$192,L$1-9)-10)*$C135,1-0.4)</f>
        <v>0.84260355029585798</v>
      </c>
      <c r="M135" s="16">
        <f>MAX(1-(INDEX('Stat Boosts'!$D$2:$D$192,M$1-9)-10)*$C135,1-0.4)</f>
        <v>0.81775147928994074</v>
      </c>
      <c r="N135" s="16">
        <f>MAX(1-(INDEX('Stat Boosts'!$D$2:$D$192,N$1-9)-10)*$C135,1-0.4)</f>
        <v>0.80118343195266273</v>
      </c>
      <c r="O135" s="16">
        <f>MAX(1-(INDEX('Stat Boosts'!$D$2:$D$192,O$1-9)-10)*$C135,1-0.4)</f>
        <v>0.77633136094674549</v>
      </c>
      <c r="P135" s="16">
        <f>MAX(1-(INDEX('Stat Boosts'!$D$2:$D$192,P$1-9)-10)*$C135,1-0.4)</f>
        <v>0.75976331360946736</v>
      </c>
      <c r="Q135" s="16">
        <f>MAX(1-(INDEX('Stat Boosts'!$D$2:$D$192,Q$1-9)-10)*$C135,1-0.4)</f>
        <v>0.73491124260355023</v>
      </c>
      <c r="R135" s="16">
        <f>MAX(1-(INDEX('Stat Boosts'!$D$2:$D$192,R$1-9)-10)*$C135,1-0.4)</f>
        <v>0.71834319526627211</v>
      </c>
    </row>
    <row r="136" spans="1:18">
      <c r="A136" s="9">
        <v>135</v>
      </c>
      <c r="B136" s="16">
        <f t="shared" si="4"/>
        <v>34.285714285714285</v>
      </c>
      <c r="C136" s="16">
        <f t="shared" si="5"/>
        <v>8.2352941176470594E-3</v>
      </c>
      <c r="E136" s="16">
        <f>MAX(1-(INDEX('Stat Boosts'!$D$2:$D$192,E$1-9)-10)*$C136,1-0.4)</f>
        <v>1</v>
      </c>
      <c r="F136" s="16">
        <f>MAX(1-(INDEX('Stat Boosts'!$D$2:$D$192,F$1-9)-10)*$C136,1-0.4)</f>
        <v>0.98352941176470587</v>
      </c>
      <c r="G136" s="16">
        <f>MAX(1-(INDEX('Stat Boosts'!$D$2:$D$192,G$1-9)-10)*$C136,1-0.4)</f>
        <v>0.95882352941176474</v>
      </c>
      <c r="H136" s="16">
        <f>MAX(1-(INDEX('Stat Boosts'!$D$2:$D$192,H$1-9)-10)*$C136,1-0.4)</f>
        <v>0.9341176470588235</v>
      </c>
      <c r="I136" s="16">
        <f>MAX(1-(INDEX('Stat Boosts'!$D$2:$D$192,I$1-9)-10)*$C136,1-0.4)</f>
        <v>0.90941176470588236</v>
      </c>
      <c r="J136" s="16">
        <f>MAX(1-(INDEX('Stat Boosts'!$D$2:$D$192,J$1-9)-10)*$C136,1-0.4)</f>
        <v>0.88470588235294123</v>
      </c>
      <c r="K136" s="16">
        <f>MAX(1-(INDEX('Stat Boosts'!$D$2:$D$192,K$1-9)-10)*$C136,1-0.4)</f>
        <v>0.86</v>
      </c>
      <c r="L136" s="16">
        <f>MAX(1-(INDEX('Stat Boosts'!$D$2:$D$192,L$1-9)-10)*$C136,1-0.4)</f>
        <v>0.84352941176470586</v>
      </c>
      <c r="M136" s="16">
        <f>MAX(1-(INDEX('Stat Boosts'!$D$2:$D$192,M$1-9)-10)*$C136,1-0.4)</f>
        <v>0.81882352941176473</v>
      </c>
      <c r="N136" s="16">
        <f>MAX(1-(INDEX('Stat Boosts'!$D$2:$D$192,N$1-9)-10)*$C136,1-0.4)</f>
        <v>0.8023529411764706</v>
      </c>
      <c r="O136" s="16">
        <f>MAX(1-(INDEX('Stat Boosts'!$D$2:$D$192,O$1-9)-10)*$C136,1-0.4)</f>
        <v>0.77764705882352936</v>
      </c>
      <c r="P136" s="16">
        <f>MAX(1-(INDEX('Stat Boosts'!$D$2:$D$192,P$1-9)-10)*$C136,1-0.4)</f>
        <v>0.76117647058823534</v>
      </c>
      <c r="Q136" s="16">
        <f>MAX(1-(INDEX('Stat Boosts'!$D$2:$D$192,Q$1-9)-10)*$C136,1-0.4)</f>
        <v>0.7364705882352941</v>
      </c>
      <c r="R136" s="16">
        <f>MAX(1-(INDEX('Stat Boosts'!$D$2:$D$192,R$1-9)-10)*$C136,1-0.4)</f>
        <v>0.72</v>
      </c>
    </row>
    <row r="137" spans="1:18">
      <c r="A137" s="9">
        <v>136</v>
      </c>
      <c r="B137" s="16">
        <f t="shared" si="4"/>
        <v>34.428571428571431</v>
      </c>
      <c r="C137" s="16">
        <f t="shared" si="5"/>
        <v>8.1871345029239772E-3</v>
      </c>
      <c r="E137" s="16">
        <f>MAX(1-(INDEX('Stat Boosts'!$D$2:$D$192,E$1-9)-10)*$C137,1-0.4)</f>
        <v>1</v>
      </c>
      <c r="F137" s="16">
        <f>MAX(1-(INDEX('Stat Boosts'!$D$2:$D$192,F$1-9)-10)*$C137,1-0.4)</f>
        <v>0.98362573099415207</v>
      </c>
      <c r="G137" s="16">
        <f>MAX(1-(INDEX('Stat Boosts'!$D$2:$D$192,G$1-9)-10)*$C137,1-0.4)</f>
        <v>0.95906432748538006</v>
      </c>
      <c r="H137" s="16">
        <f>MAX(1-(INDEX('Stat Boosts'!$D$2:$D$192,H$1-9)-10)*$C137,1-0.4)</f>
        <v>0.93450292397660817</v>
      </c>
      <c r="I137" s="16">
        <f>MAX(1-(INDEX('Stat Boosts'!$D$2:$D$192,I$1-9)-10)*$C137,1-0.4)</f>
        <v>0.90994152046783627</v>
      </c>
      <c r="J137" s="16">
        <f>MAX(1-(INDEX('Stat Boosts'!$D$2:$D$192,J$1-9)-10)*$C137,1-0.4)</f>
        <v>0.88538011695906427</v>
      </c>
      <c r="K137" s="16">
        <f>MAX(1-(INDEX('Stat Boosts'!$D$2:$D$192,K$1-9)-10)*$C137,1-0.4)</f>
        <v>0.86081871345029237</v>
      </c>
      <c r="L137" s="16">
        <f>MAX(1-(INDEX('Stat Boosts'!$D$2:$D$192,L$1-9)-10)*$C137,1-0.4)</f>
        <v>0.84444444444444444</v>
      </c>
      <c r="M137" s="16">
        <f>MAX(1-(INDEX('Stat Boosts'!$D$2:$D$192,M$1-9)-10)*$C137,1-0.4)</f>
        <v>0.81988304093567255</v>
      </c>
      <c r="N137" s="16">
        <f>MAX(1-(INDEX('Stat Boosts'!$D$2:$D$192,N$1-9)-10)*$C137,1-0.4)</f>
        <v>0.80350877192982462</v>
      </c>
      <c r="O137" s="16">
        <f>MAX(1-(INDEX('Stat Boosts'!$D$2:$D$192,O$1-9)-10)*$C137,1-0.4)</f>
        <v>0.77894736842105261</v>
      </c>
      <c r="P137" s="16">
        <f>MAX(1-(INDEX('Stat Boosts'!$D$2:$D$192,P$1-9)-10)*$C137,1-0.4)</f>
        <v>0.76257309941520468</v>
      </c>
      <c r="Q137" s="16">
        <f>MAX(1-(INDEX('Stat Boosts'!$D$2:$D$192,Q$1-9)-10)*$C137,1-0.4)</f>
        <v>0.73801169590643267</v>
      </c>
      <c r="R137" s="16">
        <f>MAX(1-(INDEX('Stat Boosts'!$D$2:$D$192,R$1-9)-10)*$C137,1-0.4)</f>
        <v>0.72163742690058474</v>
      </c>
    </row>
    <row r="138" spans="1:18">
      <c r="A138" s="9">
        <v>137</v>
      </c>
      <c r="B138" s="16">
        <f t="shared" si="4"/>
        <v>34.571428571428569</v>
      </c>
      <c r="C138" s="16">
        <f t="shared" si="5"/>
        <v>8.1395348837209319E-3</v>
      </c>
      <c r="E138" s="16">
        <f>MAX(1-(INDEX('Stat Boosts'!$D$2:$D$192,E$1-9)-10)*$C138,1-0.4)</f>
        <v>1</v>
      </c>
      <c r="F138" s="16">
        <f>MAX(1-(INDEX('Stat Boosts'!$D$2:$D$192,F$1-9)-10)*$C138,1-0.4)</f>
        <v>0.98372093023255813</v>
      </c>
      <c r="G138" s="16">
        <f>MAX(1-(INDEX('Stat Boosts'!$D$2:$D$192,G$1-9)-10)*$C138,1-0.4)</f>
        <v>0.95930232558139539</v>
      </c>
      <c r="H138" s="16">
        <f>MAX(1-(INDEX('Stat Boosts'!$D$2:$D$192,H$1-9)-10)*$C138,1-0.4)</f>
        <v>0.93488372093023253</v>
      </c>
      <c r="I138" s="16">
        <f>MAX(1-(INDEX('Stat Boosts'!$D$2:$D$192,I$1-9)-10)*$C138,1-0.4)</f>
        <v>0.91046511627906979</v>
      </c>
      <c r="J138" s="16">
        <f>MAX(1-(INDEX('Stat Boosts'!$D$2:$D$192,J$1-9)-10)*$C138,1-0.4)</f>
        <v>0.88604651162790693</v>
      </c>
      <c r="K138" s="16">
        <f>MAX(1-(INDEX('Stat Boosts'!$D$2:$D$192,K$1-9)-10)*$C138,1-0.4)</f>
        <v>0.86162790697674418</v>
      </c>
      <c r="L138" s="16">
        <f>MAX(1-(INDEX('Stat Boosts'!$D$2:$D$192,L$1-9)-10)*$C138,1-0.4)</f>
        <v>0.84534883720930232</v>
      </c>
      <c r="M138" s="16">
        <f>MAX(1-(INDEX('Stat Boosts'!$D$2:$D$192,M$1-9)-10)*$C138,1-0.4)</f>
        <v>0.82093023255813946</v>
      </c>
      <c r="N138" s="16">
        <f>MAX(1-(INDEX('Stat Boosts'!$D$2:$D$192,N$1-9)-10)*$C138,1-0.4)</f>
        <v>0.80465116279069759</v>
      </c>
      <c r="O138" s="16">
        <f>MAX(1-(INDEX('Stat Boosts'!$D$2:$D$192,O$1-9)-10)*$C138,1-0.4)</f>
        <v>0.78023255813953485</v>
      </c>
      <c r="P138" s="16">
        <f>MAX(1-(INDEX('Stat Boosts'!$D$2:$D$192,P$1-9)-10)*$C138,1-0.4)</f>
        <v>0.76395348837209298</v>
      </c>
      <c r="Q138" s="16">
        <f>MAX(1-(INDEX('Stat Boosts'!$D$2:$D$192,Q$1-9)-10)*$C138,1-0.4)</f>
        <v>0.73953488372093013</v>
      </c>
      <c r="R138" s="16">
        <f>MAX(1-(INDEX('Stat Boosts'!$D$2:$D$192,R$1-9)-10)*$C138,1-0.4)</f>
        <v>0.72325581395348837</v>
      </c>
    </row>
    <row r="139" spans="1:18">
      <c r="A139" s="9">
        <v>138</v>
      </c>
      <c r="B139" s="16">
        <f t="shared" si="4"/>
        <v>34.714285714285715</v>
      </c>
      <c r="C139" s="16">
        <f t="shared" si="5"/>
        <v>8.0924855491329474E-3</v>
      </c>
      <c r="E139" s="16">
        <f>MAX(1-(INDEX('Stat Boosts'!$D$2:$D$192,E$1-9)-10)*$C139,1-0.4)</f>
        <v>1</v>
      </c>
      <c r="F139" s="16">
        <f>MAX(1-(INDEX('Stat Boosts'!$D$2:$D$192,F$1-9)-10)*$C139,1-0.4)</f>
        <v>0.98381502890173411</v>
      </c>
      <c r="G139" s="16">
        <f>MAX(1-(INDEX('Stat Boosts'!$D$2:$D$192,G$1-9)-10)*$C139,1-0.4)</f>
        <v>0.95953757225433522</v>
      </c>
      <c r="H139" s="16">
        <f>MAX(1-(INDEX('Stat Boosts'!$D$2:$D$192,H$1-9)-10)*$C139,1-0.4)</f>
        <v>0.93526011560693645</v>
      </c>
      <c r="I139" s="16">
        <f>MAX(1-(INDEX('Stat Boosts'!$D$2:$D$192,I$1-9)-10)*$C139,1-0.4)</f>
        <v>0.91098265895953756</v>
      </c>
      <c r="J139" s="16">
        <f>MAX(1-(INDEX('Stat Boosts'!$D$2:$D$192,J$1-9)-10)*$C139,1-0.4)</f>
        <v>0.88670520231213867</v>
      </c>
      <c r="K139" s="16">
        <f>MAX(1-(INDEX('Stat Boosts'!$D$2:$D$192,K$1-9)-10)*$C139,1-0.4)</f>
        <v>0.8624277456647399</v>
      </c>
      <c r="L139" s="16">
        <f>MAX(1-(INDEX('Stat Boosts'!$D$2:$D$192,L$1-9)-10)*$C139,1-0.4)</f>
        <v>0.84624277456647401</v>
      </c>
      <c r="M139" s="16">
        <f>MAX(1-(INDEX('Stat Boosts'!$D$2:$D$192,M$1-9)-10)*$C139,1-0.4)</f>
        <v>0.82196531791907512</v>
      </c>
      <c r="N139" s="16">
        <f>MAX(1-(INDEX('Stat Boosts'!$D$2:$D$192,N$1-9)-10)*$C139,1-0.4)</f>
        <v>0.80578034682080923</v>
      </c>
      <c r="O139" s="16">
        <f>MAX(1-(INDEX('Stat Boosts'!$D$2:$D$192,O$1-9)-10)*$C139,1-0.4)</f>
        <v>0.78150289017341046</v>
      </c>
      <c r="P139" s="16">
        <f>MAX(1-(INDEX('Stat Boosts'!$D$2:$D$192,P$1-9)-10)*$C139,1-0.4)</f>
        <v>0.76531791907514446</v>
      </c>
      <c r="Q139" s="16">
        <f>MAX(1-(INDEX('Stat Boosts'!$D$2:$D$192,Q$1-9)-10)*$C139,1-0.4)</f>
        <v>0.74104046242774568</v>
      </c>
      <c r="R139" s="16">
        <f>MAX(1-(INDEX('Stat Boosts'!$D$2:$D$192,R$1-9)-10)*$C139,1-0.4)</f>
        <v>0.7248554913294798</v>
      </c>
    </row>
    <row r="140" spans="1:18">
      <c r="A140" s="9">
        <v>139</v>
      </c>
      <c r="B140" s="16">
        <f t="shared" si="4"/>
        <v>34.857142857142861</v>
      </c>
      <c r="C140" s="16">
        <f t="shared" si="5"/>
        <v>8.0459770114942528E-3</v>
      </c>
      <c r="E140" s="16">
        <f>MAX(1-(INDEX('Stat Boosts'!$D$2:$D$192,E$1-9)-10)*$C140,1-0.4)</f>
        <v>1</v>
      </c>
      <c r="F140" s="16">
        <f>MAX(1-(INDEX('Stat Boosts'!$D$2:$D$192,F$1-9)-10)*$C140,1-0.4)</f>
        <v>0.98390804597701154</v>
      </c>
      <c r="G140" s="16">
        <f>MAX(1-(INDEX('Stat Boosts'!$D$2:$D$192,G$1-9)-10)*$C140,1-0.4)</f>
        <v>0.95977011494252873</v>
      </c>
      <c r="H140" s="16">
        <f>MAX(1-(INDEX('Stat Boosts'!$D$2:$D$192,H$1-9)-10)*$C140,1-0.4)</f>
        <v>0.93563218390804592</v>
      </c>
      <c r="I140" s="16">
        <f>MAX(1-(INDEX('Stat Boosts'!$D$2:$D$192,I$1-9)-10)*$C140,1-0.4)</f>
        <v>0.91149425287356323</v>
      </c>
      <c r="J140" s="16">
        <f>MAX(1-(INDEX('Stat Boosts'!$D$2:$D$192,J$1-9)-10)*$C140,1-0.4)</f>
        <v>0.88735632183908042</v>
      </c>
      <c r="K140" s="16">
        <f>MAX(1-(INDEX('Stat Boosts'!$D$2:$D$192,K$1-9)-10)*$C140,1-0.4)</f>
        <v>0.86321839080459772</v>
      </c>
      <c r="L140" s="16">
        <f>MAX(1-(INDEX('Stat Boosts'!$D$2:$D$192,L$1-9)-10)*$C140,1-0.4)</f>
        <v>0.84712643678160915</v>
      </c>
      <c r="M140" s="16">
        <f>MAX(1-(INDEX('Stat Boosts'!$D$2:$D$192,M$1-9)-10)*$C140,1-0.4)</f>
        <v>0.82298850574712645</v>
      </c>
      <c r="N140" s="16">
        <f>MAX(1-(INDEX('Stat Boosts'!$D$2:$D$192,N$1-9)-10)*$C140,1-0.4)</f>
        <v>0.80689655172413799</v>
      </c>
      <c r="O140" s="16">
        <f>MAX(1-(INDEX('Stat Boosts'!$D$2:$D$192,O$1-9)-10)*$C140,1-0.4)</f>
        <v>0.78275862068965518</v>
      </c>
      <c r="P140" s="16">
        <f>MAX(1-(INDEX('Stat Boosts'!$D$2:$D$192,P$1-9)-10)*$C140,1-0.4)</f>
        <v>0.76666666666666661</v>
      </c>
      <c r="Q140" s="16">
        <f>MAX(1-(INDEX('Stat Boosts'!$D$2:$D$192,Q$1-9)-10)*$C140,1-0.4)</f>
        <v>0.74252873563218391</v>
      </c>
      <c r="R140" s="16">
        <f>MAX(1-(INDEX('Stat Boosts'!$D$2:$D$192,R$1-9)-10)*$C140,1-0.4)</f>
        <v>0.72643678160919545</v>
      </c>
    </row>
    <row r="141" spans="1:18">
      <c r="A141" s="9">
        <v>140</v>
      </c>
      <c r="B141" s="16">
        <f t="shared" si="4"/>
        <v>35</v>
      </c>
      <c r="C141" s="16">
        <f t="shared" si="5"/>
        <v>8.0000000000000002E-3</v>
      </c>
      <c r="E141" s="16">
        <f>MAX(1-(INDEX('Stat Boosts'!$D$2:$D$192,E$1-9)-10)*$C141,1-0.4)</f>
        <v>1</v>
      </c>
      <c r="F141" s="16">
        <f>MAX(1-(INDEX('Stat Boosts'!$D$2:$D$192,F$1-9)-10)*$C141,1-0.4)</f>
        <v>0.98399999999999999</v>
      </c>
      <c r="G141" s="16">
        <f>MAX(1-(INDEX('Stat Boosts'!$D$2:$D$192,G$1-9)-10)*$C141,1-0.4)</f>
        <v>0.96</v>
      </c>
      <c r="H141" s="16">
        <f>MAX(1-(INDEX('Stat Boosts'!$D$2:$D$192,H$1-9)-10)*$C141,1-0.4)</f>
        <v>0.93599999999999994</v>
      </c>
      <c r="I141" s="16">
        <f>MAX(1-(INDEX('Stat Boosts'!$D$2:$D$192,I$1-9)-10)*$C141,1-0.4)</f>
        <v>0.91200000000000003</v>
      </c>
      <c r="J141" s="16">
        <f>MAX(1-(INDEX('Stat Boosts'!$D$2:$D$192,J$1-9)-10)*$C141,1-0.4)</f>
        <v>0.88800000000000001</v>
      </c>
      <c r="K141" s="16">
        <f>MAX(1-(INDEX('Stat Boosts'!$D$2:$D$192,K$1-9)-10)*$C141,1-0.4)</f>
        <v>0.86399999999999999</v>
      </c>
      <c r="L141" s="16">
        <f>MAX(1-(INDEX('Stat Boosts'!$D$2:$D$192,L$1-9)-10)*$C141,1-0.4)</f>
        <v>0.84799999999999998</v>
      </c>
      <c r="M141" s="16">
        <f>MAX(1-(INDEX('Stat Boosts'!$D$2:$D$192,M$1-9)-10)*$C141,1-0.4)</f>
        <v>0.82400000000000007</v>
      </c>
      <c r="N141" s="16">
        <f>MAX(1-(INDEX('Stat Boosts'!$D$2:$D$192,N$1-9)-10)*$C141,1-0.4)</f>
        <v>0.80800000000000005</v>
      </c>
      <c r="O141" s="16">
        <f>MAX(1-(INDEX('Stat Boosts'!$D$2:$D$192,O$1-9)-10)*$C141,1-0.4)</f>
        <v>0.78400000000000003</v>
      </c>
      <c r="P141" s="16">
        <f>MAX(1-(INDEX('Stat Boosts'!$D$2:$D$192,P$1-9)-10)*$C141,1-0.4)</f>
        <v>0.76800000000000002</v>
      </c>
      <c r="Q141" s="16">
        <f>MAX(1-(INDEX('Stat Boosts'!$D$2:$D$192,Q$1-9)-10)*$C141,1-0.4)</f>
        <v>0.74399999999999999</v>
      </c>
      <c r="R141" s="16">
        <f>MAX(1-(INDEX('Stat Boosts'!$D$2:$D$192,R$1-9)-10)*$C141,1-0.4)</f>
        <v>0.72799999999999998</v>
      </c>
    </row>
    <row r="142" spans="1:18">
      <c r="A142" s="9">
        <v>141</v>
      </c>
      <c r="B142" s="16">
        <f t="shared" si="4"/>
        <v>35.142857142857139</v>
      </c>
      <c r="C142" s="16">
        <f t="shared" si="5"/>
        <v>7.9545454545454555E-3</v>
      </c>
      <c r="E142" s="16">
        <f>MAX(1-(INDEX('Stat Boosts'!$D$2:$D$192,E$1-9)-10)*$C142,1-0.4)</f>
        <v>1</v>
      </c>
      <c r="F142" s="16">
        <f>MAX(1-(INDEX('Stat Boosts'!$D$2:$D$192,F$1-9)-10)*$C142,1-0.4)</f>
        <v>0.98409090909090913</v>
      </c>
      <c r="G142" s="16">
        <f>MAX(1-(INDEX('Stat Boosts'!$D$2:$D$192,G$1-9)-10)*$C142,1-0.4)</f>
        <v>0.96022727272727271</v>
      </c>
      <c r="H142" s="16">
        <f>MAX(1-(INDEX('Stat Boosts'!$D$2:$D$192,H$1-9)-10)*$C142,1-0.4)</f>
        <v>0.9363636363636364</v>
      </c>
      <c r="I142" s="16">
        <f>MAX(1-(INDEX('Stat Boosts'!$D$2:$D$192,I$1-9)-10)*$C142,1-0.4)</f>
        <v>0.91249999999999998</v>
      </c>
      <c r="J142" s="16">
        <f>MAX(1-(INDEX('Stat Boosts'!$D$2:$D$192,J$1-9)-10)*$C142,1-0.4)</f>
        <v>0.88863636363636367</v>
      </c>
      <c r="K142" s="16">
        <f>MAX(1-(INDEX('Stat Boosts'!$D$2:$D$192,K$1-9)-10)*$C142,1-0.4)</f>
        <v>0.86477272727272725</v>
      </c>
      <c r="L142" s="16">
        <f>MAX(1-(INDEX('Stat Boosts'!$D$2:$D$192,L$1-9)-10)*$C142,1-0.4)</f>
        <v>0.84886363636363638</v>
      </c>
      <c r="M142" s="16">
        <f>MAX(1-(INDEX('Stat Boosts'!$D$2:$D$192,M$1-9)-10)*$C142,1-0.4)</f>
        <v>0.82499999999999996</v>
      </c>
      <c r="N142" s="16">
        <f>MAX(1-(INDEX('Stat Boosts'!$D$2:$D$192,N$1-9)-10)*$C142,1-0.4)</f>
        <v>0.80909090909090908</v>
      </c>
      <c r="O142" s="16">
        <f>MAX(1-(INDEX('Stat Boosts'!$D$2:$D$192,O$1-9)-10)*$C142,1-0.4)</f>
        <v>0.78522727272727266</v>
      </c>
      <c r="P142" s="16">
        <f>MAX(1-(INDEX('Stat Boosts'!$D$2:$D$192,P$1-9)-10)*$C142,1-0.4)</f>
        <v>0.76931818181818179</v>
      </c>
      <c r="Q142" s="16">
        <f>MAX(1-(INDEX('Stat Boosts'!$D$2:$D$192,Q$1-9)-10)*$C142,1-0.4)</f>
        <v>0.74545454545454537</v>
      </c>
      <c r="R142" s="16">
        <f>MAX(1-(INDEX('Stat Boosts'!$D$2:$D$192,R$1-9)-10)*$C142,1-0.4)</f>
        <v>0.7295454545454545</v>
      </c>
    </row>
    <row r="143" spans="1:18">
      <c r="A143" s="9">
        <v>142</v>
      </c>
      <c r="B143" s="16">
        <f t="shared" si="4"/>
        <v>35.285714285714285</v>
      </c>
      <c r="C143" s="16">
        <f t="shared" si="5"/>
        <v>7.9096045197740127E-3</v>
      </c>
      <c r="E143" s="16">
        <f>MAX(1-(INDEX('Stat Boosts'!$D$2:$D$192,E$1-9)-10)*$C143,1-0.4)</f>
        <v>1</v>
      </c>
      <c r="F143" s="16">
        <f>MAX(1-(INDEX('Stat Boosts'!$D$2:$D$192,F$1-9)-10)*$C143,1-0.4)</f>
        <v>0.98418079096045197</v>
      </c>
      <c r="G143" s="16">
        <f>MAX(1-(INDEX('Stat Boosts'!$D$2:$D$192,G$1-9)-10)*$C143,1-0.4)</f>
        <v>0.96045197740112997</v>
      </c>
      <c r="H143" s="16">
        <f>MAX(1-(INDEX('Stat Boosts'!$D$2:$D$192,H$1-9)-10)*$C143,1-0.4)</f>
        <v>0.93672316384180787</v>
      </c>
      <c r="I143" s="16">
        <f>MAX(1-(INDEX('Stat Boosts'!$D$2:$D$192,I$1-9)-10)*$C143,1-0.4)</f>
        <v>0.91299435028248588</v>
      </c>
      <c r="J143" s="16">
        <f>MAX(1-(INDEX('Stat Boosts'!$D$2:$D$192,J$1-9)-10)*$C143,1-0.4)</f>
        <v>0.88926553672316389</v>
      </c>
      <c r="K143" s="16">
        <f>MAX(1-(INDEX('Stat Boosts'!$D$2:$D$192,K$1-9)-10)*$C143,1-0.4)</f>
        <v>0.86553672316384178</v>
      </c>
      <c r="L143" s="16">
        <f>MAX(1-(INDEX('Stat Boosts'!$D$2:$D$192,L$1-9)-10)*$C143,1-0.4)</f>
        <v>0.84971751412429375</v>
      </c>
      <c r="M143" s="16">
        <f>MAX(1-(INDEX('Stat Boosts'!$D$2:$D$192,M$1-9)-10)*$C143,1-0.4)</f>
        <v>0.82598870056497176</v>
      </c>
      <c r="N143" s="16">
        <f>MAX(1-(INDEX('Stat Boosts'!$D$2:$D$192,N$1-9)-10)*$C143,1-0.4)</f>
        <v>0.81016949152542372</v>
      </c>
      <c r="O143" s="16">
        <f>MAX(1-(INDEX('Stat Boosts'!$D$2:$D$192,O$1-9)-10)*$C143,1-0.4)</f>
        <v>0.78644067796610162</v>
      </c>
      <c r="P143" s="16">
        <f>MAX(1-(INDEX('Stat Boosts'!$D$2:$D$192,P$1-9)-10)*$C143,1-0.4)</f>
        <v>0.77062146892655359</v>
      </c>
      <c r="Q143" s="16">
        <f>MAX(1-(INDEX('Stat Boosts'!$D$2:$D$192,Q$1-9)-10)*$C143,1-0.4)</f>
        <v>0.74689265536723159</v>
      </c>
      <c r="R143" s="16">
        <f>MAX(1-(INDEX('Stat Boosts'!$D$2:$D$192,R$1-9)-10)*$C143,1-0.4)</f>
        <v>0.73107344632768356</v>
      </c>
    </row>
    <row r="144" spans="1:18">
      <c r="A144" s="9">
        <v>143</v>
      </c>
      <c r="B144" s="16">
        <f t="shared" si="4"/>
        <v>35.428571428571431</v>
      </c>
      <c r="C144" s="16">
        <f t="shared" si="5"/>
        <v>7.8651685393258432E-3</v>
      </c>
      <c r="E144" s="16">
        <f>MAX(1-(INDEX('Stat Boosts'!$D$2:$D$192,E$1-9)-10)*$C144,1-0.4)</f>
        <v>1</v>
      </c>
      <c r="F144" s="16">
        <f>MAX(1-(INDEX('Stat Boosts'!$D$2:$D$192,F$1-9)-10)*$C144,1-0.4)</f>
        <v>0.98426966292134832</v>
      </c>
      <c r="G144" s="16">
        <f>MAX(1-(INDEX('Stat Boosts'!$D$2:$D$192,G$1-9)-10)*$C144,1-0.4)</f>
        <v>0.9606741573033708</v>
      </c>
      <c r="H144" s="16">
        <f>MAX(1-(INDEX('Stat Boosts'!$D$2:$D$192,H$1-9)-10)*$C144,1-0.4)</f>
        <v>0.93707865168539328</v>
      </c>
      <c r="I144" s="16">
        <f>MAX(1-(INDEX('Stat Boosts'!$D$2:$D$192,I$1-9)-10)*$C144,1-0.4)</f>
        <v>0.91348314606741576</v>
      </c>
      <c r="J144" s="16">
        <f>MAX(1-(INDEX('Stat Boosts'!$D$2:$D$192,J$1-9)-10)*$C144,1-0.4)</f>
        <v>0.88988764044943824</v>
      </c>
      <c r="K144" s="16">
        <f>MAX(1-(INDEX('Stat Boosts'!$D$2:$D$192,K$1-9)-10)*$C144,1-0.4)</f>
        <v>0.86629213483146073</v>
      </c>
      <c r="L144" s="16">
        <f>MAX(1-(INDEX('Stat Boosts'!$D$2:$D$192,L$1-9)-10)*$C144,1-0.4)</f>
        <v>0.85056179775280905</v>
      </c>
      <c r="M144" s="16">
        <f>MAX(1-(INDEX('Stat Boosts'!$D$2:$D$192,M$1-9)-10)*$C144,1-0.4)</f>
        <v>0.82696629213483142</v>
      </c>
      <c r="N144" s="16">
        <f>MAX(1-(INDEX('Stat Boosts'!$D$2:$D$192,N$1-9)-10)*$C144,1-0.4)</f>
        <v>0.81123595505617974</v>
      </c>
      <c r="O144" s="16">
        <f>MAX(1-(INDEX('Stat Boosts'!$D$2:$D$192,O$1-9)-10)*$C144,1-0.4)</f>
        <v>0.78764044943820222</v>
      </c>
      <c r="P144" s="16">
        <f>MAX(1-(INDEX('Stat Boosts'!$D$2:$D$192,P$1-9)-10)*$C144,1-0.4)</f>
        <v>0.77191011235955054</v>
      </c>
      <c r="Q144" s="16">
        <f>MAX(1-(INDEX('Stat Boosts'!$D$2:$D$192,Q$1-9)-10)*$C144,1-0.4)</f>
        <v>0.74831460674157302</v>
      </c>
      <c r="R144" s="16">
        <f>MAX(1-(INDEX('Stat Boosts'!$D$2:$D$192,R$1-9)-10)*$C144,1-0.4)</f>
        <v>0.73258426966292134</v>
      </c>
    </row>
    <row r="145" spans="1:18">
      <c r="A145" s="9">
        <v>144</v>
      </c>
      <c r="B145" s="16">
        <f t="shared" si="4"/>
        <v>35.571428571428569</v>
      </c>
      <c r="C145" s="16">
        <f t="shared" si="5"/>
        <v>7.82122905027933E-3</v>
      </c>
      <c r="E145" s="16">
        <f>MAX(1-(INDEX('Stat Boosts'!$D$2:$D$192,E$1-9)-10)*$C145,1-0.4)</f>
        <v>1</v>
      </c>
      <c r="F145" s="16">
        <f>MAX(1-(INDEX('Stat Boosts'!$D$2:$D$192,F$1-9)-10)*$C145,1-0.4)</f>
        <v>0.98435754189944136</v>
      </c>
      <c r="G145" s="16">
        <f>MAX(1-(INDEX('Stat Boosts'!$D$2:$D$192,G$1-9)-10)*$C145,1-0.4)</f>
        <v>0.96089385474860334</v>
      </c>
      <c r="H145" s="16">
        <f>MAX(1-(INDEX('Stat Boosts'!$D$2:$D$192,H$1-9)-10)*$C145,1-0.4)</f>
        <v>0.93743016759776532</v>
      </c>
      <c r="I145" s="16">
        <f>MAX(1-(INDEX('Stat Boosts'!$D$2:$D$192,I$1-9)-10)*$C145,1-0.4)</f>
        <v>0.91396648044692741</v>
      </c>
      <c r="J145" s="16">
        <f>MAX(1-(INDEX('Stat Boosts'!$D$2:$D$192,J$1-9)-10)*$C145,1-0.4)</f>
        <v>0.89050279329608939</v>
      </c>
      <c r="K145" s="16">
        <f>MAX(1-(INDEX('Stat Boosts'!$D$2:$D$192,K$1-9)-10)*$C145,1-0.4)</f>
        <v>0.86703910614525137</v>
      </c>
      <c r="L145" s="16">
        <f>MAX(1-(INDEX('Stat Boosts'!$D$2:$D$192,L$1-9)-10)*$C145,1-0.4)</f>
        <v>0.85139664804469273</v>
      </c>
      <c r="M145" s="16">
        <f>MAX(1-(INDEX('Stat Boosts'!$D$2:$D$192,M$1-9)-10)*$C145,1-0.4)</f>
        <v>0.82793296089385471</v>
      </c>
      <c r="N145" s="16">
        <f>MAX(1-(INDEX('Stat Boosts'!$D$2:$D$192,N$1-9)-10)*$C145,1-0.4)</f>
        <v>0.81229050279329607</v>
      </c>
      <c r="O145" s="16">
        <f>MAX(1-(INDEX('Stat Boosts'!$D$2:$D$192,O$1-9)-10)*$C145,1-0.4)</f>
        <v>0.78882681564245805</v>
      </c>
      <c r="P145" s="16">
        <f>MAX(1-(INDEX('Stat Boosts'!$D$2:$D$192,P$1-9)-10)*$C145,1-0.4)</f>
        <v>0.7731843575418994</v>
      </c>
      <c r="Q145" s="16">
        <f>MAX(1-(INDEX('Stat Boosts'!$D$2:$D$192,Q$1-9)-10)*$C145,1-0.4)</f>
        <v>0.74972067039106149</v>
      </c>
      <c r="R145" s="16">
        <f>MAX(1-(INDEX('Stat Boosts'!$D$2:$D$192,R$1-9)-10)*$C145,1-0.4)</f>
        <v>0.73407821229050274</v>
      </c>
    </row>
    <row r="146" spans="1:18">
      <c r="A146" s="9">
        <v>145</v>
      </c>
      <c r="B146" s="16">
        <f t="shared" si="4"/>
        <v>35.714285714285715</v>
      </c>
      <c r="C146" s="16">
        <f t="shared" si="5"/>
        <v>7.7777777777777776E-3</v>
      </c>
      <c r="E146" s="16">
        <f>MAX(1-(INDEX('Stat Boosts'!$D$2:$D$192,E$1-9)-10)*$C146,1-0.4)</f>
        <v>1</v>
      </c>
      <c r="F146" s="16">
        <f>MAX(1-(INDEX('Stat Boosts'!$D$2:$D$192,F$1-9)-10)*$C146,1-0.4)</f>
        <v>0.98444444444444446</v>
      </c>
      <c r="G146" s="16">
        <f>MAX(1-(INDEX('Stat Boosts'!$D$2:$D$192,G$1-9)-10)*$C146,1-0.4)</f>
        <v>0.96111111111111114</v>
      </c>
      <c r="H146" s="16">
        <f>MAX(1-(INDEX('Stat Boosts'!$D$2:$D$192,H$1-9)-10)*$C146,1-0.4)</f>
        <v>0.93777777777777782</v>
      </c>
      <c r="I146" s="16">
        <f>MAX(1-(INDEX('Stat Boosts'!$D$2:$D$192,I$1-9)-10)*$C146,1-0.4)</f>
        <v>0.91444444444444439</v>
      </c>
      <c r="J146" s="16">
        <f>MAX(1-(INDEX('Stat Boosts'!$D$2:$D$192,J$1-9)-10)*$C146,1-0.4)</f>
        <v>0.89111111111111108</v>
      </c>
      <c r="K146" s="16">
        <f>MAX(1-(INDEX('Stat Boosts'!$D$2:$D$192,K$1-9)-10)*$C146,1-0.4)</f>
        <v>0.86777777777777776</v>
      </c>
      <c r="L146" s="16">
        <f>MAX(1-(INDEX('Stat Boosts'!$D$2:$D$192,L$1-9)-10)*$C146,1-0.4)</f>
        <v>0.85222222222222221</v>
      </c>
      <c r="M146" s="16">
        <f>MAX(1-(INDEX('Stat Boosts'!$D$2:$D$192,M$1-9)-10)*$C146,1-0.4)</f>
        <v>0.8288888888888889</v>
      </c>
      <c r="N146" s="16">
        <f>MAX(1-(INDEX('Stat Boosts'!$D$2:$D$192,N$1-9)-10)*$C146,1-0.4)</f>
        <v>0.81333333333333335</v>
      </c>
      <c r="O146" s="16">
        <f>MAX(1-(INDEX('Stat Boosts'!$D$2:$D$192,O$1-9)-10)*$C146,1-0.4)</f>
        <v>0.79</v>
      </c>
      <c r="P146" s="16">
        <f>MAX(1-(INDEX('Stat Boosts'!$D$2:$D$192,P$1-9)-10)*$C146,1-0.4)</f>
        <v>0.77444444444444449</v>
      </c>
      <c r="Q146" s="16">
        <f>MAX(1-(INDEX('Stat Boosts'!$D$2:$D$192,Q$1-9)-10)*$C146,1-0.4)</f>
        <v>0.75111111111111106</v>
      </c>
      <c r="R146" s="16">
        <f>MAX(1-(INDEX('Stat Boosts'!$D$2:$D$192,R$1-9)-10)*$C146,1-0.4)</f>
        <v>0.73555555555555552</v>
      </c>
    </row>
    <row r="147" spans="1:18">
      <c r="A147" s="9">
        <v>146</v>
      </c>
      <c r="B147" s="16">
        <f t="shared" si="4"/>
        <v>35.857142857142861</v>
      </c>
      <c r="C147" s="16">
        <f t="shared" si="5"/>
        <v>7.7348066298342536E-3</v>
      </c>
      <c r="E147" s="16">
        <f>MAX(1-(INDEX('Stat Boosts'!$D$2:$D$192,E$1-9)-10)*$C147,1-0.4)</f>
        <v>1</v>
      </c>
      <c r="F147" s="16">
        <f>MAX(1-(INDEX('Stat Boosts'!$D$2:$D$192,F$1-9)-10)*$C147,1-0.4)</f>
        <v>0.98453038674033144</v>
      </c>
      <c r="G147" s="16">
        <f>MAX(1-(INDEX('Stat Boosts'!$D$2:$D$192,G$1-9)-10)*$C147,1-0.4)</f>
        <v>0.96132596685082872</v>
      </c>
      <c r="H147" s="16">
        <f>MAX(1-(INDEX('Stat Boosts'!$D$2:$D$192,H$1-9)-10)*$C147,1-0.4)</f>
        <v>0.93812154696132599</v>
      </c>
      <c r="I147" s="16">
        <f>MAX(1-(INDEX('Stat Boosts'!$D$2:$D$192,I$1-9)-10)*$C147,1-0.4)</f>
        <v>0.91491712707182327</v>
      </c>
      <c r="J147" s="16">
        <f>MAX(1-(INDEX('Stat Boosts'!$D$2:$D$192,J$1-9)-10)*$C147,1-0.4)</f>
        <v>0.89171270718232043</v>
      </c>
      <c r="K147" s="16">
        <f>MAX(1-(INDEX('Stat Boosts'!$D$2:$D$192,K$1-9)-10)*$C147,1-0.4)</f>
        <v>0.8685082872928177</v>
      </c>
      <c r="L147" s="16">
        <f>MAX(1-(INDEX('Stat Boosts'!$D$2:$D$192,L$1-9)-10)*$C147,1-0.4)</f>
        <v>0.85303867403314915</v>
      </c>
      <c r="M147" s="16">
        <f>MAX(1-(INDEX('Stat Boosts'!$D$2:$D$192,M$1-9)-10)*$C147,1-0.4)</f>
        <v>0.82983425414364642</v>
      </c>
      <c r="N147" s="16">
        <f>MAX(1-(INDEX('Stat Boosts'!$D$2:$D$192,N$1-9)-10)*$C147,1-0.4)</f>
        <v>0.81436464088397797</v>
      </c>
      <c r="O147" s="16">
        <f>MAX(1-(INDEX('Stat Boosts'!$D$2:$D$192,O$1-9)-10)*$C147,1-0.4)</f>
        <v>0.79116022099447514</v>
      </c>
      <c r="P147" s="16">
        <f>MAX(1-(INDEX('Stat Boosts'!$D$2:$D$192,P$1-9)-10)*$C147,1-0.4)</f>
        <v>0.77569060773480669</v>
      </c>
      <c r="Q147" s="16">
        <f>MAX(1-(INDEX('Stat Boosts'!$D$2:$D$192,Q$1-9)-10)*$C147,1-0.4)</f>
        <v>0.75248618784530386</v>
      </c>
      <c r="R147" s="16">
        <f>MAX(1-(INDEX('Stat Boosts'!$D$2:$D$192,R$1-9)-10)*$C147,1-0.4)</f>
        <v>0.73701657458563541</v>
      </c>
    </row>
    <row r="148" spans="1:18">
      <c r="A148" s="9">
        <v>147</v>
      </c>
      <c r="B148" s="16">
        <f t="shared" si="4"/>
        <v>36</v>
      </c>
      <c r="C148" s="16">
        <f t="shared" si="5"/>
        <v>7.6923076923076927E-3</v>
      </c>
      <c r="E148" s="16">
        <f>MAX(1-(INDEX('Stat Boosts'!$D$2:$D$192,E$1-9)-10)*$C148,1-0.4)</f>
        <v>1</v>
      </c>
      <c r="F148" s="16">
        <f>MAX(1-(INDEX('Stat Boosts'!$D$2:$D$192,F$1-9)-10)*$C148,1-0.4)</f>
        <v>0.98461538461538467</v>
      </c>
      <c r="G148" s="16">
        <f>MAX(1-(INDEX('Stat Boosts'!$D$2:$D$192,G$1-9)-10)*$C148,1-0.4)</f>
        <v>0.96153846153846156</v>
      </c>
      <c r="H148" s="16">
        <f>MAX(1-(INDEX('Stat Boosts'!$D$2:$D$192,H$1-9)-10)*$C148,1-0.4)</f>
        <v>0.93846153846153846</v>
      </c>
      <c r="I148" s="16">
        <f>MAX(1-(INDEX('Stat Boosts'!$D$2:$D$192,I$1-9)-10)*$C148,1-0.4)</f>
        <v>0.91538461538461535</v>
      </c>
      <c r="J148" s="16">
        <f>MAX(1-(INDEX('Stat Boosts'!$D$2:$D$192,J$1-9)-10)*$C148,1-0.4)</f>
        <v>0.89230769230769225</v>
      </c>
      <c r="K148" s="16">
        <f>MAX(1-(INDEX('Stat Boosts'!$D$2:$D$192,K$1-9)-10)*$C148,1-0.4)</f>
        <v>0.86923076923076925</v>
      </c>
      <c r="L148" s="16">
        <f>MAX(1-(INDEX('Stat Boosts'!$D$2:$D$192,L$1-9)-10)*$C148,1-0.4)</f>
        <v>0.85384615384615381</v>
      </c>
      <c r="M148" s="16">
        <f>MAX(1-(INDEX('Stat Boosts'!$D$2:$D$192,M$1-9)-10)*$C148,1-0.4)</f>
        <v>0.8307692307692307</v>
      </c>
      <c r="N148" s="16">
        <f>MAX(1-(INDEX('Stat Boosts'!$D$2:$D$192,N$1-9)-10)*$C148,1-0.4)</f>
        <v>0.81538461538461537</v>
      </c>
      <c r="O148" s="16">
        <f>MAX(1-(INDEX('Stat Boosts'!$D$2:$D$192,O$1-9)-10)*$C148,1-0.4)</f>
        <v>0.79230769230769227</v>
      </c>
      <c r="P148" s="16">
        <f>MAX(1-(INDEX('Stat Boosts'!$D$2:$D$192,P$1-9)-10)*$C148,1-0.4)</f>
        <v>0.77692307692307694</v>
      </c>
      <c r="Q148" s="16">
        <f>MAX(1-(INDEX('Stat Boosts'!$D$2:$D$192,Q$1-9)-10)*$C148,1-0.4)</f>
        <v>0.75384615384615383</v>
      </c>
      <c r="R148" s="16">
        <f>MAX(1-(INDEX('Stat Boosts'!$D$2:$D$192,R$1-9)-10)*$C148,1-0.4)</f>
        <v>0.7384615384615385</v>
      </c>
    </row>
    <row r="149" spans="1:18">
      <c r="A149" s="9">
        <v>148</v>
      </c>
      <c r="B149" s="16">
        <f t="shared" si="4"/>
        <v>36.142857142857139</v>
      </c>
      <c r="C149" s="16">
        <f t="shared" si="5"/>
        <v>7.6502732240437176E-3</v>
      </c>
      <c r="E149" s="16">
        <f>MAX(1-(INDEX('Stat Boosts'!$D$2:$D$192,E$1-9)-10)*$C149,1-0.4)</f>
        <v>1</v>
      </c>
      <c r="F149" s="16">
        <f>MAX(1-(INDEX('Stat Boosts'!$D$2:$D$192,F$1-9)-10)*$C149,1-0.4)</f>
        <v>0.98469945355191257</v>
      </c>
      <c r="G149" s="16">
        <f>MAX(1-(INDEX('Stat Boosts'!$D$2:$D$192,G$1-9)-10)*$C149,1-0.4)</f>
        <v>0.96174863387978138</v>
      </c>
      <c r="H149" s="16">
        <f>MAX(1-(INDEX('Stat Boosts'!$D$2:$D$192,H$1-9)-10)*$C149,1-0.4)</f>
        <v>0.93879781420765029</v>
      </c>
      <c r="I149" s="16">
        <f>MAX(1-(INDEX('Stat Boosts'!$D$2:$D$192,I$1-9)-10)*$C149,1-0.4)</f>
        <v>0.9158469945355191</v>
      </c>
      <c r="J149" s="16">
        <f>MAX(1-(INDEX('Stat Boosts'!$D$2:$D$192,J$1-9)-10)*$C149,1-0.4)</f>
        <v>0.8928961748633879</v>
      </c>
      <c r="K149" s="16">
        <f>MAX(1-(INDEX('Stat Boosts'!$D$2:$D$192,K$1-9)-10)*$C149,1-0.4)</f>
        <v>0.86994535519125682</v>
      </c>
      <c r="L149" s="16">
        <f>MAX(1-(INDEX('Stat Boosts'!$D$2:$D$192,L$1-9)-10)*$C149,1-0.4)</f>
        <v>0.85464480874316939</v>
      </c>
      <c r="M149" s="16">
        <f>MAX(1-(INDEX('Stat Boosts'!$D$2:$D$192,M$1-9)-10)*$C149,1-0.4)</f>
        <v>0.8316939890710382</v>
      </c>
      <c r="N149" s="16">
        <f>MAX(1-(INDEX('Stat Boosts'!$D$2:$D$192,N$1-9)-10)*$C149,1-0.4)</f>
        <v>0.81639344262295077</v>
      </c>
      <c r="O149" s="16">
        <f>MAX(1-(INDEX('Stat Boosts'!$D$2:$D$192,O$1-9)-10)*$C149,1-0.4)</f>
        <v>0.79344262295081958</v>
      </c>
      <c r="P149" s="16">
        <f>MAX(1-(INDEX('Stat Boosts'!$D$2:$D$192,P$1-9)-10)*$C149,1-0.4)</f>
        <v>0.77814207650273215</v>
      </c>
      <c r="Q149" s="16">
        <f>MAX(1-(INDEX('Stat Boosts'!$D$2:$D$192,Q$1-9)-10)*$C149,1-0.4)</f>
        <v>0.75519125683060107</v>
      </c>
      <c r="R149" s="16">
        <f>MAX(1-(INDEX('Stat Boosts'!$D$2:$D$192,R$1-9)-10)*$C149,1-0.4)</f>
        <v>0.73989071038251364</v>
      </c>
    </row>
    <row r="150" spans="1:18">
      <c r="A150" s="9">
        <v>149</v>
      </c>
      <c r="B150" s="16">
        <f t="shared" si="4"/>
        <v>36.285714285714285</v>
      </c>
      <c r="C150" s="16">
        <f t="shared" si="5"/>
        <v>7.6086956521739134E-3</v>
      </c>
      <c r="E150" s="16">
        <f>MAX(1-(INDEX('Stat Boosts'!$D$2:$D$192,E$1-9)-10)*$C150,1-0.4)</f>
        <v>1</v>
      </c>
      <c r="F150" s="16">
        <f>MAX(1-(INDEX('Stat Boosts'!$D$2:$D$192,F$1-9)-10)*$C150,1-0.4)</f>
        <v>0.98478260869565215</v>
      </c>
      <c r="G150" s="16">
        <f>MAX(1-(INDEX('Stat Boosts'!$D$2:$D$192,G$1-9)-10)*$C150,1-0.4)</f>
        <v>0.96195652173913038</v>
      </c>
      <c r="H150" s="16">
        <f>MAX(1-(INDEX('Stat Boosts'!$D$2:$D$192,H$1-9)-10)*$C150,1-0.4)</f>
        <v>0.93913043478260871</v>
      </c>
      <c r="I150" s="16">
        <f>MAX(1-(INDEX('Stat Boosts'!$D$2:$D$192,I$1-9)-10)*$C150,1-0.4)</f>
        <v>0.91630434782608694</v>
      </c>
      <c r="J150" s="16">
        <f>MAX(1-(INDEX('Stat Boosts'!$D$2:$D$192,J$1-9)-10)*$C150,1-0.4)</f>
        <v>0.89347826086956517</v>
      </c>
      <c r="K150" s="16">
        <f>MAX(1-(INDEX('Stat Boosts'!$D$2:$D$192,K$1-9)-10)*$C150,1-0.4)</f>
        <v>0.8706521739130435</v>
      </c>
      <c r="L150" s="16">
        <f>MAX(1-(INDEX('Stat Boosts'!$D$2:$D$192,L$1-9)-10)*$C150,1-0.4)</f>
        <v>0.85543478260869565</v>
      </c>
      <c r="M150" s="16">
        <f>MAX(1-(INDEX('Stat Boosts'!$D$2:$D$192,M$1-9)-10)*$C150,1-0.4)</f>
        <v>0.83260869565217388</v>
      </c>
      <c r="N150" s="16">
        <f>MAX(1-(INDEX('Stat Boosts'!$D$2:$D$192,N$1-9)-10)*$C150,1-0.4)</f>
        <v>0.81739130434782603</v>
      </c>
      <c r="O150" s="16">
        <f>MAX(1-(INDEX('Stat Boosts'!$D$2:$D$192,O$1-9)-10)*$C150,1-0.4)</f>
        <v>0.79456521739130437</v>
      </c>
      <c r="P150" s="16">
        <f>MAX(1-(INDEX('Stat Boosts'!$D$2:$D$192,P$1-9)-10)*$C150,1-0.4)</f>
        <v>0.77934782608695652</v>
      </c>
      <c r="Q150" s="16">
        <f>MAX(1-(INDEX('Stat Boosts'!$D$2:$D$192,Q$1-9)-10)*$C150,1-0.4)</f>
        <v>0.75652173913043474</v>
      </c>
      <c r="R150" s="16">
        <f>MAX(1-(INDEX('Stat Boosts'!$D$2:$D$192,R$1-9)-10)*$C150,1-0.4)</f>
        <v>0.74130434782608701</v>
      </c>
    </row>
    <row r="151" spans="1:18">
      <c r="A151" s="9">
        <v>150</v>
      </c>
      <c r="B151" s="16">
        <f t="shared" si="4"/>
        <v>36.428571428571431</v>
      </c>
      <c r="C151" s="16">
        <f t="shared" si="5"/>
        <v>7.5675675675675675E-3</v>
      </c>
      <c r="E151" s="16">
        <f>MAX(1-(INDEX('Stat Boosts'!$D$2:$D$192,E$1-9)-10)*$C151,1-0.4)</f>
        <v>1</v>
      </c>
      <c r="F151" s="16">
        <f>MAX(1-(INDEX('Stat Boosts'!$D$2:$D$192,F$1-9)-10)*$C151,1-0.4)</f>
        <v>0.98486486486486491</v>
      </c>
      <c r="G151" s="16">
        <f>MAX(1-(INDEX('Stat Boosts'!$D$2:$D$192,G$1-9)-10)*$C151,1-0.4)</f>
        <v>0.9621621621621621</v>
      </c>
      <c r="H151" s="16">
        <f>MAX(1-(INDEX('Stat Boosts'!$D$2:$D$192,H$1-9)-10)*$C151,1-0.4)</f>
        <v>0.93945945945945941</v>
      </c>
      <c r="I151" s="16">
        <f>MAX(1-(INDEX('Stat Boosts'!$D$2:$D$192,I$1-9)-10)*$C151,1-0.4)</f>
        <v>0.91675675675675672</v>
      </c>
      <c r="J151" s="16">
        <f>MAX(1-(INDEX('Stat Boosts'!$D$2:$D$192,J$1-9)-10)*$C151,1-0.4)</f>
        <v>0.89405405405405403</v>
      </c>
      <c r="K151" s="16">
        <f>MAX(1-(INDEX('Stat Boosts'!$D$2:$D$192,K$1-9)-10)*$C151,1-0.4)</f>
        <v>0.87135135135135133</v>
      </c>
      <c r="L151" s="16">
        <f>MAX(1-(INDEX('Stat Boosts'!$D$2:$D$192,L$1-9)-10)*$C151,1-0.4)</f>
        <v>0.85621621621621624</v>
      </c>
      <c r="M151" s="16">
        <f>MAX(1-(INDEX('Stat Boosts'!$D$2:$D$192,M$1-9)-10)*$C151,1-0.4)</f>
        <v>0.83351351351351355</v>
      </c>
      <c r="N151" s="16">
        <f>MAX(1-(INDEX('Stat Boosts'!$D$2:$D$192,N$1-9)-10)*$C151,1-0.4)</f>
        <v>0.81837837837837835</v>
      </c>
      <c r="O151" s="16">
        <f>MAX(1-(INDEX('Stat Boosts'!$D$2:$D$192,O$1-9)-10)*$C151,1-0.4)</f>
        <v>0.79567567567567565</v>
      </c>
      <c r="P151" s="16">
        <f>MAX(1-(INDEX('Stat Boosts'!$D$2:$D$192,P$1-9)-10)*$C151,1-0.4)</f>
        <v>0.78054054054054056</v>
      </c>
      <c r="Q151" s="16">
        <f>MAX(1-(INDEX('Stat Boosts'!$D$2:$D$192,Q$1-9)-10)*$C151,1-0.4)</f>
        <v>0.75783783783783787</v>
      </c>
      <c r="R151" s="16">
        <f>MAX(1-(INDEX('Stat Boosts'!$D$2:$D$192,R$1-9)-10)*$C151,1-0.4)</f>
        <v>0.74270270270270267</v>
      </c>
    </row>
  </sheetData>
  <conditionalFormatting sqref="E1:R1048576">
    <cfRule type="expression" dxfId="4" priority="1">
      <formula>INDEX($A$1:$A$150,ROW())+15&lt;INDEX($A$1:$R$1,1,COLUMN())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0"/>
  <dimension ref="A1:T151"/>
  <sheetViews>
    <sheetView workbookViewId="0">
      <selection activeCell="B2" sqref="B2:B151"/>
    </sheetView>
  </sheetViews>
  <sheetFormatPr defaultRowHeight="15"/>
  <cols>
    <col min="1" max="1" width="11.85546875" style="9" bestFit="1" customWidth="1"/>
    <col min="2" max="2" width="17.5703125" style="16" bestFit="1" customWidth="1"/>
    <col min="3" max="3" width="14.7109375" style="16" bestFit="1" customWidth="1"/>
    <col min="4" max="18" width="9.140625" style="16"/>
  </cols>
  <sheetData>
    <row r="1" spans="1:20" s="54" customFormat="1">
      <c r="A1" s="31" t="s">
        <v>311</v>
      </c>
      <c r="B1" s="31" t="s">
        <v>317</v>
      </c>
      <c r="C1" s="31" t="s">
        <v>315</v>
      </c>
      <c r="D1" s="55" t="s">
        <v>318</v>
      </c>
      <c r="E1" s="31">
        <v>10</v>
      </c>
      <c r="F1" s="31">
        <v>15</v>
      </c>
      <c r="G1" s="31">
        <v>20</v>
      </c>
      <c r="H1" s="31">
        <v>25</v>
      </c>
      <c r="I1" s="31">
        <v>30</v>
      </c>
      <c r="J1" s="31">
        <v>35</v>
      </c>
      <c r="K1" s="31">
        <v>45</v>
      </c>
      <c r="L1" s="31">
        <v>50</v>
      </c>
      <c r="M1" s="31">
        <v>55</v>
      </c>
      <c r="N1" s="31">
        <v>60</v>
      </c>
      <c r="O1" s="31">
        <v>65</v>
      </c>
      <c r="P1" s="31">
        <v>70</v>
      </c>
      <c r="Q1" s="31">
        <v>75</v>
      </c>
      <c r="R1" s="31">
        <v>80</v>
      </c>
    </row>
    <row r="2" spans="1:20">
      <c r="A2" s="9">
        <v>1</v>
      </c>
      <c r="B2" s="16">
        <f>15+A2/4</f>
        <v>15.25</v>
      </c>
      <c r="C2" s="16">
        <f>0.4/(B2-10)</f>
        <v>7.6190476190476197E-2</v>
      </c>
      <c r="E2" s="16">
        <f>MIN(0.25+(INDEX('Stat Boosts'!$D$2:$D$192,E$1-9)-10)*$C2,10.22)</f>
        <v>0.25</v>
      </c>
      <c r="F2" s="16">
        <f>MIN(0.25+(INDEX('Stat Boosts'!$D$2:$D$192,F$1-9)-10)*$C2,10.22)</f>
        <v>0.78333333333333344</v>
      </c>
      <c r="G2" s="16">
        <f>MIN(0.25+(INDEX('Stat Boosts'!$D$2:$D$192,G$1-9)-10)*$C2,10.22)</f>
        <v>1.3166666666666669</v>
      </c>
      <c r="H2" s="16">
        <f>MIN(0.25+(INDEX('Stat Boosts'!$D$2:$D$192,H$1-9)-10)*$C2,10.22)</f>
        <v>1.85</v>
      </c>
      <c r="I2" s="16">
        <f>MIN(0.25+(INDEX('Stat Boosts'!$D$2:$D$192,I$1-9)-10)*$C2,10.22)</f>
        <v>2.3071428571428574</v>
      </c>
      <c r="J2" s="16">
        <f>MIN(0.25+(INDEX('Stat Boosts'!$D$2:$D$192,J$1-9)-10)*$C2,10.22)</f>
        <v>2.7642857142857147</v>
      </c>
      <c r="K2" s="16">
        <f>MIN(0.25+(INDEX('Stat Boosts'!$D$2:$D$192,K$1-9)-10)*$C2,10.22)</f>
        <v>3.8309523809523811</v>
      </c>
      <c r="L2" s="16">
        <f>MIN(0.25+(INDEX('Stat Boosts'!$D$2:$D$192,L$1-9)-10)*$C2,10.22)</f>
        <v>4.211904761904762</v>
      </c>
      <c r="M2" s="16">
        <f>MIN(0.25+(INDEX('Stat Boosts'!$D$2:$D$192,M$1-9)-10)*$C2,10.22)</f>
        <v>4.7452380952380953</v>
      </c>
      <c r="N2" s="16">
        <f>MIN(0.25+(INDEX('Stat Boosts'!$D$2:$D$192,N$1-9)-10)*$C2,10.22)</f>
        <v>5.4309523809523812</v>
      </c>
      <c r="O2" s="16">
        <f>MIN(0.25+(INDEX('Stat Boosts'!$D$2:$D$192,O$1-9)-10)*$C2,10.22)</f>
        <v>5.8119047619047626</v>
      </c>
      <c r="P2" s="16">
        <f>MIN(0.25+(INDEX('Stat Boosts'!$D$2:$D$192,P$1-9)-10)*$C2,10.22)</f>
        <v>6.4214285714285717</v>
      </c>
      <c r="Q2" s="16">
        <f>MIN(0.25+(INDEX('Stat Boosts'!$D$2:$D$192,Q$1-9)-10)*$C2,10.22)</f>
        <v>7.0309523809523817</v>
      </c>
      <c r="R2" s="16">
        <f>MIN(0.25+(INDEX('Stat Boosts'!$D$2:$D$192,R$1-9)-10)*$C2,10.22)</f>
        <v>7.6404761904761909</v>
      </c>
      <c r="T2" s="16"/>
    </row>
    <row r="3" spans="1:20">
      <c r="A3" s="9">
        <v>2</v>
      </c>
      <c r="B3" s="16">
        <f t="shared" ref="B3:B66" si="0">15+A3/4</f>
        <v>15.5</v>
      </c>
      <c r="C3" s="16">
        <f t="shared" ref="C3:C66" si="1">0.4/(B3-10)</f>
        <v>7.2727272727272738E-2</v>
      </c>
      <c r="E3" s="16">
        <f>MIN(0.25+(INDEX('Stat Boosts'!$D$2:$D$192,E$1-9)-10)*$C3,10.22)</f>
        <v>0.25</v>
      </c>
      <c r="F3" s="16">
        <f>MIN(0.25+(INDEX('Stat Boosts'!$D$2:$D$192,F$1-9)-10)*$C3,10.22)</f>
        <v>0.75909090909090915</v>
      </c>
      <c r="G3" s="16">
        <f>MIN(0.25+(INDEX('Stat Boosts'!$D$2:$D$192,G$1-9)-10)*$C3,10.22)</f>
        <v>1.2681818181818183</v>
      </c>
      <c r="H3" s="16">
        <f>MIN(0.25+(INDEX('Stat Boosts'!$D$2:$D$192,H$1-9)-10)*$C3,10.22)</f>
        <v>1.7772727272727276</v>
      </c>
      <c r="I3" s="16">
        <f>MIN(0.25+(INDEX('Stat Boosts'!$D$2:$D$192,I$1-9)-10)*$C3,10.22)</f>
        <v>2.2136363636363638</v>
      </c>
      <c r="J3" s="16">
        <f>MIN(0.25+(INDEX('Stat Boosts'!$D$2:$D$192,J$1-9)-10)*$C3,10.22)</f>
        <v>2.6500000000000004</v>
      </c>
      <c r="K3" s="16">
        <f>MIN(0.25+(INDEX('Stat Boosts'!$D$2:$D$192,K$1-9)-10)*$C3,10.22)</f>
        <v>3.6681818181818189</v>
      </c>
      <c r="L3" s="16">
        <f>MIN(0.25+(INDEX('Stat Boosts'!$D$2:$D$192,L$1-9)-10)*$C3,10.22)</f>
        <v>4.0318181818181822</v>
      </c>
      <c r="M3" s="16">
        <f>MIN(0.25+(INDEX('Stat Boosts'!$D$2:$D$192,M$1-9)-10)*$C3,10.22)</f>
        <v>4.5409090909090919</v>
      </c>
      <c r="N3" s="16">
        <f>MIN(0.25+(INDEX('Stat Boosts'!$D$2:$D$192,N$1-9)-10)*$C3,10.22)</f>
        <v>5.1954545454545462</v>
      </c>
      <c r="O3" s="16">
        <f>MIN(0.25+(INDEX('Stat Boosts'!$D$2:$D$192,O$1-9)-10)*$C3,10.22)</f>
        <v>5.5590909090909095</v>
      </c>
      <c r="P3" s="16">
        <f>MIN(0.25+(INDEX('Stat Boosts'!$D$2:$D$192,P$1-9)-10)*$C3,10.22)</f>
        <v>6.1409090909090915</v>
      </c>
      <c r="Q3" s="16">
        <f>MIN(0.25+(INDEX('Stat Boosts'!$D$2:$D$192,Q$1-9)-10)*$C3,10.22)</f>
        <v>6.7227272727272736</v>
      </c>
      <c r="R3" s="16">
        <f>MIN(0.25+(INDEX('Stat Boosts'!$D$2:$D$192,R$1-9)-10)*$C3,10.22)</f>
        <v>7.3045454545454556</v>
      </c>
    </row>
    <row r="4" spans="1:20">
      <c r="A4" s="9">
        <v>3</v>
      </c>
      <c r="B4" s="16">
        <f t="shared" si="0"/>
        <v>15.75</v>
      </c>
      <c r="C4" s="16">
        <f t="shared" si="1"/>
        <v>6.9565217391304349E-2</v>
      </c>
      <c r="E4" s="16">
        <f>MIN(0.25+(INDEX('Stat Boosts'!$D$2:$D$192,E$1-9)-10)*$C4,10.22)</f>
        <v>0.25</v>
      </c>
      <c r="F4" s="16">
        <f>MIN(0.25+(INDEX('Stat Boosts'!$D$2:$D$192,F$1-9)-10)*$C4,10.22)</f>
        <v>0.73695652173913051</v>
      </c>
      <c r="G4" s="16">
        <f>MIN(0.25+(INDEX('Stat Boosts'!$D$2:$D$192,G$1-9)-10)*$C4,10.22)</f>
        <v>1.223913043478261</v>
      </c>
      <c r="H4" s="16">
        <f>MIN(0.25+(INDEX('Stat Boosts'!$D$2:$D$192,H$1-9)-10)*$C4,10.22)</f>
        <v>1.7108695652173913</v>
      </c>
      <c r="I4" s="16">
        <f>MIN(0.25+(INDEX('Stat Boosts'!$D$2:$D$192,I$1-9)-10)*$C4,10.22)</f>
        <v>2.1282608695652172</v>
      </c>
      <c r="J4" s="16">
        <f>MIN(0.25+(INDEX('Stat Boosts'!$D$2:$D$192,J$1-9)-10)*$C4,10.22)</f>
        <v>2.5456521739130435</v>
      </c>
      <c r="K4" s="16">
        <f>MIN(0.25+(INDEX('Stat Boosts'!$D$2:$D$192,K$1-9)-10)*$C4,10.22)</f>
        <v>3.5195652173913046</v>
      </c>
      <c r="L4" s="16">
        <f>MIN(0.25+(INDEX('Stat Boosts'!$D$2:$D$192,L$1-9)-10)*$C4,10.22)</f>
        <v>3.8673913043478261</v>
      </c>
      <c r="M4" s="16">
        <f>MIN(0.25+(INDEX('Stat Boosts'!$D$2:$D$192,M$1-9)-10)*$C4,10.22)</f>
        <v>4.3543478260869568</v>
      </c>
      <c r="N4" s="16">
        <f>MIN(0.25+(INDEX('Stat Boosts'!$D$2:$D$192,N$1-9)-10)*$C4,10.22)</f>
        <v>4.9804347826086959</v>
      </c>
      <c r="O4" s="16">
        <f>MIN(0.25+(INDEX('Stat Boosts'!$D$2:$D$192,O$1-9)-10)*$C4,10.22)</f>
        <v>5.3282608695652174</v>
      </c>
      <c r="P4" s="16">
        <f>MIN(0.25+(INDEX('Stat Boosts'!$D$2:$D$192,P$1-9)-10)*$C4,10.22)</f>
        <v>5.8847826086956525</v>
      </c>
      <c r="Q4" s="16">
        <f>MIN(0.25+(INDEX('Stat Boosts'!$D$2:$D$192,Q$1-9)-10)*$C4,10.22)</f>
        <v>6.4413043478260867</v>
      </c>
      <c r="R4" s="16">
        <f>MIN(0.25+(INDEX('Stat Boosts'!$D$2:$D$192,R$1-9)-10)*$C4,10.22)</f>
        <v>6.9978260869565219</v>
      </c>
    </row>
    <row r="5" spans="1:20">
      <c r="A5" s="9">
        <v>4</v>
      </c>
      <c r="B5" s="16">
        <f t="shared" si="0"/>
        <v>16</v>
      </c>
      <c r="C5" s="16">
        <f t="shared" si="1"/>
        <v>6.6666666666666666E-2</v>
      </c>
      <c r="E5" s="16">
        <f>MIN(0.25+(INDEX('Stat Boosts'!$D$2:$D$192,E$1-9)-10)*$C5,10.22)</f>
        <v>0.25</v>
      </c>
      <c r="F5" s="16">
        <f>MIN(0.25+(INDEX('Stat Boosts'!$D$2:$D$192,F$1-9)-10)*$C5,10.22)</f>
        <v>0.71666666666666667</v>
      </c>
      <c r="G5" s="16">
        <f>MIN(0.25+(INDEX('Stat Boosts'!$D$2:$D$192,G$1-9)-10)*$C5,10.22)</f>
        <v>1.1833333333333333</v>
      </c>
      <c r="H5" s="16">
        <f>MIN(0.25+(INDEX('Stat Boosts'!$D$2:$D$192,H$1-9)-10)*$C5,10.22)</f>
        <v>1.65</v>
      </c>
      <c r="I5" s="16">
        <f>MIN(0.25+(INDEX('Stat Boosts'!$D$2:$D$192,I$1-9)-10)*$C5,10.22)</f>
        <v>2.0499999999999998</v>
      </c>
      <c r="J5" s="16">
        <f>MIN(0.25+(INDEX('Stat Boosts'!$D$2:$D$192,J$1-9)-10)*$C5,10.22)</f>
        <v>2.4500000000000002</v>
      </c>
      <c r="K5" s="16">
        <f>MIN(0.25+(INDEX('Stat Boosts'!$D$2:$D$192,K$1-9)-10)*$C5,10.22)</f>
        <v>3.3833333333333333</v>
      </c>
      <c r="L5" s="16">
        <f>MIN(0.25+(INDEX('Stat Boosts'!$D$2:$D$192,L$1-9)-10)*$C5,10.22)</f>
        <v>3.7166666666666668</v>
      </c>
      <c r="M5" s="16">
        <f>MIN(0.25+(INDEX('Stat Boosts'!$D$2:$D$192,M$1-9)-10)*$C5,10.22)</f>
        <v>4.1833333333333336</v>
      </c>
      <c r="N5" s="16">
        <f>MIN(0.25+(INDEX('Stat Boosts'!$D$2:$D$192,N$1-9)-10)*$C5,10.22)</f>
        <v>4.7833333333333332</v>
      </c>
      <c r="O5" s="16">
        <f>MIN(0.25+(INDEX('Stat Boosts'!$D$2:$D$192,O$1-9)-10)*$C5,10.22)</f>
        <v>5.1166666666666663</v>
      </c>
      <c r="P5" s="16">
        <f>MIN(0.25+(INDEX('Stat Boosts'!$D$2:$D$192,P$1-9)-10)*$C5,10.22)</f>
        <v>5.65</v>
      </c>
      <c r="Q5" s="16">
        <f>MIN(0.25+(INDEX('Stat Boosts'!$D$2:$D$192,Q$1-9)-10)*$C5,10.22)</f>
        <v>6.1833333333333336</v>
      </c>
      <c r="R5" s="16">
        <f>MIN(0.25+(INDEX('Stat Boosts'!$D$2:$D$192,R$1-9)-10)*$C5,10.22)</f>
        <v>6.7166666666666668</v>
      </c>
    </row>
    <row r="6" spans="1:20">
      <c r="A6" s="9">
        <v>5</v>
      </c>
      <c r="B6" s="16">
        <f t="shared" si="0"/>
        <v>16.25</v>
      </c>
      <c r="C6" s="16">
        <f t="shared" si="1"/>
        <v>6.4000000000000001E-2</v>
      </c>
      <c r="E6" s="16">
        <f>MIN(0.25+(INDEX('Stat Boosts'!$D$2:$D$192,E$1-9)-10)*$C6,10.22)</f>
        <v>0.25</v>
      </c>
      <c r="F6" s="16">
        <f>MIN(0.25+(INDEX('Stat Boosts'!$D$2:$D$192,F$1-9)-10)*$C6,10.22)</f>
        <v>0.69799999999999995</v>
      </c>
      <c r="G6" s="16">
        <f>MIN(0.25+(INDEX('Stat Boosts'!$D$2:$D$192,G$1-9)-10)*$C6,10.22)</f>
        <v>1.1459999999999999</v>
      </c>
      <c r="H6" s="16">
        <f>MIN(0.25+(INDEX('Stat Boosts'!$D$2:$D$192,H$1-9)-10)*$C6,10.22)</f>
        <v>1.5940000000000001</v>
      </c>
      <c r="I6" s="16">
        <f>MIN(0.25+(INDEX('Stat Boosts'!$D$2:$D$192,I$1-9)-10)*$C6,10.22)</f>
        <v>1.978</v>
      </c>
      <c r="J6" s="16">
        <f>MIN(0.25+(INDEX('Stat Boosts'!$D$2:$D$192,J$1-9)-10)*$C6,10.22)</f>
        <v>2.3620000000000001</v>
      </c>
      <c r="K6" s="16">
        <f>MIN(0.25+(INDEX('Stat Boosts'!$D$2:$D$192,K$1-9)-10)*$C6,10.22)</f>
        <v>3.258</v>
      </c>
      <c r="L6" s="16">
        <f>MIN(0.25+(INDEX('Stat Boosts'!$D$2:$D$192,L$1-9)-10)*$C6,10.22)</f>
        <v>3.5780000000000003</v>
      </c>
      <c r="M6" s="16">
        <f>MIN(0.25+(INDEX('Stat Boosts'!$D$2:$D$192,M$1-9)-10)*$C6,10.22)</f>
        <v>4.0259999999999998</v>
      </c>
      <c r="N6" s="16">
        <f>MIN(0.25+(INDEX('Stat Boosts'!$D$2:$D$192,N$1-9)-10)*$C6,10.22)</f>
        <v>4.6020000000000003</v>
      </c>
      <c r="O6" s="16">
        <f>MIN(0.25+(INDEX('Stat Boosts'!$D$2:$D$192,O$1-9)-10)*$C6,10.22)</f>
        <v>4.9219999999999997</v>
      </c>
      <c r="P6" s="16">
        <f>MIN(0.25+(INDEX('Stat Boosts'!$D$2:$D$192,P$1-9)-10)*$C6,10.22)</f>
        <v>5.4340000000000002</v>
      </c>
      <c r="Q6" s="16">
        <f>MIN(0.25+(INDEX('Stat Boosts'!$D$2:$D$192,Q$1-9)-10)*$C6,10.22)</f>
        <v>5.9459999999999997</v>
      </c>
      <c r="R6" s="16">
        <f>MIN(0.25+(INDEX('Stat Boosts'!$D$2:$D$192,R$1-9)-10)*$C6,10.22)</f>
        <v>6.4580000000000002</v>
      </c>
    </row>
    <row r="7" spans="1:20">
      <c r="A7" s="9">
        <v>6</v>
      </c>
      <c r="B7" s="16">
        <f t="shared" si="0"/>
        <v>16.5</v>
      </c>
      <c r="C7" s="16">
        <f t="shared" si="1"/>
        <v>6.1538461538461542E-2</v>
      </c>
      <c r="E7" s="16">
        <f>MIN(0.25+(INDEX('Stat Boosts'!$D$2:$D$192,E$1-9)-10)*$C7,10.22)</f>
        <v>0.25</v>
      </c>
      <c r="F7" s="16">
        <f>MIN(0.25+(INDEX('Stat Boosts'!$D$2:$D$192,F$1-9)-10)*$C7,10.22)</f>
        <v>0.68076923076923079</v>
      </c>
      <c r="G7" s="16">
        <f>MIN(0.25+(INDEX('Stat Boosts'!$D$2:$D$192,G$1-9)-10)*$C7,10.22)</f>
        <v>1.1115384615384616</v>
      </c>
      <c r="H7" s="16">
        <f>MIN(0.25+(INDEX('Stat Boosts'!$D$2:$D$192,H$1-9)-10)*$C7,10.22)</f>
        <v>1.5423076923076924</v>
      </c>
      <c r="I7" s="16">
        <f>MIN(0.25+(INDEX('Stat Boosts'!$D$2:$D$192,I$1-9)-10)*$C7,10.22)</f>
        <v>1.9115384615384616</v>
      </c>
      <c r="J7" s="16">
        <f>MIN(0.25+(INDEX('Stat Boosts'!$D$2:$D$192,J$1-9)-10)*$C7,10.22)</f>
        <v>2.2807692307692307</v>
      </c>
      <c r="K7" s="16">
        <f>MIN(0.25+(INDEX('Stat Boosts'!$D$2:$D$192,K$1-9)-10)*$C7,10.22)</f>
        <v>3.1423076923076927</v>
      </c>
      <c r="L7" s="16">
        <f>MIN(0.25+(INDEX('Stat Boosts'!$D$2:$D$192,L$1-9)-10)*$C7,10.22)</f>
        <v>3.45</v>
      </c>
      <c r="M7" s="16">
        <f>MIN(0.25+(INDEX('Stat Boosts'!$D$2:$D$192,M$1-9)-10)*$C7,10.22)</f>
        <v>3.8807692307692312</v>
      </c>
      <c r="N7" s="16">
        <f>MIN(0.25+(INDEX('Stat Boosts'!$D$2:$D$192,N$1-9)-10)*$C7,10.22)</f>
        <v>4.4346153846153848</v>
      </c>
      <c r="O7" s="16">
        <f>MIN(0.25+(INDEX('Stat Boosts'!$D$2:$D$192,O$1-9)-10)*$C7,10.22)</f>
        <v>4.7423076923076923</v>
      </c>
      <c r="P7" s="16">
        <f>MIN(0.25+(INDEX('Stat Boosts'!$D$2:$D$192,P$1-9)-10)*$C7,10.22)</f>
        <v>5.2346153846153847</v>
      </c>
      <c r="Q7" s="16">
        <f>MIN(0.25+(INDEX('Stat Boosts'!$D$2:$D$192,Q$1-9)-10)*$C7,10.22)</f>
        <v>5.726923076923077</v>
      </c>
      <c r="R7" s="16">
        <f>MIN(0.25+(INDEX('Stat Boosts'!$D$2:$D$192,R$1-9)-10)*$C7,10.22)</f>
        <v>6.2192307692307693</v>
      </c>
    </row>
    <row r="8" spans="1:20">
      <c r="A8" s="9">
        <v>7</v>
      </c>
      <c r="B8" s="16">
        <f t="shared" si="0"/>
        <v>16.75</v>
      </c>
      <c r="C8" s="16">
        <f t="shared" si="1"/>
        <v>5.9259259259259262E-2</v>
      </c>
      <c r="E8" s="16">
        <f>MIN(0.25+(INDEX('Stat Boosts'!$D$2:$D$192,E$1-9)-10)*$C8,10.22)</f>
        <v>0.25</v>
      </c>
      <c r="F8" s="16">
        <f>MIN(0.25+(INDEX('Stat Boosts'!$D$2:$D$192,F$1-9)-10)*$C8,10.22)</f>
        <v>0.66481481481481486</v>
      </c>
      <c r="G8" s="16">
        <f>MIN(0.25+(INDEX('Stat Boosts'!$D$2:$D$192,G$1-9)-10)*$C8,10.22)</f>
        <v>1.0796296296296297</v>
      </c>
      <c r="H8" s="16">
        <f>MIN(0.25+(INDEX('Stat Boosts'!$D$2:$D$192,H$1-9)-10)*$C8,10.22)</f>
        <v>1.4944444444444445</v>
      </c>
      <c r="I8" s="16">
        <f>MIN(0.25+(INDEX('Stat Boosts'!$D$2:$D$192,I$1-9)-10)*$C8,10.22)</f>
        <v>1.85</v>
      </c>
      <c r="J8" s="16">
        <f>MIN(0.25+(INDEX('Stat Boosts'!$D$2:$D$192,J$1-9)-10)*$C8,10.22)</f>
        <v>2.2055555555555557</v>
      </c>
      <c r="K8" s="16">
        <f>MIN(0.25+(INDEX('Stat Boosts'!$D$2:$D$192,K$1-9)-10)*$C8,10.22)</f>
        <v>3.0351851851851852</v>
      </c>
      <c r="L8" s="16">
        <f>MIN(0.25+(INDEX('Stat Boosts'!$D$2:$D$192,L$1-9)-10)*$C8,10.22)</f>
        <v>3.3314814814814815</v>
      </c>
      <c r="M8" s="16">
        <f>MIN(0.25+(INDEX('Stat Boosts'!$D$2:$D$192,M$1-9)-10)*$C8,10.22)</f>
        <v>3.7462962962962965</v>
      </c>
      <c r="N8" s="16">
        <f>MIN(0.25+(INDEX('Stat Boosts'!$D$2:$D$192,N$1-9)-10)*$C8,10.22)</f>
        <v>4.2796296296296301</v>
      </c>
      <c r="O8" s="16">
        <f>MIN(0.25+(INDEX('Stat Boosts'!$D$2:$D$192,O$1-9)-10)*$C8,10.22)</f>
        <v>4.575925925925926</v>
      </c>
      <c r="P8" s="16">
        <f>MIN(0.25+(INDEX('Stat Boosts'!$D$2:$D$192,P$1-9)-10)*$C8,10.22)</f>
        <v>5.05</v>
      </c>
      <c r="Q8" s="16">
        <f>MIN(0.25+(INDEX('Stat Boosts'!$D$2:$D$192,Q$1-9)-10)*$C8,10.22)</f>
        <v>5.5240740740740746</v>
      </c>
      <c r="R8" s="16">
        <f>MIN(0.25+(INDEX('Stat Boosts'!$D$2:$D$192,R$1-9)-10)*$C8,10.22)</f>
        <v>5.9981481481481485</v>
      </c>
    </row>
    <row r="9" spans="1:20">
      <c r="A9" s="9">
        <v>8</v>
      </c>
      <c r="B9" s="16">
        <f t="shared" si="0"/>
        <v>17</v>
      </c>
      <c r="C9" s="16">
        <f t="shared" si="1"/>
        <v>5.7142857142857148E-2</v>
      </c>
      <c r="E9" s="16">
        <f>MIN(0.25+(INDEX('Stat Boosts'!$D$2:$D$192,E$1-9)-10)*$C9,10.22)</f>
        <v>0.25</v>
      </c>
      <c r="F9" s="16">
        <f>MIN(0.25+(INDEX('Stat Boosts'!$D$2:$D$192,F$1-9)-10)*$C9,10.22)</f>
        <v>0.65</v>
      </c>
      <c r="G9" s="16">
        <f>MIN(0.25+(INDEX('Stat Boosts'!$D$2:$D$192,G$1-9)-10)*$C9,10.22)</f>
        <v>1.05</v>
      </c>
      <c r="H9" s="16">
        <f>MIN(0.25+(INDEX('Stat Boosts'!$D$2:$D$192,H$1-9)-10)*$C9,10.22)</f>
        <v>1.4500000000000002</v>
      </c>
      <c r="I9" s="16">
        <f>MIN(0.25+(INDEX('Stat Boosts'!$D$2:$D$192,I$1-9)-10)*$C9,10.22)</f>
        <v>1.7928571428571429</v>
      </c>
      <c r="J9" s="16">
        <f>MIN(0.25+(INDEX('Stat Boosts'!$D$2:$D$192,J$1-9)-10)*$C9,10.22)</f>
        <v>2.1357142857142861</v>
      </c>
      <c r="K9" s="16">
        <f>MIN(0.25+(INDEX('Stat Boosts'!$D$2:$D$192,K$1-9)-10)*$C9,10.22)</f>
        <v>2.9357142857142859</v>
      </c>
      <c r="L9" s="16">
        <f>MIN(0.25+(INDEX('Stat Boosts'!$D$2:$D$192,L$1-9)-10)*$C9,10.22)</f>
        <v>3.2214285714285715</v>
      </c>
      <c r="M9" s="16">
        <f>MIN(0.25+(INDEX('Stat Boosts'!$D$2:$D$192,M$1-9)-10)*$C9,10.22)</f>
        <v>3.6214285714285719</v>
      </c>
      <c r="N9" s="16">
        <f>MIN(0.25+(INDEX('Stat Boosts'!$D$2:$D$192,N$1-9)-10)*$C9,10.22)</f>
        <v>4.1357142857142861</v>
      </c>
      <c r="O9" s="16">
        <f>MIN(0.25+(INDEX('Stat Boosts'!$D$2:$D$192,O$1-9)-10)*$C9,10.22)</f>
        <v>4.4214285714285717</v>
      </c>
      <c r="P9" s="16">
        <f>MIN(0.25+(INDEX('Stat Boosts'!$D$2:$D$192,P$1-9)-10)*$C9,10.22)</f>
        <v>4.878571428571429</v>
      </c>
      <c r="Q9" s="16">
        <f>MIN(0.25+(INDEX('Stat Boosts'!$D$2:$D$192,Q$1-9)-10)*$C9,10.22)</f>
        <v>5.3357142857142863</v>
      </c>
      <c r="R9" s="16">
        <f>MIN(0.25+(INDEX('Stat Boosts'!$D$2:$D$192,R$1-9)-10)*$C9,10.22)</f>
        <v>5.7928571428571436</v>
      </c>
    </row>
    <row r="10" spans="1:20">
      <c r="A10" s="9">
        <v>9</v>
      </c>
      <c r="B10" s="16">
        <f t="shared" si="0"/>
        <v>17.25</v>
      </c>
      <c r="C10" s="16">
        <f t="shared" si="1"/>
        <v>5.5172413793103454E-2</v>
      </c>
      <c r="E10" s="16">
        <f>MIN(0.25+(INDEX('Stat Boosts'!$D$2:$D$192,E$1-9)-10)*$C10,10.22)</f>
        <v>0.25</v>
      </c>
      <c r="F10" s="16">
        <f>MIN(0.25+(INDEX('Stat Boosts'!$D$2:$D$192,F$1-9)-10)*$C10,10.22)</f>
        <v>0.63620689655172424</v>
      </c>
      <c r="G10" s="16">
        <f>MIN(0.25+(INDEX('Stat Boosts'!$D$2:$D$192,G$1-9)-10)*$C10,10.22)</f>
        <v>1.0224137931034485</v>
      </c>
      <c r="H10" s="16">
        <f>MIN(0.25+(INDEX('Stat Boosts'!$D$2:$D$192,H$1-9)-10)*$C10,10.22)</f>
        <v>1.4086206896551725</v>
      </c>
      <c r="I10" s="16">
        <f>MIN(0.25+(INDEX('Stat Boosts'!$D$2:$D$192,I$1-9)-10)*$C10,10.22)</f>
        <v>1.7396551724137932</v>
      </c>
      <c r="J10" s="16">
        <f>MIN(0.25+(INDEX('Stat Boosts'!$D$2:$D$192,J$1-9)-10)*$C10,10.22)</f>
        <v>2.0706896551724139</v>
      </c>
      <c r="K10" s="16">
        <f>MIN(0.25+(INDEX('Stat Boosts'!$D$2:$D$192,K$1-9)-10)*$C10,10.22)</f>
        <v>2.8431034482758624</v>
      </c>
      <c r="L10" s="16">
        <f>MIN(0.25+(INDEX('Stat Boosts'!$D$2:$D$192,L$1-9)-10)*$C10,10.22)</f>
        <v>3.1189655172413797</v>
      </c>
      <c r="M10" s="16">
        <f>MIN(0.25+(INDEX('Stat Boosts'!$D$2:$D$192,M$1-9)-10)*$C10,10.22)</f>
        <v>3.5051724137931037</v>
      </c>
      <c r="N10" s="16">
        <f>MIN(0.25+(INDEX('Stat Boosts'!$D$2:$D$192,N$1-9)-10)*$C10,10.22)</f>
        <v>4.0017241379310349</v>
      </c>
      <c r="O10" s="16">
        <f>MIN(0.25+(INDEX('Stat Boosts'!$D$2:$D$192,O$1-9)-10)*$C10,10.22)</f>
        <v>4.2775862068965518</v>
      </c>
      <c r="P10" s="16">
        <f>MIN(0.25+(INDEX('Stat Boosts'!$D$2:$D$192,P$1-9)-10)*$C10,10.22)</f>
        <v>4.7189655172413802</v>
      </c>
      <c r="Q10" s="16">
        <f>MIN(0.25+(INDEX('Stat Boosts'!$D$2:$D$192,Q$1-9)-10)*$C10,10.22)</f>
        <v>5.1603448275862078</v>
      </c>
      <c r="R10" s="16">
        <f>MIN(0.25+(INDEX('Stat Boosts'!$D$2:$D$192,R$1-9)-10)*$C10,10.22)</f>
        <v>5.6017241379310354</v>
      </c>
    </row>
    <row r="11" spans="1:20">
      <c r="A11" s="9">
        <v>10</v>
      </c>
      <c r="B11" s="16">
        <f t="shared" si="0"/>
        <v>17.5</v>
      </c>
      <c r="C11" s="16">
        <f t="shared" si="1"/>
        <v>5.3333333333333337E-2</v>
      </c>
      <c r="E11" s="16">
        <f>MIN(0.25+(INDEX('Stat Boosts'!$D$2:$D$192,E$1-9)-10)*$C11,10.22)</f>
        <v>0.25</v>
      </c>
      <c r="F11" s="16">
        <f>MIN(0.25+(INDEX('Stat Boosts'!$D$2:$D$192,F$1-9)-10)*$C11,10.22)</f>
        <v>0.62333333333333329</v>
      </c>
      <c r="G11" s="16">
        <f>MIN(0.25+(INDEX('Stat Boosts'!$D$2:$D$192,G$1-9)-10)*$C11,10.22)</f>
        <v>0.9966666666666667</v>
      </c>
      <c r="H11" s="16">
        <f>MIN(0.25+(INDEX('Stat Boosts'!$D$2:$D$192,H$1-9)-10)*$C11,10.22)</f>
        <v>1.37</v>
      </c>
      <c r="I11" s="16">
        <f>MIN(0.25+(INDEX('Stat Boosts'!$D$2:$D$192,I$1-9)-10)*$C11,10.22)</f>
        <v>1.6900000000000002</v>
      </c>
      <c r="J11" s="16">
        <f>MIN(0.25+(INDEX('Stat Boosts'!$D$2:$D$192,J$1-9)-10)*$C11,10.22)</f>
        <v>2.0099999999999998</v>
      </c>
      <c r="K11" s="16">
        <f>MIN(0.25+(INDEX('Stat Boosts'!$D$2:$D$192,K$1-9)-10)*$C11,10.22)</f>
        <v>2.7566666666666668</v>
      </c>
      <c r="L11" s="16">
        <f>MIN(0.25+(INDEX('Stat Boosts'!$D$2:$D$192,L$1-9)-10)*$C11,10.22)</f>
        <v>3.0233333333333334</v>
      </c>
      <c r="M11" s="16">
        <f>MIN(0.25+(INDEX('Stat Boosts'!$D$2:$D$192,M$1-9)-10)*$C11,10.22)</f>
        <v>3.3966666666666669</v>
      </c>
      <c r="N11" s="16">
        <f>MIN(0.25+(INDEX('Stat Boosts'!$D$2:$D$192,N$1-9)-10)*$C11,10.22)</f>
        <v>3.8766666666666669</v>
      </c>
      <c r="O11" s="16">
        <f>MIN(0.25+(INDEX('Stat Boosts'!$D$2:$D$192,O$1-9)-10)*$C11,10.22)</f>
        <v>4.1433333333333335</v>
      </c>
      <c r="P11" s="16">
        <f>MIN(0.25+(INDEX('Stat Boosts'!$D$2:$D$192,P$1-9)-10)*$C11,10.22)</f>
        <v>4.57</v>
      </c>
      <c r="Q11" s="16">
        <f>MIN(0.25+(INDEX('Stat Boosts'!$D$2:$D$192,Q$1-9)-10)*$C11,10.22)</f>
        <v>4.996666666666667</v>
      </c>
      <c r="R11" s="16">
        <f>MIN(0.25+(INDEX('Stat Boosts'!$D$2:$D$192,R$1-9)-10)*$C11,10.22)</f>
        <v>5.4233333333333338</v>
      </c>
    </row>
    <row r="12" spans="1:20">
      <c r="A12" s="9">
        <v>11</v>
      </c>
      <c r="B12" s="16">
        <f t="shared" si="0"/>
        <v>17.75</v>
      </c>
      <c r="C12" s="16">
        <f t="shared" si="1"/>
        <v>5.1612903225806452E-2</v>
      </c>
      <c r="E12" s="16">
        <f>MIN(0.25+(INDEX('Stat Boosts'!$D$2:$D$192,E$1-9)-10)*$C12,10.22)</f>
        <v>0.25</v>
      </c>
      <c r="F12" s="16">
        <f>MIN(0.25+(INDEX('Stat Boosts'!$D$2:$D$192,F$1-9)-10)*$C12,10.22)</f>
        <v>0.6112903225806452</v>
      </c>
      <c r="G12" s="16">
        <f>MIN(0.25+(INDEX('Stat Boosts'!$D$2:$D$192,G$1-9)-10)*$C12,10.22)</f>
        <v>0.97258064516129028</v>
      </c>
      <c r="H12" s="16">
        <f>MIN(0.25+(INDEX('Stat Boosts'!$D$2:$D$192,H$1-9)-10)*$C12,10.22)</f>
        <v>1.3338709677419356</v>
      </c>
      <c r="I12" s="16">
        <f>MIN(0.25+(INDEX('Stat Boosts'!$D$2:$D$192,I$1-9)-10)*$C12,10.22)</f>
        <v>1.6435483870967742</v>
      </c>
      <c r="J12" s="16">
        <f>MIN(0.25+(INDEX('Stat Boosts'!$D$2:$D$192,J$1-9)-10)*$C12,10.22)</f>
        <v>1.9532258064516128</v>
      </c>
      <c r="K12" s="16">
        <f>MIN(0.25+(INDEX('Stat Boosts'!$D$2:$D$192,K$1-9)-10)*$C12,10.22)</f>
        <v>2.6758064516129032</v>
      </c>
      <c r="L12" s="16">
        <f>MIN(0.25+(INDEX('Stat Boosts'!$D$2:$D$192,L$1-9)-10)*$C12,10.22)</f>
        <v>2.9338709677419357</v>
      </c>
      <c r="M12" s="16">
        <f>MIN(0.25+(INDEX('Stat Boosts'!$D$2:$D$192,M$1-9)-10)*$C12,10.22)</f>
        <v>3.2951612903225804</v>
      </c>
      <c r="N12" s="16">
        <f>MIN(0.25+(INDEX('Stat Boosts'!$D$2:$D$192,N$1-9)-10)*$C12,10.22)</f>
        <v>3.7596774193548388</v>
      </c>
      <c r="O12" s="16">
        <f>MIN(0.25+(INDEX('Stat Boosts'!$D$2:$D$192,O$1-9)-10)*$C12,10.22)</f>
        <v>4.0177419354838708</v>
      </c>
      <c r="P12" s="16">
        <f>MIN(0.25+(INDEX('Stat Boosts'!$D$2:$D$192,P$1-9)-10)*$C12,10.22)</f>
        <v>4.4306451612903226</v>
      </c>
      <c r="Q12" s="16">
        <f>MIN(0.25+(INDEX('Stat Boosts'!$D$2:$D$192,Q$1-9)-10)*$C12,10.22)</f>
        <v>4.8435483870967744</v>
      </c>
      <c r="R12" s="16">
        <f>MIN(0.25+(INDEX('Stat Boosts'!$D$2:$D$192,R$1-9)-10)*$C12,10.22)</f>
        <v>5.2564516129032262</v>
      </c>
    </row>
    <row r="13" spans="1:20">
      <c r="A13" s="9">
        <v>12</v>
      </c>
      <c r="B13" s="16">
        <f t="shared" si="0"/>
        <v>18</v>
      </c>
      <c r="C13" s="16">
        <f t="shared" si="1"/>
        <v>0.05</v>
      </c>
      <c r="E13" s="16">
        <f>MIN(0.25+(INDEX('Stat Boosts'!$D$2:$D$192,E$1-9)-10)*$C13,10.22)</f>
        <v>0.25</v>
      </c>
      <c r="F13" s="16">
        <f>MIN(0.25+(INDEX('Stat Boosts'!$D$2:$D$192,F$1-9)-10)*$C13,10.22)</f>
        <v>0.60000000000000009</v>
      </c>
      <c r="G13" s="16">
        <f>MIN(0.25+(INDEX('Stat Boosts'!$D$2:$D$192,G$1-9)-10)*$C13,10.22)</f>
        <v>0.95000000000000007</v>
      </c>
      <c r="H13" s="16">
        <f>MIN(0.25+(INDEX('Stat Boosts'!$D$2:$D$192,H$1-9)-10)*$C13,10.22)</f>
        <v>1.3</v>
      </c>
      <c r="I13" s="16">
        <f>MIN(0.25+(INDEX('Stat Boosts'!$D$2:$D$192,I$1-9)-10)*$C13,10.22)</f>
        <v>1.6</v>
      </c>
      <c r="J13" s="16">
        <f>MIN(0.25+(INDEX('Stat Boosts'!$D$2:$D$192,J$1-9)-10)*$C13,10.22)</f>
        <v>1.9000000000000001</v>
      </c>
      <c r="K13" s="16">
        <f>MIN(0.25+(INDEX('Stat Boosts'!$D$2:$D$192,K$1-9)-10)*$C13,10.22)</f>
        <v>2.6</v>
      </c>
      <c r="L13" s="16">
        <f>MIN(0.25+(INDEX('Stat Boosts'!$D$2:$D$192,L$1-9)-10)*$C13,10.22)</f>
        <v>2.85</v>
      </c>
      <c r="M13" s="16">
        <f>MIN(0.25+(INDEX('Stat Boosts'!$D$2:$D$192,M$1-9)-10)*$C13,10.22)</f>
        <v>3.2</v>
      </c>
      <c r="N13" s="16">
        <f>MIN(0.25+(INDEX('Stat Boosts'!$D$2:$D$192,N$1-9)-10)*$C13,10.22)</f>
        <v>3.6500000000000004</v>
      </c>
      <c r="O13" s="16">
        <f>MIN(0.25+(INDEX('Stat Boosts'!$D$2:$D$192,O$1-9)-10)*$C13,10.22)</f>
        <v>3.9000000000000004</v>
      </c>
      <c r="P13" s="16">
        <f>MIN(0.25+(INDEX('Stat Boosts'!$D$2:$D$192,P$1-9)-10)*$C13,10.22)</f>
        <v>4.3</v>
      </c>
      <c r="Q13" s="16">
        <f>MIN(0.25+(INDEX('Stat Boosts'!$D$2:$D$192,Q$1-9)-10)*$C13,10.22)</f>
        <v>4.7</v>
      </c>
      <c r="R13" s="16">
        <f>MIN(0.25+(INDEX('Stat Boosts'!$D$2:$D$192,R$1-9)-10)*$C13,10.22)</f>
        <v>5.1000000000000005</v>
      </c>
    </row>
    <row r="14" spans="1:20">
      <c r="A14" s="9">
        <v>13</v>
      </c>
      <c r="B14" s="16">
        <f t="shared" si="0"/>
        <v>18.25</v>
      </c>
      <c r="C14" s="16">
        <f t="shared" si="1"/>
        <v>4.8484848484848485E-2</v>
      </c>
      <c r="E14" s="16">
        <f>MIN(0.25+(INDEX('Stat Boosts'!$D$2:$D$192,E$1-9)-10)*$C14,10.22)</f>
        <v>0.25</v>
      </c>
      <c r="F14" s="16">
        <f>MIN(0.25+(INDEX('Stat Boosts'!$D$2:$D$192,F$1-9)-10)*$C14,10.22)</f>
        <v>0.58939393939393936</v>
      </c>
      <c r="G14" s="16">
        <f>MIN(0.25+(INDEX('Stat Boosts'!$D$2:$D$192,G$1-9)-10)*$C14,10.22)</f>
        <v>0.92878787878787883</v>
      </c>
      <c r="H14" s="16">
        <f>MIN(0.25+(INDEX('Stat Boosts'!$D$2:$D$192,H$1-9)-10)*$C14,10.22)</f>
        <v>1.2681818181818181</v>
      </c>
      <c r="I14" s="16">
        <f>MIN(0.25+(INDEX('Stat Boosts'!$D$2:$D$192,I$1-9)-10)*$C14,10.22)</f>
        <v>1.5590909090909091</v>
      </c>
      <c r="J14" s="16">
        <f>MIN(0.25+(INDEX('Stat Boosts'!$D$2:$D$192,J$1-9)-10)*$C14,10.22)</f>
        <v>1.85</v>
      </c>
      <c r="K14" s="16">
        <f>MIN(0.25+(INDEX('Stat Boosts'!$D$2:$D$192,K$1-9)-10)*$C14,10.22)</f>
        <v>2.5287878787878788</v>
      </c>
      <c r="L14" s="16">
        <f>MIN(0.25+(INDEX('Stat Boosts'!$D$2:$D$192,L$1-9)-10)*$C14,10.22)</f>
        <v>2.771212121212121</v>
      </c>
      <c r="M14" s="16">
        <f>MIN(0.25+(INDEX('Stat Boosts'!$D$2:$D$192,M$1-9)-10)*$C14,10.22)</f>
        <v>3.1106060606060608</v>
      </c>
      <c r="N14" s="16">
        <f>MIN(0.25+(INDEX('Stat Boosts'!$D$2:$D$192,N$1-9)-10)*$C14,10.22)</f>
        <v>3.5469696969696969</v>
      </c>
      <c r="O14" s="16">
        <f>MIN(0.25+(INDEX('Stat Boosts'!$D$2:$D$192,O$1-9)-10)*$C14,10.22)</f>
        <v>3.7893939393939395</v>
      </c>
      <c r="P14" s="16">
        <f>MIN(0.25+(INDEX('Stat Boosts'!$D$2:$D$192,P$1-9)-10)*$C14,10.22)</f>
        <v>4.1772727272727277</v>
      </c>
      <c r="Q14" s="16">
        <f>MIN(0.25+(INDEX('Stat Boosts'!$D$2:$D$192,Q$1-9)-10)*$C14,10.22)</f>
        <v>4.5651515151515154</v>
      </c>
      <c r="R14" s="16">
        <f>MIN(0.25+(INDEX('Stat Boosts'!$D$2:$D$192,R$1-9)-10)*$C14,10.22)</f>
        <v>4.9530303030303031</v>
      </c>
    </row>
    <row r="15" spans="1:20">
      <c r="A15" s="9">
        <v>14</v>
      </c>
      <c r="B15" s="16">
        <f t="shared" si="0"/>
        <v>18.5</v>
      </c>
      <c r="C15" s="16">
        <f t="shared" si="1"/>
        <v>4.7058823529411764E-2</v>
      </c>
      <c r="E15" s="16">
        <f>MIN(0.25+(INDEX('Stat Boosts'!$D$2:$D$192,E$1-9)-10)*$C15,10.22)</f>
        <v>0.25</v>
      </c>
      <c r="F15" s="16">
        <f>MIN(0.25+(INDEX('Stat Boosts'!$D$2:$D$192,F$1-9)-10)*$C15,10.22)</f>
        <v>0.57941176470588229</v>
      </c>
      <c r="G15" s="16">
        <f>MIN(0.25+(INDEX('Stat Boosts'!$D$2:$D$192,G$1-9)-10)*$C15,10.22)</f>
        <v>0.9088235294117647</v>
      </c>
      <c r="H15" s="16">
        <f>MIN(0.25+(INDEX('Stat Boosts'!$D$2:$D$192,H$1-9)-10)*$C15,10.22)</f>
        <v>1.2382352941176471</v>
      </c>
      <c r="I15" s="16">
        <f>MIN(0.25+(INDEX('Stat Boosts'!$D$2:$D$192,I$1-9)-10)*$C15,10.22)</f>
        <v>1.5205882352941176</v>
      </c>
      <c r="J15" s="16">
        <f>MIN(0.25+(INDEX('Stat Boosts'!$D$2:$D$192,J$1-9)-10)*$C15,10.22)</f>
        <v>1.8029411764705883</v>
      </c>
      <c r="K15" s="16">
        <f>MIN(0.25+(INDEX('Stat Boosts'!$D$2:$D$192,K$1-9)-10)*$C15,10.22)</f>
        <v>2.4617647058823531</v>
      </c>
      <c r="L15" s="16">
        <f>MIN(0.25+(INDEX('Stat Boosts'!$D$2:$D$192,L$1-9)-10)*$C15,10.22)</f>
        <v>2.697058823529412</v>
      </c>
      <c r="M15" s="16">
        <f>MIN(0.25+(INDEX('Stat Boosts'!$D$2:$D$192,M$1-9)-10)*$C15,10.22)</f>
        <v>3.026470588235294</v>
      </c>
      <c r="N15" s="16">
        <f>MIN(0.25+(INDEX('Stat Boosts'!$D$2:$D$192,N$1-9)-10)*$C15,10.22)</f>
        <v>3.45</v>
      </c>
      <c r="O15" s="16">
        <f>MIN(0.25+(INDEX('Stat Boosts'!$D$2:$D$192,O$1-9)-10)*$C15,10.22)</f>
        <v>3.6852941176470586</v>
      </c>
      <c r="P15" s="16">
        <f>MIN(0.25+(INDEX('Stat Boosts'!$D$2:$D$192,P$1-9)-10)*$C15,10.22)</f>
        <v>4.0617647058823527</v>
      </c>
      <c r="Q15" s="16">
        <f>MIN(0.25+(INDEX('Stat Boosts'!$D$2:$D$192,Q$1-9)-10)*$C15,10.22)</f>
        <v>4.4382352941176473</v>
      </c>
      <c r="R15" s="16">
        <f>MIN(0.25+(INDEX('Stat Boosts'!$D$2:$D$192,R$1-9)-10)*$C15,10.22)</f>
        <v>4.8147058823529409</v>
      </c>
    </row>
    <row r="16" spans="1:20">
      <c r="A16" s="9">
        <v>15</v>
      </c>
      <c r="B16" s="16">
        <f t="shared" si="0"/>
        <v>18.75</v>
      </c>
      <c r="C16" s="16">
        <f t="shared" si="1"/>
        <v>4.5714285714285714E-2</v>
      </c>
      <c r="E16" s="16">
        <f>MIN(0.25+(INDEX('Stat Boosts'!$D$2:$D$192,E$1-9)-10)*$C16,10.22)</f>
        <v>0.25</v>
      </c>
      <c r="F16" s="16">
        <f>MIN(0.25+(INDEX('Stat Boosts'!$D$2:$D$192,F$1-9)-10)*$C16,10.22)</f>
        <v>0.57000000000000006</v>
      </c>
      <c r="G16" s="16">
        <f>MIN(0.25+(INDEX('Stat Boosts'!$D$2:$D$192,G$1-9)-10)*$C16,10.22)</f>
        <v>0.89</v>
      </c>
      <c r="H16" s="16">
        <f>MIN(0.25+(INDEX('Stat Boosts'!$D$2:$D$192,H$1-9)-10)*$C16,10.22)</f>
        <v>1.21</v>
      </c>
      <c r="I16" s="16">
        <f>MIN(0.25+(INDEX('Stat Boosts'!$D$2:$D$192,I$1-9)-10)*$C16,10.22)</f>
        <v>1.4842857142857142</v>
      </c>
      <c r="J16" s="16">
        <f>MIN(0.25+(INDEX('Stat Boosts'!$D$2:$D$192,J$1-9)-10)*$C16,10.22)</f>
        <v>1.7585714285714287</v>
      </c>
      <c r="K16" s="16">
        <f>MIN(0.25+(INDEX('Stat Boosts'!$D$2:$D$192,K$1-9)-10)*$C16,10.22)</f>
        <v>2.3985714285714286</v>
      </c>
      <c r="L16" s="16">
        <f>MIN(0.25+(INDEX('Stat Boosts'!$D$2:$D$192,L$1-9)-10)*$C16,10.22)</f>
        <v>2.6271428571428572</v>
      </c>
      <c r="M16" s="16">
        <f>MIN(0.25+(INDEX('Stat Boosts'!$D$2:$D$192,M$1-9)-10)*$C16,10.22)</f>
        <v>2.9471428571428571</v>
      </c>
      <c r="N16" s="16">
        <f>MIN(0.25+(INDEX('Stat Boosts'!$D$2:$D$192,N$1-9)-10)*$C16,10.22)</f>
        <v>3.3585714285714285</v>
      </c>
      <c r="O16" s="16">
        <f>MIN(0.25+(INDEX('Stat Boosts'!$D$2:$D$192,O$1-9)-10)*$C16,10.22)</f>
        <v>3.5871428571428572</v>
      </c>
      <c r="P16" s="16">
        <f>MIN(0.25+(INDEX('Stat Boosts'!$D$2:$D$192,P$1-9)-10)*$C16,10.22)</f>
        <v>3.9528571428571428</v>
      </c>
      <c r="Q16" s="16">
        <f>MIN(0.25+(INDEX('Stat Boosts'!$D$2:$D$192,Q$1-9)-10)*$C16,10.22)</f>
        <v>4.3185714285714285</v>
      </c>
      <c r="R16" s="16">
        <f>MIN(0.25+(INDEX('Stat Boosts'!$D$2:$D$192,R$1-9)-10)*$C16,10.22)</f>
        <v>4.6842857142857142</v>
      </c>
    </row>
    <row r="17" spans="1:18">
      <c r="A17" s="9">
        <v>16</v>
      </c>
      <c r="B17" s="16">
        <f t="shared" si="0"/>
        <v>19</v>
      </c>
      <c r="C17" s="16">
        <f t="shared" si="1"/>
        <v>4.4444444444444446E-2</v>
      </c>
      <c r="E17" s="16">
        <f>MIN(0.25+(INDEX('Stat Boosts'!$D$2:$D$192,E$1-9)-10)*$C17,10.22)</f>
        <v>0.25</v>
      </c>
      <c r="F17" s="16">
        <f>MIN(0.25+(INDEX('Stat Boosts'!$D$2:$D$192,F$1-9)-10)*$C17,10.22)</f>
        <v>0.56111111111111112</v>
      </c>
      <c r="G17" s="16">
        <f>MIN(0.25+(INDEX('Stat Boosts'!$D$2:$D$192,G$1-9)-10)*$C17,10.22)</f>
        <v>0.87222222222222223</v>
      </c>
      <c r="H17" s="16">
        <f>MIN(0.25+(INDEX('Stat Boosts'!$D$2:$D$192,H$1-9)-10)*$C17,10.22)</f>
        <v>1.1833333333333333</v>
      </c>
      <c r="I17" s="16">
        <f>MIN(0.25+(INDEX('Stat Boosts'!$D$2:$D$192,I$1-9)-10)*$C17,10.22)</f>
        <v>1.45</v>
      </c>
      <c r="J17" s="16">
        <f>MIN(0.25+(INDEX('Stat Boosts'!$D$2:$D$192,J$1-9)-10)*$C17,10.22)</f>
        <v>1.7166666666666668</v>
      </c>
      <c r="K17" s="16">
        <f>MIN(0.25+(INDEX('Stat Boosts'!$D$2:$D$192,K$1-9)-10)*$C17,10.22)</f>
        <v>2.338888888888889</v>
      </c>
      <c r="L17" s="16">
        <f>MIN(0.25+(INDEX('Stat Boosts'!$D$2:$D$192,L$1-9)-10)*$C17,10.22)</f>
        <v>2.5611111111111113</v>
      </c>
      <c r="M17" s="16">
        <f>MIN(0.25+(INDEX('Stat Boosts'!$D$2:$D$192,M$1-9)-10)*$C17,10.22)</f>
        <v>2.8722222222222222</v>
      </c>
      <c r="N17" s="16">
        <f>MIN(0.25+(INDEX('Stat Boosts'!$D$2:$D$192,N$1-9)-10)*$C17,10.22)</f>
        <v>3.2722222222222221</v>
      </c>
      <c r="O17" s="16">
        <f>MIN(0.25+(INDEX('Stat Boosts'!$D$2:$D$192,O$1-9)-10)*$C17,10.22)</f>
        <v>3.4944444444444445</v>
      </c>
      <c r="P17" s="16">
        <f>MIN(0.25+(INDEX('Stat Boosts'!$D$2:$D$192,P$1-9)-10)*$C17,10.22)</f>
        <v>3.85</v>
      </c>
      <c r="Q17" s="16">
        <f>MIN(0.25+(INDEX('Stat Boosts'!$D$2:$D$192,Q$1-9)-10)*$C17,10.22)</f>
        <v>4.2055555555555557</v>
      </c>
      <c r="R17" s="16">
        <f>MIN(0.25+(INDEX('Stat Boosts'!$D$2:$D$192,R$1-9)-10)*$C17,10.22)</f>
        <v>4.5611111111111109</v>
      </c>
    </row>
    <row r="18" spans="1:18">
      <c r="A18" s="9">
        <v>17</v>
      </c>
      <c r="B18" s="16">
        <f t="shared" si="0"/>
        <v>19.25</v>
      </c>
      <c r="C18" s="16">
        <f t="shared" si="1"/>
        <v>4.3243243243243246E-2</v>
      </c>
      <c r="E18" s="16">
        <f>MIN(0.25+(INDEX('Stat Boosts'!$D$2:$D$192,E$1-9)-10)*$C18,10.22)</f>
        <v>0.25</v>
      </c>
      <c r="F18" s="16">
        <f>MIN(0.25+(INDEX('Stat Boosts'!$D$2:$D$192,F$1-9)-10)*$C18,10.22)</f>
        <v>0.55270270270270272</v>
      </c>
      <c r="G18" s="16">
        <f>MIN(0.25+(INDEX('Stat Boosts'!$D$2:$D$192,G$1-9)-10)*$C18,10.22)</f>
        <v>0.85540540540540544</v>
      </c>
      <c r="H18" s="16">
        <f>MIN(0.25+(INDEX('Stat Boosts'!$D$2:$D$192,H$1-9)-10)*$C18,10.22)</f>
        <v>1.1581081081081082</v>
      </c>
      <c r="I18" s="16">
        <f>MIN(0.25+(INDEX('Stat Boosts'!$D$2:$D$192,I$1-9)-10)*$C18,10.22)</f>
        <v>1.4175675675675676</v>
      </c>
      <c r="J18" s="16">
        <f>MIN(0.25+(INDEX('Stat Boosts'!$D$2:$D$192,J$1-9)-10)*$C18,10.22)</f>
        <v>1.6770270270270271</v>
      </c>
      <c r="K18" s="16">
        <f>MIN(0.25+(INDEX('Stat Boosts'!$D$2:$D$192,K$1-9)-10)*$C18,10.22)</f>
        <v>2.2824324324324325</v>
      </c>
      <c r="L18" s="16">
        <f>MIN(0.25+(INDEX('Stat Boosts'!$D$2:$D$192,L$1-9)-10)*$C18,10.22)</f>
        <v>2.4986486486486488</v>
      </c>
      <c r="M18" s="16">
        <f>MIN(0.25+(INDEX('Stat Boosts'!$D$2:$D$192,M$1-9)-10)*$C18,10.22)</f>
        <v>2.8013513513513515</v>
      </c>
      <c r="N18" s="16">
        <f>MIN(0.25+(INDEX('Stat Boosts'!$D$2:$D$192,N$1-9)-10)*$C18,10.22)</f>
        <v>3.1905405405405407</v>
      </c>
      <c r="O18" s="16">
        <f>MIN(0.25+(INDEX('Stat Boosts'!$D$2:$D$192,O$1-9)-10)*$C18,10.22)</f>
        <v>3.4067567567567569</v>
      </c>
      <c r="P18" s="16">
        <f>MIN(0.25+(INDEX('Stat Boosts'!$D$2:$D$192,P$1-9)-10)*$C18,10.22)</f>
        <v>3.7527027027027029</v>
      </c>
      <c r="Q18" s="16">
        <f>MIN(0.25+(INDEX('Stat Boosts'!$D$2:$D$192,Q$1-9)-10)*$C18,10.22)</f>
        <v>4.0986486486486484</v>
      </c>
      <c r="R18" s="16">
        <f>MIN(0.25+(INDEX('Stat Boosts'!$D$2:$D$192,R$1-9)-10)*$C18,10.22)</f>
        <v>4.4445945945945944</v>
      </c>
    </row>
    <row r="19" spans="1:18">
      <c r="A19" s="9">
        <v>18</v>
      </c>
      <c r="B19" s="16">
        <f t="shared" si="0"/>
        <v>19.5</v>
      </c>
      <c r="C19" s="16">
        <f t="shared" si="1"/>
        <v>4.2105263157894736E-2</v>
      </c>
      <c r="E19" s="16">
        <f>MIN(0.25+(INDEX('Stat Boosts'!$D$2:$D$192,E$1-9)-10)*$C19,10.22)</f>
        <v>0.25</v>
      </c>
      <c r="F19" s="16">
        <f>MIN(0.25+(INDEX('Stat Boosts'!$D$2:$D$192,F$1-9)-10)*$C19,10.22)</f>
        <v>0.54473684210526319</v>
      </c>
      <c r="G19" s="16">
        <f>MIN(0.25+(INDEX('Stat Boosts'!$D$2:$D$192,G$1-9)-10)*$C19,10.22)</f>
        <v>0.83947368421052626</v>
      </c>
      <c r="H19" s="16">
        <f>MIN(0.25+(INDEX('Stat Boosts'!$D$2:$D$192,H$1-9)-10)*$C19,10.22)</f>
        <v>1.1342105263157896</v>
      </c>
      <c r="I19" s="16">
        <f>MIN(0.25+(INDEX('Stat Boosts'!$D$2:$D$192,I$1-9)-10)*$C19,10.22)</f>
        <v>1.3868421052631579</v>
      </c>
      <c r="J19" s="16">
        <f>MIN(0.25+(INDEX('Stat Boosts'!$D$2:$D$192,J$1-9)-10)*$C19,10.22)</f>
        <v>1.6394736842105262</v>
      </c>
      <c r="K19" s="16">
        <f>MIN(0.25+(INDEX('Stat Boosts'!$D$2:$D$192,K$1-9)-10)*$C19,10.22)</f>
        <v>2.2289473684210526</v>
      </c>
      <c r="L19" s="16">
        <f>MIN(0.25+(INDEX('Stat Boosts'!$D$2:$D$192,L$1-9)-10)*$C19,10.22)</f>
        <v>2.4394736842105265</v>
      </c>
      <c r="M19" s="16">
        <f>MIN(0.25+(INDEX('Stat Boosts'!$D$2:$D$192,M$1-9)-10)*$C19,10.22)</f>
        <v>2.7342105263157892</v>
      </c>
      <c r="N19" s="16">
        <f>MIN(0.25+(INDEX('Stat Boosts'!$D$2:$D$192,N$1-9)-10)*$C19,10.22)</f>
        <v>3.1131578947368421</v>
      </c>
      <c r="O19" s="16">
        <f>MIN(0.25+(INDEX('Stat Boosts'!$D$2:$D$192,O$1-9)-10)*$C19,10.22)</f>
        <v>3.3236842105263156</v>
      </c>
      <c r="P19" s="16">
        <f>MIN(0.25+(INDEX('Stat Boosts'!$D$2:$D$192,P$1-9)-10)*$C19,10.22)</f>
        <v>3.6605263157894736</v>
      </c>
      <c r="Q19" s="16">
        <f>MIN(0.25+(INDEX('Stat Boosts'!$D$2:$D$192,Q$1-9)-10)*$C19,10.22)</f>
        <v>3.9973684210526317</v>
      </c>
      <c r="R19" s="16">
        <f>MIN(0.25+(INDEX('Stat Boosts'!$D$2:$D$192,R$1-9)-10)*$C19,10.22)</f>
        <v>4.3342105263157897</v>
      </c>
    </row>
    <row r="20" spans="1:18">
      <c r="A20" s="9">
        <v>19</v>
      </c>
      <c r="B20" s="16">
        <f t="shared" si="0"/>
        <v>19.75</v>
      </c>
      <c r="C20" s="16">
        <f t="shared" si="1"/>
        <v>4.1025641025641026E-2</v>
      </c>
      <c r="E20" s="16">
        <f>MIN(0.25+(INDEX('Stat Boosts'!$D$2:$D$192,E$1-9)-10)*$C20,10.22)</f>
        <v>0.25</v>
      </c>
      <c r="F20" s="16">
        <f>MIN(0.25+(INDEX('Stat Boosts'!$D$2:$D$192,F$1-9)-10)*$C20,10.22)</f>
        <v>0.53717948717948716</v>
      </c>
      <c r="G20" s="16">
        <f>MIN(0.25+(INDEX('Stat Boosts'!$D$2:$D$192,G$1-9)-10)*$C20,10.22)</f>
        <v>0.82435897435897432</v>
      </c>
      <c r="H20" s="16">
        <f>MIN(0.25+(INDEX('Stat Boosts'!$D$2:$D$192,H$1-9)-10)*$C20,10.22)</f>
        <v>1.1115384615384616</v>
      </c>
      <c r="I20" s="16">
        <f>MIN(0.25+(INDEX('Stat Boosts'!$D$2:$D$192,I$1-9)-10)*$C20,10.22)</f>
        <v>1.3576923076923078</v>
      </c>
      <c r="J20" s="16">
        <f>MIN(0.25+(INDEX('Stat Boosts'!$D$2:$D$192,J$1-9)-10)*$C20,10.22)</f>
        <v>1.6038461538461539</v>
      </c>
      <c r="K20" s="16">
        <f>MIN(0.25+(INDEX('Stat Boosts'!$D$2:$D$192,K$1-9)-10)*$C20,10.22)</f>
        <v>2.1782051282051285</v>
      </c>
      <c r="L20" s="16">
        <f>MIN(0.25+(INDEX('Stat Boosts'!$D$2:$D$192,L$1-9)-10)*$C20,10.22)</f>
        <v>2.3833333333333333</v>
      </c>
      <c r="M20" s="16">
        <f>MIN(0.25+(INDEX('Stat Boosts'!$D$2:$D$192,M$1-9)-10)*$C20,10.22)</f>
        <v>2.6705128205128204</v>
      </c>
      <c r="N20" s="16">
        <f>MIN(0.25+(INDEX('Stat Boosts'!$D$2:$D$192,N$1-9)-10)*$C20,10.22)</f>
        <v>3.0397435897435896</v>
      </c>
      <c r="O20" s="16">
        <f>MIN(0.25+(INDEX('Stat Boosts'!$D$2:$D$192,O$1-9)-10)*$C20,10.22)</f>
        <v>3.2448717948717949</v>
      </c>
      <c r="P20" s="16">
        <f>MIN(0.25+(INDEX('Stat Boosts'!$D$2:$D$192,P$1-9)-10)*$C20,10.22)</f>
        <v>3.5730769230769233</v>
      </c>
      <c r="Q20" s="16">
        <f>MIN(0.25+(INDEX('Stat Boosts'!$D$2:$D$192,Q$1-9)-10)*$C20,10.22)</f>
        <v>3.9012820512820512</v>
      </c>
      <c r="R20" s="16">
        <f>MIN(0.25+(INDEX('Stat Boosts'!$D$2:$D$192,R$1-9)-10)*$C20,10.22)</f>
        <v>4.2294871794871796</v>
      </c>
    </row>
    <row r="21" spans="1:18">
      <c r="A21" s="9">
        <v>20</v>
      </c>
      <c r="B21" s="16">
        <f t="shared" si="0"/>
        <v>20</v>
      </c>
      <c r="C21" s="16">
        <f t="shared" si="1"/>
        <v>0.04</v>
      </c>
      <c r="E21" s="16">
        <f>MIN(0.25+(INDEX('Stat Boosts'!$D$2:$D$192,E$1-9)-10)*$C21,10.22)</f>
        <v>0.25</v>
      </c>
      <c r="F21" s="16">
        <f>MIN(0.25+(INDEX('Stat Boosts'!$D$2:$D$192,F$1-9)-10)*$C21,10.22)</f>
        <v>0.53</v>
      </c>
      <c r="G21" s="16">
        <f>MIN(0.25+(INDEX('Stat Boosts'!$D$2:$D$192,G$1-9)-10)*$C21,10.22)</f>
        <v>0.81</v>
      </c>
      <c r="H21" s="16">
        <f>MIN(0.25+(INDEX('Stat Boosts'!$D$2:$D$192,H$1-9)-10)*$C21,10.22)</f>
        <v>1.0899999999999999</v>
      </c>
      <c r="I21" s="16">
        <f>MIN(0.25+(INDEX('Stat Boosts'!$D$2:$D$192,I$1-9)-10)*$C21,10.22)</f>
        <v>1.33</v>
      </c>
      <c r="J21" s="16">
        <f>MIN(0.25+(INDEX('Stat Boosts'!$D$2:$D$192,J$1-9)-10)*$C21,10.22)</f>
        <v>1.57</v>
      </c>
      <c r="K21" s="16">
        <f>MIN(0.25+(INDEX('Stat Boosts'!$D$2:$D$192,K$1-9)-10)*$C21,10.22)</f>
        <v>2.13</v>
      </c>
      <c r="L21" s="16">
        <f>MIN(0.25+(INDEX('Stat Boosts'!$D$2:$D$192,L$1-9)-10)*$C21,10.22)</f>
        <v>2.33</v>
      </c>
      <c r="M21" s="16">
        <f>MIN(0.25+(INDEX('Stat Boosts'!$D$2:$D$192,M$1-9)-10)*$C21,10.22)</f>
        <v>2.61</v>
      </c>
      <c r="N21" s="16">
        <f>MIN(0.25+(INDEX('Stat Boosts'!$D$2:$D$192,N$1-9)-10)*$C21,10.22)</f>
        <v>2.97</v>
      </c>
      <c r="O21" s="16">
        <f>MIN(0.25+(INDEX('Stat Boosts'!$D$2:$D$192,O$1-9)-10)*$C21,10.22)</f>
        <v>3.17</v>
      </c>
      <c r="P21" s="16">
        <f>MIN(0.25+(INDEX('Stat Boosts'!$D$2:$D$192,P$1-9)-10)*$C21,10.22)</f>
        <v>3.49</v>
      </c>
      <c r="Q21" s="16">
        <f>MIN(0.25+(INDEX('Stat Boosts'!$D$2:$D$192,Q$1-9)-10)*$C21,10.22)</f>
        <v>3.81</v>
      </c>
      <c r="R21" s="16">
        <f>MIN(0.25+(INDEX('Stat Boosts'!$D$2:$D$192,R$1-9)-10)*$C21,10.22)</f>
        <v>4.13</v>
      </c>
    </row>
    <row r="22" spans="1:18">
      <c r="A22" s="9">
        <v>21</v>
      </c>
      <c r="B22" s="16">
        <f t="shared" si="0"/>
        <v>20.25</v>
      </c>
      <c r="C22" s="16">
        <f t="shared" si="1"/>
        <v>3.9024390243902439E-2</v>
      </c>
      <c r="E22" s="16">
        <f>MIN(0.25+(INDEX('Stat Boosts'!$D$2:$D$192,E$1-9)-10)*$C22,10.22)</f>
        <v>0.25</v>
      </c>
      <c r="F22" s="16">
        <f>MIN(0.25+(INDEX('Stat Boosts'!$D$2:$D$192,F$1-9)-10)*$C22,10.22)</f>
        <v>0.52317073170731709</v>
      </c>
      <c r="G22" s="16">
        <f>MIN(0.25+(INDEX('Stat Boosts'!$D$2:$D$192,G$1-9)-10)*$C22,10.22)</f>
        <v>0.79634146341463419</v>
      </c>
      <c r="H22" s="16">
        <f>MIN(0.25+(INDEX('Stat Boosts'!$D$2:$D$192,H$1-9)-10)*$C22,10.22)</f>
        <v>1.0695121951219511</v>
      </c>
      <c r="I22" s="16">
        <f>MIN(0.25+(INDEX('Stat Boosts'!$D$2:$D$192,I$1-9)-10)*$C22,10.22)</f>
        <v>1.3036585365853659</v>
      </c>
      <c r="J22" s="16">
        <f>MIN(0.25+(INDEX('Stat Boosts'!$D$2:$D$192,J$1-9)-10)*$C22,10.22)</f>
        <v>1.5378048780487805</v>
      </c>
      <c r="K22" s="16">
        <f>MIN(0.25+(INDEX('Stat Boosts'!$D$2:$D$192,K$1-9)-10)*$C22,10.22)</f>
        <v>2.0841463414634145</v>
      </c>
      <c r="L22" s="16">
        <f>MIN(0.25+(INDEX('Stat Boosts'!$D$2:$D$192,L$1-9)-10)*$C22,10.22)</f>
        <v>2.2792682926829269</v>
      </c>
      <c r="M22" s="16">
        <f>MIN(0.25+(INDEX('Stat Boosts'!$D$2:$D$192,M$1-9)-10)*$C22,10.22)</f>
        <v>2.5524390243902437</v>
      </c>
      <c r="N22" s="16">
        <f>MIN(0.25+(INDEX('Stat Boosts'!$D$2:$D$192,N$1-9)-10)*$C22,10.22)</f>
        <v>2.903658536585366</v>
      </c>
      <c r="O22" s="16">
        <f>MIN(0.25+(INDEX('Stat Boosts'!$D$2:$D$192,O$1-9)-10)*$C22,10.22)</f>
        <v>3.0987804878048779</v>
      </c>
      <c r="P22" s="16">
        <f>MIN(0.25+(INDEX('Stat Boosts'!$D$2:$D$192,P$1-9)-10)*$C22,10.22)</f>
        <v>3.4109756097560977</v>
      </c>
      <c r="Q22" s="16">
        <f>MIN(0.25+(INDEX('Stat Boosts'!$D$2:$D$192,Q$1-9)-10)*$C22,10.22)</f>
        <v>3.723170731707317</v>
      </c>
      <c r="R22" s="16">
        <f>MIN(0.25+(INDEX('Stat Boosts'!$D$2:$D$192,R$1-9)-10)*$C22,10.22)</f>
        <v>4.0353658536585364</v>
      </c>
    </row>
    <row r="23" spans="1:18">
      <c r="A23" s="9">
        <v>22</v>
      </c>
      <c r="B23" s="16">
        <f t="shared" si="0"/>
        <v>20.5</v>
      </c>
      <c r="C23" s="16">
        <f t="shared" si="1"/>
        <v>3.8095238095238099E-2</v>
      </c>
      <c r="E23" s="16">
        <f>MIN(0.25+(INDEX('Stat Boosts'!$D$2:$D$192,E$1-9)-10)*$C23,10.22)</f>
        <v>0.25</v>
      </c>
      <c r="F23" s="16">
        <f>MIN(0.25+(INDEX('Stat Boosts'!$D$2:$D$192,F$1-9)-10)*$C23,10.22)</f>
        <v>0.51666666666666672</v>
      </c>
      <c r="G23" s="16">
        <f>MIN(0.25+(INDEX('Stat Boosts'!$D$2:$D$192,G$1-9)-10)*$C23,10.22)</f>
        <v>0.78333333333333344</v>
      </c>
      <c r="H23" s="16">
        <f>MIN(0.25+(INDEX('Stat Boosts'!$D$2:$D$192,H$1-9)-10)*$C23,10.22)</f>
        <v>1.05</v>
      </c>
      <c r="I23" s="16">
        <f>MIN(0.25+(INDEX('Stat Boosts'!$D$2:$D$192,I$1-9)-10)*$C23,10.22)</f>
        <v>1.2785714285714287</v>
      </c>
      <c r="J23" s="16">
        <f>MIN(0.25+(INDEX('Stat Boosts'!$D$2:$D$192,J$1-9)-10)*$C23,10.22)</f>
        <v>1.5071428571428573</v>
      </c>
      <c r="K23" s="16">
        <f>MIN(0.25+(INDEX('Stat Boosts'!$D$2:$D$192,K$1-9)-10)*$C23,10.22)</f>
        <v>2.0404761904761903</v>
      </c>
      <c r="L23" s="16">
        <f>MIN(0.25+(INDEX('Stat Boosts'!$D$2:$D$192,L$1-9)-10)*$C23,10.22)</f>
        <v>2.230952380952381</v>
      </c>
      <c r="M23" s="16">
        <f>MIN(0.25+(INDEX('Stat Boosts'!$D$2:$D$192,M$1-9)-10)*$C23,10.22)</f>
        <v>2.4976190476190476</v>
      </c>
      <c r="N23" s="16">
        <f>MIN(0.25+(INDEX('Stat Boosts'!$D$2:$D$192,N$1-9)-10)*$C23,10.22)</f>
        <v>2.8404761904761906</v>
      </c>
      <c r="O23" s="16">
        <f>MIN(0.25+(INDEX('Stat Boosts'!$D$2:$D$192,O$1-9)-10)*$C23,10.22)</f>
        <v>3.0309523809523813</v>
      </c>
      <c r="P23" s="16">
        <f>MIN(0.25+(INDEX('Stat Boosts'!$D$2:$D$192,P$1-9)-10)*$C23,10.22)</f>
        <v>3.3357142857142859</v>
      </c>
      <c r="Q23" s="16">
        <f>MIN(0.25+(INDEX('Stat Boosts'!$D$2:$D$192,Q$1-9)-10)*$C23,10.22)</f>
        <v>3.6404761904761909</v>
      </c>
      <c r="R23" s="16">
        <f>MIN(0.25+(INDEX('Stat Boosts'!$D$2:$D$192,R$1-9)-10)*$C23,10.22)</f>
        <v>3.9452380952380954</v>
      </c>
    </row>
    <row r="24" spans="1:18">
      <c r="A24" s="9">
        <v>23</v>
      </c>
      <c r="B24" s="16">
        <f t="shared" si="0"/>
        <v>20.75</v>
      </c>
      <c r="C24" s="16">
        <f t="shared" si="1"/>
        <v>3.7209302325581395E-2</v>
      </c>
      <c r="E24" s="16">
        <f>MIN(0.25+(INDEX('Stat Boosts'!$D$2:$D$192,E$1-9)-10)*$C24,10.22)</f>
        <v>0.25</v>
      </c>
      <c r="F24" s="16">
        <f>MIN(0.25+(INDEX('Stat Boosts'!$D$2:$D$192,F$1-9)-10)*$C24,10.22)</f>
        <v>0.51046511627906976</v>
      </c>
      <c r="G24" s="16">
        <f>MIN(0.25+(INDEX('Stat Boosts'!$D$2:$D$192,G$1-9)-10)*$C24,10.22)</f>
        <v>0.77093023255813953</v>
      </c>
      <c r="H24" s="16">
        <f>MIN(0.25+(INDEX('Stat Boosts'!$D$2:$D$192,H$1-9)-10)*$C24,10.22)</f>
        <v>1.0313953488372092</v>
      </c>
      <c r="I24" s="16">
        <f>MIN(0.25+(INDEX('Stat Boosts'!$D$2:$D$192,I$1-9)-10)*$C24,10.22)</f>
        <v>1.2546511627906978</v>
      </c>
      <c r="J24" s="16">
        <f>MIN(0.25+(INDEX('Stat Boosts'!$D$2:$D$192,J$1-9)-10)*$C24,10.22)</f>
        <v>1.4779069767441859</v>
      </c>
      <c r="K24" s="16">
        <f>MIN(0.25+(INDEX('Stat Boosts'!$D$2:$D$192,K$1-9)-10)*$C24,10.22)</f>
        <v>1.9988372093023257</v>
      </c>
      <c r="L24" s="16">
        <f>MIN(0.25+(INDEX('Stat Boosts'!$D$2:$D$192,L$1-9)-10)*$C24,10.22)</f>
        <v>2.1848837209302325</v>
      </c>
      <c r="M24" s="16">
        <f>MIN(0.25+(INDEX('Stat Boosts'!$D$2:$D$192,M$1-9)-10)*$C24,10.22)</f>
        <v>2.4453488372093024</v>
      </c>
      <c r="N24" s="16">
        <f>MIN(0.25+(INDEX('Stat Boosts'!$D$2:$D$192,N$1-9)-10)*$C24,10.22)</f>
        <v>2.7802325581395348</v>
      </c>
      <c r="O24" s="16">
        <f>MIN(0.25+(INDEX('Stat Boosts'!$D$2:$D$192,O$1-9)-10)*$C24,10.22)</f>
        <v>2.9662790697674417</v>
      </c>
      <c r="P24" s="16">
        <f>MIN(0.25+(INDEX('Stat Boosts'!$D$2:$D$192,P$1-9)-10)*$C24,10.22)</f>
        <v>3.2639534883720929</v>
      </c>
      <c r="Q24" s="16">
        <f>MIN(0.25+(INDEX('Stat Boosts'!$D$2:$D$192,Q$1-9)-10)*$C24,10.22)</f>
        <v>3.561627906976744</v>
      </c>
      <c r="R24" s="16">
        <f>MIN(0.25+(INDEX('Stat Boosts'!$D$2:$D$192,R$1-9)-10)*$C24,10.22)</f>
        <v>3.8593023255813952</v>
      </c>
    </row>
    <row r="25" spans="1:18">
      <c r="A25" s="9">
        <v>24</v>
      </c>
      <c r="B25" s="16">
        <f t="shared" si="0"/>
        <v>21</v>
      </c>
      <c r="C25" s="16">
        <f t="shared" si="1"/>
        <v>3.6363636363636369E-2</v>
      </c>
      <c r="E25" s="16">
        <f>MIN(0.25+(INDEX('Stat Boosts'!$D$2:$D$192,E$1-9)-10)*$C25,10.22)</f>
        <v>0.25</v>
      </c>
      <c r="F25" s="16">
        <f>MIN(0.25+(INDEX('Stat Boosts'!$D$2:$D$192,F$1-9)-10)*$C25,10.22)</f>
        <v>0.50454545454545463</v>
      </c>
      <c r="G25" s="16">
        <f>MIN(0.25+(INDEX('Stat Boosts'!$D$2:$D$192,G$1-9)-10)*$C25,10.22)</f>
        <v>0.75909090909090915</v>
      </c>
      <c r="H25" s="16">
        <f>MIN(0.25+(INDEX('Stat Boosts'!$D$2:$D$192,H$1-9)-10)*$C25,10.22)</f>
        <v>1.0136363636363637</v>
      </c>
      <c r="I25" s="16">
        <f>MIN(0.25+(INDEX('Stat Boosts'!$D$2:$D$192,I$1-9)-10)*$C25,10.22)</f>
        <v>1.2318181818181819</v>
      </c>
      <c r="J25" s="16">
        <f>MIN(0.25+(INDEX('Stat Boosts'!$D$2:$D$192,J$1-9)-10)*$C25,10.22)</f>
        <v>1.4500000000000002</v>
      </c>
      <c r="K25" s="16">
        <f>MIN(0.25+(INDEX('Stat Boosts'!$D$2:$D$192,K$1-9)-10)*$C25,10.22)</f>
        <v>1.9590909090909094</v>
      </c>
      <c r="L25" s="16">
        <f>MIN(0.25+(INDEX('Stat Boosts'!$D$2:$D$192,L$1-9)-10)*$C25,10.22)</f>
        <v>2.1409090909090911</v>
      </c>
      <c r="M25" s="16">
        <f>MIN(0.25+(INDEX('Stat Boosts'!$D$2:$D$192,M$1-9)-10)*$C25,10.22)</f>
        <v>2.3954545454545459</v>
      </c>
      <c r="N25" s="16">
        <f>MIN(0.25+(INDEX('Stat Boosts'!$D$2:$D$192,N$1-9)-10)*$C25,10.22)</f>
        <v>2.7227272727272731</v>
      </c>
      <c r="O25" s="16">
        <f>MIN(0.25+(INDEX('Stat Boosts'!$D$2:$D$192,O$1-9)-10)*$C25,10.22)</f>
        <v>2.9045454545454548</v>
      </c>
      <c r="P25" s="16">
        <f>MIN(0.25+(INDEX('Stat Boosts'!$D$2:$D$192,P$1-9)-10)*$C25,10.22)</f>
        <v>3.1954545454545458</v>
      </c>
      <c r="Q25" s="16">
        <f>MIN(0.25+(INDEX('Stat Boosts'!$D$2:$D$192,Q$1-9)-10)*$C25,10.22)</f>
        <v>3.4863636363636368</v>
      </c>
      <c r="R25" s="16">
        <f>MIN(0.25+(INDEX('Stat Boosts'!$D$2:$D$192,R$1-9)-10)*$C25,10.22)</f>
        <v>3.7772727272727278</v>
      </c>
    </row>
    <row r="26" spans="1:18">
      <c r="A26" s="9">
        <v>25</v>
      </c>
      <c r="B26" s="16">
        <f t="shared" si="0"/>
        <v>21.25</v>
      </c>
      <c r="C26" s="16">
        <f t="shared" si="1"/>
        <v>3.5555555555555556E-2</v>
      </c>
      <c r="E26" s="16">
        <f>MIN(0.25+(INDEX('Stat Boosts'!$D$2:$D$192,E$1-9)-10)*$C26,10.22)</f>
        <v>0.25</v>
      </c>
      <c r="F26" s="16">
        <f>MIN(0.25+(INDEX('Stat Boosts'!$D$2:$D$192,F$1-9)-10)*$C26,10.22)</f>
        <v>0.49888888888888888</v>
      </c>
      <c r="G26" s="16">
        <f>MIN(0.25+(INDEX('Stat Boosts'!$D$2:$D$192,G$1-9)-10)*$C26,10.22)</f>
        <v>0.74777777777777776</v>
      </c>
      <c r="H26" s="16">
        <f>MIN(0.25+(INDEX('Stat Boosts'!$D$2:$D$192,H$1-9)-10)*$C26,10.22)</f>
        <v>0.9966666666666667</v>
      </c>
      <c r="I26" s="16">
        <f>MIN(0.25+(INDEX('Stat Boosts'!$D$2:$D$192,I$1-9)-10)*$C26,10.22)</f>
        <v>1.21</v>
      </c>
      <c r="J26" s="16">
        <f>MIN(0.25+(INDEX('Stat Boosts'!$D$2:$D$192,J$1-9)-10)*$C26,10.22)</f>
        <v>1.4233333333333333</v>
      </c>
      <c r="K26" s="16">
        <f>MIN(0.25+(INDEX('Stat Boosts'!$D$2:$D$192,K$1-9)-10)*$C26,10.22)</f>
        <v>1.9211111111111112</v>
      </c>
      <c r="L26" s="16">
        <f>MIN(0.25+(INDEX('Stat Boosts'!$D$2:$D$192,L$1-9)-10)*$C26,10.22)</f>
        <v>2.0988888888888888</v>
      </c>
      <c r="M26" s="16">
        <f>MIN(0.25+(INDEX('Stat Boosts'!$D$2:$D$192,M$1-9)-10)*$C26,10.22)</f>
        <v>2.347777777777778</v>
      </c>
      <c r="N26" s="16">
        <f>MIN(0.25+(INDEX('Stat Boosts'!$D$2:$D$192,N$1-9)-10)*$C26,10.22)</f>
        <v>2.6677777777777778</v>
      </c>
      <c r="O26" s="16">
        <f>MIN(0.25+(INDEX('Stat Boosts'!$D$2:$D$192,O$1-9)-10)*$C26,10.22)</f>
        <v>2.8455555555555554</v>
      </c>
      <c r="P26" s="16">
        <f>MIN(0.25+(INDEX('Stat Boosts'!$D$2:$D$192,P$1-9)-10)*$C26,10.22)</f>
        <v>3.13</v>
      </c>
      <c r="Q26" s="16">
        <f>MIN(0.25+(INDEX('Stat Boosts'!$D$2:$D$192,Q$1-9)-10)*$C26,10.22)</f>
        <v>3.4144444444444444</v>
      </c>
      <c r="R26" s="16">
        <f>MIN(0.25+(INDEX('Stat Boosts'!$D$2:$D$192,R$1-9)-10)*$C26,10.22)</f>
        <v>3.6988888888888889</v>
      </c>
    </row>
    <row r="27" spans="1:18">
      <c r="A27" s="9">
        <v>26</v>
      </c>
      <c r="B27" s="16">
        <f t="shared" si="0"/>
        <v>21.5</v>
      </c>
      <c r="C27" s="16">
        <f t="shared" si="1"/>
        <v>3.4782608695652174E-2</v>
      </c>
      <c r="E27" s="16">
        <f>MIN(0.25+(INDEX('Stat Boosts'!$D$2:$D$192,E$1-9)-10)*$C27,10.22)</f>
        <v>0.25</v>
      </c>
      <c r="F27" s="16">
        <f>MIN(0.25+(INDEX('Stat Boosts'!$D$2:$D$192,F$1-9)-10)*$C27,10.22)</f>
        <v>0.49347826086956526</v>
      </c>
      <c r="G27" s="16">
        <f>MIN(0.25+(INDEX('Stat Boosts'!$D$2:$D$192,G$1-9)-10)*$C27,10.22)</f>
        <v>0.73695652173913051</v>
      </c>
      <c r="H27" s="16">
        <f>MIN(0.25+(INDEX('Stat Boosts'!$D$2:$D$192,H$1-9)-10)*$C27,10.22)</f>
        <v>0.98043478260869565</v>
      </c>
      <c r="I27" s="16">
        <f>MIN(0.25+(INDEX('Stat Boosts'!$D$2:$D$192,I$1-9)-10)*$C27,10.22)</f>
        <v>1.1891304347826086</v>
      </c>
      <c r="J27" s="16">
        <f>MIN(0.25+(INDEX('Stat Boosts'!$D$2:$D$192,J$1-9)-10)*$C27,10.22)</f>
        <v>1.3978260869565218</v>
      </c>
      <c r="K27" s="16">
        <f>MIN(0.25+(INDEX('Stat Boosts'!$D$2:$D$192,K$1-9)-10)*$C27,10.22)</f>
        <v>1.8847826086956523</v>
      </c>
      <c r="L27" s="16">
        <f>MIN(0.25+(INDEX('Stat Boosts'!$D$2:$D$192,L$1-9)-10)*$C27,10.22)</f>
        <v>2.0586956521739133</v>
      </c>
      <c r="M27" s="16">
        <f>MIN(0.25+(INDEX('Stat Boosts'!$D$2:$D$192,M$1-9)-10)*$C27,10.22)</f>
        <v>2.3021739130434784</v>
      </c>
      <c r="N27" s="16">
        <f>MIN(0.25+(INDEX('Stat Boosts'!$D$2:$D$192,N$1-9)-10)*$C27,10.22)</f>
        <v>2.6152173913043479</v>
      </c>
      <c r="O27" s="16">
        <f>MIN(0.25+(INDEX('Stat Boosts'!$D$2:$D$192,O$1-9)-10)*$C27,10.22)</f>
        <v>2.7891304347826087</v>
      </c>
      <c r="P27" s="16">
        <f>MIN(0.25+(INDEX('Stat Boosts'!$D$2:$D$192,P$1-9)-10)*$C27,10.22)</f>
        <v>3.0673913043478263</v>
      </c>
      <c r="Q27" s="16">
        <f>MIN(0.25+(INDEX('Stat Boosts'!$D$2:$D$192,Q$1-9)-10)*$C27,10.22)</f>
        <v>3.3456521739130434</v>
      </c>
      <c r="R27" s="16">
        <f>MIN(0.25+(INDEX('Stat Boosts'!$D$2:$D$192,R$1-9)-10)*$C27,10.22)</f>
        <v>3.6239130434782609</v>
      </c>
    </row>
    <row r="28" spans="1:18">
      <c r="A28" s="9">
        <v>27</v>
      </c>
      <c r="B28" s="16">
        <f t="shared" si="0"/>
        <v>21.75</v>
      </c>
      <c r="C28" s="16">
        <f t="shared" si="1"/>
        <v>3.4042553191489362E-2</v>
      </c>
      <c r="E28" s="16">
        <f>MIN(0.25+(INDEX('Stat Boosts'!$D$2:$D$192,E$1-9)-10)*$C28,10.22)</f>
        <v>0.25</v>
      </c>
      <c r="F28" s="16">
        <f>MIN(0.25+(INDEX('Stat Boosts'!$D$2:$D$192,F$1-9)-10)*$C28,10.22)</f>
        <v>0.48829787234042554</v>
      </c>
      <c r="G28" s="16">
        <f>MIN(0.25+(INDEX('Stat Boosts'!$D$2:$D$192,G$1-9)-10)*$C28,10.22)</f>
        <v>0.72659574468085109</v>
      </c>
      <c r="H28" s="16">
        <f>MIN(0.25+(INDEX('Stat Boosts'!$D$2:$D$192,H$1-9)-10)*$C28,10.22)</f>
        <v>0.96489361702127663</v>
      </c>
      <c r="I28" s="16">
        <f>MIN(0.25+(INDEX('Stat Boosts'!$D$2:$D$192,I$1-9)-10)*$C28,10.22)</f>
        <v>1.1691489361702128</v>
      </c>
      <c r="J28" s="16">
        <f>MIN(0.25+(INDEX('Stat Boosts'!$D$2:$D$192,J$1-9)-10)*$C28,10.22)</f>
        <v>1.373404255319149</v>
      </c>
      <c r="K28" s="16">
        <f>MIN(0.25+(INDEX('Stat Boosts'!$D$2:$D$192,K$1-9)-10)*$C28,10.22)</f>
        <v>1.85</v>
      </c>
      <c r="L28" s="16">
        <f>MIN(0.25+(INDEX('Stat Boosts'!$D$2:$D$192,L$1-9)-10)*$C28,10.22)</f>
        <v>2.0202127659574467</v>
      </c>
      <c r="M28" s="16">
        <f>MIN(0.25+(INDEX('Stat Boosts'!$D$2:$D$192,M$1-9)-10)*$C28,10.22)</f>
        <v>2.2585106382978726</v>
      </c>
      <c r="N28" s="16">
        <f>MIN(0.25+(INDEX('Stat Boosts'!$D$2:$D$192,N$1-9)-10)*$C28,10.22)</f>
        <v>2.5648936170212768</v>
      </c>
      <c r="O28" s="16">
        <f>MIN(0.25+(INDEX('Stat Boosts'!$D$2:$D$192,O$1-9)-10)*$C28,10.22)</f>
        <v>2.7351063829787234</v>
      </c>
      <c r="P28" s="16">
        <f>MIN(0.25+(INDEX('Stat Boosts'!$D$2:$D$192,P$1-9)-10)*$C28,10.22)</f>
        <v>3.0074468085106383</v>
      </c>
      <c r="Q28" s="16">
        <f>MIN(0.25+(INDEX('Stat Boosts'!$D$2:$D$192,Q$1-9)-10)*$C28,10.22)</f>
        <v>3.2797872340425531</v>
      </c>
      <c r="R28" s="16">
        <f>MIN(0.25+(INDEX('Stat Boosts'!$D$2:$D$192,R$1-9)-10)*$C28,10.22)</f>
        <v>3.552127659574468</v>
      </c>
    </row>
    <row r="29" spans="1:18">
      <c r="A29" s="9">
        <v>28</v>
      </c>
      <c r="B29" s="16">
        <f t="shared" si="0"/>
        <v>22</v>
      </c>
      <c r="C29" s="16">
        <f t="shared" si="1"/>
        <v>3.3333333333333333E-2</v>
      </c>
      <c r="E29" s="16">
        <f>MIN(0.25+(INDEX('Stat Boosts'!$D$2:$D$192,E$1-9)-10)*$C29,10.22)</f>
        <v>0.25</v>
      </c>
      <c r="F29" s="16">
        <f>MIN(0.25+(INDEX('Stat Boosts'!$D$2:$D$192,F$1-9)-10)*$C29,10.22)</f>
        <v>0.48333333333333334</v>
      </c>
      <c r="G29" s="16">
        <f>MIN(0.25+(INDEX('Stat Boosts'!$D$2:$D$192,G$1-9)-10)*$C29,10.22)</f>
        <v>0.71666666666666667</v>
      </c>
      <c r="H29" s="16">
        <f>MIN(0.25+(INDEX('Stat Boosts'!$D$2:$D$192,H$1-9)-10)*$C29,10.22)</f>
        <v>0.95</v>
      </c>
      <c r="I29" s="16">
        <f>MIN(0.25+(INDEX('Stat Boosts'!$D$2:$D$192,I$1-9)-10)*$C29,10.22)</f>
        <v>1.1499999999999999</v>
      </c>
      <c r="J29" s="16">
        <f>MIN(0.25+(INDEX('Stat Boosts'!$D$2:$D$192,J$1-9)-10)*$C29,10.22)</f>
        <v>1.35</v>
      </c>
      <c r="K29" s="16">
        <f>MIN(0.25+(INDEX('Stat Boosts'!$D$2:$D$192,K$1-9)-10)*$C29,10.22)</f>
        <v>1.8166666666666667</v>
      </c>
      <c r="L29" s="16">
        <f>MIN(0.25+(INDEX('Stat Boosts'!$D$2:$D$192,L$1-9)-10)*$C29,10.22)</f>
        <v>1.9833333333333334</v>
      </c>
      <c r="M29" s="16">
        <f>MIN(0.25+(INDEX('Stat Boosts'!$D$2:$D$192,M$1-9)-10)*$C29,10.22)</f>
        <v>2.2166666666666668</v>
      </c>
      <c r="N29" s="16">
        <f>MIN(0.25+(INDEX('Stat Boosts'!$D$2:$D$192,N$1-9)-10)*$C29,10.22)</f>
        <v>2.5166666666666666</v>
      </c>
      <c r="O29" s="16">
        <f>MIN(0.25+(INDEX('Stat Boosts'!$D$2:$D$192,O$1-9)-10)*$C29,10.22)</f>
        <v>2.6833333333333331</v>
      </c>
      <c r="P29" s="16">
        <f>MIN(0.25+(INDEX('Stat Boosts'!$D$2:$D$192,P$1-9)-10)*$C29,10.22)</f>
        <v>2.95</v>
      </c>
      <c r="Q29" s="16">
        <f>MIN(0.25+(INDEX('Stat Boosts'!$D$2:$D$192,Q$1-9)-10)*$C29,10.22)</f>
        <v>3.2166666666666668</v>
      </c>
      <c r="R29" s="16">
        <f>MIN(0.25+(INDEX('Stat Boosts'!$D$2:$D$192,R$1-9)-10)*$C29,10.22)</f>
        <v>3.4833333333333334</v>
      </c>
    </row>
    <row r="30" spans="1:18">
      <c r="A30" s="9">
        <v>29</v>
      </c>
      <c r="B30" s="16">
        <f t="shared" si="0"/>
        <v>22.25</v>
      </c>
      <c r="C30" s="16">
        <f t="shared" si="1"/>
        <v>3.2653061224489799E-2</v>
      </c>
      <c r="E30" s="16">
        <f>MIN(0.25+(INDEX('Stat Boosts'!$D$2:$D$192,E$1-9)-10)*$C30,10.22)</f>
        <v>0.25</v>
      </c>
      <c r="F30" s="16">
        <f>MIN(0.25+(INDEX('Stat Boosts'!$D$2:$D$192,F$1-9)-10)*$C30,10.22)</f>
        <v>0.47857142857142859</v>
      </c>
      <c r="G30" s="16">
        <f>MIN(0.25+(INDEX('Stat Boosts'!$D$2:$D$192,G$1-9)-10)*$C30,10.22)</f>
        <v>0.70714285714285718</v>
      </c>
      <c r="H30" s="16">
        <f>MIN(0.25+(INDEX('Stat Boosts'!$D$2:$D$192,H$1-9)-10)*$C30,10.22)</f>
        <v>0.93571428571428572</v>
      </c>
      <c r="I30" s="16">
        <f>MIN(0.25+(INDEX('Stat Boosts'!$D$2:$D$192,I$1-9)-10)*$C30,10.22)</f>
        <v>1.1316326530612246</v>
      </c>
      <c r="J30" s="16">
        <f>MIN(0.25+(INDEX('Stat Boosts'!$D$2:$D$192,J$1-9)-10)*$C30,10.22)</f>
        <v>1.3275510204081633</v>
      </c>
      <c r="K30" s="16">
        <f>MIN(0.25+(INDEX('Stat Boosts'!$D$2:$D$192,K$1-9)-10)*$C30,10.22)</f>
        <v>1.7846938775510206</v>
      </c>
      <c r="L30" s="16">
        <f>MIN(0.25+(INDEX('Stat Boosts'!$D$2:$D$192,L$1-9)-10)*$C30,10.22)</f>
        <v>1.9479591836734695</v>
      </c>
      <c r="M30" s="16">
        <f>MIN(0.25+(INDEX('Stat Boosts'!$D$2:$D$192,M$1-9)-10)*$C30,10.22)</f>
        <v>2.176530612244898</v>
      </c>
      <c r="N30" s="16">
        <f>MIN(0.25+(INDEX('Stat Boosts'!$D$2:$D$192,N$1-9)-10)*$C30,10.22)</f>
        <v>2.4704081632653061</v>
      </c>
      <c r="O30" s="16">
        <f>MIN(0.25+(INDEX('Stat Boosts'!$D$2:$D$192,O$1-9)-10)*$C30,10.22)</f>
        <v>2.6336734693877553</v>
      </c>
      <c r="P30" s="16">
        <f>MIN(0.25+(INDEX('Stat Boosts'!$D$2:$D$192,P$1-9)-10)*$C30,10.22)</f>
        <v>2.8948979591836737</v>
      </c>
      <c r="Q30" s="16">
        <f>MIN(0.25+(INDEX('Stat Boosts'!$D$2:$D$192,Q$1-9)-10)*$C30,10.22)</f>
        <v>3.156122448979592</v>
      </c>
      <c r="R30" s="16">
        <f>MIN(0.25+(INDEX('Stat Boosts'!$D$2:$D$192,R$1-9)-10)*$C30,10.22)</f>
        <v>3.4173469387755104</v>
      </c>
    </row>
    <row r="31" spans="1:18">
      <c r="A31" s="9">
        <v>30</v>
      </c>
      <c r="B31" s="16">
        <f t="shared" si="0"/>
        <v>22.5</v>
      </c>
      <c r="C31" s="16">
        <f t="shared" si="1"/>
        <v>3.2000000000000001E-2</v>
      </c>
      <c r="E31" s="16">
        <f>MIN(0.25+(INDEX('Stat Boosts'!$D$2:$D$192,E$1-9)-10)*$C31,10.22)</f>
        <v>0.25</v>
      </c>
      <c r="F31" s="16">
        <f>MIN(0.25+(INDEX('Stat Boosts'!$D$2:$D$192,F$1-9)-10)*$C31,10.22)</f>
        <v>0.47399999999999998</v>
      </c>
      <c r="G31" s="16">
        <f>MIN(0.25+(INDEX('Stat Boosts'!$D$2:$D$192,G$1-9)-10)*$C31,10.22)</f>
        <v>0.69799999999999995</v>
      </c>
      <c r="H31" s="16">
        <f>MIN(0.25+(INDEX('Stat Boosts'!$D$2:$D$192,H$1-9)-10)*$C31,10.22)</f>
        <v>0.92200000000000004</v>
      </c>
      <c r="I31" s="16">
        <f>MIN(0.25+(INDEX('Stat Boosts'!$D$2:$D$192,I$1-9)-10)*$C31,10.22)</f>
        <v>1.1139999999999999</v>
      </c>
      <c r="J31" s="16">
        <f>MIN(0.25+(INDEX('Stat Boosts'!$D$2:$D$192,J$1-9)-10)*$C31,10.22)</f>
        <v>1.306</v>
      </c>
      <c r="K31" s="16">
        <f>MIN(0.25+(INDEX('Stat Boosts'!$D$2:$D$192,K$1-9)-10)*$C31,10.22)</f>
        <v>1.754</v>
      </c>
      <c r="L31" s="16">
        <f>MIN(0.25+(INDEX('Stat Boosts'!$D$2:$D$192,L$1-9)-10)*$C31,10.22)</f>
        <v>1.9140000000000001</v>
      </c>
      <c r="M31" s="16">
        <f>MIN(0.25+(INDEX('Stat Boosts'!$D$2:$D$192,M$1-9)-10)*$C31,10.22)</f>
        <v>2.1379999999999999</v>
      </c>
      <c r="N31" s="16">
        <f>MIN(0.25+(INDEX('Stat Boosts'!$D$2:$D$192,N$1-9)-10)*$C31,10.22)</f>
        <v>2.4260000000000002</v>
      </c>
      <c r="O31" s="16">
        <f>MIN(0.25+(INDEX('Stat Boosts'!$D$2:$D$192,O$1-9)-10)*$C31,10.22)</f>
        <v>2.5859999999999999</v>
      </c>
      <c r="P31" s="16">
        <f>MIN(0.25+(INDEX('Stat Boosts'!$D$2:$D$192,P$1-9)-10)*$C31,10.22)</f>
        <v>2.8420000000000001</v>
      </c>
      <c r="Q31" s="16">
        <f>MIN(0.25+(INDEX('Stat Boosts'!$D$2:$D$192,Q$1-9)-10)*$C31,10.22)</f>
        <v>3.0979999999999999</v>
      </c>
      <c r="R31" s="16">
        <f>MIN(0.25+(INDEX('Stat Boosts'!$D$2:$D$192,R$1-9)-10)*$C31,10.22)</f>
        <v>3.3540000000000001</v>
      </c>
    </row>
    <row r="32" spans="1:18">
      <c r="A32" s="9">
        <v>31</v>
      </c>
      <c r="B32" s="16">
        <f t="shared" si="0"/>
        <v>22.75</v>
      </c>
      <c r="C32" s="16">
        <f t="shared" si="1"/>
        <v>3.1372549019607843E-2</v>
      </c>
      <c r="E32" s="16">
        <f>MIN(0.25+(INDEX('Stat Boosts'!$D$2:$D$192,E$1-9)-10)*$C32,10.22)</f>
        <v>0.25</v>
      </c>
      <c r="F32" s="16">
        <f>MIN(0.25+(INDEX('Stat Boosts'!$D$2:$D$192,F$1-9)-10)*$C32,10.22)</f>
        <v>0.4696078431372549</v>
      </c>
      <c r="G32" s="16">
        <f>MIN(0.25+(INDEX('Stat Boosts'!$D$2:$D$192,G$1-9)-10)*$C32,10.22)</f>
        <v>0.6892156862745098</v>
      </c>
      <c r="H32" s="16">
        <f>MIN(0.25+(INDEX('Stat Boosts'!$D$2:$D$192,H$1-9)-10)*$C32,10.22)</f>
        <v>0.9088235294117647</v>
      </c>
      <c r="I32" s="16">
        <f>MIN(0.25+(INDEX('Stat Boosts'!$D$2:$D$192,I$1-9)-10)*$C32,10.22)</f>
        <v>1.0970588235294119</v>
      </c>
      <c r="J32" s="16">
        <f>MIN(0.25+(INDEX('Stat Boosts'!$D$2:$D$192,J$1-9)-10)*$C32,10.22)</f>
        <v>1.2852941176470587</v>
      </c>
      <c r="K32" s="16">
        <f>MIN(0.25+(INDEX('Stat Boosts'!$D$2:$D$192,K$1-9)-10)*$C32,10.22)</f>
        <v>1.7245098039215687</v>
      </c>
      <c r="L32" s="16">
        <f>MIN(0.25+(INDEX('Stat Boosts'!$D$2:$D$192,L$1-9)-10)*$C32,10.22)</f>
        <v>1.8813725490196078</v>
      </c>
      <c r="M32" s="16">
        <f>MIN(0.25+(INDEX('Stat Boosts'!$D$2:$D$192,M$1-9)-10)*$C32,10.22)</f>
        <v>2.1009803921568628</v>
      </c>
      <c r="N32" s="16">
        <f>MIN(0.25+(INDEX('Stat Boosts'!$D$2:$D$192,N$1-9)-10)*$C32,10.22)</f>
        <v>2.3833333333333333</v>
      </c>
      <c r="O32" s="16">
        <f>MIN(0.25+(INDEX('Stat Boosts'!$D$2:$D$192,O$1-9)-10)*$C32,10.22)</f>
        <v>2.5401960784313724</v>
      </c>
      <c r="P32" s="16">
        <f>MIN(0.25+(INDEX('Stat Boosts'!$D$2:$D$192,P$1-9)-10)*$C32,10.22)</f>
        <v>2.7911764705882351</v>
      </c>
      <c r="Q32" s="16">
        <f>MIN(0.25+(INDEX('Stat Boosts'!$D$2:$D$192,Q$1-9)-10)*$C32,10.22)</f>
        <v>3.0421568627450979</v>
      </c>
      <c r="R32" s="16">
        <f>MIN(0.25+(INDEX('Stat Boosts'!$D$2:$D$192,R$1-9)-10)*$C32,10.22)</f>
        <v>3.2931372549019606</v>
      </c>
    </row>
    <row r="33" spans="1:18">
      <c r="A33" s="9">
        <v>32</v>
      </c>
      <c r="B33" s="16">
        <f t="shared" si="0"/>
        <v>23</v>
      </c>
      <c r="C33" s="16">
        <f t="shared" si="1"/>
        <v>3.0769230769230771E-2</v>
      </c>
      <c r="E33" s="16">
        <f>MIN(0.25+(INDEX('Stat Boosts'!$D$2:$D$192,E$1-9)-10)*$C33,10.22)</f>
        <v>0.25</v>
      </c>
      <c r="F33" s="16">
        <f>MIN(0.25+(INDEX('Stat Boosts'!$D$2:$D$192,F$1-9)-10)*$C33,10.22)</f>
        <v>0.4653846153846154</v>
      </c>
      <c r="G33" s="16">
        <f>MIN(0.25+(INDEX('Stat Boosts'!$D$2:$D$192,G$1-9)-10)*$C33,10.22)</f>
        <v>0.68076923076923079</v>
      </c>
      <c r="H33" s="16">
        <f>MIN(0.25+(INDEX('Stat Boosts'!$D$2:$D$192,H$1-9)-10)*$C33,10.22)</f>
        <v>0.89615384615384619</v>
      </c>
      <c r="I33" s="16">
        <f>MIN(0.25+(INDEX('Stat Boosts'!$D$2:$D$192,I$1-9)-10)*$C33,10.22)</f>
        <v>1.0807692307692309</v>
      </c>
      <c r="J33" s="16">
        <f>MIN(0.25+(INDEX('Stat Boosts'!$D$2:$D$192,J$1-9)-10)*$C33,10.22)</f>
        <v>1.2653846153846153</v>
      </c>
      <c r="K33" s="16">
        <f>MIN(0.25+(INDEX('Stat Boosts'!$D$2:$D$192,K$1-9)-10)*$C33,10.22)</f>
        <v>1.6961538461538463</v>
      </c>
      <c r="L33" s="16">
        <f>MIN(0.25+(INDEX('Stat Boosts'!$D$2:$D$192,L$1-9)-10)*$C33,10.22)</f>
        <v>1.85</v>
      </c>
      <c r="M33" s="16">
        <f>MIN(0.25+(INDEX('Stat Boosts'!$D$2:$D$192,M$1-9)-10)*$C33,10.22)</f>
        <v>2.0653846153846156</v>
      </c>
      <c r="N33" s="16">
        <f>MIN(0.25+(INDEX('Stat Boosts'!$D$2:$D$192,N$1-9)-10)*$C33,10.22)</f>
        <v>2.3423076923076924</v>
      </c>
      <c r="O33" s="16">
        <f>MIN(0.25+(INDEX('Stat Boosts'!$D$2:$D$192,O$1-9)-10)*$C33,10.22)</f>
        <v>2.4961538461538462</v>
      </c>
      <c r="P33" s="16">
        <f>MIN(0.25+(INDEX('Stat Boosts'!$D$2:$D$192,P$1-9)-10)*$C33,10.22)</f>
        <v>2.7423076923076923</v>
      </c>
      <c r="Q33" s="16">
        <f>MIN(0.25+(INDEX('Stat Boosts'!$D$2:$D$192,Q$1-9)-10)*$C33,10.22)</f>
        <v>2.9884615384615385</v>
      </c>
      <c r="R33" s="16">
        <f>MIN(0.25+(INDEX('Stat Boosts'!$D$2:$D$192,R$1-9)-10)*$C33,10.22)</f>
        <v>3.2346153846153847</v>
      </c>
    </row>
    <row r="34" spans="1:18">
      <c r="A34" s="9">
        <v>33</v>
      </c>
      <c r="B34" s="16">
        <f t="shared" si="0"/>
        <v>23.25</v>
      </c>
      <c r="C34" s="16">
        <f t="shared" si="1"/>
        <v>3.0188679245283019E-2</v>
      </c>
      <c r="E34" s="16">
        <f>MIN(0.25+(INDEX('Stat Boosts'!$D$2:$D$192,E$1-9)-10)*$C34,10.22)</f>
        <v>0.25</v>
      </c>
      <c r="F34" s="16">
        <f>MIN(0.25+(INDEX('Stat Boosts'!$D$2:$D$192,F$1-9)-10)*$C34,10.22)</f>
        <v>0.46132075471698114</v>
      </c>
      <c r="G34" s="16">
        <f>MIN(0.25+(INDEX('Stat Boosts'!$D$2:$D$192,G$1-9)-10)*$C34,10.22)</f>
        <v>0.67264150943396228</v>
      </c>
      <c r="H34" s="16">
        <f>MIN(0.25+(INDEX('Stat Boosts'!$D$2:$D$192,H$1-9)-10)*$C34,10.22)</f>
        <v>0.88396226415094337</v>
      </c>
      <c r="I34" s="16">
        <f>MIN(0.25+(INDEX('Stat Boosts'!$D$2:$D$192,I$1-9)-10)*$C34,10.22)</f>
        <v>1.0650943396226416</v>
      </c>
      <c r="J34" s="16">
        <f>MIN(0.25+(INDEX('Stat Boosts'!$D$2:$D$192,J$1-9)-10)*$C34,10.22)</f>
        <v>1.2462264150943396</v>
      </c>
      <c r="K34" s="16">
        <f>MIN(0.25+(INDEX('Stat Boosts'!$D$2:$D$192,K$1-9)-10)*$C34,10.22)</f>
        <v>1.6688679245283018</v>
      </c>
      <c r="L34" s="16">
        <f>MIN(0.25+(INDEX('Stat Boosts'!$D$2:$D$192,L$1-9)-10)*$C34,10.22)</f>
        <v>1.8198113207547171</v>
      </c>
      <c r="M34" s="16">
        <f>MIN(0.25+(INDEX('Stat Boosts'!$D$2:$D$192,M$1-9)-10)*$C34,10.22)</f>
        <v>2.0311320754716982</v>
      </c>
      <c r="N34" s="16">
        <f>MIN(0.25+(INDEX('Stat Boosts'!$D$2:$D$192,N$1-9)-10)*$C34,10.22)</f>
        <v>2.3028301886792453</v>
      </c>
      <c r="O34" s="16">
        <f>MIN(0.25+(INDEX('Stat Boosts'!$D$2:$D$192,O$1-9)-10)*$C34,10.22)</f>
        <v>2.4537735849056603</v>
      </c>
      <c r="P34" s="16">
        <f>MIN(0.25+(INDEX('Stat Boosts'!$D$2:$D$192,P$1-9)-10)*$C34,10.22)</f>
        <v>2.6952830188679244</v>
      </c>
      <c r="Q34" s="16">
        <f>MIN(0.25+(INDEX('Stat Boosts'!$D$2:$D$192,Q$1-9)-10)*$C34,10.22)</f>
        <v>2.9367924528301885</v>
      </c>
      <c r="R34" s="16">
        <f>MIN(0.25+(INDEX('Stat Boosts'!$D$2:$D$192,R$1-9)-10)*$C34,10.22)</f>
        <v>3.1783018867924531</v>
      </c>
    </row>
    <row r="35" spans="1:18">
      <c r="A35" s="9">
        <v>34</v>
      </c>
      <c r="B35" s="16">
        <f t="shared" si="0"/>
        <v>23.5</v>
      </c>
      <c r="C35" s="16">
        <f t="shared" si="1"/>
        <v>2.9629629629629631E-2</v>
      </c>
      <c r="E35" s="16">
        <f>MIN(0.25+(INDEX('Stat Boosts'!$D$2:$D$192,E$1-9)-10)*$C35,10.22)</f>
        <v>0.25</v>
      </c>
      <c r="F35" s="16">
        <f>MIN(0.25+(INDEX('Stat Boosts'!$D$2:$D$192,F$1-9)-10)*$C35,10.22)</f>
        <v>0.45740740740740743</v>
      </c>
      <c r="G35" s="16">
        <f>MIN(0.25+(INDEX('Stat Boosts'!$D$2:$D$192,G$1-9)-10)*$C35,10.22)</f>
        <v>0.66481481481481486</v>
      </c>
      <c r="H35" s="16">
        <f>MIN(0.25+(INDEX('Stat Boosts'!$D$2:$D$192,H$1-9)-10)*$C35,10.22)</f>
        <v>0.87222222222222223</v>
      </c>
      <c r="I35" s="16">
        <f>MIN(0.25+(INDEX('Stat Boosts'!$D$2:$D$192,I$1-9)-10)*$C35,10.22)</f>
        <v>1.05</v>
      </c>
      <c r="J35" s="16">
        <f>MIN(0.25+(INDEX('Stat Boosts'!$D$2:$D$192,J$1-9)-10)*$C35,10.22)</f>
        <v>1.2277777777777779</v>
      </c>
      <c r="K35" s="16">
        <f>MIN(0.25+(INDEX('Stat Boosts'!$D$2:$D$192,K$1-9)-10)*$C35,10.22)</f>
        <v>1.6425925925925926</v>
      </c>
      <c r="L35" s="16">
        <f>MIN(0.25+(INDEX('Stat Boosts'!$D$2:$D$192,L$1-9)-10)*$C35,10.22)</f>
        <v>1.7907407407407407</v>
      </c>
      <c r="M35" s="16">
        <f>MIN(0.25+(INDEX('Stat Boosts'!$D$2:$D$192,M$1-9)-10)*$C35,10.22)</f>
        <v>1.9981481481481482</v>
      </c>
      <c r="N35" s="16">
        <f>MIN(0.25+(INDEX('Stat Boosts'!$D$2:$D$192,N$1-9)-10)*$C35,10.22)</f>
        <v>2.2648148148148151</v>
      </c>
      <c r="O35" s="16">
        <f>MIN(0.25+(INDEX('Stat Boosts'!$D$2:$D$192,O$1-9)-10)*$C35,10.22)</f>
        <v>2.412962962962963</v>
      </c>
      <c r="P35" s="16">
        <f>MIN(0.25+(INDEX('Stat Boosts'!$D$2:$D$192,P$1-9)-10)*$C35,10.22)</f>
        <v>2.65</v>
      </c>
      <c r="Q35" s="16">
        <f>MIN(0.25+(INDEX('Stat Boosts'!$D$2:$D$192,Q$1-9)-10)*$C35,10.22)</f>
        <v>2.8870370370370373</v>
      </c>
      <c r="R35" s="16">
        <f>MIN(0.25+(INDEX('Stat Boosts'!$D$2:$D$192,R$1-9)-10)*$C35,10.22)</f>
        <v>3.1240740740740742</v>
      </c>
    </row>
    <row r="36" spans="1:18">
      <c r="A36" s="9">
        <v>35</v>
      </c>
      <c r="B36" s="16">
        <f t="shared" si="0"/>
        <v>23.75</v>
      </c>
      <c r="C36" s="16">
        <f t="shared" si="1"/>
        <v>2.9090909090909091E-2</v>
      </c>
      <c r="E36" s="16">
        <f>MIN(0.25+(INDEX('Stat Boosts'!$D$2:$D$192,E$1-9)-10)*$C36,10.22)</f>
        <v>0.25</v>
      </c>
      <c r="F36" s="16">
        <f>MIN(0.25+(INDEX('Stat Boosts'!$D$2:$D$192,F$1-9)-10)*$C36,10.22)</f>
        <v>0.45363636363636362</v>
      </c>
      <c r="G36" s="16">
        <f>MIN(0.25+(INDEX('Stat Boosts'!$D$2:$D$192,G$1-9)-10)*$C36,10.22)</f>
        <v>0.65727272727272723</v>
      </c>
      <c r="H36" s="16">
        <f>MIN(0.25+(INDEX('Stat Boosts'!$D$2:$D$192,H$1-9)-10)*$C36,10.22)</f>
        <v>0.86090909090909096</v>
      </c>
      <c r="I36" s="16">
        <f>MIN(0.25+(INDEX('Stat Boosts'!$D$2:$D$192,I$1-9)-10)*$C36,10.22)</f>
        <v>1.0354545454545454</v>
      </c>
      <c r="J36" s="16">
        <f>MIN(0.25+(INDEX('Stat Boosts'!$D$2:$D$192,J$1-9)-10)*$C36,10.22)</f>
        <v>1.21</v>
      </c>
      <c r="K36" s="16">
        <f>MIN(0.25+(INDEX('Stat Boosts'!$D$2:$D$192,K$1-9)-10)*$C36,10.22)</f>
        <v>1.6172727272727272</v>
      </c>
      <c r="L36" s="16">
        <f>MIN(0.25+(INDEX('Stat Boosts'!$D$2:$D$192,L$1-9)-10)*$C36,10.22)</f>
        <v>1.7627272727272727</v>
      </c>
      <c r="M36" s="16">
        <f>MIN(0.25+(INDEX('Stat Boosts'!$D$2:$D$192,M$1-9)-10)*$C36,10.22)</f>
        <v>1.9663636363636363</v>
      </c>
      <c r="N36" s="16">
        <f>MIN(0.25+(INDEX('Stat Boosts'!$D$2:$D$192,N$1-9)-10)*$C36,10.22)</f>
        <v>2.2281818181818185</v>
      </c>
      <c r="O36" s="16">
        <f>MIN(0.25+(INDEX('Stat Boosts'!$D$2:$D$192,O$1-9)-10)*$C36,10.22)</f>
        <v>2.3736363636363635</v>
      </c>
      <c r="P36" s="16">
        <f>MIN(0.25+(INDEX('Stat Boosts'!$D$2:$D$192,P$1-9)-10)*$C36,10.22)</f>
        <v>2.6063636363636364</v>
      </c>
      <c r="Q36" s="16">
        <f>MIN(0.25+(INDEX('Stat Boosts'!$D$2:$D$192,Q$1-9)-10)*$C36,10.22)</f>
        <v>2.8390909090909089</v>
      </c>
      <c r="R36" s="16">
        <f>MIN(0.25+(INDEX('Stat Boosts'!$D$2:$D$192,R$1-9)-10)*$C36,10.22)</f>
        <v>3.0718181818181818</v>
      </c>
    </row>
    <row r="37" spans="1:18">
      <c r="A37" s="9">
        <v>36</v>
      </c>
      <c r="B37" s="16">
        <f t="shared" si="0"/>
        <v>24</v>
      </c>
      <c r="C37" s="16">
        <f t="shared" si="1"/>
        <v>2.8571428571428574E-2</v>
      </c>
      <c r="E37" s="16">
        <f>MIN(0.25+(INDEX('Stat Boosts'!$D$2:$D$192,E$1-9)-10)*$C37,10.22)</f>
        <v>0.25</v>
      </c>
      <c r="F37" s="16">
        <f>MIN(0.25+(INDEX('Stat Boosts'!$D$2:$D$192,F$1-9)-10)*$C37,10.22)</f>
        <v>0.45</v>
      </c>
      <c r="G37" s="16">
        <f>MIN(0.25+(INDEX('Stat Boosts'!$D$2:$D$192,G$1-9)-10)*$C37,10.22)</f>
        <v>0.65</v>
      </c>
      <c r="H37" s="16">
        <f>MIN(0.25+(INDEX('Stat Boosts'!$D$2:$D$192,H$1-9)-10)*$C37,10.22)</f>
        <v>0.85000000000000009</v>
      </c>
      <c r="I37" s="16">
        <f>MIN(0.25+(INDEX('Stat Boosts'!$D$2:$D$192,I$1-9)-10)*$C37,10.22)</f>
        <v>1.0214285714285714</v>
      </c>
      <c r="J37" s="16">
        <f>MIN(0.25+(INDEX('Stat Boosts'!$D$2:$D$192,J$1-9)-10)*$C37,10.22)</f>
        <v>1.1928571428571431</v>
      </c>
      <c r="K37" s="16">
        <f>MIN(0.25+(INDEX('Stat Boosts'!$D$2:$D$192,K$1-9)-10)*$C37,10.22)</f>
        <v>1.592857142857143</v>
      </c>
      <c r="L37" s="16">
        <f>MIN(0.25+(INDEX('Stat Boosts'!$D$2:$D$192,L$1-9)-10)*$C37,10.22)</f>
        <v>1.7357142857142858</v>
      </c>
      <c r="M37" s="16">
        <f>MIN(0.25+(INDEX('Stat Boosts'!$D$2:$D$192,M$1-9)-10)*$C37,10.22)</f>
        <v>1.9357142857142859</v>
      </c>
      <c r="N37" s="16">
        <f>MIN(0.25+(INDEX('Stat Boosts'!$D$2:$D$192,N$1-9)-10)*$C37,10.22)</f>
        <v>2.1928571428571431</v>
      </c>
      <c r="O37" s="16">
        <f>MIN(0.25+(INDEX('Stat Boosts'!$D$2:$D$192,O$1-9)-10)*$C37,10.22)</f>
        <v>2.3357142857142859</v>
      </c>
      <c r="P37" s="16">
        <f>MIN(0.25+(INDEX('Stat Boosts'!$D$2:$D$192,P$1-9)-10)*$C37,10.22)</f>
        <v>2.5642857142857145</v>
      </c>
      <c r="Q37" s="16">
        <f>MIN(0.25+(INDEX('Stat Boosts'!$D$2:$D$192,Q$1-9)-10)*$C37,10.22)</f>
        <v>2.7928571428571431</v>
      </c>
      <c r="R37" s="16">
        <f>MIN(0.25+(INDEX('Stat Boosts'!$D$2:$D$192,R$1-9)-10)*$C37,10.22)</f>
        <v>3.0214285714285718</v>
      </c>
    </row>
    <row r="38" spans="1:18">
      <c r="A38" s="9">
        <v>37</v>
      </c>
      <c r="B38" s="16">
        <f t="shared" si="0"/>
        <v>24.25</v>
      </c>
      <c r="C38" s="16">
        <f t="shared" si="1"/>
        <v>2.8070175438596492E-2</v>
      </c>
      <c r="E38" s="16">
        <f>MIN(0.25+(INDEX('Stat Boosts'!$D$2:$D$192,E$1-9)-10)*$C38,10.22)</f>
        <v>0.25</v>
      </c>
      <c r="F38" s="16">
        <f>MIN(0.25+(INDEX('Stat Boosts'!$D$2:$D$192,F$1-9)-10)*$C38,10.22)</f>
        <v>0.44649122807017544</v>
      </c>
      <c r="G38" s="16">
        <f>MIN(0.25+(INDEX('Stat Boosts'!$D$2:$D$192,G$1-9)-10)*$C38,10.22)</f>
        <v>0.64298245614035088</v>
      </c>
      <c r="H38" s="16">
        <f>MIN(0.25+(INDEX('Stat Boosts'!$D$2:$D$192,H$1-9)-10)*$C38,10.22)</f>
        <v>0.83947368421052637</v>
      </c>
      <c r="I38" s="16">
        <f>MIN(0.25+(INDEX('Stat Boosts'!$D$2:$D$192,I$1-9)-10)*$C38,10.22)</f>
        <v>1.0078947368421054</v>
      </c>
      <c r="J38" s="16">
        <f>MIN(0.25+(INDEX('Stat Boosts'!$D$2:$D$192,J$1-9)-10)*$C38,10.22)</f>
        <v>1.1763157894736842</v>
      </c>
      <c r="K38" s="16">
        <f>MIN(0.25+(INDEX('Stat Boosts'!$D$2:$D$192,K$1-9)-10)*$C38,10.22)</f>
        <v>1.5692982456140352</v>
      </c>
      <c r="L38" s="16">
        <f>MIN(0.25+(INDEX('Stat Boosts'!$D$2:$D$192,L$1-9)-10)*$C38,10.22)</f>
        <v>1.7096491228070176</v>
      </c>
      <c r="M38" s="16">
        <f>MIN(0.25+(INDEX('Stat Boosts'!$D$2:$D$192,M$1-9)-10)*$C38,10.22)</f>
        <v>1.906140350877193</v>
      </c>
      <c r="N38" s="16">
        <f>MIN(0.25+(INDEX('Stat Boosts'!$D$2:$D$192,N$1-9)-10)*$C38,10.22)</f>
        <v>2.1587719298245611</v>
      </c>
      <c r="O38" s="16">
        <f>MIN(0.25+(INDEX('Stat Boosts'!$D$2:$D$192,O$1-9)-10)*$C38,10.22)</f>
        <v>2.299122807017544</v>
      </c>
      <c r="P38" s="16">
        <f>MIN(0.25+(INDEX('Stat Boosts'!$D$2:$D$192,P$1-9)-10)*$C38,10.22)</f>
        <v>2.5236842105263158</v>
      </c>
      <c r="Q38" s="16">
        <f>MIN(0.25+(INDEX('Stat Boosts'!$D$2:$D$192,Q$1-9)-10)*$C38,10.22)</f>
        <v>2.7482456140350879</v>
      </c>
      <c r="R38" s="16">
        <f>MIN(0.25+(INDEX('Stat Boosts'!$D$2:$D$192,R$1-9)-10)*$C38,10.22)</f>
        <v>2.9728070175438597</v>
      </c>
    </row>
    <row r="39" spans="1:18">
      <c r="A39" s="9">
        <v>38</v>
      </c>
      <c r="B39" s="16">
        <f t="shared" si="0"/>
        <v>24.5</v>
      </c>
      <c r="C39" s="16">
        <f t="shared" si="1"/>
        <v>2.7586206896551727E-2</v>
      </c>
      <c r="E39" s="16">
        <f>MIN(0.25+(INDEX('Stat Boosts'!$D$2:$D$192,E$1-9)-10)*$C39,10.22)</f>
        <v>0.25</v>
      </c>
      <c r="F39" s="16">
        <f>MIN(0.25+(INDEX('Stat Boosts'!$D$2:$D$192,F$1-9)-10)*$C39,10.22)</f>
        <v>0.44310344827586212</v>
      </c>
      <c r="G39" s="16">
        <f>MIN(0.25+(INDEX('Stat Boosts'!$D$2:$D$192,G$1-9)-10)*$C39,10.22)</f>
        <v>0.63620689655172424</v>
      </c>
      <c r="H39" s="16">
        <f>MIN(0.25+(INDEX('Stat Boosts'!$D$2:$D$192,H$1-9)-10)*$C39,10.22)</f>
        <v>0.82931034482758625</v>
      </c>
      <c r="I39" s="16">
        <f>MIN(0.25+(INDEX('Stat Boosts'!$D$2:$D$192,I$1-9)-10)*$C39,10.22)</f>
        <v>0.9948275862068966</v>
      </c>
      <c r="J39" s="16">
        <f>MIN(0.25+(INDEX('Stat Boosts'!$D$2:$D$192,J$1-9)-10)*$C39,10.22)</f>
        <v>1.1603448275862069</v>
      </c>
      <c r="K39" s="16">
        <f>MIN(0.25+(INDEX('Stat Boosts'!$D$2:$D$192,K$1-9)-10)*$C39,10.22)</f>
        <v>1.5465517241379312</v>
      </c>
      <c r="L39" s="16">
        <f>MIN(0.25+(INDEX('Stat Boosts'!$D$2:$D$192,L$1-9)-10)*$C39,10.22)</f>
        <v>1.6844827586206899</v>
      </c>
      <c r="M39" s="16">
        <f>MIN(0.25+(INDEX('Stat Boosts'!$D$2:$D$192,M$1-9)-10)*$C39,10.22)</f>
        <v>1.8775862068965519</v>
      </c>
      <c r="N39" s="16">
        <f>MIN(0.25+(INDEX('Stat Boosts'!$D$2:$D$192,N$1-9)-10)*$C39,10.22)</f>
        <v>2.1258620689655174</v>
      </c>
      <c r="O39" s="16">
        <f>MIN(0.25+(INDEX('Stat Boosts'!$D$2:$D$192,O$1-9)-10)*$C39,10.22)</f>
        <v>2.2637931034482759</v>
      </c>
      <c r="P39" s="16">
        <f>MIN(0.25+(INDEX('Stat Boosts'!$D$2:$D$192,P$1-9)-10)*$C39,10.22)</f>
        <v>2.4844827586206901</v>
      </c>
      <c r="Q39" s="16">
        <f>MIN(0.25+(INDEX('Stat Boosts'!$D$2:$D$192,Q$1-9)-10)*$C39,10.22)</f>
        <v>2.7051724137931039</v>
      </c>
      <c r="R39" s="16">
        <f>MIN(0.25+(INDEX('Stat Boosts'!$D$2:$D$192,R$1-9)-10)*$C39,10.22)</f>
        <v>2.9258620689655177</v>
      </c>
    </row>
    <row r="40" spans="1:18">
      <c r="A40" s="9">
        <v>39</v>
      </c>
      <c r="B40" s="16">
        <f t="shared" si="0"/>
        <v>24.75</v>
      </c>
      <c r="C40" s="16">
        <f t="shared" si="1"/>
        <v>2.7118644067796613E-2</v>
      </c>
      <c r="E40" s="16">
        <f>MIN(0.25+(INDEX('Stat Boosts'!$D$2:$D$192,E$1-9)-10)*$C40,10.22)</f>
        <v>0.25</v>
      </c>
      <c r="F40" s="16">
        <f>MIN(0.25+(INDEX('Stat Boosts'!$D$2:$D$192,F$1-9)-10)*$C40,10.22)</f>
        <v>0.43983050847457628</v>
      </c>
      <c r="G40" s="16">
        <f>MIN(0.25+(INDEX('Stat Boosts'!$D$2:$D$192,G$1-9)-10)*$C40,10.22)</f>
        <v>0.62966101694915255</v>
      </c>
      <c r="H40" s="16">
        <f>MIN(0.25+(INDEX('Stat Boosts'!$D$2:$D$192,H$1-9)-10)*$C40,10.22)</f>
        <v>0.81949152542372883</v>
      </c>
      <c r="I40" s="16">
        <f>MIN(0.25+(INDEX('Stat Boosts'!$D$2:$D$192,I$1-9)-10)*$C40,10.22)</f>
        <v>0.98220338983050859</v>
      </c>
      <c r="J40" s="16">
        <f>MIN(0.25+(INDEX('Stat Boosts'!$D$2:$D$192,J$1-9)-10)*$C40,10.22)</f>
        <v>1.1449152542372882</v>
      </c>
      <c r="K40" s="16">
        <f>MIN(0.25+(INDEX('Stat Boosts'!$D$2:$D$192,K$1-9)-10)*$C40,10.22)</f>
        <v>1.5245762711864408</v>
      </c>
      <c r="L40" s="16">
        <f>MIN(0.25+(INDEX('Stat Boosts'!$D$2:$D$192,L$1-9)-10)*$C40,10.22)</f>
        <v>1.6601694915254239</v>
      </c>
      <c r="M40" s="16">
        <f>MIN(0.25+(INDEX('Stat Boosts'!$D$2:$D$192,M$1-9)-10)*$C40,10.22)</f>
        <v>1.85</v>
      </c>
      <c r="N40" s="16">
        <f>MIN(0.25+(INDEX('Stat Boosts'!$D$2:$D$192,N$1-9)-10)*$C40,10.22)</f>
        <v>2.0940677966101697</v>
      </c>
      <c r="O40" s="16">
        <f>MIN(0.25+(INDEX('Stat Boosts'!$D$2:$D$192,O$1-9)-10)*$C40,10.22)</f>
        <v>2.2296610169491524</v>
      </c>
      <c r="P40" s="16">
        <f>MIN(0.25+(INDEX('Stat Boosts'!$D$2:$D$192,P$1-9)-10)*$C40,10.22)</f>
        <v>2.4466101694915254</v>
      </c>
      <c r="Q40" s="16">
        <f>MIN(0.25+(INDEX('Stat Boosts'!$D$2:$D$192,Q$1-9)-10)*$C40,10.22)</f>
        <v>2.6635593220338984</v>
      </c>
      <c r="R40" s="16">
        <f>MIN(0.25+(INDEX('Stat Boosts'!$D$2:$D$192,R$1-9)-10)*$C40,10.22)</f>
        <v>2.8805084745762715</v>
      </c>
    </row>
    <row r="41" spans="1:18">
      <c r="A41" s="9">
        <v>40</v>
      </c>
      <c r="B41" s="16">
        <f t="shared" si="0"/>
        <v>25</v>
      </c>
      <c r="C41" s="16">
        <f t="shared" si="1"/>
        <v>2.6666666666666668E-2</v>
      </c>
      <c r="E41" s="16">
        <f>MIN(0.25+(INDEX('Stat Boosts'!$D$2:$D$192,E$1-9)-10)*$C41,10.22)</f>
        <v>0.25</v>
      </c>
      <c r="F41" s="16">
        <f>MIN(0.25+(INDEX('Stat Boosts'!$D$2:$D$192,F$1-9)-10)*$C41,10.22)</f>
        <v>0.43666666666666665</v>
      </c>
      <c r="G41" s="16">
        <f>MIN(0.25+(INDEX('Stat Boosts'!$D$2:$D$192,G$1-9)-10)*$C41,10.22)</f>
        <v>0.62333333333333329</v>
      </c>
      <c r="H41" s="16">
        <f>MIN(0.25+(INDEX('Stat Boosts'!$D$2:$D$192,H$1-9)-10)*$C41,10.22)</f>
        <v>0.81</v>
      </c>
      <c r="I41" s="16">
        <f>MIN(0.25+(INDEX('Stat Boosts'!$D$2:$D$192,I$1-9)-10)*$C41,10.22)</f>
        <v>0.97000000000000008</v>
      </c>
      <c r="J41" s="16">
        <f>MIN(0.25+(INDEX('Stat Boosts'!$D$2:$D$192,J$1-9)-10)*$C41,10.22)</f>
        <v>1.1299999999999999</v>
      </c>
      <c r="K41" s="16">
        <f>MIN(0.25+(INDEX('Stat Boosts'!$D$2:$D$192,K$1-9)-10)*$C41,10.22)</f>
        <v>1.5033333333333334</v>
      </c>
      <c r="L41" s="16">
        <f>MIN(0.25+(INDEX('Stat Boosts'!$D$2:$D$192,L$1-9)-10)*$C41,10.22)</f>
        <v>1.6366666666666667</v>
      </c>
      <c r="M41" s="16">
        <f>MIN(0.25+(INDEX('Stat Boosts'!$D$2:$D$192,M$1-9)-10)*$C41,10.22)</f>
        <v>1.8233333333333335</v>
      </c>
      <c r="N41" s="16">
        <f>MIN(0.25+(INDEX('Stat Boosts'!$D$2:$D$192,N$1-9)-10)*$C41,10.22)</f>
        <v>2.0633333333333335</v>
      </c>
      <c r="O41" s="16">
        <f>MIN(0.25+(INDEX('Stat Boosts'!$D$2:$D$192,O$1-9)-10)*$C41,10.22)</f>
        <v>2.1966666666666668</v>
      </c>
      <c r="P41" s="16">
        <f>MIN(0.25+(INDEX('Stat Boosts'!$D$2:$D$192,P$1-9)-10)*$C41,10.22)</f>
        <v>2.41</v>
      </c>
      <c r="Q41" s="16">
        <f>MIN(0.25+(INDEX('Stat Boosts'!$D$2:$D$192,Q$1-9)-10)*$C41,10.22)</f>
        <v>2.6233333333333335</v>
      </c>
      <c r="R41" s="16">
        <f>MIN(0.25+(INDEX('Stat Boosts'!$D$2:$D$192,R$1-9)-10)*$C41,10.22)</f>
        <v>2.8366666666666669</v>
      </c>
    </row>
    <row r="42" spans="1:18">
      <c r="A42" s="9">
        <v>41</v>
      </c>
      <c r="B42" s="16">
        <f t="shared" si="0"/>
        <v>25.25</v>
      </c>
      <c r="C42" s="16">
        <f t="shared" si="1"/>
        <v>2.6229508196721311E-2</v>
      </c>
      <c r="E42" s="16">
        <f>MIN(0.25+(INDEX('Stat Boosts'!$D$2:$D$192,E$1-9)-10)*$C42,10.22)</f>
        <v>0.25</v>
      </c>
      <c r="F42" s="16">
        <f>MIN(0.25+(INDEX('Stat Boosts'!$D$2:$D$192,F$1-9)-10)*$C42,10.22)</f>
        <v>0.43360655737704917</v>
      </c>
      <c r="G42" s="16">
        <f>MIN(0.25+(INDEX('Stat Boosts'!$D$2:$D$192,G$1-9)-10)*$C42,10.22)</f>
        <v>0.61721311475409835</v>
      </c>
      <c r="H42" s="16">
        <f>MIN(0.25+(INDEX('Stat Boosts'!$D$2:$D$192,H$1-9)-10)*$C42,10.22)</f>
        <v>0.80081967213114758</v>
      </c>
      <c r="I42" s="16">
        <f>MIN(0.25+(INDEX('Stat Boosts'!$D$2:$D$192,I$1-9)-10)*$C42,10.22)</f>
        <v>0.95819672131147537</v>
      </c>
      <c r="J42" s="16">
        <f>MIN(0.25+(INDEX('Stat Boosts'!$D$2:$D$192,J$1-9)-10)*$C42,10.22)</f>
        <v>1.1155737704918032</v>
      </c>
      <c r="K42" s="16">
        <f>MIN(0.25+(INDEX('Stat Boosts'!$D$2:$D$192,K$1-9)-10)*$C42,10.22)</f>
        <v>1.4827868852459016</v>
      </c>
      <c r="L42" s="16">
        <f>MIN(0.25+(INDEX('Stat Boosts'!$D$2:$D$192,L$1-9)-10)*$C42,10.22)</f>
        <v>1.6139344262295081</v>
      </c>
      <c r="M42" s="16">
        <f>MIN(0.25+(INDEX('Stat Boosts'!$D$2:$D$192,M$1-9)-10)*$C42,10.22)</f>
        <v>1.7975409836065575</v>
      </c>
      <c r="N42" s="16">
        <f>MIN(0.25+(INDEX('Stat Boosts'!$D$2:$D$192,N$1-9)-10)*$C42,10.22)</f>
        <v>2.0336065573770492</v>
      </c>
      <c r="O42" s="16">
        <f>MIN(0.25+(INDEX('Stat Boosts'!$D$2:$D$192,O$1-9)-10)*$C42,10.22)</f>
        <v>2.1647540983606559</v>
      </c>
      <c r="P42" s="16">
        <f>MIN(0.25+(INDEX('Stat Boosts'!$D$2:$D$192,P$1-9)-10)*$C42,10.22)</f>
        <v>2.374590163934426</v>
      </c>
      <c r="Q42" s="16">
        <f>MIN(0.25+(INDEX('Stat Boosts'!$D$2:$D$192,Q$1-9)-10)*$C42,10.22)</f>
        <v>2.5844262295081966</v>
      </c>
      <c r="R42" s="16">
        <f>MIN(0.25+(INDEX('Stat Boosts'!$D$2:$D$192,R$1-9)-10)*$C42,10.22)</f>
        <v>2.7942622950819671</v>
      </c>
    </row>
    <row r="43" spans="1:18">
      <c r="A43" s="9">
        <v>42</v>
      </c>
      <c r="B43" s="16">
        <f t="shared" si="0"/>
        <v>25.5</v>
      </c>
      <c r="C43" s="16">
        <f t="shared" si="1"/>
        <v>2.5806451612903226E-2</v>
      </c>
      <c r="E43" s="16">
        <f>MIN(0.25+(INDEX('Stat Boosts'!$D$2:$D$192,E$1-9)-10)*$C43,10.22)</f>
        <v>0.25</v>
      </c>
      <c r="F43" s="16">
        <f>MIN(0.25+(INDEX('Stat Boosts'!$D$2:$D$192,F$1-9)-10)*$C43,10.22)</f>
        <v>0.4306451612903226</v>
      </c>
      <c r="G43" s="16">
        <f>MIN(0.25+(INDEX('Stat Boosts'!$D$2:$D$192,G$1-9)-10)*$C43,10.22)</f>
        <v>0.6112903225806452</v>
      </c>
      <c r="H43" s="16">
        <f>MIN(0.25+(INDEX('Stat Boosts'!$D$2:$D$192,H$1-9)-10)*$C43,10.22)</f>
        <v>0.79193548387096779</v>
      </c>
      <c r="I43" s="16">
        <f>MIN(0.25+(INDEX('Stat Boosts'!$D$2:$D$192,I$1-9)-10)*$C43,10.22)</f>
        <v>0.9467741935483871</v>
      </c>
      <c r="J43" s="16">
        <f>MIN(0.25+(INDEX('Stat Boosts'!$D$2:$D$192,J$1-9)-10)*$C43,10.22)</f>
        <v>1.1016129032258064</v>
      </c>
      <c r="K43" s="16">
        <f>MIN(0.25+(INDEX('Stat Boosts'!$D$2:$D$192,K$1-9)-10)*$C43,10.22)</f>
        <v>1.4629032258064516</v>
      </c>
      <c r="L43" s="16">
        <f>MIN(0.25+(INDEX('Stat Boosts'!$D$2:$D$192,L$1-9)-10)*$C43,10.22)</f>
        <v>1.5919354838709678</v>
      </c>
      <c r="M43" s="16">
        <f>MIN(0.25+(INDEX('Stat Boosts'!$D$2:$D$192,M$1-9)-10)*$C43,10.22)</f>
        <v>1.7725806451612902</v>
      </c>
      <c r="N43" s="16">
        <f>MIN(0.25+(INDEX('Stat Boosts'!$D$2:$D$192,N$1-9)-10)*$C43,10.22)</f>
        <v>2.0048387096774194</v>
      </c>
      <c r="O43" s="16">
        <f>MIN(0.25+(INDEX('Stat Boosts'!$D$2:$D$192,O$1-9)-10)*$C43,10.22)</f>
        <v>2.1338709677419354</v>
      </c>
      <c r="P43" s="16">
        <f>MIN(0.25+(INDEX('Stat Boosts'!$D$2:$D$192,P$1-9)-10)*$C43,10.22)</f>
        <v>2.3403225806451613</v>
      </c>
      <c r="Q43" s="16">
        <f>MIN(0.25+(INDEX('Stat Boosts'!$D$2:$D$192,Q$1-9)-10)*$C43,10.22)</f>
        <v>2.5467741935483872</v>
      </c>
      <c r="R43" s="16">
        <f>MIN(0.25+(INDEX('Stat Boosts'!$D$2:$D$192,R$1-9)-10)*$C43,10.22)</f>
        <v>2.7532258064516131</v>
      </c>
    </row>
    <row r="44" spans="1:18">
      <c r="A44" s="9">
        <v>43</v>
      </c>
      <c r="B44" s="16">
        <f t="shared" si="0"/>
        <v>25.75</v>
      </c>
      <c r="C44" s="16">
        <f t="shared" si="1"/>
        <v>2.5396825396825397E-2</v>
      </c>
      <c r="E44" s="16">
        <f>MIN(0.25+(INDEX('Stat Boosts'!$D$2:$D$192,E$1-9)-10)*$C44,10.22)</f>
        <v>0.25</v>
      </c>
      <c r="F44" s="16">
        <f>MIN(0.25+(INDEX('Stat Boosts'!$D$2:$D$192,F$1-9)-10)*$C44,10.22)</f>
        <v>0.42777777777777781</v>
      </c>
      <c r="G44" s="16">
        <f>MIN(0.25+(INDEX('Stat Boosts'!$D$2:$D$192,G$1-9)-10)*$C44,10.22)</f>
        <v>0.60555555555555562</v>
      </c>
      <c r="H44" s="16">
        <f>MIN(0.25+(INDEX('Stat Boosts'!$D$2:$D$192,H$1-9)-10)*$C44,10.22)</f>
        <v>0.78333333333333333</v>
      </c>
      <c r="I44" s="16">
        <f>MIN(0.25+(INDEX('Stat Boosts'!$D$2:$D$192,I$1-9)-10)*$C44,10.22)</f>
        <v>0.93571428571428572</v>
      </c>
      <c r="J44" s="16">
        <f>MIN(0.25+(INDEX('Stat Boosts'!$D$2:$D$192,J$1-9)-10)*$C44,10.22)</f>
        <v>1.0880952380952382</v>
      </c>
      <c r="K44" s="16">
        <f>MIN(0.25+(INDEX('Stat Boosts'!$D$2:$D$192,K$1-9)-10)*$C44,10.22)</f>
        <v>1.4436507936507936</v>
      </c>
      <c r="L44" s="16">
        <f>MIN(0.25+(INDEX('Stat Boosts'!$D$2:$D$192,L$1-9)-10)*$C44,10.22)</f>
        <v>1.5706349206349206</v>
      </c>
      <c r="M44" s="16">
        <f>MIN(0.25+(INDEX('Stat Boosts'!$D$2:$D$192,M$1-9)-10)*$C44,10.22)</f>
        <v>1.7484126984126984</v>
      </c>
      <c r="N44" s="16">
        <f>MIN(0.25+(INDEX('Stat Boosts'!$D$2:$D$192,N$1-9)-10)*$C44,10.22)</f>
        <v>1.9769841269841271</v>
      </c>
      <c r="O44" s="16">
        <f>MIN(0.25+(INDEX('Stat Boosts'!$D$2:$D$192,O$1-9)-10)*$C44,10.22)</f>
        <v>2.103968253968254</v>
      </c>
      <c r="P44" s="16">
        <f>MIN(0.25+(INDEX('Stat Boosts'!$D$2:$D$192,P$1-9)-10)*$C44,10.22)</f>
        <v>2.3071428571428569</v>
      </c>
      <c r="Q44" s="16">
        <f>MIN(0.25+(INDEX('Stat Boosts'!$D$2:$D$192,Q$1-9)-10)*$C44,10.22)</f>
        <v>2.5103174603174603</v>
      </c>
      <c r="R44" s="16">
        <f>MIN(0.25+(INDEX('Stat Boosts'!$D$2:$D$192,R$1-9)-10)*$C44,10.22)</f>
        <v>2.7134920634920636</v>
      </c>
    </row>
    <row r="45" spans="1:18">
      <c r="A45" s="9">
        <v>44</v>
      </c>
      <c r="B45" s="16">
        <f t="shared" si="0"/>
        <v>26</v>
      </c>
      <c r="C45" s="16">
        <f t="shared" si="1"/>
        <v>2.5000000000000001E-2</v>
      </c>
      <c r="E45" s="16">
        <f>MIN(0.25+(INDEX('Stat Boosts'!$D$2:$D$192,E$1-9)-10)*$C45,10.22)</f>
        <v>0.25</v>
      </c>
      <c r="F45" s="16">
        <f>MIN(0.25+(INDEX('Stat Boosts'!$D$2:$D$192,F$1-9)-10)*$C45,10.22)</f>
        <v>0.42500000000000004</v>
      </c>
      <c r="G45" s="16">
        <f>MIN(0.25+(INDEX('Stat Boosts'!$D$2:$D$192,G$1-9)-10)*$C45,10.22)</f>
        <v>0.60000000000000009</v>
      </c>
      <c r="H45" s="16">
        <f>MIN(0.25+(INDEX('Stat Boosts'!$D$2:$D$192,H$1-9)-10)*$C45,10.22)</f>
        <v>0.77500000000000002</v>
      </c>
      <c r="I45" s="16">
        <f>MIN(0.25+(INDEX('Stat Boosts'!$D$2:$D$192,I$1-9)-10)*$C45,10.22)</f>
        <v>0.92500000000000004</v>
      </c>
      <c r="J45" s="16">
        <f>MIN(0.25+(INDEX('Stat Boosts'!$D$2:$D$192,J$1-9)-10)*$C45,10.22)</f>
        <v>1.0750000000000002</v>
      </c>
      <c r="K45" s="16">
        <f>MIN(0.25+(INDEX('Stat Boosts'!$D$2:$D$192,K$1-9)-10)*$C45,10.22)</f>
        <v>1.425</v>
      </c>
      <c r="L45" s="16">
        <f>MIN(0.25+(INDEX('Stat Boosts'!$D$2:$D$192,L$1-9)-10)*$C45,10.22)</f>
        <v>1.55</v>
      </c>
      <c r="M45" s="16">
        <f>MIN(0.25+(INDEX('Stat Boosts'!$D$2:$D$192,M$1-9)-10)*$C45,10.22)</f>
        <v>1.7250000000000001</v>
      </c>
      <c r="N45" s="16">
        <f>MIN(0.25+(INDEX('Stat Boosts'!$D$2:$D$192,N$1-9)-10)*$C45,10.22)</f>
        <v>1.9500000000000002</v>
      </c>
      <c r="O45" s="16">
        <f>MIN(0.25+(INDEX('Stat Boosts'!$D$2:$D$192,O$1-9)-10)*$C45,10.22)</f>
        <v>2.0750000000000002</v>
      </c>
      <c r="P45" s="16">
        <f>MIN(0.25+(INDEX('Stat Boosts'!$D$2:$D$192,P$1-9)-10)*$C45,10.22)</f>
        <v>2.2749999999999999</v>
      </c>
      <c r="Q45" s="16">
        <f>MIN(0.25+(INDEX('Stat Boosts'!$D$2:$D$192,Q$1-9)-10)*$C45,10.22)</f>
        <v>2.4750000000000001</v>
      </c>
      <c r="R45" s="16">
        <f>MIN(0.25+(INDEX('Stat Boosts'!$D$2:$D$192,R$1-9)-10)*$C45,10.22)</f>
        <v>2.6750000000000003</v>
      </c>
    </row>
    <row r="46" spans="1:18">
      <c r="A46" s="9">
        <v>45</v>
      </c>
      <c r="B46" s="16">
        <f t="shared" si="0"/>
        <v>26.25</v>
      </c>
      <c r="C46" s="16">
        <f t="shared" si="1"/>
        <v>2.4615384615384615E-2</v>
      </c>
      <c r="E46" s="16">
        <f>MIN(0.25+(INDEX('Stat Boosts'!$D$2:$D$192,E$1-9)-10)*$C46,10.22)</f>
        <v>0.25</v>
      </c>
      <c r="F46" s="16">
        <f>MIN(0.25+(INDEX('Stat Boosts'!$D$2:$D$192,F$1-9)-10)*$C46,10.22)</f>
        <v>0.42230769230769227</v>
      </c>
      <c r="G46" s="16">
        <f>MIN(0.25+(INDEX('Stat Boosts'!$D$2:$D$192,G$1-9)-10)*$C46,10.22)</f>
        <v>0.59461538461538455</v>
      </c>
      <c r="H46" s="16">
        <f>MIN(0.25+(INDEX('Stat Boosts'!$D$2:$D$192,H$1-9)-10)*$C46,10.22)</f>
        <v>0.76692307692307693</v>
      </c>
      <c r="I46" s="16">
        <f>MIN(0.25+(INDEX('Stat Boosts'!$D$2:$D$192,I$1-9)-10)*$C46,10.22)</f>
        <v>0.91461538461538461</v>
      </c>
      <c r="J46" s="16">
        <f>MIN(0.25+(INDEX('Stat Boosts'!$D$2:$D$192,J$1-9)-10)*$C46,10.22)</f>
        <v>1.0623076923076922</v>
      </c>
      <c r="K46" s="16">
        <f>MIN(0.25+(INDEX('Stat Boosts'!$D$2:$D$192,K$1-9)-10)*$C46,10.22)</f>
        <v>1.4069230769230769</v>
      </c>
      <c r="L46" s="16">
        <f>MIN(0.25+(INDEX('Stat Boosts'!$D$2:$D$192,L$1-9)-10)*$C46,10.22)</f>
        <v>1.53</v>
      </c>
      <c r="M46" s="16">
        <f>MIN(0.25+(INDEX('Stat Boosts'!$D$2:$D$192,M$1-9)-10)*$C46,10.22)</f>
        <v>1.7023076923076923</v>
      </c>
      <c r="N46" s="16">
        <f>MIN(0.25+(INDEX('Stat Boosts'!$D$2:$D$192,N$1-9)-10)*$C46,10.22)</f>
        <v>1.9238461538461538</v>
      </c>
      <c r="O46" s="16">
        <f>MIN(0.25+(INDEX('Stat Boosts'!$D$2:$D$192,O$1-9)-10)*$C46,10.22)</f>
        <v>2.0469230769230768</v>
      </c>
      <c r="P46" s="16">
        <f>MIN(0.25+(INDEX('Stat Boosts'!$D$2:$D$192,P$1-9)-10)*$C46,10.22)</f>
        <v>2.243846153846154</v>
      </c>
      <c r="Q46" s="16">
        <f>MIN(0.25+(INDEX('Stat Boosts'!$D$2:$D$192,Q$1-9)-10)*$C46,10.22)</f>
        <v>2.4407692307692308</v>
      </c>
      <c r="R46" s="16">
        <f>MIN(0.25+(INDEX('Stat Boosts'!$D$2:$D$192,R$1-9)-10)*$C46,10.22)</f>
        <v>2.6376923076923076</v>
      </c>
    </row>
    <row r="47" spans="1:18">
      <c r="A47" s="9">
        <v>46</v>
      </c>
      <c r="B47" s="16">
        <f t="shared" si="0"/>
        <v>26.5</v>
      </c>
      <c r="C47" s="16">
        <f t="shared" si="1"/>
        <v>2.4242424242424242E-2</v>
      </c>
      <c r="E47" s="16">
        <f>MIN(0.25+(INDEX('Stat Boosts'!$D$2:$D$192,E$1-9)-10)*$C47,10.22)</f>
        <v>0.25</v>
      </c>
      <c r="F47" s="16">
        <f>MIN(0.25+(INDEX('Stat Boosts'!$D$2:$D$192,F$1-9)-10)*$C47,10.22)</f>
        <v>0.41969696969696968</v>
      </c>
      <c r="G47" s="16">
        <f>MIN(0.25+(INDEX('Stat Boosts'!$D$2:$D$192,G$1-9)-10)*$C47,10.22)</f>
        <v>0.58939393939393936</v>
      </c>
      <c r="H47" s="16">
        <f>MIN(0.25+(INDEX('Stat Boosts'!$D$2:$D$192,H$1-9)-10)*$C47,10.22)</f>
        <v>0.75909090909090904</v>
      </c>
      <c r="I47" s="16">
        <f>MIN(0.25+(INDEX('Stat Boosts'!$D$2:$D$192,I$1-9)-10)*$C47,10.22)</f>
        <v>0.90454545454545454</v>
      </c>
      <c r="J47" s="16">
        <f>MIN(0.25+(INDEX('Stat Boosts'!$D$2:$D$192,J$1-9)-10)*$C47,10.22)</f>
        <v>1.05</v>
      </c>
      <c r="K47" s="16">
        <f>MIN(0.25+(INDEX('Stat Boosts'!$D$2:$D$192,K$1-9)-10)*$C47,10.22)</f>
        <v>1.3893939393939394</v>
      </c>
      <c r="L47" s="16">
        <f>MIN(0.25+(INDEX('Stat Boosts'!$D$2:$D$192,L$1-9)-10)*$C47,10.22)</f>
        <v>1.5106060606060605</v>
      </c>
      <c r="M47" s="16">
        <f>MIN(0.25+(INDEX('Stat Boosts'!$D$2:$D$192,M$1-9)-10)*$C47,10.22)</f>
        <v>1.6803030303030304</v>
      </c>
      <c r="N47" s="16">
        <f>MIN(0.25+(INDEX('Stat Boosts'!$D$2:$D$192,N$1-9)-10)*$C47,10.22)</f>
        <v>1.8984848484848484</v>
      </c>
      <c r="O47" s="16">
        <f>MIN(0.25+(INDEX('Stat Boosts'!$D$2:$D$192,O$1-9)-10)*$C47,10.22)</f>
        <v>2.0196969696969695</v>
      </c>
      <c r="P47" s="16">
        <f>MIN(0.25+(INDEX('Stat Boosts'!$D$2:$D$192,P$1-9)-10)*$C47,10.22)</f>
        <v>2.2136363636363638</v>
      </c>
      <c r="Q47" s="16">
        <f>MIN(0.25+(INDEX('Stat Boosts'!$D$2:$D$192,Q$1-9)-10)*$C47,10.22)</f>
        <v>2.4075757575757577</v>
      </c>
      <c r="R47" s="16">
        <f>MIN(0.25+(INDEX('Stat Boosts'!$D$2:$D$192,R$1-9)-10)*$C47,10.22)</f>
        <v>2.6015151515151516</v>
      </c>
    </row>
    <row r="48" spans="1:18">
      <c r="A48" s="9">
        <v>47</v>
      </c>
      <c r="B48" s="16">
        <f t="shared" si="0"/>
        <v>26.75</v>
      </c>
      <c r="C48" s="16">
        <f t="shared" si="1"/>
        <v>2.3880597014925373E-2</v>
      </c>
      <c r="E48" s="16">
        <f>MIN(0.25+(INDEX('Stat Boosts'!$D$2:$D$192,E$1-9)-10)*$C48,10.22)</f>
        <v>0.25</v>
      </c>
      <c r="F48" s="16">
        <f>MIN(0.25+(INDEX('Stat Boosts'!$D$2:$D$192,F$1-9)-10)*$C48,10.22)</f>
        <v>0.41716417910447762</v>
      </c>
      <c r="G48" s="16">
        <f>MIN(0.25+(INDEX('Stat Boosts'!$D$2:$D$192,G$1-9)-10)*$C48,10.22)</f>
        <v>0.58432835820895523</v>
      </c>
      <c r="H48" s="16">
        <f>MIN(0.25+(INDEX('Stat Boosts'!$D$2:$D$192,H$1-9)-10)*$C48,10.22)</f>
        <v>0.7514925373134328</v>
      </c>
      <c r="I48" s="16">
        <f>MIN(0.25+(INDEX('Stat Boosts'!$D$2:$D$192,I$1-9)-10)*$C48,10.22)</f>
        <v>0.89477611940298507</v>
      </c>
      <c r="J48" s="16">
        <f>MIN(0.25+(INDEX('Stat Boosts'!$D$2:$D$192,J$1-9)-10)*$C48,10.22)</f>
        <v>1.0380597014925375</v>
      </c>
      <c r="K48" s="16">
        <f>MIN(0.25+(INDEX('Stat Boosts'!$D$2:$D$192,K$1-9)-10)*$C48,10.22)</f>
        <v>1.3723880597014926</v>
      </c>
      <c r="L48" s="16">
        <f>MIN(0.25+(INDEX('Stat Boosts'!$D$2:$D$192,L$1-9)-10)*$C48,10.22)</f>
        <v>1.4917910447761193</v>
      </c>
      <c r="M48" s="16">
        <f>MIN(0.25+(INDEX('Stat Boosts'!$D$2:$D$192,M$1-9)-10)*$C48,10.22)</f>
        <v>1.6589552238805971</v>
      </c>
      <c r="N48" s="16">
        <f>MIN(0.25+(INDEX('Stat Boosts'!$D$2:$D$192,N$1-9)-10)*$C48,10.22)</f>
        <v>1.8738805970149255</v>
      </c>
      <c r="O48" s="16">
        <f>MIN(0.25+(INDEX('Stat Boosts'!$D$2:$D$192,O$1-9)-10)*$C48,10.22)</f>
        <v>1.9932835820895523</v>
      </c>
      <c r="P48" s="16">
        <f>MIN(0.25+(INDEX('Stat Boosts'!$D$2:$D$192,P$1-9)-10)*$C48,10.22)</f>
        <v>2.1843283582089552</v>
      </c>
      <c r="Q48" s="16">
        <f>MIN(0.25+(INDEX('Stat Boosts'!$D$2:$D$192,Q$1-9)-10)*$C48,10.22)</f>
        <v>2.3753731343283584</v>
      </c>
      <c r="R48" s="16">
        <f>MIN(0.25+(INDEX('Stat Boosts'!$D$2:$D$192,R$1-9)-10)*$C48,10.22)</f>
        <v>2.5664179104477611</v>
      </c>
    </row>
    <row r="49" spans="1:18">
      <c r="A49" s="9">
        <v>48</v>
      </c>
      <c r="B49" s="16">
        <f t="shared" si="0"/>
        <v>27</v>
      </c>
      <c r="C49" s="16">
        <f t="shared" si="1"/>
        <v>2.3529411764705882E-2</v>
      </c>
      <c r="E49" s="16">
        <f>MIN(0.25+(INDEX('Stat Boosts'!$D$2:$D$192,E$1-9)-10)*$C49,10.22)</f>
        <v>0.25</v>
      </c>
      <c r="F49" s="16">
        <f>MIN(0.25+(INDEX('Stat Boosts'!$D$2:$D$192,F$1-9)-10)*$C49,10.22)</f>
        <v>0.41470588235294115</v>
      </c>
      <c r="G49" s="16">
        <f>MIN(0.25+(INDEX('Stat Boosts'!$D$2:$D$192,G$1-9)-10)*$C49,10.22)</f>
        <v>0.57941176470588229</v>
      </c>
      <c r="H49" s="16">
        <f>MIN(0.25+(INDEX('Stat Boosts'!$D$2:$D$192,H$1-9)-10)*$C49,10.22)</f>
        <v>0.74411764705882355</v>
      </c>
      <c r="I49" s="16">
        <f>MIN(0.25+(INDEX('Stat Boosts'!$D$2:$D$192,I$1-9)-10)*$C49,10.22)</f>
        <v>0.88529411764705879</v>
      </c>
      <c r="J49" s="16">
        <f>MIN(0.25+(INDEX('Stat Boosts'!$D$2:$D$192,J$1-9)-10)*$C49,10.22)</f>
        <v>1.026470588235294</v>
      </c>
      <c r="K49" s="16">
        <f>MIN(0.25+(INDEX('Stat Boosts'!$D$2:$D$192,K$1-9)-10)*$C49,10.22)</f>
        <v>1.3558823529411765</v>
      </c>
      <c r="L49" s="16">
        <f>MIN(0.25+(INDEX('Stat Boosts'!$D$2:$D$192,L$1-9)-10)*$C49,10.22)</f>
        <v>1.473529411764706</v>
      </c>
      <c r="M49" s="16">
        <f>MIN(0.25+(INDEX('Stat Boosts'!$D$2:$D$192,M$1-9)-10)*$C49,10.22)</f>
        <v>1.638235294117647</v>
      </c>
      <c r="N49" s="16">
        <f>MIN(0.25+(INDEX('Stat Boosts'!$D$2:$D$192,N$1-9)-10)*$C49,10.22)</f>
        <v>1.85</v>
      </c>
      <c r="O49" s="16">
        <f>MIN(0.25+(INDEX('Stat Boosts'!$D$2:$D$192,O$1-9)-10)*$C49,10.22)</f>
        <v>1.9676470588235293</v>
      </c>
      <c r="P49" s="16">
        <f>MIN(0.25+(INDEX('Stat Boosts'!$D$2:$D$192,P$1-9)-10)*$C49,10.22)</f>
        <v>2.1558823529411764</v>
      </c>
      <c r="Q49" s="16">
        <f>MIN(0.25+(INDEX('Stat Boosts'!$D$2:$D$192,Q$1-9)-10)*$C49,10.22)</f>
        <v>2.3441176470588236</v>
      </c>
      <c r="R49" s="16">
        <f>MIN(0.25+(INDEX('Stat Boosts'!$D$2:$D$192,R$1-9)-10)*$C49,10.22)</f>
        <v>2.5323529411764705</v>
      </c>
    </row>
    <row r="50" spans="1:18">
      <c r="A50" s="9">
        <v>49</v>
      </c>
      <c r="B50" s="16">
        <f t="shared" si="0"/>
        <v>27.25</v>
      </c>
      <c r="C50" s="16">
        <f t="shared" si="1"/>
        <v>2.318840579710145E-2</v>
      </c>
      <c r="E50" s="16">
        <f>MIN(0.25+(INDEX('Stat Boosts'!$D$2:$D$192,E$1-9)-10)*$C50,10.22)</f>
        <v>0.25</v>
      </c>
      <c r="F50" s="16">
        <f>MIN(0.25+(INDEX('Stat Boosts'!$D$2:$D$192,F$1-9)-10)*$C50,10.22)</f>
        <v>0.41231884057971013</v>
      </c>
      <c r="G50" s="16">
        <f>MIN(0.25+(INDEX('Stat Boosts'!$D$2:$D$192,G$1-9)-10)*$C50,10.22)</f>
        <v>0.57463768115942027</v>
      </c>
      <c r="H50" s="16">
        <f>MIN(0.25+(INDEX('Stat Boosts'!$D$2:$D$192,H$1-9)-10)*$C50,10.22)</f>
        <v>0.73695652173913051</v>
      </c>
      <c r="I50" s="16">
        <f>MIN(0.25+(INDEX('Stat Boosts'!$D$2:$D$192,I$1-9)-10)*$C50,10.22)</f>
        <v>0.87608695652173918</v>
      </c>
      <c r="J50" s="16">
        <f>MIN(0.25+(INDEX('Stat Boosts'!$D$2:$D$192,J$1-9)-10)*$C50,10.22)</f>
        <v>1.0152173913043478</v>
      </c>
      <c r="K50" s="16">
        <f>MIN(0.25+(INDEX('Stat Boosts'!$D$2:$D$192,K$1-9)-10)*$C50,10.22)</f>
        <v>1.3398550724637681</v>
      </c>
      <c r="L50" s="16">
        <f>MIN(0.25+(INDEX('Stat Boosts'!$D$2:$D$192,L$1-9)-10)*$C50,10.22)</f>
        <v>1.4557971014492754</v>
      </c>
      <c r="M50" s="16">
        <f>MIN(0.25+(INDEX('Stat Boosts'!$D$2:$D$192,M$1-9)-10)*$C50,10.22)</f>
        <v>1.6181159420289855</v>
      </c>
      <c r="N50" s="16">
        <f>MIN(0.25+(INDEX('Stat Boosts'!$D$2:$D$192,N$1-9)-10)*$C50,10.22)</f>
        <v>1.8268115942028986</v>
      </c>
      <c r="O50" s="16">
        <f>MIN(0.25+(INDEX('Stat Boosts'!$D$2:$D$192,O$1-9)-10)*$C50,10.22)</f>
        <v>1.9427536231884057</v>
      </c>
      <c r="P50" s="16">
        <f>MIN(0.25+(INDEX('Stat Boosts'!$D$2:$D$192,P$1-9)-10)*$C50,10.22)</f>
        <v>2.1282608695652172</v>
      </c>
      <c r="Q50" s="16">
        <f>MIN(0.25+(INDEX('Stat Boosts'!$D$2:$D$192,Q$1-9)-10)*$C50,10.22)</f>
        <v>2.3137681159420289</v>
      </c>
      <c r="R50" s="16">
        <f>MIN(0.25+(INDEX('Stat Boosts'!$D$2:$D$192,R$1-9)-10)*$C50,10.22)</f>
        <v>2.4992753623188406</v>
      </c>
    </row>
    <row r="51" spans="1:18">
      <c r="A51" s="9">
        <v>50</v>
      </c>
      <c r="B51" s="16">
        <f t="shared" si="0"/>
        <v>27.5</v>
      </c>
      <c r="C51" s="16">
        <f t="shared" si="1"/>
        <v>2.2857142857142857E-2</v>
      </c>
      <c r="E51" s="16">
        <f>MIN(0.25+(INDEX('Stat Boosts'!$D$2:$D$192,E$1-9)-10)*$C51,10.22)</f>
        <v>0.25</v>
      </c>
      <c r="F51" s="16">
        <f>MIN(0.25+(INDEX('Stat Boosts'!$D$2:$D$192,F$1-9)-10)*$C51,10.22)</f>
        <v>0.41000000000000003</v>
      </c>
      <c r="G51" s="16">
        <f>MIN(0.25+(INDEX('Stat Boosts'!$D$2:$D$192,G$1-9)-10)*$C51,10.22)</f>
        <v>0.57000000000000006</v>
      </c>
      <c r="H51" s="16">
        <f>MIN(0.25+(INDEX('Stat Boosts'!$D$2:$D$192,H$1-9)-10)*$C51,10.22)</f>
        <v>0.73</v>
      </c>
      <c r="I51" s="16">
        <f>MIN(0.25+(INDEX('Stat Boosts'!$D$2:$D$192,I$1-9)-10)*$C51,10.22)</f>
        <v>0.8671428571428571</v>
      </c>
      <c r="J51" s="16">
        <f>MIN(0.25+(INDEX('Stat Boosts'!$D$2:$D$192,J$1-9)-10)*$C51,10.22)</f>
        <v>1.0042857142857144</v>
      </c>
      <c r="K51" s="16">
        <f>MIN(0.25+(INDEX('Stat Boosts'!$D$2:$D$192,K$1-9)-10)*$C51,10.22)</f>
        <v>1.3242857142857143</v>
      </c>
      <c r="L51" s="16">
        <f>MIN(0.25+(INDEX('Stat Boosts'!$D$2:$D$192,L$1-9)-10)*$C51,10.22)</f>
        <v>1.4385714285714286</v>
      </c>
      <c r="M51" s="16">
        <f>MIN(0.25+(INDEX('Stat Boosts'!$D$2:$D$192,M$1-9)-10)*$C51,10.22)</f>
        <v>1.5985714285714285</v>
      </c>
      <c r="N51" s="16">
        <f>MIN(0.25+(INDEX('Stat Boosts'!$D$2:$D$192,N$1-9)-10)*$C51,10.22)</f>
        <v>1.8042857142857143</v>
      </c>
      <c r="O51" s="16">
        <f>MIN(0.25+(INDEX('Stat Boosts'!$D$2:$D$192,O$1-9)-10)*$C51,10.22)</f>
        <v>1.9185714285714286</v>
      </c>
      <c r="P51" s="16">
        <f>MIN(0.25+(INDEX('Stat Boosts'!$D$2:$D$192,P$1-9)-10)*$C51,10.22)</f>
        <v>2.1014285714285714</v>
      </c>
      <c r="Q51" s="16">
        <f>MIN(0.25+(INDEX('Stat Boosts'!$D$2:$D$192,Q$1-9)-10)*$C51,10.22)</f>
        <v>2.2842857142857143</v>
      </c>
      <c r="R51" s="16">
        <f>MIN(0.25+(INDEX('Stat Boosts'!$D$2:$D$192,R$1-9)-10)*$C51,10.22)</f>
        <v>2.4671428571428571</v>
      </c>
    </row>
    <row r="52" spans="1:18">
      <c r="A52" s="9">
        <v>51</v>
      </c>
      <c r="B52" s="16">
        <f t="shared" si="0"/>
        <v>27.75</v>
      </c>
      <c r="C52" s="16">
        <f t="shared" si="1"/>
        <v>2.2535211267605635E-2</v>
      </c>
      <c r="E52" s="16">
        <f>MIN(0.25+(INDEX('Stat Boosts'!$D$2:$D$192,E$1-9)-10)*$C52,10.22)</f>
        <v>0.25</v>
      </c>
      <c r="F52" s="16">
        <f>MIN(0.25+(INDEX('Stat Boosts'!$D$2:$D$192,F$1-9)-10)*$C52,10.22)</f>
        <v>0.40774647887323945</v>
      </c>
      <c r="G52" s="16">
        <f>MIN(0.25+(INDEX('Stat Boosts'!$D$2:$D$192,G$1-9)-10)*$C52,10.22)</f>
        <v>0.5654929577464789</v>
      </c>
      <c r="H52" s="16">
        <f>MIN(0.25+(INDEX('Stat Boosts'!$D$2:$D$192,H$1-9)-10)*$C52,10.22)</f>
        <v>0.72323943661971835</v>
      </c>
      <c r="I52" s="16">
        <f>MIN(0.25+(INDEX('Stat Boosts'!$D$2:$D$192,I$1-9)-10)*$C52,10.22)</f>
        <v>0.85845070422535219</v>
      </c>
      <c r="J52" s="16">
        <f>MIN(0.25+(INDEX('Stat Boosts'!$D$2:$D$192,J$1-9)-10)*$C52,10.22)</f>
        <v>0.99366197183098592</v>
      </c>
      <c r="K52" s="16">
        <f>MIN(0.25+(INDEX('Stat Boosts'!$D$2:$D$192,K$1-9)-10)*$C52,10.22)</f>
        <v>1.3091549295774649</v>
      </c>
      <c r="L52" s="16">
        <f>MIN(0.25+(INDEX('Stat Boosts'!$D$2:$D$192,L$1-9)-10)*$C52,10.22)</f>
        <v>1.421830985915493</v>
      </c>
      <c r="M52" s="16">
        <f>MIN(0.25+(INDEX('Stat Boosts'!$D$2:$D$192,M$1-9)-10)*$C52,10.22)</f>
        <v>1.5795774647887324</v>
      </c>
      <c r="N52" s="16">
        <f>MIN(0.25+(INDEX('Stat Boosts'!$D$2:$D$192,N$1-9)-10)*$C52,10.22)</f>
        <v>1.7823943661971833</v>
      </c>
      <c r="O52" s="16">
        <f>MIN(0.25+(INDEX('Stat Boosts'!$D$2:$D$192,O$1-9)-10)*$C52,10.22)</f>
        <v>1.8950704225352113</v>
      </c>
      <c r="P52" s="16">
        <f>MIN(0.25+(INDEX('Stat Boosts'!$D$2:$D$192,P$1-9)-10)*$C52,10.22)</f>
        <v>2.0753521126760566</v>
      </c>
      <c r="Q52" s="16">
        <f>MIN(0.25+(INDEX('Stat Boosts'!$D$2:$D$192,Q$1-9)-10)*$C52,10.22)</f>
        <v>2.2556338028169014</v>
      </c>
      <c r="R52" s="16">
        <f>MIN(0.25+(INDEX('Stat Boosts'!$D$2:$D$192,R$1-9)-10)*$C52,10.22)</f>
        <v>2.4359154929577467</v>
      </c>
    </row>
    <row r="53" spans="1:18">
      <c r="A53" s="9">
        <v>52</v>
      </c>
      <c r="B53" s="16">
        <f t="shared" si="0"/>
        <v>28</v>
      </c>
      <c r="C53" s="16">
        <f t="shared" si="1"/>
        <v>2.2222222222222223E-2</v>
      </c>
      <c r="E53" s="16">
        <f>MIN(0.25+(INDEX('Stat Boosts'!$D$2:$D$192,E$1-9)-10)*$C53,10.22)</f>
        <v>0.25</v>
      </c>
      <c r="F53" s="16">
        <f>MIN(0.25+(INDEX('Stat Boosts'!$D$2:$D$192,F$1-9)-10)*$C53,10.22)</f>
        <v>0.40555555555555556</v>
      </c>
      <c r="G53" s="16">
        <f>MIN(0.25+(INDEX('Stat Boosts'!$D$2:$D$192,G$1-9)-10)*$C53,10.22)</f>
        <v>0.56111111111111112</v>
      </c>
      <c r="H53" s="16">
        <f>MIN(0.25+(INDEX('Stat Boosts'!$D$2:$D$192,H$1-9)-10)*$C53,10.22)</f>
        <v>0.71666666666666667</v>
      </c>
      <c r="I53" s="16">
        <f>MIN(0.25+(INDEX('Stat Boosts'!$D$2:$D$192,I$1-9)-10)*$C53,10.22)</f>
        <v>0.85</v>
      </c>
      <c r="J53" s="16">
        <f>MIN(0.25+(INDEX('Stat Boosts'!$D$2:$D$192,J$1-9)-10)*$C53,10.22)</f>
        <v>0.98333333333333339</v>
      </c>
      <c r="K53" s="16">
        <f>MIN(0.25+(INDEX('Stat Boosts'!$D$2:$D$192,K$1-9)-10)*$C53,10.22)</f>
        <v>1.2944444444444445</v>
      </c>
      <c r="L53" s="16">
        <f>MIN(0.25+(INDEX('Stat Boosts'!$D$2:$D$192,L$1-9)-10)*$C53,10.22)</f>
        <v>1.4055555555555557</v>
      </c>
      <c r="M53" s="16">
        <f>MIN(0.25+(INDEX('Stat Boosts'!$D$2:$D$192,M$1-9)-10)*$C53,10.22)</f>
        <v>1.5611111111111111</v>
      </c>
      <c r="N53" s="16">
        <f>MIN(0.25+(INDEX('Stat Boosts'!$D$2:$D$192,N$1-9)-10)*$C53,10.22)</f>
        <v>1.7611111111111111</v>
      </c>
      <c r="O53" s="16">
        <f>MIN(0.25+(INDEX('Stat Boosts'!$D$2:$D$192,O$1-9)-10)*$C53,10.22)</f>
        <v>1.8722222222222222</v>
      </c>
      <c r="P53" s="16">
        <f>MIN(0.25+(INDEX('Stat Boosts'!$D$2:$D$192,P$1-9)-10)*$C53,10.22)</f>
        <v>2.0499999999999998</v>
      </c>
      <c r="Q53" s="16">
        <f>MIN(0.25+(INDEX('Stat Boosts'!$D$2:$D$192,Q$1-9)-10)*$C53,10.22)</f>
        <v>2.2277777777777779</v>
      </c>
      <c r="R53" s="16">
        <f>MIN(0.25+(INDEX('Stat Boosts'!$D$2:$D$192,R$1-9)-10)*$C53,10.22)</f>
        <v>2.4055555555555554</v>
      </c>
    </row>
    <row r="54" spans="1:18">
      <c r="A54" s="9">
        <v>53</v>
      </c>
      <c r="B54" s="16">
        <f t="shared" si="0"/>
        <v>28.25</v>
      </c>
      <c r="C54" s="16">
        <f t="shared" si="1"/>
        <v>2.1917808219178082E-2</v>
      </c>
      <c r="E54" s="16">
        <f>MIN(0.25+(INDEX('Stat Boosts'!$D$2:$D$192,E$1-9)-10)*$C54,10.22)</f>
        <v>0.25</v>
      </c>
      <c r="F54" s="16">
        <f>MIN(0.25+(INDEX('Stat Boosts'!$D$2:$D$192,F$1-9)-10)*$C54,10.22)</f>
        <v>0.40342465753424661</v>
      </c>
      <c r="G54" s="16">
        <f>MIN(0.25+(INDEX('Stat Boosts'!$D$2:$D$192,G$1-9)-10)*$C54,10.22)</f>
        <v>0.55684931506849322</v>
      </c>
      <c r="H54" s="16">
        <f>MIN(0.25+(INDEX('Stat Boosts'!$D$2:$D$192,H$1-9)-10)*$C54,10.22)</f>
        <v>0.71027397260273972</v>
      </c>
      <c r="I54" s="16">
        <f>MIN(0.25+(INDEX('Stat Boosts'!$D$2:$D$192,I$1-9)-10)*$C54,10.22)</f>
        <v>0.84178082191780823</v>
      </c>
      <c r="J54" s="16">
        <f>MIN(0.25+(INDEX('Stat Boosts'!$D$2:$D$192,J$1-9)-10)*$C54,10.22)</f>
        <v>0.97328767123287674</v>
      </c>
      <c r="K54" s="16">
        <f>MIN(0.25+(INDEX('Stat Boosts'!$D$2:$D$192,K$1-9)-10)*$C54,10.22)</f>
        <v>1.2801369863013699</v>
      </c>
      <c r="L54" s="16">
        <f>MIN(0.25+(INDEX('Stat Boosts'!$D$2:$D$192,L$1-9)-10)*$C54,10.22)</f>
        <v>1.3897260273972603</v>
      </c>
      <c r="M54" s="16">
        <f>MIN(0.25+(INDEX('Stat Boosts'!$D$2:$D$192,M$1-9)-10)*$C54,10.22)</f>
        <v>1.5431506849315069</v>
      </c>
      <c r="N54" s="16">
        <f>MIN(0.25+(INDEX('Stat Boosts'!$D$2:$D$192,N$1-9)-10)*$C54,10.22)</f>
        <v>1.7404109589041097</v>
      </c>
      <c r="O54" s="16">
        <f>MIN(0.25+(INDEX('Stat Boosts'!$D$2:$D$192,O$1-9)-10)*$C54,10.22)</f>
        <v>1.85</v>
      </c>
      <c r="P54" s="16">
        <f>MIN(0.25+(INDEX('Stat Boosts'!$D$2:$D$192,P$1-9)-10)*$C54,10.22)</f>
        <v>2.0253424657534245</v>
      </c>
      <c r="Q54" s="16">
        <f>MIN(0.25+(INDEX('Stat Boosts'!$D$2:$D$192,Q$1-9)-10)*$C54,10.22)</f>
        <v>2.2006849315068493</v>
      </c>
      <c r="R54" s="16">
        <f>MIN(0.25+(INDEX('Stat Boosts'!$D$2:$D$192,R$1-9)-10)*$C54,10.22)</f>
        <v>2.3760273972602741</v>
      </c>
    </row>
    <row r="55" spans="1:18">
      <c r="A55" s="9">
        <v>54</v>
      </c>
      <c r="B55" s="16">
        <f t="shared" si="0"/>
        <v>28.5</v>
      </c>
      <c r="C55" s="16">
        <f t="shared" si="1"/>
        <v>2.1621621621621623E-2</v>
      </c>
      <c r="E55" s="16">
        <f>MIN(0.25+(INDEX('Stat Boosts'!$D$2:$D$192,E$1-9)-10)*$C55,10.22)</f>
        <v>0.25</v>
      </c>
      <c r="F55" s="16">
        <f>MIN(0.25+(INDEX('Stat Boosts'!$D$2:$D$192,F$1-9)-10)*$C55,10.22)</f>
        <v>0.40135135135135136</v>
      </c>
      <c r="G55" s="16">
        <f>MIN(0.25+(INDEX('Stat Boosts'!$D$2:$D$192,G$1-9)-10)*$C55,10.22)</f>
        <v>0.55270270270270272</v>
      </c>
      <c r="H55" s="16">
        <f>MIN(0.25+(INDEX('Stat Boosts'!$D$2:$D$192,H$1-9)-10)*$C55,10.22)</f>
        <v>0.70405405405405408</v>
      </c>
      <c r="I55" s="16">
        <f>MIN(0.25+(INDEX('Stat Boosts'!$D$2:$D$192,I$1-9)-10)*$C55,10.22)</f>
        <v>0.83378378378378382</v>
      </c>
      <c r="J55" s="16">
        <f>MIN(0.25+(INDEX('Stat Boosts'!$D$2:$D$192,J$1-9)-10)*$C55,10.22)</f>
        <v>0.96351351351351355</v>
      </c>
      <c r="K55" s="16">
        <f>MIN(0.25+(INDEX('Stat Boosts'!$D$2:$D$192,K$1-9)-10)*$C55,10.22)</f>
        <v>1.2662162162162163</v>
      </c>
      <c r="L55" s="16">
        <f>MIN(0.25+(INDEX('Stat Boosts'!$D$2:$D$192,L$1-9)-10)*$C55,10.22)</f>
        <v>1.3743243243243244</v>
      </c>
      <c r="M55" s="16">
        <f>MIN(0.25+(INDEX('Stat Boosts'!$D$2:$D$192,M$1-9)-10)*$C55,10.22)</f>
        <v>1.5256756756756757</v>
      </c>
      <c r="N55" s="16">
        <f>MIN(0.25+(INDEX('Stat Boosts'!$D$2:$D$192,N$1-9)-10)*$C55,10.22)</f>
        <v>1.7202702702702704</v>
      </c>
      <c r="O55" s="16">
        <f>MIN(0.25+(INDEX('Stat Boosts'!$D$2:$D$192,O$1-9)-10)*$C55,10.22)</f>
        <v>1.8283783783783785</v>
      </c>
      <c r="P55" s="16">
        <f>MIN(0.25+(INDEX('Stat Boosts'!$D$2:$D$192,P$1-9)-10)*$C55,10.22)</f>
        <v>2.0013513513513512</v>
      </c>
      <c r="Q55" s="16">
        <f>MIN(0.25+(INDEX('Stat Boosts'!$D$2:$D$192,Q$1-9)-10)*$C55,10.22)</f>
        <v>2.1743243243243242</v>
      </c>
      <c r="R55" s="16">
        <f>MIN(0.25+(INDEX('Stat Boosts'!$D$2:$D$192,R$1-9)-10)*$C55,10.22)</f>
        <v>2.3472972972972972</v>
      </c>
    </row>
    <row r="56" spans="1:18">
      <c r="A56" s="9">
        <v>55</v>
      </c>
      <c r="B56" s="16">
        <f t="shared" si="0"/>
        <v>28.75</v>
      </c>
      <c r="C56" s="16">
        <f t="shared" si="1"/>
        <v>2.1333333333333336E-2</v>
      </c>
      <c r="E56" s="16">
        <f>MIN(0.25+(INDEX('Stat Boosts'!$D$2:$D$192,E$1-9)-10)*$C56,10.22)</f>
        <v>0.25</v>
      </c>
      <c r="F56" s="16">
        <f>MIN(0.25+(INDEX('Stat Boosts'!$D$2:$D$192,F$1-9)-10)*$C56,10.22)</f>
        <v>0.39933333333333332</v>
      </c>
      <c r="G56" s="16">
        <f>MIN(0.25+(INDEX('Stat Boosts'!$D$2:$D$192,G$1-9)-10)*$C56,10.22)</f>
        <v>0.54866666666666664</v>
      </c>
      <c r="H56" s="16">
        <f>MIN(0.25+(INDEX('Stat Boosts'!$D$2:$D$192,H$1-9)-10)*$C56,10.22)</f>
        <v>0.69800000000000006</v>
      </c>
      <c r="I56" s="16">
        <f>MIN(0.25+(INDEX('Stat Boosts'!$D$2:$D$192,I$1-9)-10)*$C56,10.22)</f>
        <v>0.82600000000000007</v>
      </c>
      <c r="J56" s="16">
        <f>MIN(0.25+(INDEX('Stat Boosts'!$D$2:$D$192,J$1-9)-10)*$C56,10.22)</f>
        <v>0.95400000000000007</v>
      </c>
      <c r="K56" s="16">
        <f>MIN(0.25+(INDEX('Stat Boosts'!$D$2:$D$192,K$1-9)-10)*$C56,10.22)</f>
        <v>1.2526666666666668</v>
      </c>
      <c r="L56" s="16">
        <f>MIN(0.25+(INDEX('Stat Boosts'!$D$2:$D$192,L$1-9)-10)*$C56,10.22)</f>
        <v>1.3593333333333335</v>
      </c>
      <c r="M56" s="16">
        <f>MIN(0.25+(INDEX('Stat Boosts'!$D$2:$D$192,M$1-9)-10)*$C56,10.22)</f>
        <v>1.5086666666666668</v>
      </c>
      <c r="N56" s="16">
        <f>MIN(0.25+(INDEX('Stat Boosts'!$D$2:$D$192,N$1-9)-10)*$C56,10.22)</f>
        <v>1.7006666666666668</v>
      </c>
      <c r="O56" s="16">
        <f>MIN(0.25+(INDEX('Stat Boosts'!$D$2:$D$192,O$1-9)-10)*$C56,10.22)</f>
        <v>1.8073333333333335</v>
      </c>
      <c r="P56" s="16">
        <f>MIN(0.25+(INDEX('Stat Boosts'!$D$2:$D$192,P$1-9)-10)*$C56,10.22)</f>
        <v>1.9780000000000002</v>
      </c>
      <c r="Q56" s="16">
        <f>MIN(0.25+(INDEX('Stat Boosts'!$D$2:$D$192,Q$1-9)-10)*$C56,10.22)</f>
        <v>2.1486666666666672</v>
      </c>
      <c r="R56" s="16">
        <f>MIN(0.25+(INDEX('Stat Boosts'!$D$2:$D$192,R$1-9)-10)*$C56,10.22)</f>
        <v>2.3193333333333337</v>
      </c>
    </row>
    <row r="57" spans="1:18">
      <c r="A57" s="9">
        <v>56</v>
      </c>
      <c r="B57" s="16">
        <f t="shared" si="0"/>
        <v>29</v>
      </c>
      <c r="C57" s="16">
        <f t="shared" si="1"/>
        <v>2.1052631578947368E-2</v>
      </c>
      <c r="E57" s="16">
        <f>MIN(0.25+(INDEX('Stat Boosts'!$D$2:$D$192,E$1-9)-10)*$C57,10.22)</f>
        <v>0.25</v>
      </c>
      <c r="F57" s="16">
        <f>MIN(0.25+(INDEX('Stat Boosts'!$D$2:$D$192,F$1-9)-10)*$C57,10.22)</f>
        <v>0.39736842105263159</v>
      </c>
      <c r="G57" s="16">
        <f>MIN(0.25+(INDEX('Stat Boosts'!$D$2:$D$192,G$1-9)-10)*$C57,10.22)</f>
        <v>0.54473684210526319</v>
      </c>
      <c r="H57" s="16">
        <f>MIN(0.25+(INDEX('Stat Boosts'!$D$2:$D$192,H$1-9)-10)*$C57,10.22)</f>
        <v>0.69210526315789478</v>
      </c>
      <c r="I57" s="16">
        <f>MIN(0.25+(INDEX('Stat Boosts'!$D$2:$D$192,I$1-9)-10)*$C57,10.22)</f>
        <v>0.81842105263157894</v>
      </c>
      <c r="J57" s="16">
        <f>MIN(0.25+(INDEX('Stat Boosts'!$D$2:$D$192,J$1-9)-10)*$C57,10.22)</f>
        <v>0.9447368421052631</v>
      </c>
      <c r="K57" s="16">
        <f>MIN(0.25+(INDEX('Stat Boosts'!$D$2:$D$192,K$1-9)-10)*$C57,10.22)</f>
        <v>1.2394736842105263</v>
      </c>
      <c r="L57" s="16">
        <f>MIN(0.25+(INDEX('Stat Boosts'!$D$2:$D$192,L$1-9)-10)*$C57,10.22)</f>
        <v>1.3447368421052632</v>
      </c>
      <c r="M57" s="16">
        <f>MIN(0.25+(INDEX('Stat Boosts'!$D$2:$D$192,M$1-9)-10)*$C57,10.22)</f>
        <v>1.4921052631578946</v>
      </c>
      <c r="N57" s="16">
        <f>MIN(0.25+(INDEX('Stat Boosts'!$D$2:$D$192,N$1-9)-10)*$C57,10.22)</f>
        <v>1.6815789473684211</v>
      </c>
      <c r="O57" s="16">
        <f>MIN(0.25+(INDEX('Stat Boosts'!$D$2:$D$192,O$1-9)-10)*$C57,10.22)</f>
        <v>1.7868421052631578</v>
      </c>
      <c r="P57" s="16">
        <f>MIN(0.25+(INDEX('Stat Boosts'!$D$2:$D$192,P$1-9)-10)*$C57,10.22)</f>
        <v>1.9552631578947368</v>
      </c>
      <c r="Q57" s="16">
        <f>MIN(0.25+(INDEX('Stat Boosts'!$D$2:$D$192,Q$1-9)-10)*$C57,10.22)</f>
        <v>2.1236842105263158</v>
      </c>
      <c r="R57" s="16">
        <f>MIN(0.25+(INDEX('Stat Boosts'!$D$2:$D$192,R$1-9)-10)*$C57,10.22)</f>
        <v>2.2921052631578949</v>
      </c>
    </row>
    <row r="58" spans="1:18">
      <c r="A58" s="9">
        <v>57</v>
      </c>
      <c r="B58" s="16">
        <f t="shared" si="0"/>
        <v>29.25</v>
      </c>
      <c r="C58" s="16">
        <f t="shared" si="1"/>
        <v>2.0779220779220779E-2</v>
      </c>
      <c r="E58" s="16">
        <f>MIN(0.25+(INDEX('Stat Boosts'!$D$2:$D$192,E$1-9)-10)*$C58,10.22)</f>
        <v>0.25</v>
      </c>
      <c r="F58" s="16">
        <f>MIN(0.25+(INDEX('Stat Boosts'!$D$2:$D$192,F$1-9)-10)*$C58,10.22)</f>
        <v>0.39545454545454545</v>
      </c>
      <c r="G58" s="16">
        <f>MIN(0.25+(INDEX('Stat Boosts'!$D$2:$D$192,G$1-9)-10)*$C58,10.22)</f>
        <v>0.54090909090909089</v>
      </c>
      <c r="H58" s="16">
        <f>MIN(0.25+(INDEX('Stat Boosts'!$D$2:$D$192,H$1-9)-10)*$C58,10.22)</f>
        <v>0.68636363636363629</v>
      </c>
      <c r="I58" s="16">
        <f>MIN(0.25+(INDEX('Stat Boosts'!$D$2:$D$192,I$1-9)-10)*$C58,10.22)</f>
        <v>0.811038961038961</v>
      </c>
      <c r="J58" s="16">
        <f>MIN(0.25+(INDEX('Stat Boosts'!$D$2:$D$192,J$1-9)-10)*$C58,10.22)</f>
        <v>0.93571428571428572</v>
      </c>
      <c r="K58" s="16">
        <f>MIN(0.25+(INDEX('Stat Boosts'!$D$2:$D$192,K$1-9)-10)*$C58,10.22)</f>
        <v>1.2266233766233765</v>
      </c>
      <c r="L58" s="16">
        <f>MIN(0.25+(INDEX('Stat Boosts'!$D$2:$D$192,L$1-9)-10)*$C58,10.22)</f>
        <v>1.3305194805194804</v>
      </c>
      <c r="M58" s="16">
        <f>MIN(0.25+(INDEX('Stat Boosts'!$D$2:$D$192,M$1-9)-10)*$C58,10.22)</f>
        <v>1.4759740259740259</v>
      </c>
      <c r="N58" s="16">
        <f>MIN(0.25+(INDEX('Stat Boosts'!$D$2:$D$192,N$1-9)-10)*$C58,10.22)</f>
        <v>1.662987012987013</v>
      </c>
      <c r="O58" s="16">
        <f>MIN(0.25+(INDEX('Stat Boosts'!$D$2:$D$192,O$1-9)-10)*$C58,10.22)</f>
        <v>1.7668831168831169</v>
      </c>
      <c r="P58" s="16">
        <f>MIN(0.25+(INDEX('Stat Boosts'!$D$2:$D$192,P$1-9)-10)*$C58,10.22)</f>
        <v>1.933116883116883</v>
      </c>
      <c r="Q58" s="16">
        <f>MIN(0.25+(INDEX('Stat Boosts'!$D$2:$D$192,Q$1-9)-10)*$C58,10.22)</f>
        <v>2.0993506493506491</v>
      </c>
      <c r="R58" s="16">
        <f>MIN(0.25+(INDEX('Stat Boosts'!$D$2:$D$192,R$1-9)-10)*$C58,10.22)</f>
        <v>2.2655844155844154</v>
      </c>
    </row>
    <row r="59" spans="1:18">
      <c r="A59" s="9">
        <v>58</v>
      </c>
      <c r="B59" s="16">
        <f t="shared" si="0"/>
        <v>29.5</v>
      </c>
      <c r="C59" s="16">
        <f t="shared" si="1"/>
        <v>2.0512820512820513E-2</v>
      </c>
      <c r="E59" s="16">
        <f>MIN(0.25+(INDEX('Stat Boosts'!$D$2:$D$192,E$1-9)-10)*$C59,10.22)</f>
        <v>0.25</v>
      </c>
      <c r="F59" s="16">
        <f>MIN(0.25+(INDEX('Stat Boosts'!$D$2:$D$192,F$1-9)-10)*$C59,10.22)</f>
        <v>0.39358974358974358</v>
      </c>
      <c r="G59" s="16">
        <f>MIN(0.25+(INDEX('Stat Boosts'!$D$2:$D$192,G$1-9)-10)*$C59,10.22)</f>
        <v>0.53717948717948716</v>
      </c>
      <c r="H59" s="16">
        <f>MIN(0.25+(INDEX('Stat Boosts'!$D$2:$D$192,H$1-9)-10)*$C59,10.22)</f>
        <v>0.68076923076923079</v>
      </c>
      <c r="I59" s="16">
        <f>MIN(0.25+(INDEX('Stat Boosts'!$D$2:$D$192,I$1-9)-10)*$C59,10.22)</f>
        <v>0.80384615384615388</v>
      </c>
      <c r="J59" s="16">
        <f>MIN(0.25+(INDEX('Stat Boosts'!$D$2:$D$192,J$1-9)-10)*$C59,10.22)</f>
        <v>0.92692307692307696</v>
      </c>
      <c r="K59" s="16">
        <f>MIN(0.25+(INDEX('Stat Boosts'!$D$2:$D$192,K$1-9)-10)*$C59,10.22)</f>
        <v>1.2141025641025642</v>
      </c>
      <c r="L59" s="16">
        <f>MIN(0.25+(INDEX('Stat Boosts'!$D$2:$D$192,L$1-9)-10)*$C59,10.22)</f>
        <v>1.3166666666666667</v>
      </c>
      <c r="M59" s="16">
        <f>MIN(0.25+(INDEX('Stat Boosts'!$D$2:$D$192,M$1-9)-10)*$C59,10.22)</f>
        <v>1.4602564102564102</v>
      </c>
      <c r="N59" s="16">
        <f>MIN(0.25+(INDEX('Stat Boosts'!$D$2:$D$192,N$1-9)-10)*$C59,10.22)</f>
        <v>1.6448717948717948</v>
      </c>
      <c r="O59" s="16">
        <f>MIN(0.25+(INDEX('Stat Boosts'!$D$2:$D$192,O$1-9)-10)*$C59,10.22)</f>
        <v>1.7474358974358974</v>
      </c>
      <c r="P59" s="16">
        <f>MIN(0.25+(INDEX('Stat Boosts'!$D$2:$D$192,P$1-9)-10)*$C59,10.22)</f>
        <v>1.9115384615384616</v>
      </c>
      <c r="Q59" s="16">
        <f>MIN(0.25+(INDEX('Stat Boosts'!$D$2:$D$192,Q$1-9)-10)*$C59,10.22)</f>
        <v>2.0756410256410254</v>
      </c>
      <c r="R59" s="16">
        <f>MIN(0.25+(INDEX('Stat Boosts'!$D$2:$D$192,R$1-9)-10)*$C59,10.22)</f>
        <v>2.2397435897435898</v>
      </c>
    </row>
    <row r="60" spans="1:18">
      <c r="A60" s="9">
        <v>59</v>
      </c>
      <c r="B60" s="16">
        <f t="shared" si="0"/>
        <v>29.75</v>
      </c>
      <c r="C60" s="16">
        <f t="shared" si="1"/>
        <v>2.0253164556962026E-2</v>
      </c>
      <c r="E60" s="16">
        <f>MIN(0.25+(INDEX('Stat Boosts'!$D$2:$D$192,E$1-9)-10)*$C60,10.22)</f>
        <v>0.25</v>
      </c>
      <c r="F60" s="16">
        <f>MIN(0.25+(INDEX('Stat Boosts'!$D$2:$D$192,F$1-9)-10)*$C60,10.22)</f>
        <v>0.39177215189873416</v>
      </c>
      <c r="G60" s="16">
        <f>MIN(0.25+(INDEX('Stat Boosts'!$D$2:$D$192,G$1-9)-10)*$C60,10.22)</f>
        <v>0.53354430379746831</v>
      </c>
      <c r="H60" s="16">
        <f>MIN(0.25+(INDEX('Stat Boosts'!$D$2:$D$192,H$1-9)-10)*$C60,10.22)</f>
        <v>0.67531645569620258</v>
      </c>
      <c r="I60" s="16">
        <f>MIN(0.25+(INDEX('Stat Boosts'!$D$2:$D$192,I$1-9)-10)*$C60,10.22)</f>
        <v>0.79683544303797471</v>
      </c>
      <c r="J60" s="16">
        <f>MIN(0.25+(INDEX('Stat Boosts'!$D$2:$D$192,J$1-9)-10)*$C60,10.22)</f>
        <v>0.91835443037974684</v>
      </c>
      <c r="K60" s="16">
        <f>MIN(0.25+(INDEX('Stat Boosts'!$D$2:$D$192,K$1-9)-10)*$C60,10.22)</f>
        <v>1.2018987341772152</v>
      </c>
      <c r="L60" s="16">
        <f>MIN(0.25+(INDEX('Stat Boosts'!$D$2:$D$192,L$1-9)-10)*$C60,10.22)</f>
        <v>1.3031645569620254</v>
      </c>
      <c r="M60" s="16">
        <f>MIN(0.25+(INDEX('Stat Boosts'!$D$2:$D$192,M$1-9)-10)*$C60,10.22)</f>
        <v>1.4449367088607594</v>
      </c>
      <c r="N60" s="16">
        <f>MIN(0.25+(INDEX('Stat Boosts'!$D$2:$D$192,N$1-9)-10)*$C60,10.22)</f>
        <v>1.6272151898734177</v>
      </c>
      <c r="O60" s="16">
        <f>MIN(0.25+(INDEX('Stat Boosts'!$D$2:$D$192,O$1-9)-10)*$C60,10.22)</f>
        <v>1.728481012658228</v>
      </c>
      <c r="P60" s="16">
        <f>MIN(0.25+(INDEX('Stat Boosts'!$D$2:$D$192,P$1-9)-10)*$C60,10.22)</f>
        <v>1.8905063291139241</v>
      </c>
      <c r="Q60" s="16">
        <f>MIN(0.25+(INDEX('Stat Boosts'!$D$2:$D$192,Q$1-9)-10)*$C60,10.22)</f>
        <v>2.0525316455696201</v>
      </c>
      <c r="R60" s="16">
        <f>MIN(0.25+(INDEX('Stat Boosts'!$D$2:$D$192,R$1-9)-10)*$C60,10.22)</f>
        <v>2.2145569620253163</v>
      </c>
    </row>
    <row r="61" spans="1:18">
      <c r="A61" s="9">
        <v>60</v>
      </c>
      <c r="B61" s="16">
        <f t="shared" si="0"/>
        <v>30</v>
      </c>
      <c r="C61" s="16">
        <f t="shared" si="1"/>
        <v>0.02</v>
      </c>
      <c r="E61" s="16">
        <f>MIN(0.25+(INDEX('Stat Boosts'!$D$2:$D$192,E$1-9)-10)*$C61,10.22)</f>
        <v>0.25</v>
      </c>
      <c r="F61" s="16">
        <f>MIN(0.25+(INDEX('Stat Boosts'!$D$2:$D$192,F$1-9)-10)*$C61,10.22)</f>
        <v>0.39</v>
      </c>
      <c r="G61" s="16">
        <f>MIN(0.25+(INDEX('Stat Boosts'!$D$2:$D$192,G$1-9)-10)*$C61,10.22)</f>
        <v>0.53</v>
      </c>
      <c r="H61" s="16">
        <f>MIN(0.25+(INDEX('Stat Boosts'!$D$2:$D$192,H$1-9)-10)*$C61,10.22)</f>
        <v>0.66999999999999993</v>
      </c>
      <c r="I61" s="16">
        <f>MIN(0.25+(INDEX('Stat Boosts'!$D$2:$D$192,I$1-9)-10)*$C61,10.22)</f>
        <v>0.79</v>
      </c>
      <c r="J61" s="16">
        <f>MIN(0.25+(INDEX('Stat Boosts'!$D$2:$D$192,J$1-9)-10)*$C61,10.22)</f>
        <v>0.91</v>
      </c>
      <c r="K61" s="16">
        <f>MIN(0.25+(INDEX('Stat Boosts'!$D$2:$D$192,K$1-9)-10)*$C61,10.22)</f>
        <v>1.19</v>
      </c>
      <c r="L61" s="16">
        <f>MIN(0.25+(INDEX('Stat Boosts'!$D$2:$D$192,L$1-9)-10)*$C61,10.22)</f>
        <v>1.29</v>
      </c>
      <c r="M61" s="16">
        <f>MIN(0.25+(INDEX('Stat Boosts'!$D$2:$D$192,M$1-9)-10)*$C61,10.22)</f>
        <v>1.43</v>
      </c>
      <c r="N61" s="16">
        <f>MIN(0.25+(INDEX('Stat Boosts'!$D$2:$D$192,N$1-9)-10)*$C61,10.22)</f>
        <v>1.61</v>
      </c>
      <c r="O61" s="16">
        <f>MIN(0.25+(INDEX('Stat Boosts'!$D$2:$D$192,O$1-9)-10)*$C61,10.22)</f>
        <v>1.71</v>
      </c>
      <c r="P61" s="16">
        <f>MIN(0.25+(INDEX('Stat Boosts'!$D$2:$D$192,P$1-9)-10)*$C61,10.22)</f>
        <v>1.87</v>
      </c>
      <c r="Q61" s="16">
        <f>MIN(0.25+(INDEX('Stat Boosts'!$D$2:$D$192,Q$1-9)-10)*$C61,10.22)</f>
        <v>2.0300000000000002</v>
      </c>
      <c r="R61" s="16">
        <f>MIN(0.25+(INDEX('Stat Boosts'!$D$2:$D$192,R$1-9)-10)*$C61,10.22)</f>
        <v>2.19</v>
      </c>
    </row>
    <row r="62" spans="1:18">
      <c r="A62" s="9">
        <v>61</v>
      </c>
      <c r="B62" s="16">
        <f t="shared" si="0"/>
        <v>30.25</v>
      </c>
      <c r="C62" s="16">
        <f t="shared" si="1"/>
        <v>1.9753086419753086E-2</v>
      </c>
      <c r="E62" s="16">
        <f>MIN(0.25+(INDEX('Stat Boosts'!$D$2:$D$192,E$1-9)-10)*$C62,10.22)</f>
        <v>0.25</v>
      </c>
      <c r="F62" s="16">
        <f>MIN(0.25+(INDEX('Stat Boosts'!$D$2:$D$192,F$1-9)-10)*$C62,10.22)</f>
        <v>0.38827160493827162</v>
      </c>
      <c r="G62" s="16">
        <f>MIN(0.25+(INDEX('Stat Boosts'!$D$2:$D$192,G$1-9)-10)*$C62,10.22)</f>
        <v>0.52654320987654324</v>
      </c>
      <c r="H62" s="16">
        <f>MIN(0.25+(INDEX('Stat Boosts'!$D$2:$D$192,H$1-9)-10)*$C62,10.22)</f>
        <v>0.66481481481481475</v>
      </c>
      <c r="I62" s="16">
        <f>MIN(0.25+(INDEX('Stat Boosts'!$D$2:$D$192,I$1-9)-10)*$C62,10.22)</f>
        <v>0.78333333333333333</v>
      </c>
      <c r="J62" s="16">
        <f>MIN(0.25+(INDEX('Stat Boosts'!$D$2:$D$192,J$1-9)-10)*$C62,10.22)</f>
        <v>0.90185185185185179</v>
      </c>
      <c r="K62" s="16">
        <f>MIN(0.25+(INDEX('Stat Boosts'!$D$2:$D$192,K$1-9)-10)*$C62,10.22)</f>
        <v>1.1783950617283949</v>
      </c>
      <c r="L62" s="16">
        <f>MIN(0.25+(INDEX('Stat Boosts'!$D$2:$D$192,L$1-9)-10)*$C62,10.22)</f>
        <v>1.2771604938271606</v>
      </c>
      <c r="M62" s="16">
        <f>MIN(0.25+(INDEX('Stat Boosts'!$D$2:$D$192,M$1-9)-10)*$C62,10.22)</f>
        <v>1.4154320987654321</v>
      </c>
      <c r="N62" s="16">
        <f>MIN(0.25+(INDEX('Stat Boosts'!$D$2:$D$192,N$1-9)-10)*$C62,10.22)</f>
        <v>1.5932098765432099</v>
      </c>
      <c r="O62" s="16">
        <f>MIN(0.25+(INDEX('Stat Boosts'!$D$2:$D$192,O$1-9)-10)*$C62,10.22)</f>
        <v>1.6919753086419753</v>
      </c>
      <c r="P62" s="16">
        <f>MIN(0.25+(INDEX('Stat Boosts'!$D$2:$D$192,P$1-9)-10)*$C62,10.22)</f>
        <v>1.8499999999999999</v>
      </c>
      <c r="Q62" s="16">
        <f>MIN(0.25+(INDEX('Stat Boosts'!$D$2:$D$192,Q$1-9)-10)*$C62,10.22)</f>
        <v>2.0080246913580249</v>
      </c>
      <c r="R62" s="16">
        <f>MIN(0.25+(INDEX('Stat Boosts'!$D$2:$D$192,R$1-9)-10)*$C62,10.22)</f>
        <v>2.1660493827160492</v>
      </c>
    </row>
    <row r="63" spans="1:18">
      <c r="A63" s="9">
        <v>62</v>
      </c>
      <c r="B63" s="16">
        <f t="shared" si="0"/>
        <v>30.5</v>
      </c>
      <c r="C63" s="16">
        <f t="shared" si="1"/>
        <v>1.9512195121951219E-2</v>
      </c>
      <c r="E63" s="16">
        <f>MIN(0.25+(INDEX('Stat Boosts'!$D$2:$D$192,E$1-9)-10)*$C63,10.22)</f>
        <v>0.25</v>
      </c>
      <c r="F63" s="16">
        <f>MIN(0.25+(INDEX('Stat Boosts'!$D$2:$D$192,F$1-9)-10)*$C63,10.22)</f>
        <v>0.38658536585365855</v>
      </c>
      <c r="G63" s="16">
        <f>MIN(0.25+(INDEX('Stat Boosts'!$D$2:$D$192,G$1-9)-10)*$C63,10.22)</f>
        <v>0.52317073170731709</v>
      </c>
      <c r="H63" s="16">
        <f>MIN(0.25+(INDEX('Stat Boosts'!$D$2:$D$192,H$1-9)-10)*$C63,10.22)</f>
        <v>0.65975609756097553</v>
      </c>
      <c r="I63" s="16">
        <f>MIN(0.25+(INDEX('Stat Boosts'!$D$2:$D$192,I$1-9)-10)*$C63,10.22)</f>
        <v>0.77682926829268295</v>
      </c>
      <c r="J63" s="16">
        <f>MIN(0.25+(INDEX('Stat Boosts'!$D$2:$D$192,J$1-9)-10)*$C63,10.22)</f>
        <v>0.89390243902439026</v>
      </c>
      <c r="K63" s="16">
        <f>MIN(0.25+(INDEX('Stat Boosts'!$D$2:$D$192,K$1-9)-10)*$C63,10.22)</f>
        <v>1.1670731707317072</v>
      </c>
      <c r="L63" s="16">
        <f>MIN(0.25+(INDEX('Stat Boosts'!$D$2:$D$192,L$1-9)-10)*$C63,10.22)</f>
        <v>1.2646341463414634</v>
      </c>
      <c r="M63" s="16">
        <f>MIN(0.25+(INDEX('Stat Boosts'!$D$2:$D$192,M$1-9)-10)*$C63,10.22)</f>
        <v>1.4012195121951219</v>
      </c>
      <c r="N63" s="16">
        <f>MIN(0.25+(INDEX('Stat Boosts'!$D$2:$D$192,N$1-9)-10)*$C63,10.22)</f>
        <v>1.576829268292683</v>
      </c>
      <c r="O63" s="16">
        <f>MIN(0.25+(INDEX('Stat Boosts'!$D$2:$D$192,O$1-9)-10)*$C63,10.22)</f>
        <v>1.674390243902439</v>
      </c>
      <c r="P63" s="16">
        <f>MIN(0.25+(INDEX('Stat Boosts'!$D$2:$D$192,P$1-9)-10)*$C63,10.22)</f>
        <v>1.8304878048780489</v>
      </c>
      <c r="Q63" s="16">
        <f>MIN(0.25+(INDEX('Stat Boosts'!$D$2:$D$192,Q$1-9)-10)*$C63,10.22)</f>
        <v>1.9865853658536585</v>
      </c>
      <c r="R63" s="16">
        <f>MIN(0.25+(INDEX('Stat Boosts'!$D$2:$D$192,R$1-9)-10)*$C63,10.22)</f>
        <v>2.1426829268292682</v>
      </c>
    </row>
    <row r="64" spans="1:18">
      <c r="A64" s="9">
        <v>63</v>
      </c>
      <c r="B64" s="16">
        <f t="shared" si="0"/>
        <v>30.75</v>
      </c>
      <c r="C64" s="16">
        <f t="shared" si="1"/>
        <v>1.9277108433734941E-2</v>
      </c>
      <c r="E64" s="16">
        <f>MIN(0.25+(INDEX('Stat Boosts'!$D$2:$D$192,E$1-9)-10)*$C64,10.22)</f>
        <v>0.25</v>
      </c>
      <c r="F64" s="16">
        <f>MIN(0.25+(INDEX('Stat Boosts'!$D$2:$D$192,F$1-9)-10)*$C64,10.22)</f>
        <v>0.38493975903614458</v>
      </c>
      <c r="G64" s="16">
        <f>MIN(0.25+(INDEX('Stat Boosts'!$D$2:$D$192,G$1-9)-10)*$C64,10.22)</f>
        <v>0.51987951807228916</v>
      </c>
      <c r="H64" s="16">
        <f>MIN(0.25+(INDEX('Stat Boosts'!$D$2:$D$192,H$1-9)-10)*$C64,10.22)</f>
        <v>0.65481927710843379</v>
      </c>
      <c r="I64" s="16">
        <f>MIN(0.25+(INDEX('Stat Boosts'!$D$2:$D$192,I$1-9)-10)*$C64,10.22)</f>
        <v>0.77048192771084345</v>
      </c>
      <c r="J64" s="16">
        <f>MIN(0.25+(INDEX('Stat Boosts'!$D$2:$D$192,J$1-9)-10)*$C64,10.22)</f>
        <v>0.88614457831325311</v>
      </c>
      <c r="K64" s="16">
        <f>MIN(0.25+(INDEX('Stat Boosts'!$D$2:$D$192,K$1-9)-10)*$C64,10.22)</f>
        <v>1.1560240963855422</v>
      </c>
      <c r="L64" s="16">
        <f>MIN(0.25+(INDEX('Stat Boosts'!$D$2:$D$192,L$1-9)-10)*$C64,10.22)</f>
        <v>1.2524096385542169</v>
      </c>
      <c r="M64" s="16">
        <f>MIN(0.25+(INDEX('Stat Boosts'!$D$2:$D$192,M$1-9)-10)*$C64,10.22)</f>
        <v>1.3873493975903615</v>
      </c>
      <c r="N64" s="16">
        <f>MIN(0.25+(INDEX('Stat Boosts'!$D$2:$D$192,N$1-9)-10)*$C64,10.22)</f>
        <v>1.5608433734939759</v>
      </c>
      <c r="O64" s="16">
        <f>MIN(0.25+(INDEX('Stat Boosts'!$D$2:$D$192,O$1-9)-10)*$C64,10.22)</f>
        <v>1.6572289156626507</v>
      </c>
      <c r="P64" s="16">
        <f>MIN(0.25+(INDEX('Stat Boosts'!$D$2:$D$192,P$1-9)-10)*$C64,10.22)</f>
        <v>1.8114457831325304</v>
      </c>
      <c r="Q64" s="16">
        <f>MIN(0.25+(INDEX('Stat Boosts'!$D$2:$D$192,Q$1-9)-10)*$C64,10.22)</f>
        <v>1.9656626506024097</v>
      </c>
      <c r="R64" s="16">
        <f>MIN(0.25+(INDEX('Stat Boosts'!$D$2:$D$192,R$1-9)-10)*$C64,10.22)</f>
        <v>2.1198795180722891</v>
      </c>
    </row>
    <row r="65" spans="1:18">
      <c r="A65" s="9">
        <v>64</v>
      </c>
      <c r="B65" s="16">
        <f t="shared" si="0"/>
        <v>31</v>
      </c>
      <c r="C65" s="16">
        <f t="shared" si="1"/>
        <v>1.9047619047619049E-2</v>
      </c>
      <c r="E65" s="16">
        <f>MIN(0.25+(INDEX('Stat Boosts'!$D$2:$D$192,E$1-9)-10)*$C65,10.22)</f>
        <v>0.25</v>
      </c>
      <c r="F65" s="16">
        <f>MIN(0.25+(INDEX('Stat Boosts'!$D$2:$D$192,F$1-9)-10)*$C65,10.22)</f>
        <v>0.38333333333333336</v>
      </c>
      <c r="G65" s="16">
        <f>MIN(0.25+(INDEX('Stat Boosts'!$D$2:$D$192,G$1-9)-10)*$C65,10.22)</f>
        <v>0.51666666666666672</v>
      </c>
      <c r="H65" s="16">
        <f>MIN(0.25+(INDEX('Stat Boosts'!$D$2:$D$192,H$1-9)-10)*$C65,10.22)</f>
        <v>0.65</v>
      </c>
      <c r="I65" s="16">
        <f>MIN(0.25+(INDEX('Stat Boosts'!$D$2:$D$192,I$1-9)-10)*$C65,10.22)</f>
        <v>0.76428571428571435</v>
      </c>
      <c r="J65" s="16">
        <f>MIN(0.25+(INDEX('Stat Boosts'!$D$2:$D$192,J$1-9)-10)*$C65,10.22)</f>
        <v>0.87857142857142867</v>
      </c>
      <c r="K65" s="16">
        <f>MIN(0.25+(INDEX('Stat Boosts'!$D$2:$D$192,K$1-9)-10)*$C65,10.22)</f>
        <v>1.1452380952380952</v>
      </c>
      <c r="L65" s="16">
        <f>MIN(0.25+(INDEX('Stat Boosts'!$D$2:$D$192,L$1-9)-10)*$C65,10.22)</f>
        <v>1.2404761904761905</v>
      </c>
      <c r="M65" s="16">
        <f>MIN(0.25+(INDEX('Stat Boosts'!$D$2:$D$192,M$1-9)-10)*$C65,10.22)</f>
        <v>1.3738095238095238</v>
      </c>
      <c r="N65" s="16">
        <f>MIN(0.25+(INDEX('Stat Boosts'!$D$2:$D$192,N$1-9)-10)*$C65,10.22)</f>
        <v>1.5452380952380953</v>
      </c>
      <c r="O65" s="16">
        <f>MIN(0.25+(INDEX('Stat Boosts'!$D$2:$D$192,O$1-9)-10)*$C65,10.22)</f>
        <v>1.6404761904761906</v>
      </c>
      <c r="P65" s="16">
        <f>MIN(0.25+(INDEX('Stat Boosts'!$D$2:$D$192,P$1-9)-10)*$C65,10.22)</f>
        <v>1.7928571428571429</v>
      </c>
      <c r="Q65" s="16">
        <f>MIN(0.25+(INDEX('Stat Boosts'!$D$2:$D$192,Q$1-9)-10)*$C65,10.22)</f>
        <v>1.9452380952380954</v>
      </c>
      <c r="R65" s="16">
        <f>MIN(0.25+(INDEX('Stat Boosts'!$D$2:$D$192,R$1-9)-10)*$C65,10.22)</f>
        <v>2.0976190476190477</v>
      </c>
    </row>
    <row r="66" spans="1:18">
      <c r="A66" s="9">
        <v>65</v>
      </c>
      <c r="B66" s="16">
        <f t="shared" si="0"/>
        <v>31.25</v>
      </c>
      <c r="C66" s="16">
        <f t="shared" si="1"/>
        <v>1.8823529411764708E-2</v>
      </c>
      <c r="E66" s="16">
        <f>MIN(0.25+(INDEX('Stat Boosts'!$D$2:$D$192,E$1-9)-10)*$C66,10.22)</f>
        <v>0.25</v>
      </c>
      <c r="F66" s="16">
        <f>MIN(0.25+(INDEX('Stat Boosts'!$D$2:$D$192,F$1-9)-10)*$C66,10.22)</f>
        <v>0.38176470588235295</v>
      </c>
      <c r="G66" s="16">
        <f>MIN(0.25+(INDEX('Stat Boosts'!$D$2:$D$192,G$1-9)-10)*$C66,10.22)</f>
        <v>0.5135294117647059</v>
      </c>
      <c r="H66" s="16">
        <f>MIN(0.25+(INDEX('Stat Boosts'!$D$2:$D$192,H$1-9)-10)*$C66,10.22)</f>
        <v>0.6452941176470588</v>
      </c>
      <c r="I66" s="16">
        <f>MIN(0.25+(INDEX('Stat Boosts'!$D$2:$D$192,I$1-9)-10)*$C66,10.22)</f>
        <v>0.75823529411764712</v>
      </c>
      <c r="J66" s="16">
        <f>MIN(0.25+(INDEX('Stat Boosts'!$D$2:$D$192,J$1-9)-10)*$C66,10.22)</f>
        <v>0.87117647058823533</v>
      </c>
      <c r="K66" s="16">
        <f>MIN(0.25+(INDEX('Stat Boosts'!$D$2:$D$192,K$1-9)-10)*$C66,10.22)</f>
        <v>1.1347058823529412</v>
      </c>
      <c r="L66" s="16">
        <f>MIN(0.25+(INDEX('Stat Boosts'!$D$2:$D$192,L$1-9)-10)*$C66,10.22)</f>
        <v>1.2288235294117649</v>
      </c>
      <c r="M66" s="16">
        <f>MIN(0.25+(INDEX('Stat Boosts'!$D$2:$D$192,M$1-9)-10)*$C66,10.22)</f>
        <v>1.3605882352941177</v>
      </c>
      <c r="N66" s="16">
        <f>MIN(0.25+(INDEX('Stat Boosts'!$D$2:$D$192,N$1-9)-10)*$C66,10.22)</f>
        <v>1.53</v>
      </c>
      <c r="O66" s="16">
        <f>MIN(0.25+(INDEX('Stat Boosts'!$D$2:$D$192,O$1-9)-10)*$C66,10.22)</f>
        <v>1.6241176470588237</v>
      </c>
      <c r="P66" s="16">
        <f>MIN(0.25+(INDEX('Stat Boosts'!$D$2:$D$192,P$1-9)-10)*$C66,10.22)</f>
        <v>1.7747058823529414</v>
      </c>
      <c r="Q66" s="16">
        <f>MIN(0.25+(INDEX('Stat Boosts'!$D$2:$D$192,Q$1-9)-10)*$C66,10.22)</f>
        <v>1.925294117647059</v>
      </c>
      <c r="R66" s="16">
        <f>MIN(0.25+(INDEX('Stat Boosts'!$D$2:$D$192,R$1-9)-10)*$C66,10.22)</f>
        <v>2.0758823529411767</v>
      </c>
    </row>
    <row r="67" spans="1:18">
      <c r="A67" s="9">
        <v>66</v>
      </c>
      <c r="B67" s="16">
        <f t="shared" ref="B67:B130" si="2">15+A67/4</f>
        <v>31.5</v>
      </c>
      <c r="C67" s="16">
        <f t="shared" ref="C67:C130" si="3">0.4/(B67-10)</f>
        <v>1.8604651162790697E-2</v>
      </c>
      <c r="E67" s="16">
        <f>MIN(0.25+(INDEX('Stat Boosts'!$D$2:$D$192,E$1-9)-10)*$C67,10.22)</f>
        <v>0.25</v>
      </c>
      <c r="F67" s="16">
        <f>MIN(0.25+(INDEX('Stat Boosts'!$D$2:$D$192,F$1-9)-10)*$C67,10.22)</f>
        <v>0.38023255813953488</v>
      </c>
      <c r="G67" s="16">
        <f>MIN(0.25+(INDEX('Stat Boosts'!$D$2:$D$192,G$1-9)-10)*$C67,10.22)</f>
        <v>0.51046511627906976</v>
      </c>
      <c r="H67" s="16">
        <f>MIN(0.25+(INDEX('Stat Boosts'!$D$2:$D$192,H$1-9)-10)*$C67,10.22)</f>
        <v>0.64069767441860459</v>
      </c>
      <c r="I67" s="16">
        <f>MIN(0.25+(INDEX('Stat Boosts'!$D$2:$D$192,I$1-9)-10)*$C67,10.22)</f>
        <v>0.75232558139534889</v>
      </c>
      <c r="J67" s="16">
        <f>MIN(0.25+(INDEX('Stat Boosts'!$D$2:$D$192,J$1-9)-10)*$C67,10.22)</f>
        <v>0.86395348837209296</v>
      </c>
      <c r="K67" s="16">
        <f>MIN(0.25+(INDEX('Stat Boosts'!$D$2:$D$192,K$1-9)-10)*$C67,10.22)</f>
        <v>1.1244186046511628</v>
      </c>
      <c r="L67" s="16">
        <f>MIN(0.25+(INDEX('Stat Boosts'!$D$2:$D$192,L$1-9)-10)*$C67,10.22)</f>
        <v>1.2174418604651163</v>
      </c>
      <c r="M67" s="16">
        <f>MIN(0.25+(INDEX('Stat Boosts'!$D$2:$D$192,M$1-9)-10)*$C67,10.22)</f>
        <v>1.3476744186046512</v>
      </c>
      <c r="N67" s="16">
        <f>MIN(0.25+(INDEX('Stat Boosts'!$D$2:$D$192,N$1-9)-10)*$C67,10.22)</f>
        <v>1.5151162790697674</v>
      </c>
      <c r="O67" s="16">
        <f>MIN(0.25+(INDEX('Stat Boosts'!$D$2:$D$192,O$1-9)-10)*$C67,10.22)</f>
        <v>1.6081395348837209</v>
      </c>
      <c r="P67" s="16">
        <f>MIN(0.25+(INDEX('Stat Boosts'!$D$2:$D$192,P$1-9)-10)*$C67,10.22)</f>
        <v>1.7569767441860464</v>
      </c>
      <c r="Q67" s="16">
        <f>MIN(0.25+(INDEX('Stat Boosts'!$D$2:$D$192,Q$1-9)-10)*$C67,10.22)</f>
        <v>1.905813953488372</v>
      </c>
      <c r="R67" s="16">
        <f>MIN(0.25+(INDEX('Stat Boosts'!$D$2:$D$192,R$1-9)-10)*$C67,10.22)</f>
        <v>2.0546511627906976</v>
      </c>
    </row>
    <row r="68" spans="1:18">
      <c r="A68" s="9">
        <v>67</v>
      </c>
      <c r="B68" s="16">
        <f t="shared" si="2"/>
        <v>31.75</v>
      </c>
      <c r="C68" s="16">
        <f t="shared" si="3"/>
        <v>1.8390804597701149E-2</v>
      </c>
      <c r="E68" s="16">
        <f>MIN(0.25+(INDEX('Stat Boosts'!$D$2:$D$192,E$1-9)-10)*$C68,10.22)</f>
        <v>0.25</v>
      </c>
      <c r="F68" s="16">
        <f>MIN(0.25+(INDEX('Stat Boosts'!$D$2:$D$192,F$1-9)-10)*$C68,10.22)</f>
        <v>0.37873563218390804</v>
      </c>
      <c r="G68" s="16">
        <f>MIN(0.25+(INDEX('Stat Boosts'!$D$2:$D$192,G$1-9)-10)*$C68,10.22)</f>
        <v>0.50747126436781609</v>
      </c>
      <c r="H68" s="16">
        <f>MIN(0.25+(INDEX('Stat Boosts'!$D$2:$D$192,H$1-9)-10)*$C68,10.22)</f>
        <v>0.63620689655172413</v>
      </c>
      <c r="I68" s="16">
        <f>MIN(0.25+(INDEX('Stat Boosts'!$D$2:$D$192,I$1-9)-10)*$C68,10.22)</f>
        <v>0.74655172413793103</v>
      </c>
      <c r="J68" s="16">
        <f>MIN(0.25+(INDEX('Stat Boosts'!$D$2:$D$192,J$1-9)-10)*$C68,10.22)</f>
        <v>0.85689655172413792</v>
      </c>
      <c r="K68" s="16">
        <f>MIN(0.25+(INDEX('Stat Boosts'!$D$2:$D$192,K$1-9)-10)*$C68,10.22)</f>
        <v>1.1143678160919541</v>
      </c>
      <c r="L68" s="16">
        <f>MIN(0.25+(INDEX('Stat Boosts'!$D$2:$D$192,L$1-9)-10)*$C68,10.22)</f>
        <v>1.2063218390804598</v>
      </c>
      <c r="M68" s="16">
        <f>MIN(0.25+(INDEX('Stat Boosts'!$D$2:$D$192,M$1-9)-10)*$C68,10.22)</f>
        <v>1.3350574712643679</v>
      </c>
      <c r="N68" s="16">
        <f>MIN(0.25+(INDEX('Stat Boosts'!$D$2:$D$192,N$1-9)-10)*$C68,10.22)</f>
        <v>1.5005747126436781</v>
      </c>
      <c r="O68" s="16">
        <f>MIN(0.25+(INDEX('Stat Boosts'!$D$2:$D$192,O$1-9)-10)*$C68,10.22)</f>
        <v>1.5925287356321838</v>
      </c>
      <c r="P68" s="16">
        <f>MIN(0.25+(INDEX('Stat Boosts'!$D$2:$D$192,P$1-9)-10)*$C68,10.22)</f>
        <v>1.739655172413793</v>
      </c>
      <c r="Q68" s="16">
        <f>MIN(0.25+(INDEX('Stat Boosts'!$D$2:$D$192,Q$1-9)-10)*$C68,10.22)</f>
        <v>1.8867816091954022</v>
      </c>
      <c r="R68" s="16">
        <f>MIN(0.25+(INDEX('Stat Boosts'!$D$2:$D$192,R$1-9)-10)*$C68,10.22)</f>
        <v>2.0339080459770114</v>
      </c>
    </row>
    <row r="69" spans="1:18">
      <c r="A69" s="9">
        <v>68</v>
      </c>
      <c r="B69" s="16">
        <f t="shared" si="2"/>
        <v>32</v>
      </c>
      <c r="C69" s="16">
        <f t="shared" si="3"/>
        <v>1.8181818181818184E-2</v>
      </c>
      <c r="E69" s="16">
        <f>MIN(0.25+(INDEX('Stat Boosts'!$D$2:$D$192,E$1-9)-10)*$C69,10.22)</f>
        <v>0.25</v>
      </c>
      <c r="F69" s="16">
        <f>MIN(0.25+(INDEX('Stat Boosts'!$D$2:$D$192,F$1-9)-10)*$C69,10.22)</f>
        <v>0.37727272727272732</v>
      </c>
      <c r="G69" s="16">
        <f>MIN(0.25+(INDEX('Stat Boosts'!$D$2:$D$192,G$1-9)-10)*$C69,10.22)</f>
        <v>0.50454545454545463</v>
      </c>
      <c r="H69" s="16">
        <f>MIN(0.25+(INDEX('Stat Boosts'!$D$2:$D$192,H$1-9)-10)*$C69,10.22)</f>
        <v>0.63181818181818183</v>
      </c>
      <c r="I69" s="16">
        <f>MIN(0.25+(INDEX('Stat Boosts'!$D$2:$D$192,I$1-9)-10)*$C69,10.22)</f>
        <v>0.74090909090909096</v>
      </c>
      <c r="J69" s="16">
        <f>MIN(0.25+(INDEX('Stat Boosts'!$D$2:$D$192,J$1-9)-10)*$C69,10.22)</f>
        <v>0.85000000000000009</v>
      </c>
      <c r="K69" s="16">
        <f>MIN(0.25+(INDEX('Stat Boosts'!$D$2:$D$192,K$1-9)-10)*$C69,10.22)</f>
        <v>1.1045454545454547</v>
      </c>
      <c r="L69" s="16">
        <f>MIN(0.25+(INDEX('Stat Boosts'!$D$2:$D$192,L$1-9)-10)*$C69,10.22)</f>
        <v>1.1954545454545455</v>
      </c>
      <c r="M69" s="16">
        <f>MIN(0.25+(INDEX('Stat Boosts'!$D$2:$D$192,M$1-9)-10)*$C69,10.22)</f>
        <v>1.322727272727273</v>
      </c>
      <c r="N69" s="16">
        <f>MIN(0.25+(INDEX('Stat Boosts'!$D$2:$D$192,N$1-9)-10)*$C69,10.22)</f>
        <v>1.4863636363636366</v>
      </c>
      <c r="O69" s="16">
        <f>MIN(0.25+(INDEX('Stat Boosts'!$D$2:$D$192,O$1-9)-10)*$C69,10.22)</f>
        <v>1.5772727272727274</v>
      </c>
      <c r="P69" s="16">
        <f>MIN(0.25+(INDEX('Stat Boosts'!$D$2:$D$192,P$1-9)-10)*$C69,10.22)</f>
        <v>1.7227272727272729</v>
      </c>
      <c r="Q69" s="16">
        <f>MIN(0.25+(INDEX('Stat Boosts'!$D$2:$D$192,Q$1-9)-10)*$C69,10.22)</f>
        <v>1.8681818181818184</v>
      </c>
      <c r="R69" s="16">
        <f>MIN(0.25+(INDEX('Stat Boosts'!$D$2:$D$192,R$1-9)-10)*$C69,10.22)</f>
        <v>2.0136363636363637</v>
      </c>
    </row>
    <row r="70" spans="1:18">
      <c r="A70" s="9">
        <v>69</v>
      </c>
      <c r="B70" s="16">
        <f t="shared" si="2"/>
        <v>32.25</v>
      </c>
      <c r="C70" s="16">
        <f t="shared" si="3"/>
        <v>1.7977528089887642E-2</v>
      </c>
      <c r="E70" s="16">
        <f>MIN(0.25+(INDEX('Stat Boosts'!$D$2:$D$192,E$1-9)-10)*$C70,10.22)</f>
        <v>0.25</v>
      </c>
      <c r="F70" s="16">
        <f>MIN(0.25+(INDEX('Stat Boosts'!$D$2:$D$192,F$1-9)-10)*$C70,10.22)</f>
        <v>0.37584269662921349</v>
      </c>
      <c r="G70" s="16">
        <f>MIN(0.25+(INDEX('Stat Boosts'!$D$2:$D$192,G$1-9)-10)*$C70,10.22)</f>
        <v>0.50168539325842698</v>
      </c>
      <c r="H70" s="16">
        <f>MIN(0.25+(INDEX('Stat Boosts'!$D$2:$D$192,H$1-9)-10)*$C70,10.22)</f>
        <v>0.62752808988764053</v>
      </c>
      <c r="I70" s="16">
        <f>MIN(0.25+(INDEX('Stat Boosts'!$D$2:$D$192,I$1-9)-10)*$C70,10.22)</f>
        <v>0.73539325842696635</v>
      </c>
      <c r="J70" s="16">
        <f>MIN(0.25+(INDEX('Stat Boosts'!$D$2:$D$192,J$1-9)-10)*$C70,10.22)</f>
        <v>0.84325842696629216</v>
      </c>
      <c r="K70" s="16">
        <f>MIN(0.25+(INDEX('Stat Boosts'!$D$2:$D$192,K$1-9)-10)*$C70,10.22)</f>
        <v>1.094943820224719</v>
      </c>
      <c r="L70" s="16">
        <f>MIN(0.25+(INDEX('Stat Boosts'!$D$2:$D$192,L$1-9)-10)*$C70,10.22)</f>
        <v>1.1848314606741575</v>
      </c>
      <c r="M70" s="16">
        <f>MIN(0.25+(INDEX('Stat Boosts'!$D$2:$D$192,M$1-9)-10)*$C70,10.22)</f>
        <v>1.3106741573033709</v>
      </c>
      <c r="N70" s="16">
        <f>MIN(0.25+(INDEX('Stat Boosts'!$D$2:$D$192,N$1-9)-10)*$C70,10.22)</f>
        <v>1.4724719101123596</v>
      </c>
      <c r="O70" s="16">
        <f>MIN(0.25+(INDEX('Stat Boosts'!$D$2:$D$192,O$1-9)-10)*$C70,10.22)</f>
        <v>1.5623595505617978</v>
      </c>
      <c r="P70" s="16">
        <f>MIN(0.25+(INDEX('Stat Boosts'!$D$2:$D$192,P$1-9)-10)*$C70,10.22)</f>
        <v>1.7061797752808989</v>
      </c>
      <c r="Q70" s="16">
        <f>MIN(0.25+(INDEX('Stat Boosts'!$D$2:$D$192,Q$1-9)-10)*$C70,10.22)</f>
        <v>1.85</v>
      </c>
      <c r="R70" s="16">
        <f>MIN(0.25+(INDEX('Stat Boosts'!$D$2:$D$192,R$1-9)-10)*$C70,10.22)</f>
        <v>1.9938202247191013</v>
      </c>
    </row>
    <row r="71" spans="1:18">
      <c r="A71" s="9">
        <v>70</v>
      </c>
      <c r="B71" s="16">
        <f t="shared" si="2"/>
        <v>32.5</v>
      </c>
      <c r="C71" s="16">
        <f t="shared" si="3"/>
        <v>1.7777777777777778E-2</v>
      </c>
      <c r="E71" s="16">
        <f>MIN(0.25+(INDEX('Stat Boosts'!$D$2:$D$192,E$1-9)-10)*$C71,10.22)</f>
        <v>0.25</v>
      </c>
      <c r="F71" s="16">
        <f>MIN(0.25+(INDEX('Stat Boosts'!$D$2:$D$192,F$1-9)-10)*$C71,10.22)</f>
        <v>0.37444444444444447</v>
      </c>
      <c r="G71" s="16">
        <f>MIN(0.25+(INDEX('Stat Boosts'!$D$2:$D$192,G$1-9)-10)*$C71,10.22)</f>
        <v>0.49888888888888888</v>
      </c>
      <c r="H71" s="16">
        <f>MIN(0.25+(INDEX('Stat Boosts'!$D$2:$D$192,H$1-9)-10)*$C71,10.22)</f>
        <v>0.62333333333333329</v>
      </c>
      <c r="I71" s="16">
        <f>MIN(0.25+(INDEX('Stat Boosts'!$D$2:$D$192,I$1-9)-10)*$C71,10.22)</f>
        <v>0.73</v>
      </c>
      <c r="J71" s="16">
        <f>MIN(0.25+(INDEX('Stat Boosts'!$D$2:$D$192,J$1-9)-10)*$C71,10.22)</f>
        <v>0.83666666666666667</v>
      </c>
      <c r="K71" s="16">
        <f>MIN(0.25+(INDEX('Stat Boosts'!$D$2:$D$192,K$1-9)-10)*$C71,10.22)</f>
        <v>1.0855555555555556</v>
      </c>
      <c r="L71" s="16">
        <f>MIN(0.25+(INDEX('Stat Boosts'!$D$2:$D$192,L$1-9)-10)*$C71,10.22)</f>
        <v>1.1744444444444444</v>
      </c>
      <c r="M71" s="16">
        <f>MIN(0.25+(INDEX('Stat Boosts'!$D$2:$D$192,M$1-9)-10)*$C71,10.22)</f>
        <v>1.298888888888889</v>
      </c>
      <c r="N71" s="16">
        <f>MIN(0.25+(INDEX('Stat Boosts'!$D$2:$D$192,N$1-9)-10)*$C71,10.22)</f>
        <v>1.4588888888888889</v>
      </c>
      <c r="O71" s="16">
        <f>MIN(0.25+(INDEX('Stat Boosts'!$D$2:$D$192,O$1-9)-10)*$C71,10.22)</f>
        <v>1.5477777777777777</v>
      </c>
      <c r="P71" s="16">
        <f>MIN(0.25+(INDEX('Stat Boosts'!$D$2:$D$192,P$1-9)-10)*$C71,10.22)</f>
        <v>1.69</v>
      </c>
      <c r="Q71" s="16">
        <f>MIN(0.25+(INDEX('Stat Boosts'!$D$2:$D$192,Q$1-9)-10)*$C71,10.22)</f>
        <v>1.8322222222222222</v>
      </c>
      <c r="R71" s="16">
        <f>MIN(0.25+(INDEX('Stat Boosts'!$D$2:$D$192,R$1-9)-10)*$C71,10.22)</f>
        <v>1.9744444444444444</v>
      </c>
    </row>
    <row r="72" spans="1:18">
      <c r="A72" s="9">
        <v>71</v>
      </c>
      <c r="B72" s="16">
        <f t="shared" si="2"/>
        <v>32.75</v>
      </c>
      <c r="C72" s="16">
        <f t="shared" si="3"/>
        <v>1.7582417582417582E-2</v>
      </c>
      <c r="E72" s="16">
        <f>MIN(0.25+(INDEX('Stat Boosts'!$D$2:$D$192,E$1-9)-10)*$C72,10.22)</f>
        <v>0.25</v>
      </c>
      <c r="F72" s="16">
        <f>MIN(0.25+(INDEX('Stat Boosts'!$D$2:$D$192,F$1-9)-10)*$C72,10.22)</f>
        <v>0.37307692307692308</v>
      </c>
      <c r="G72" s="16">
        <f>MIN(0.25+(INDEX('Stat Boosts'!$D$2:$D$192,G$1-9)-10)*$C72,10.22)</f>
        <v>0.49615384615384617</v>
      </c>
      <c r="H72" s="16">
        <f>MIN(0.25+(INDEX('Stat Boosts'!$D$2:$D$192,H$1-9)-10)*$C72,10.22)</f>
        <v>0.61923076923076925</v>
      </c>
      <c r="I72" s="16">
        <f>MIN(0.25+(INDEX('Stat Boosts'!$D$2:$D$192,I$1-9)-10)*$C72,10.22)</f>
        <v>0.7247252747252747</v>
      </c>
      <c r="J72" s="16">
        <f>MIN(0.25+(INDEX('Stat Boosts'!$D$2:$D$192,J$1-9)-10)*$C72,10.22)</f>
        <v>0.83021978021978027</v>
      </c>
      <c r="K72" s="16">
        <f>MIN(0.25+(INDEX('Stat Boosts'!$D$2:$D$192,K$1-9)-10)*$C72,10.22)</f>
        <v>1.0763736263736263</v>
      </c>
      <c r="L72" s="16">
        <f>MIN(0.25+(INDEX('Stat Boosts'!$D$2:$D$192,L$1-9)-10)*$C72,10.22)</f>
        <v>1.1642857142857141</v>
      </c>
      <c r="M72" s="16">
        <f>MIN(0.25+(INDEX('Stat Boosts'!$D$2:$D$192,M$1-9)-10)*$C72,10.22)</f>
        <v>1.2873626373626375</v>
      </c>
      <c r="N72" s="16">
        <f>MIN(0.25+(INDEX('Stat Boosts'!$D$2:$D$192,N$1-9)-10)*$C72,10.22)</f>
        <v>1.4456043956043956</v>
      </c>
      <c r="O72" s="16">
        <f>MIN(0.25+(INDEX('Stat Boosts'!$D$2:$D$192,O$1-9)-10)*$C72,10.22)</f>
        <v>1.5335164835164836</v>
      </c>
      <c r="P72" s="16">
        <f>MIN(0.25+(INDEX('Stat Boosts'!$D$2:$D$192,P$1-9)-10)*$C72,10.22)</f>
        <v>1.6741758241758242</v>
      </c>
      <c r="Q72" s="16">
        <f>MIN(0.25+(INDEX('Stat Boosts'!$D$2:$D$192,Q$1-9)-10)*$C72,10.22)</f>
        <v>1.8148351648351648</v>
      </c>
      <c r="R72" s="16">
        <f>MIN(0.25+(INDEX('Stat Boosts'!$D$2:$D$192,R$1-9)-10)*$C72,10.22)</f>
        <v>1.9554945054945054</v>
      </c>
    </row>
    <row r="73" spans="1:18">
      <c r="A73" s="9">
        <v>72</v>
      </c>
      <c r="B73" s="16">
        <f t="shared" si="2"/>
        <v>33</v>
      </c>
      <c r="C73" s="16">
        <f t="shared" si="3"/>
        <v>1.7391304347826087E-2</v>
      </c>
      <c r="E73" s="16">
        <f>MIN(0.25+(INDEX('Stat Boosts'!$D$2:$D$192,E$1-9)-10)*$C73,10.22)</f>
        <v>0.25</v>
      </c>
      <c r="F73" s="16">
        <f>MIN(0.25+(INDEX('Stat Boosts'!$D$2:$D$192,F$1-9)-10)*$C73,10.22)</f>
        <v>0.37173913043478263</v>
      </c>
      <c r="G73" s="16">
        <f>MIN(0.25+(INDEX('Stat Boosts'!$D$2:$D$192,G$1-9)-10)*$C73,10.22)</f>
        <v>0.49347826086956526</v>
      </c>
      <c r="H73" s="16">
        <f>MIN(0.25+(INDEX('Stat Boosts'!$D$2:$D$192,H$1-9)-10)*$C73,10.22)</f>
        <v>0.61521739130434783</v>
      </c>
      <c r="I73" s="16">
        <f>MIN(0.25+(INDEX('Stat Boosts'!$D$2:$D$192,I$1-9)-10)*$C73,10.22)</f>
        <v>0.7195652173913043</v>
      </c>
      <c r="J73" s="16">
        <f>MIN(0.25+(INDEX('Stat Boosts'!$D$2:$D$192,J$1-9)-10)*$C73,10.22)</f>
        <v>0.82391304347826089</v>
      </c>
      <c r="K73" s="16">
        <f>MIN(0.25+(INDEX('Stat Boosts'!$D$2:$D$192,K$1-9)-10)*$C73,10.22)</f>
        <v>1.0673913043478263</v>
      </c>
      <c r="L73" s="16">
        <f>MIN(0.25+(INDEX('Stat Boosts'!$D$2:$D$192,L$1-9)-10)*$C73,10.22)</f>
        <v>1.1543478260869566</v>
      </c>
      <c r="M73" s="16">
        <f>MIN(0.25+(INDEX('Stat Boosts'!$D$2:$D$192,M$1-9)-10)*$C73,10.22)</f>
        <v>1.2760869565217392</v>
      </c>
      <c r="N73" s="16">
        <f>MIN(0.25+(INDEX('Stat Boosts'!$D$2:$D$192,N$1-9)-10)*$C73,10.22)</f>
        <v>1.432608695652174</v>
      </c>
      <c r="O73" s="16">
        <f>MIN(0.25+(INDEX('Stat Boosts'!$D$2:$D$192,O$1-9)-10)*$C73,10.22)</f>
        <v>1.5195652173913043</v>
      </c>
      <c r="P73" s="16">
        <f>MIN(0.25+(INDEX('Stat Boosts'!$D$2:$D$192,P$1-9)-10)*$C73,10.22)</f>
        <v>1.6586956521739131</v>
      </c>
      <c r="Q73" s="16">
        <f>MIN(0.25+(INDEX('Stat Boosts'!$D$2:$D$192,Q$1-9)-10)*$C73,10.22)</f>
        <v>1.7978260869565217</v>
      </c>
      <c r="R73" s="16">
        <f>MIN(0.25+(INDEX('Stat Boosts'!$D$2:$D$192,R$1-9)-10)*$C73,10.22)</f>
        <v>1.9369565217391305</v>
      </c>
    </row>
    <row r="74" spans="1:18">
      <c r="A74" s="9">
        <v>73</v>
      </c>
      <c r="B74" s="16">
        <f t="shared" si="2"/>
        <v>33.25</v>
      </c>
      <c r="C74" s="16">
        <f t="shared" si="3"/>
        <v>1.7204301075268817E-2</v>
      </c>
      <c r="E74" s="16">
        <f>MIN(0.25+(INDEX('Stat Boosts'!$D$2:$D$192,E$1-9)-10)*$C74,10.22)</f>
        <v>0.25</v>
      </c>
      <c r="F74" s="16">
        <f>MIN(0.25+(INDEX('Stat Boosts'!$D$2:$D$192,F$1-9)-10)*$C74,10.22)</f>
        <v>0.37043010752688171</v>
      </c>
      <c r="G74" s="16">
        <f>MIN(0.25+(INDEX('Stat Boosts'!$D$2:$D$192,G$1-9)-10)*$C74,10.22)</f>
        <v>0.49086021505376343</v>
      </c>
      <c r="H74" s="16">
        <f>MIN(0.25+(INDEX('Stat Boosts'!$D$2:$D$192,H$1-9)-10)*$C74,10.22)</f>
        <v>0.6112903225806452</v>
      </c>
      <c r="I74" s="16">
        <f>MIN(0.25+(INDEX('Stat Boosts'!$D$2:$D$192,I$1-9)-10)*$C74,10.22)</f>
        <v>0.71451612903225814</v>
      </c>
      <c r="J74" s="16">
        <f>MIN(0.25+(INDEX('Stat Boosts'!$D$2:$D$192,J$1-9)-10)*$C74,10.22)</f>
        <v>0.81774193548387097</v>
      </c>
      <c r="K74" s="16">
        <f>MIN(0.25+(INDEX('Stat Boosts'!$D$2:$D$192,K$1-9)-10)*$C74,10.22)</f>
        <v>1.0586021505376344</v>
      </c>
      <c r="L74" s="16">
        <f>MIN(0.25+(INDEX('Stat Boosts'!$D$2:$D$192,L$1-9)-10)*$C74,10.22)</f>
        <v>1.1446236559139784</v>
      </c>
      <c r="M74" s="16">
        <f>MIN(0.25+(INDEX('Stat Boosts'!$D$2:$D$192,M$1-9)-10)*$C74,10.22)</f>
        <v>1.2650537634408603</v>
      </c>
      <c r="N74" s="16">
        <f>MIN(0.25+(INDEX('Stat Boosts'!$D$2:$D$192,N$1-9)-10)*$C74,10.22)</f>
        <v>1.4198924731182796</v>
      </c>
      <c r="O74" s="16">
        <f>MIN(0.25+(INDEX('Stat Boosts'!$D$2:$D$192,O$1-9)-10)*$C74,10.22)</f>
        <v>1.5059139784946236</v>
      </c>
      <c r="P74" s="16">
        <f>MIN(0.25+(INDEX('Stat Boosts'!$D$2:$D$192,P$1-9)-10)*$C74,10.22)</f>
        <v>1.6435483870967742</v>
      </c>
      <c r="Q74" s="16">
        <f>MIN(0.25+(INDEX('Stat Boosts'!$D$2:$D$192,Q$1-9)-10)*$C74,10.22)</f>
        <v>1.7811827956989248</v>
      </c>
      <c r="R74" s="16">
        <f>MIN(0.25+(INDEX('Stat Boosts'!$D$2:$D$192,R$1-9)-10)*$C74,10.22)</f>
        <v>1.9188172043010752</v>
      </c>
    </row>
    <row r="75" spans="1:18">
      <c r="A75" s="9">
        <v>74</v>
      </c>
      <c r="B75" s="16">
        <f t="shared" si="2"/>
        <v>33.5</v>
      </c>
      <c r="C75" s="16">
        <f t="shared" si="3"/>
        <v>1.7021276595744681E-2</v>
      </c>
      <c r="E75" s="16">
        <f>MIN(0.25+(INDEX('Stat Boosts'!$D$2:$D$192,E$1-9)-10)*$C75,10.22)</f>
        <v>0.25</v>
      </c>
      <c r="F75" s="16">
        <f>MIN(0.25+(INDEX('Stat Boosts'!$D$2:$D$192,F$1-9)-10)*$C75,10.22)</f>
        <v>0.36914893617021277</v>
      </c>
      <c r="G75" s="16">
        <f>MIN(0.25+(INDEX('Stat Boosts'!$D$2:$D$192,G$1-9)-10)*$C75,10.22)</f>
        <v>0.48829787234042554</v>
      </c>
      <c r="H75" s="16">
        <f>MIN(0.25+(INDEX('Stat Boosts'!$D$2:$D$192,H$1-9)-10)*$C75,10.22)</f>
        <v>0.60744680851063837</v>
      </c>
      <c r="I75" s="16">
        <f>MIN(0.25+(INDEX('Stat Boosts'!$D$2:$D$192,I$1-9)-10)*$C75,10.22)</f>
        <v>0.70957446808510638</v>
      </c>
      <c r="J75" s="16">
        <f>MIN(0.25+(INDEX('Stat Boosts'!$D$2:$D$192,J$1-9)-10)*$C75,10.22)</f>
        <v>0.8117021276595745</v>
      </c>
      <c r="K75" s="16">
        <f>MIN(0.25+(INDEX('Stat Boosts'!$D$2:$D$192,K$1-9)-10)*$C75,10.22)</f>
        <v>1.05</v>
      </c>
      <c r="L75" s="16">
        <f>MIN(0.25+(INDEX('Stat Boosts'!$D$2:$D$192,L$1-9)-10)*$C75,10.22)</f>
        <v>1.1351063829787233</v>
      </c>
      <c r="M75" s="16">
        <f>MIN(0.25+(INDEX('Stat Boosts'!$D$2:$D$192,M$1-9)-10)*$C75,10.22)</f>
        <v>1.2542553191489363</v>
      </c>
      <c r="N75" s="16">
        <f>MIN(0.25+(INDEX('Stat Boosts'!$D$2:$D$192,N$1-9)-10)*$C75,10.22)</f>
        <v>1.4074468085106384</v>
      </c>
      <c r="O75" s="16">
        <f>MIN(0.25+(INDEX('Stat Boosts'!$D$2:$D$192,O$1-9)-10)*$C75,10.22)</f>
        <v>1.4925531914893617</v>
      </c>
      <c r="P75" s="16">
        <f>MIN(0.25+(INDEX('Stat Boosts'!$D$2:$D$192,P$1-9)-10)*$C75,10.22)</f>
        <v>1.6287234042553191</v>
      </c>
      <c r="Q75" s="16">
        <f>MIN(0.25+(INDEX('Stat Boosts'!$D$2:$D$192,Q$1-9)-10)*$C75,10.22)</f>
        <v>1.7648936170212766</v>
      </c>
      <c r="R75" s="16">
        <f>MIN(0.25+(INDEX('Stat Boosts'!$D$2:$D$192,R$1-9)-10)*$C75,10.22)</f>
        <v>1.901063829787234</v>
      </c>
    </row>
    <row r="76" spans="1:18">
      <c r="A76" s="9">
        <v>75</v>
      </c>
      <c r="B76" s="16">
        <f t="shared" si="2"/>
        <v>33.75</v>
      </c>
      <c r="C76" s="16">
        <f t="shared" si="3"/>
        <v>1.6842105263157894E-2</v>
      </c>
      <c r="E76" s="16">
        <f>MIN(0.25+(INDEX('Stat Boosts'!$D$2:$D$192,E$1-9)-10)*$C76,10.22)</f>
        <v>0.25</v>
      </c>
      <c r="F76" s="16">
        <f>MIN(0.25+(INDEX('Stat Boosts'!$D$2:$D$192,F$1-9)-10)*$C76,10.22)</f>
        <v>0.36789473684210527</v>
      </c>
      <c r="G76" s="16">
        <f>MIN(0.25+(INDEX('Stat Boosts'!$D$2:$D$192,G$1-9)-10)*$C76,10.22)</f>
        <v>0.48578947368421055</v>
      </c>
      <c r="H76" s="16">
        <f>MIN(0.25+(INDEX('Stat Boosts'!$D$2:$D$192,H$1-9)-10)*$C76,10.22)</f>
        <v>0.60368421052631582</v>
      </c>
      <c r="I76" s="16">
        <f>MIN(0.25+(INDEX('Stat Boosts'!$D$2:$D$192,I$1-9)-10)*$C76,10.22)</f>
        <v>0.70473684210526311</v>
      </c>
      <c r="J76" s="16">
        <f>MIN(0.25+(INDEX('Stat Boosts'!$D$2:$D$192,J$1-9)-10)*$C76,10.22)</f>
        <v>0.8057894736842105</v>
      </c>
      <c r="K76" s="16">
        <f>MIN(0.25+(INDEX('Stat Boosts'!$D$2:$D$192,K$1-9)-10)*$C76,10.22)</f>
        <v>1.0415789473684209</v>
      </c>
      <c r="L76" s="16">
        <f>MIN(0.25+(INDEX('Stat Boosts'!$D$2:$D$192,L$1-9)-10)*$C76,10.22)</f>
        <v>1.1257894736842105</v>
      </c>
      <c r="M76" s="16">
        <f>MIN(0.25+(INDEX('Stat Boosts'!$D$2:$D$192,M$1-9)-10)*$C76,10.22)</f>
        <v>1.2436842105263157</v>
      </c>
      <c r="N76" s="16">
        <f>MIN(0.25+(INDEX('Stat Boosts'!$D$2:$D$192,N$1-9)-10)*$C76,10.22)</f>
        <v>1.3952631578947368</v>
      </c>
      <c r="O76" s="16">
        <f>MIN(0.25+(INDEX('Stat Boosts'!$D$2:$D$192,O$1-9)-10)*$C76,10.22)</f>
        <v>1.4794736842105263</v>
      </c>
      <c r="P76" s="16">
        <f>MIN(0.25+(INDEX('Stat Boosts'!$D$2:$D$192,P$1-9)-10)*$C76,10.22)</f>
        <v>1.6142105263157895</v>
      </c>
      <c r="Q76" s="16">
        <f>MIN(0.25+(INDEX('Stat Boosts'!$D$2:$D$192,Q$1-9)-10)*$C76,10.22)</f>
        <v>1.7489473684210526</v>
      </c>
      <c r="R76" s="16">
        <f>MIN(0.25+(INDEX('Stat Boosts'!$D$2:$D$192,R$1-9)-10)*$C76,10.22)</f>
        <v>1.8836842105263158</v>
      </c>
    </row>
    <row r="77" spans="1:18">
      <c r="A77" s="9">
        <v>76</v>
      </c>
      <c r="B77" s="16">
        <f t="shared" si="2"/>
        <v>34</v>
      </c>
      <c r="C77" s="16">
        <f t="shared" si="3"/>
        <v>1.6666666666666666E-2</v>
      </c>
      <c r="E77" s="16">
        <f>MIN(0.25+(INDEX('Stat Boosts'!$D$2:$D$192,E$1-9)-10)*$C77,10.22)</f>
        <v>0.25</v>
      </c>
      <c r="F77" s="16">
        <f>MIN(0.25+(INDEX('Stat Boosts'!$D$2:$D$192,F$1-9)-10)*$C77,10.22)</f>
        <v>0.3666666666666667</v>
      </c>
      <c r="G77" s="16">
        <f>MIN(0.25+(INDEX('Stat Boosts'!$D$2:$D$192,G$1-9)-10)*$C77,10.22)</f>
        <v>0.48333333333333334</v>
      </c>
      <c r="H77" s="16">
        <f>MIN(0.25+(INDEX('Stat Boosts'!$D$2:$D$192,H$1-9)-10)*$C77,10.22)</f>
        <v>0.6</v>
      </c>
      <c r="I77" s="16">
        <f>MIN(0.25+(INDEX('Stat Boosts'!$D$2:$D$192,I$1-9)-10)*$C77,10.22)</f>
        <v>0.7</v>
      </c>
      <c r="J77" s="16">
        <f>MIN(0.25+(INDEX('Stat Boosts'!$D$2:$D$192,J$1-9)-10)*$C77,10.22)</f>
        <v>0.8</v>
      </c>
      <c r="K77" s="16">
        <f>MIN(0.25+(INDEX('Stat Boosts'!$D$2:$D$192,K$1-9)-10)*$C77,10.22)</f>
        <v>1.0333333333333332</v>
      </c>
      <c r="L77" s="16">
        <f>MIN(0.25+(INDEX('Stat Boosts'!$D$2:$D$192,L$1-9)-10)*$C77,10.22)</f>
        <v>1.1166666666666667</v>
      </c>
      <c r="M77" s="16">
        <f>MIN(0.25+(INDEX('Stat Boosts'!$D$2:$D$192,M$1-9)-10)*$C77,10.22)</f>
        <v>1.2333333333333334</v>
      </c>
      <c r="N77" s="16">
        <f>MIN(0.25+(INDEX('Stat Boosts'!$D$2:$D$192,N$1-9)-10)*$C77,10.22)</f>
        <v>1.3833333333333333</v>
      </c>
      <c r="O77" s="16">
        <f>MIN(0.25+(INDEX('Stat Boosts'!$D$2:$D$192,O$1-9)-10)*$C77,10.22)</f>
        <v>1.4666666666666666</v>
      </c>
      <c r="P77" s="16">
        <f>MIN(0.25+(INDEX('Stat Boosts'!$D$2:$D$192,P$1-9)-10)*$C77,10.22)</f>
        <v>1.6</v>
      </c>
      <c r="Q77" s="16">
        <f>MIN(0.25+(INDEX('Stat Boosts'!$D$2:$D$192,Q$1-9)-10)*$C77,10.22)</f>
        <v>1.7333333333333334</v>
      </c>
      <c r="R77" s="16">
        <f>MIN(0.25+(INDEX('Stat Boosts'!$D$2:$D$192,R$1-9)-10)*$C77,10.22)</f>
        <v>1.8666666666666667</v>
      </c>
    </row>
    <row r="78" spans="1:18">
      <c r="A78" s="9">
        <v>77</v>
      </c>
      <c r="B78" s="16">
        <f t="shared" si="2"/>
        <v>34.25</v>
      </c>
      <c r="C78" s="16">
        <f t="shared" si="3"/>
        <v>1.6494845360824743E-2</v>
      </c>
      <c r="E78" s="16">
        <f>MIN(0.25+(INDEX('Stat Boosts'!$D$2:$D$192,E$1-9)-10)*$C78,10.22)</f>
        <v>0.25</v>
      </c>
      <c r="F78" s="16">
        <f>MIN(0.25+(INDEX('Stat Boosts'!$D$2:$D$192,F$1-9)-10)*$C78,10.22)</f>
        <v>0.36546391752577323</v>
      </c>
      <c r="G78" s="16">
        <f>MIN(0.25+(INDEX('Stat Boosts'!$D$2:$D$192,G$1-9)-10)*$C78,10.22)</f>
        <v>0.4809278350515464</v>
      </c>
      <c r="H78" s="16">
        <f>MIN(0.25+(INDEX('Stat Boosts'!$D$2:$D$192,H$1-9)-10)*$C78,10.22)</f>
        <v>0.59639175257731958</v>
      </c>
      <c r="I78" s="16">
        <f>MIN(0.25+(INDEX('Stat Boosts'!$D$2:$D$192,I$1-9)-10)*$C78,10.22)</f>
        <v>0.69536082474226801</v>
      </c>
      <c r="J78" s="16">
        <f>MIN(0.25+(INDEX('Stat Boosts'!$D$2:$D$192,J$1-9)-10)*$C78,10.22)</f>
        <v>0.79432989690721656</v>
      </c>
      <c r="K78" s="16">
        <f>MIN(0.25+(INDEX('Stat Boosts'!$D$2:$D$192,K$1-9)-10)*$C78,10.22)</f>
        <v>1.0252577319587628</v>
      </c>
      <c r="L78" s="16">
        <f>MIN(0.25+(INDEX('Stat Boosts'!$D$2:$D$192,L$1-9)-10)*$C78,10.22)</f>
        <v>1.1077319587628867</v>
      </c>
      <c r="M78" s="16">
        <f>MIN(0.25+(INDEX('Stat Boosts'!$D$2:$D$192,M$1-9)-10)*$C78,10.22)</f>
        <v>1.2231958762886599</v>
      </c>
      <c r="N78" s="16">
        <f>MIN(0.25+(INDEX('Stat Boosts'!$D$2:$D$192,N$1-9)-10)*$C78,10.22)</f>
        <v>1.3716494845360825</v>
      </c>
      <c r="O78" s="16">
        <f>MIN(0.25+(INDEX('Stat Boosts'!$D$2:$D$192,O$1-9)-10)*$C78,10.22)</f>
        <v>1.4541237113402061</v>
      </c>
      <c r="P78" s="16">
        <f>MIN(0.25+(INDEX('Stat Boosts'!$D$2:$D$192,P$1-9)-10)*$C78,10.22)</f>
        <v>1.5860824742268043</v>
      </c>
      <c r="Q78" s="16">
        <f>MIN(0.25+(INDEX('Stat Boosts'!$D$2:$D$192,Q$1-9)-10)*$C78,10.22)</f>
        <v>1.7180412371134022</v>
      </c>
      <c r="R78" s="16">
        <f>MIN(0.25+(INDEX('Stat Boosts'!$D$2:$D$192,R$1-9)-10)*$C78,10.22)</f>
        <v>1.85</v>
      </c>
    </row>
    <row r="79" spans="1:18">
      <c r="A79" s="9">
        <v>78</v>
      </c>
      <c r="B79" s="16">
        <f t="shared" si="2"/>
        <v>34.5</v>
      </c>
      <c r="C79" s="16">
        <f t="shared" si="3"/>
        <v>1.6326530612244899E-2</v>
      </c>
      <c r="E79" s="16">
        <f>MIN(0.25+(INDEX('Stat Boosts'!$D$2:$D$192,E$1-9)-10)*$C79,10.22)</f>
        <v>0.25</v>
      </c>
      <c r="F79" s="16">
        <f>MIN(0.25+(INDEX('Stat Boosts'!$D$2:$D$192,F$1-9)-10)*$C79,10.22)</f>
        <v>0.36428571428571432</v>
      </c>
      <c r="G79" s="16">
        <f>MIN(0.25+(INDEX('Stat Boosts'!$D$2:$D$192,G$1-9)-10)*$C79,10.22)</f>
        <v>0.47857142857142859</v>
      </c>
      <c r="H79" s="16">
        <f>MIN(0.25+(INDEX('Stat Boosts'!$D$2:$D$192,H$1-9)-10)*$C79,10.22)</f>
        <v>0.59285714285714286</v>
      </c>
      <c r="I79" s="16">
        <f>MIN(0.25+(INDEX('Stat Boosts'!$D$2:$D$192,I$1-9)-10)*$C79,10.22)</f>
        <v>0.69081632653061231</v>
      </c>
      <c r="J79" s="16">
        <f>MIN(0.25+(INDEX('Stat Boosts'!$D$2:$D$192,J$1-9)-10)*$C79,10.22)</f>
        <v>0.78877551020408165</v>
      </c>
      <c r="K79" s="16">
        <f>MIN(0.25+(INDEX('Stat Boosts'!$D$2:$D$192,K$1-9)-10)*$C79,10.22)</f>
        <v>1.0173469387755103</v>
      </c>
      <c r="L79" s="16">
        <f>MIN(0.25+(INDEX('Stat Boosts'!$D$2:$D$192,L$1-9)-10)*$C79,10.22)</f>
        <v>1.0989795918367347</v>
      </c>
      <c r="M79" s="16">
        <f>MIN(0.25+(INDEX('Stat Boosts'!$D$2:$D$192,M$1-9)-10)*$C79,10.22)</f>
        <v>1.213265306122449</v>
      </c>
      <c r="N79" s="16">
        <f>MIN(0.25+(INDEX('Stat Boosts'!$D$2:$D$192,N$1-9)-10)*$C79,10.22)</f>
        <v>1.3602040816326531</v>
      </c>
      <c r="O79" s="16">
        <f>MIN(0.25+(INDEX('Stat Boosts'!$D$2:$D$192,O$1-9)-10)*$C79,10.22)</f>
        <v>1.4418367346938776</v>
      </c>
      <c r="P79" s="16">
        <f>MIN(0.25+(INDEX('Stat Boosts'!$D$2:$D$192,P$1-9)-10)*$C79,10.22)</f>
        <v>1.5724489795918368</v>
      </c>
      <c r="Q79" s="16">
        <f>MIN(0.25+(INDEX('Stat Boosts'!$D$2:$D$192,Q$1-9)-10)*$C79,10.22)</f>
        <v>1.703061224489796</v>
      </c>
      <c r="R79" s="16">
        <f>MIN(0.25+(INDEX('Stat Boosts'!$D$2:$D$192,R$1-9)-10)*$C79,10.22)</f>
        <v>1.8336734693877552</v>
      </c>
    </row>
    <row r="80" spans="1:18">
      <c r="A80" s="9">
        <v>79</v>
      </c>
      <c r="B80" s="16">
        <f t="shared" si="2"/>
        <v>34.75</v>
      </c>
      <c r="C80" s="16">
        <f t="shared" si="3"/>
        <v>1.6161616161616162E-2</v>
      </c>
      <c r="E80" s="16">
        <f>MIN(0.25+(INDEX('Stat Boosts'!$D$2:$D$192,E$1-9)-10)*$C80,10.22)</f>
        <v>0.25</v>
      </c>
      <c r="F80" s="16">
        <f>MIN(0.25+(INDEX('Stat Boosts'!$D$2:$D$192,F$1-9)-10)*$C80,10.22)</f>
        <v>0.36313131313131314</v>
      </c>
      <c r="G80" s="16">
        <f>MIN(0.25+(INDEX('Stat Boosts'!$D$2:$D$192,G$1-9)-10)*$C80,10.22)</f>
        <v>0.47626262626262628</v>
      </c>
      <c r="H80" s="16">
        <f>MIN(0.25+(INDEX('Stat Boosts'!$D$2:$D$192,H$1-9)-10)*$C80,10.22)</f>
        <v>0.58939393939393936</v>
      </c>
      <c r="I80" s="16">
        <f>MIN(0.25+(INDEX('Stat Boosts'!$D$2:$D$192,I$1-9)-10)*$C80,10.22)</f>
        <v>0.68636363636363629</v>
      </c>
      <c r="J80" s="16">
        <f>MIN(0.25+(INDEX('Stat Boosts'!$D$2:$D$192,J$1-9)-10)*$C80,10.22)</f>
        <v>0.78333333333333333</v>
      </c>
      <c r="K80" s="16">
        <f>MIN(0.25+(INDEX('Stat Boosts'!$D$2:$D$192,K$1-9)-10)*$C80,10.22)</f>
        <v>1.0095959595959596</v>
      </c>
      <c r="L80" s="16">
        <f>MIN(0.25+(INDEX('Stat Boosts'!$D$2:$D$192,L$1-9)-10)*$C80,10.22)</f>
        <v>1.0904040404040405</v>
      </c>
      <c r="M80" s="16">
        <f>MIN(0.25+(INDEX('Stat Boosts'!$D$2:$D$192,M$1-9)-10)*$C80,10.22)</f>
        <v>1.2035353535353535</v>
      </c>
      <c r="N80" s="16">
        <f>MIN(0.25+(INDEX('Stat Boosts'!$D$2:$D$192,N$1-9)-10)*$C80,10.22)</f>
        <v>1.348989898989899</v>
      </c>
      <c r="O80" s="16">
        <f>MIN(0.25+(INDEX('Stat Boosts'!$D$2:$D$192,O$1-9)-10)*$C80,10.22)</f>
        <v>1.4297979797979798</v>
      </c>
      <c r="P80" s="16">
        <f>MIN(0.25+(INDEX('Stat Boosts'!$D$2:$D$192,P$1-9)-10)*$C80,10.22)</f>
        <v>1.5590909090909091</v>
      </c>
      <c r="Q80" s="16">
        <f>MIN(0.25+(INDEX('Stat Boosts'!$D$2:$D$192,Q$1-9)-10)*$C80,10.22)</f>
        <v>1.6883838383838383</v>
      </c>
      <c r="R80" s="16">
        <f>MIN(0.25+(INDEX('Stat Boosts'!$D$2:$D$192,R$1-9)-10)*$C80,10.22)</f>
        <v>1.8176767676767678</v>
      </c>
    </row>
    <row r="81" spans="1:18">
      <c r="A81" s="9">
        <v>80</v>
      </c>
      <c r="B81" s="16">
        <f t="shared" si="2"/>
        <v>35</v>
      </c>
      <c r="C81" s="16">
        <f t="shared" si="3"/>
        <v>1.6E-2</v>
      </c>
      <c r="E81" s="16">
        <f>MIN(0.25+(INDEX('Stat Boosts'!$D$2:$D$192,E$1-9)-10)*$C81,10.22)</f>
        <v>0.25</v>
      </c>
      <c r="F81" s="16">
        <f>MIN(0.25+(INDEX('Stat Boosts'!$D$2:$D$192,F$1-9)-10)*$C81,10.22)</f>
        <v>0.36199999999999999</v>
      </c>
      <c r="G81" s="16">
        <f>MIN(0.25+(INDEX('Stat Boosts'!$D$2:$D$192,G$1-9)-10)*$C81,10.22)</f>
        <v>0.47399999999999998</v>
      </c>
      <c r="H81" s="16">
        <f>MIN(0.25+(INDEX('Stat Boosts'!$D$2:$D$192,H$1-9)-10)*$C81,10.22)</f>
        <v>0.58600000000000008</v>
      </c>
      <c r="I81" s="16">
        <f>MIN(0.25+(INDEX('Stat Boosts'!$D$2:$D$192,I$1-9)-10)*$C81,10.22)</f>
        <v>0.68199999999999994</v>
      </c>
      <c r="J81" s="16">
        <f>MIN(0.25+(INDEX('Stat Boosts'!$D$2:$D$192,J$1-9)-10)*$C81,10.22)</f>
        <v>0.77800000000000002</v>
      </c>
      <c r="K81" s="16">
        <f>MIN(0.25+(INDEX('Stat Boosts'!$D$2:$D$192,K$1-9)-10)*$C81,10.22)</f>
        <v>1.002</v>
      </c>
      <c r="L81" s="16">
        <f>MIN(0.25+(INDEX('Stat Boosts'!$D$2:$D$192,L$1-9)-10)*$C81,10.22)</f>
        <v>1.0820000000000001</v>
      </c>
      <c r="M81" s="16">
        <f>MIN(0.25+(INDEX('Stat Boosts'!$D$2:$D$192,M$1-9)-10)*$C81,10.22)</f>
        <v>1.194</v>
      </c>
      <c r="N81" s="16">
        <f>MIN(0.25+(INDEX('Stat Boosts'!$D$2:$D$192,N$1-9)-10)*$C81,10.22)</f>
        <v>1.3380000000000001</v>
      </c>
      <c r="O81" s="16">
        <f>MIN(0.25+(INDEX('Stat Boosts'!$D$2:$D$192,O$1-9)-10)*$C81,10.22)</f>
        <v>1.4179999999999999</v>
      </c>
      <c r="P81" s="16">
        <f>MIN(0.25+(INDEX('Stat Boosts'!$D$2:$D$192,P$1-9)-10)*$C81,10.22)</f>
        <v>1.546</v>
      </c>
      <c r="Q81" s="16">
        <f>MIN(0.25+(INDEX('Stat Boosts'!$D$2:$D$192,Q$1-9)-10)*$C81,10.22)</f>
        <v>1.6739999999999999</v>
      </c>
      <c r="R81" s="16">
        <f>MIN(0.25+(INDEX('Stat Boosts'!$D$2:$D$192,R$1-9)-10)*$C81,10.22)</f>
        <v>1.802</v>
      </c>
    </row>
    <row r="82" spans="1:18">
      <c r="A82" s="9">
        <v>81</v>
      </c>
      <c r="B82" s="16">
        <f t="shared" si="2"/>
        <v>35.25</v>
      </c>
      <c r="C82" s="16">
        <f t="shared" si="3"/>
        <v>1.5841584158415842E-2</v>
      </c>
      <c r="E82" s="16">
        <f>MIN(0.25+(INDEX('Stat Boosts'!$D$2:$D$192,E$1-9)-10)*$C82,10.22)</f>
        <v>0.25</v>
      </c>
      <c r="F82" s="16">
        <f>MIN(0.25+(INDEX('Stat Boosts'!$D$2:$D$192,F$1-9)-10)*$C82,10.22)</f>
        <v>0.36089108910891088</v>
      </c>
      <c r="G82" s="16">
        <f>MIN(0.25+(INDEX('Stat Boosts'!$D$2:$D$192,G$1-9)-10)*$C82,10.22)</f>
        <v>0.47178217821782176</v>
      </c>
      <c r="H82" s="16">
        <f>MIN(0.25+(INDEX('Stat Boosts'!$D$2:$D$192,H$1-9)-10)*$C82,10.22)</f>
        <v>0.58267326732673275</v>
      </c>
      <c r="I82" s="16">
        <f>MIN(0.25+(INDEX('Stat Boosts'!$D$2:$D$192,I$1-9)-10)*$C82,10.22)</f>
        <v>0.67772277227722766</v>
      </c>
      <c r="J82" s="16">
        <f>MIN(0.25+(INDEX('Stat Boosts'!$D$2:$D$192,J$1-9)-10)*$C82,10.22)</f>
        <v>0.77277227722772279</v>
      </c>
      <c r="K82" s="16">
        <f>MIN(0.25+(INDEX('Stat Boosts'!$D$2:$D$192,K$1-9)-10)*$C82,10.22)</f>
        <v>0.99455445544554455</v>
      </c>
      <c r="L82" s="16">
        <f>MIN(0.25+(INDEX('Stat Boosts'!$D$2:$D$192,L$1-9)-10)*$C82,10.22)</f>
        <v>1.0737623762376238</v>
      </c>
      <c r="M82" s="16">
        <f>MIN(0.25+(INDEX('Stat Boosts'!$D$2:$D$192,M$1-9)-10)*$C82,10.22)</f>
        <v>1.1846534653465346</v>
      </c>
      <c r="N82" s="16">
        <f>MIN(0.25+(INDEX('Stat Boosts'!$D$2:$D$192,N$1-9)-10)*$C82,10.22)</f>
        <v>1.3272277227722773</v>
      </c>
      <c r="O82" s="16">
        <f>MIN(0.25+(INDEX('Stat Boosts'!$D$2:$D$192,O$1-9)-10)*$C82,10.22)</f>
        <v>1.4064356435643564</v>
      </c>
      <c r="P82" s="16">
        <f>MIN(0.25+(INDEX('Stat Boosts'!$D$2:$D$192,P$1-9)-10)*$C82,10.22)</f>
        <v>1.5331683168316832</v>
      </c>
      <c r="Q82" s="16">
        <f>MIN(0.25+(INDEX('Stat Boosts'!$D$2:$D$192,Q$1-9)-10)*$C82,10.22)</f>
        <v>1.6599009900990098</v>
      </c>
      <c r="R82" s="16">
        <f>MIN(0.25+(INDEX('Stat Boosts'!$D$2:$D$192,R$1-9)-10)*$C82,10.22)</f>
        <v>1.7866336633663367</v>
      </c>
    </row>
    <row r="83" spans="1:18">
      <c r="A83" s="9">
        <v>82</v>
      </c>
      <c r="B83" s="16">
        <f t="shared" si="2"/>
        <v>35.5</v>
      </c>
      <c r="C83" s="16">
        <f t="shared" si="3"/>
        <v>1.5686274509803921E-2</v>
      </c>
      <c r="E83" s="16">
        <f>MIN(0.25+(INDEX('Stat Boosts'!$D$2:$D$192,E$1-9)-10)*$C83,10.22)</f>
        <v>0.25</v>
      </c>
      <c r="F83" s="16">
        <f>MIN(0.25+(INDEX('Stat Boosts'!$D$2:$D$192,F$1-9)-10)*$C83,10.22)</f>
        <v>0.35980392156862745</v>
      </c>
      <c r="G83" s="16">
        <f>MIN(0.25+(INDEX('Stat Boosts'!$D$2:$D$192,G$1-9)-10)*$C83,10.22)</f>
        <v>0.4696078431372549</v>
      </c>
      <c r="H83" s="16">
        <f>MIN(0.25+(INDEX('Stat Boosts'!$D$2:$D$192,H$1-9)-10)*$C83,10.22)</f>
        <v>0.57941176470588229</v>
      </c>
      <c r="I83" s="16">
        <f>MIN(0.25+(INDEX('Stat Boosts'!$D$2:$D$192,I$1-9)-10)*$C83,10.22)</f>
        <v>0.67352941176470593</v>
      </c>
      <c r="J83" s="16">
        <f>MIN(0.25+(INDEX('Stat Boosts'!$D$2:$D$192,J$1-9)-10)*$C83,10.22)</f>
        <v>0.76764705882352935</v>
      </c>
      <c r="K83" s="16">
        <f>MIN(0.25+(INDEX('Stat Boosts'!$D$2:$D$192,K$1-9)-10)*$C83,10.22)</f>
        <v>0.98725490196078436</v>
      </c>
      <c r="L83" s="16">
        <f>MIN(0.25+(INDEX('Stat Boosts'!$D$2:$D$192,L$1-9)-10)*$C83,10.22)</f>
        <v>1.0656862745098039</v>
      </c>
      <c r="M83" s="16">
        <f>MIN(0.25+(INDEX('Stat Boosts'!$D$2:$D$192,M$1-9)-10)*$C83,10.22)</f>
        <v>1.1754901960784314</v>
      </c>
      <c r="N83" s="16">
        <f>MIN(0.25+(INDEX('Stat Boosts'!$D$2:$D$192,N$1-9)-10)*$C83,10.22)</f>
        <v>1.3166666666666667</v>
      </c>
      <c r="O83" s="16">
        <f>MIN(0.25+(INDEX('Stat Boosts'!$D$2:$D$192,O$1-9)-10)*$C83,10.22)</f>
        <v>1.3950980392156862</v>
      </c>
      <c r="P83" s="16">
        <f>MIN(0.25+(INDEX('Stat Boosts'!$D$2:$D$192,P$1-9)-10)*$C83,10.22)</f>
        <v>1.5205882352941176</v>
      </c>
      <c r="Q83" s="16">
        <f>MIN(0.25+(INDEX('Stat Boosts'!$D$2:$D$192,Q$1-9)-10)*$C83,10.22)</f>
        <v>1.6460784313725489</v>
      </c>
      <c r="R83" s="16">
        <f>MIN(0.25+(INDEX('Stat Boosts'!$D$2:$D$192,R$1-9)-10)*$C83,10.22)</f>
        <v>1.7715686274509803</v>
      </c>
    </row>
    <row r="84" spans="1:18">
      <c r="A84" s="9">
        <v>83</v>
      </c>
      <c r="B84" s="16">
        <f t="shared" si="2"/>
        <v>35.75</v>
      </c>
      <c r="C84" s="16">
        <f t="shared" si="3"/>
        <v>1.5533980582524273E-2</v>
      </c>
      <c r="E84" s="16">
        <f>MIN(0.25+(INDEX('Stat Boosts'!$D$2:$D$192,E$1-9)-10)*$C84,10.22)</f>
        <v>0.25</v>
      </c>
      <c r="F84" s="16">
        <f>MIN(0.25+(INDEX('Stat Boosts'!$D$2:$D$192,F$1-9)-10)*$C84,10.22)</f>
        <v>0.35873786407766994</v>
      </c>
      <c r="G84" s="16">
        <f>MIN(0.25+(INDEX('Stat Boosts'!$D$2:$D$192,G$1-9)-10)*$C84,10.22)</f>
        <v>0.46747572815533983</v>
      </c>
      <c r="H84" s="16">
        <f>MIN(0.25+(INDEX('Stat Boosts'!$D$2:$D$192,H$1-9)-10)*$C84,10.22)</f>
        <v>0.57621359223300972</v>
      </c>
      <c r="I84" s="16">
        <f>MIN(0.25+(INDEX('Stat Boosts'!$D$2:$D$192,I$1-9)-10)*$C84,10.22)</f>
        <v>0.66941747572815535</v>
      </c>
      <c r="J84" s="16">
        <f>MIN(0.25+(INDEX('Stat Boosts'!$D$2:$D$192,J$1-9)-10)*$C84,10.22)</f>
        <v>0.76262135922330099</v>
      </c>
      <c r="K84" s="16">
        <f>MIN(0.25+(INDEX('Stat Boosts'!$D$2:$D$192,K$1-9)-10)*$C84,10.22)</f>
        <v>0.98009708737864087</v>
      </c>
      <c r="L84" s="16">
        <f>MIN(0.25+(INDEX('Stat Boosts'!$D$2:$D$192,L$1-9)-10)*$C84,10.22)</f>
        <v>1.0577669902912623</v>
      </c>
      <c r="M84" s="16">
        <f>MIN(0.25+(INDEX('Stat Boosts'!$D$2:$D$192,M$1-9)-10)*$C84,10.22)</f>
        <v>1.1665048543689323</v>
      </c>
      <c r="N84" s="16">
        <f>MIN(0.25+(INDEX('Stat Boosts'!$D$2:$D$192,N$1-9)-10)*$C84,10.22)</f>
        <v>1.3063106796116506</v>
      </c>
      <c r="O84" s="16">
        <f>MIN(0.25+(INDEX('Stat Boosts'!$D$2:$D$192,O$1-9)-10)*$C84,10.22)</f>
        <v>1.3839805825242719</v>
      </c>
      <c r="P84" s="16">
        <f>MIN(0.25+(INDEX('Stat Boosts'!$D$2:$D$192,P$1-9)-10)*$C84,10.22)</f>
        <v>1.5082524271844662</v>
      </c>
      <c r="Q84" s="16">
        <f>MIN(0.25+(INDEX('Stat Boosts'!$D$2:$D$192,Q$1-9)-10)*$C84,10.22)</f>
        <v>1.6325242718446602</v>
      </c>
      <c r="R84" s="16">
        <f>MIN(0.25+(INDEX('Stat Boosts'!$D$2:$D$192,R$1-9)-10)*$C84,10.22)</f>
        <v>1.7567961165048545</v>
      </c>
    </row>
    <row r="85" spans="1:18">
      <c r="A85" s="9">
        <v>84</v>
      </c>
      <c r="B85" s="16">
        <f t="shared" si="2"/>
        <v>36</v>
      </c>
      <c r="C85" s="16">
        <f t="shared" si="3"/>
        <v>1.5384615384615385E-2</v>
      </c>
      <c r="E85" s="16">
        <f>MIN(0.25+(INDEX('Stat Boosts'!$D$2:$D$192,E$1-9)-10)*$C85,10.22)</f>
        <v>0.25</v>
      </c>
      <c r="F85" s="16">
        <f>MIN(0.25+(INDEX('Stat Boosts'!$D$2:$D$192,F$1-9)-10)*$C85,10.22)</f>
        <v>0.3576923076923077</v>
      </c>
      <c r="G85" s="16">
        <f>MIN(0.25+(INDEX('Stat Boosts'!$D$2:$D$192,G$1-9)-10)*$C85,10.22)</f>
        <v>0.4653846153846154</v>
      </c>
      <c r="H85" s="16">
        <f>MIN(0.25+(INDEX('Stat Boosts'!$D$2:$D$192,H$1-9)-10)*$C85,10.22)</f>
        <v>0.57307692307692304</v>
      </c>
      <c r="I85" s="16">
        <f>MIN(0.25+(INDEX('Stat Boosts'!$D$2:$D$192,I$1-9)-10)*$C85,10.22)</f>
        <v>0.66538461538461546</v>
      </c>
      <c r="J85" s="16">
        <f>MIN(0.25+(INDEX('Stat Boosts'!$D$2:$D$192,J$1-9)-10)*$C85,10.22)</f>
        <v>0.75769230769230766</v>
      </c>
      <c r="K85" s="16">
        <f>MIN(0.25+(INDEX('Stat Boosts'!$D$2:$D$192,K$1-9)-10)*$C85,10.22)</f>
        <v>0.97307692307692317</v>
      </c>
      <c r="L85" s="16">
        <f>MIN(0.25+(INDEX('Stat Boosts'!$D$2:$D$192,L$1-9)-10)*$C85,10.22)</f>
        <v>1.05</v>
      </c>
      <c r="M85" s="16">
        <f>MIN(0.25+(INDEX('Stat Boosts'!$D$2:$D$192,M$1-9)-10)*$C85,10.22)</f>
        <v>1.1576923076923078</v>
      </c>
      <c r="N85" s="16">
        <f>MIN(0.25+(INDEX('Stat Boosts'!$D$2:$D$192,N$1-9)-10)*$C85,10.22)</f>
        <v>1.2961538461538462</v>
      </c>
      <c r="O85" s="16">
        <f>MIN(0.25+(INDEX('Stat Boosts'!$D$2:$D$192,O$1-9)-10)*$C85,10.22)</f>
        <v>1.3730769230769231</v>
      </c>
      <c r="P85" s="16">
        <f>MIN(0.25+(INDEX('Stat Boosts'!$D$2:$D$192,P$1-9)-10)*$C85,10.22)</f>
        <v>1.4961538461538462</v>
      </c>
      <c r="Q85" s="16">
        <f>MIN(0.25+(INDEX('Stat Boosts'!$D$2:$D$192,Q$1-9)-10)*$C85,10.22)</f>
        <v>1.6192307692307693</v>
      </c>
      <c r="R85" s="16">
        <f>MIN(0.25+(INDEX('Stat Boosts'!$D$2:$D$192,R$1-9)-10)*$C85,10.22)</f>
        <v>1.7423076923076923</v>
      </c>
    </row>
    <row r="86" spans="1:18">
      <c r="A86" s="9">
        <v>85</v>
      </c>
      <c r="B86" s="16">
        <f t="shared" si="2"/>
        <v>36.25</v>
      </c>
      <c r="C86" s="16">
        <f t="shared" si="3"/>
        <v>1.5238095238095238E-2</v>
      </c>
      <c r="E86" s="16">
        <f>MIN(0.25+(INDEX('Stat Boosts'!$D$2:$D$192,E$1-9)-10)*$C86,10.22)</f>
        <v>0.25</v>
      </c>
      <c r="F86" s="16">
        <f>MIN(0.25+(INDEX('Stat Boosts'!$D$2:$D$192,F$1-9)-10)*$C86,10.22)</f>
        <v>0.35666666666666669</v>
      </c>
      <c r="G86" s="16">
        <f>MIN(0.25+(INDEX('Stat Boosts'!$D$2:$D$192,G$1-9)-10)*$C86,10.22)</f>
        <v>0.46333333333333332</v>
      </c>
      <c r="H86" s="16">
        <f>MIN(0.25+(INDEX('Stat Boosts'!$D$2:$D$192,H$1-9)-10)*$C86,10.22)</f>
        <v>0.57000000000000006</v>
      </c>
      <c r="I86" s="16">
        <f>MIN(0.25+(INDEX('Stat Boosts'!$D$2:$D$192,I$1-9)-10)*$C86,10.22)</f>
        <v>0.66142857142857148</v>
      </c>
      <c r="J86" s="16">
        <f>MIN(0.25+(INDEX('Stat Boosts'!$D$2:$D$192,J$1-9)-10)*$C86,10.22)</f>
        <v>0.75285714285714289</v>
      </c>
      <c r="K86" s="16">
        <f>MIN(0.25+(INDEX('Stat Boosts'!$D$2:$D$192,K$1-9)-10)*$C86,10.22)</f>
        <v>0.96619047619047616</v>
      </c>
      <c r="L86" s="16">
        <f>MIN(0.25+(INDEX('Stat Boosts'!$D$2:$D$192,L$1-9)-10)*$C86,10.22)</f>
        <v>1.0423809523809524</v>
      </c>
      <c r="M86" s="16">
        <f>MIN(0.25+(INDEX('Stat Boosts'!$D$2:$D$192,M$1-9)-10)*$C86,10.22)</f>
        <v>1.1490476190476191</v>
      </c>
      <c r="N86" s="16">
        <f>MIN(0.25+(INDEX('Stat Boosts'!$D$2:$D$192,N$1-9)-10)*$C86,10.22)</f>
        <v>1.2861904761904761</v>
      </c>
      <c r="O86" s="16">
        <f>MIN(0.25+(INDEX('Stat Boosts'!$D$2:$D$192,O$1-9)-10)*$C86,10.22)</f>
        <v>1.3623809523809525</v>
      </c>
      <c r="P86" s="16">
        <f>MIN(0.25+(INDEX('Stat Boosts'!$D$2:$D$192,P$1-9)-10)*$C86,10.22)</f>
        <v>1.4842857142857142</v>
      </c>
      <c r="Q86" s="16">
        <f>MIN(0.25+(INDEX('Stat Boosts'!$D$2:$D$192,Q$1-9)-10)*$C86,10.22)</f>
        <v>1.6061904761904762</v>
      </c>
      <c r="R86" s="16">
        <f>MIN(0.25+(INDEX('Stat Boosts'!$D$2:$D$192,R$1-9)-10)*$C86,10.22)</f>
        <v>1.7280952380952381</v>
      </c>
    </row>
    <row r="87" spans="1:18">
      <c r="A87" s="9">
        <v>86</v>
      </c>
      <c r="B87" s="16">
        <f t="shared" si="2"/>
        <v>36.5</v>
      </c>
      <c r="C87" s="16">
        <f t="shared" si="3"/>
        <v>1.509433962264151E-2</v>
      </c>
      <c r="E87" s="16">
        <f>MIN(0.25+(INDEX('Stat Boosts'!$D$2:$D$192,E$1-9)-10)*$C87,10.22)</f>
        <v>0.25</v>
      </c>
      <c r="F87" s="16">
        <f>MIN(0.25+(INDEX('Stat Boosts'!$D$2:$D$192,F$1-9)-10)*$C87,10.22)</f>
        <v>0.35566037735849054</v>
      </c>
      <c r="G87" s="16">
        <f>MIN(0.25+(INDEX('Stat Boosts'!$D$2:$D$192,G$1-9)-10)*$C87,10.22)</f>
        <v>0.46132075471698114</v>
      </c>
      <c r="H87" s="16">
        <f>MIN(0.25+(INDEX('Stat Boosts'!$D$2:$D$192,H$1-9)-10)*$C87,10.22)</f>
        <v>0.56698113207547163</v>
      </c>
      <c r="I87" s="16">
        <f>MIN(0.25+(INDEX('Stat Boosts'!$D$2:$D$192,I$1-9)-10)*$C87,10.22)</f>
        <v>0.65754716981132078</v>
      </c>
      <c r="J87" s="16">
        <f>MIN(0.25+(INDEX('Stat Boosts'!$D$2:$D$192,J$1-9)-10)*$C87,10.22)</f>
        <v>0.74811320754716981</v>
      </c>
      <c r="K87" s="16">
        <f>MIN(0.25+(INDEX('Stat Boosts'!$D$2:$D$192,K$1-9)-10)*$C87,10.22)</f>
        <v>0.9594339622641509</v>
      </c>
      <c r="L87" s="16">
        <f>MIN(0.25+(INDEX('Stat Boosts'!$D$2:$D$192,L$1-9)-10)*$C87,10.22)</f>
        <v>1.0349056603773585</v>
      </c>
      <c r="M87" s="16">
        <f>MIN(0.25+(INDEX('Stat Boosts'!$D$2:$D$192,M$1-9)-10)*$C87,10.22)</f>
        <v>1.1405660377358491</v>
      </c>
      <c r="N87" s="16">
        <f>MIN(0.25+(INDEX('Stat Boosts'!$D$2:$D$192,N$1-9)-10)*$C87,10.22)</f>
        <v>1.2764150943396226</v>
      </c>
      <c r="O87" s="16">
        <f>MIN(0.25+(INDEX('Stat Boosts'!$D$2:$D$192,O$1-9)-10)*$C87,10.22)</f>
        <v>1.3518867924528302</v>
      </c>
      <c r="P87" s="16">
        <f>MIN(0.25+(INDEX('Stat Boosts'!$D$2:$D$192,P$1-9)-10)*$C87,10.22)</f>
        <v>1.4726415094339622</v>
      </c>
      <c r="Q87" s="16">
        <f>MIN(0.25+(INDEX('Stat Boosts'!$D$2:$D$192,Q$1-9)-10)*$C87,10.22)</f>
        <v>1.5933962264150943</v>
      </c>
      <c r="R87" s="16">
        <f>MIN(0.25+(INDEX('Stat Boosts'!$D$2:$D$192,R$1-9)-10)*$C87,10.22)</f>
        <v>1.7141509433962265</v>
      </c>
    </row>
    <row r="88" spans="1:18">
      <c r="A88" s="9">
        <v>87</v>
      </c>
      <c r="B88" s="16">
        <f t="shared" si="2"/>
        <v>36.75</v>
      </c>
      <c r="C88" s="16">
        <f t="shared" si="3"/>
        <v>1.4953271028037384E-2</v>
      </c>
      <c r="E88" s="16">
        <f>MIN(0.25+(INDEX('Stat Boosts'!$D$2:$D$192,E$1-9)-10)*$C88,10.22)</f>
        <v>0.25</v>
      </c>
      <c r="F88" s="16">
        <f>MIN(0.25+(INDEX('Stat Boosts'!$D$2:$D$192,F$1-9)-10)*$C88,10.22)</f>
        <v>0.35467289719626172</v>
      </c>
      <c r="G88" s="16">
        <f>MIN(0.25+(INDEX('Stat Boosts'!$D$2:$D$192,G$1-9)-10)*$C88,10.22)</f>
        <v>0.45934579439252338</v>
      </c>
      <c r="H88" s="16">
        <f>MIN(0.25+(INDEX('Stat Boosts'!$D$2:$D$192,H$1-9)-10)*$C88,10.22)</f>
        <v>0.56401869158878504</v>
      </c>
      <c r="I88" s="16">
        <f>MIN(0.25+(INDEX('Stat Boosts'!$D$2:$D$192,I$1-9)-10)*$C88,10.22)</f>
        <v>0.6537383177570093</v>
      </c>
      <c r="J88" s="16">
        <f>MIN(0.25+(INDEX('Stat Boosts'!$D$2:$D$192,J$1-9)-10)*$C88,10.22)</f>
        <v>0.74345794392523368</v>
      </c>
      <c r="K88" s="16">
        <f>MIN(0.25+(INDEX('Stat Boosts'!$D$2:$D$192,K$1-9)-10)*$C88,10.22)</f>
        <v>0.952803738317757</v>
      </c>
      <c r="L88" s="16">
        <f>MIN(0.25+(INDEX('Stat Boosts'!$D$2:$D$192,L$1-9)-10)*$C88,10.22)</f>
        <v>1.0275700934579439</v>
      </c>
      <c r="M88" s="16">
        <f>MIN(0.25+(INDEX('Stat Boosts'!$D$2:$D$192,M$1-9)-10)*$C88,10.22)</f>
        <v>1.1322429906542055</v>
      </c>
      <c r="N88" s="16">
        <f>MIN(0.25+(INDEX('Stat Boosts'!$D$2:$D$192,N$1-9)-10)*$C88,10.22)</f>
        <v>1.266822429906542</v>
      </c>
      <c r="O88" s="16">
        <f>MIN(0.25+(INDEX('Stat Boosts'!$D$2:$D$192,O$1-9)-10)*$C88,10.22)</f>
        <v>1.341588785046729</v>
      </c>
      <c r="P88" s="16">
        <f>MIN(0.25+(INDEX('Stat Boosts'!$D$2:$D$192,P$1-9)-10)*$C88,10.22)</f>
        <v>1.4612149532710281</v>
      </c>
      <c r="Q88" s="16">
        <f>MIN(0.25+(INDEX('Stat Boosts'!$D$2:$D$192,Q$1-9)-10)*$C88,10.22)</f>
        <v>1.5808411214953271</v>
      </c>
      <c r="R88" s="16">
        <f>MIN(0.25+(INDEX('Stat Boosts'!$D$2:$D$192,R$1-9)-10)*$C88,10.22)</f>
        <v>1.7004672897196262</v>
      </c>
    </row>
    <row r="89" spans="1:18">
      <c r="A89" s="9">
        <v>88</v>
      </c>
      <c r="B89" s="16">
        <f t="shared" si="2"/>
        <v>37</v>
      </c>
      <c r="C89" s="16">
        <f t="shared" si="3"/>
        <v>1.4814814814814815E-2</v>
      </c>
      <c r="E89" s="16">
        <f>MIN(0.25+(INDEX('Stat Boosts'!$D$2:$D$192,E$1-9)-10)*$C89,10.22)</f>
        <v>0.25</v>
      </c>
      <c r="F89" s="16">
        <f>MIN(0.25+(INDEX('Stat Boosts'!$D$2:$D$192,F$1-9)-10)*$C89,10.22)</f>
        <v>0.35370370370370374</v>
      </c>
      <c r="G89" s="16">
        <f>MIN(0.25+(INDEX('Stat Boosts'!$D$2:$D$192,G$1-9)-10)*$C89,10.22)</f>
        <v>0.45740740740740743</v>
      </c>
      <c r="H89" s="16">
        <f>MIN(0.25+(INDEX('Stat Boosts'!$D$2:$D$192,H$1-9)-10)*$C89,10.22)</f>
        <v>0.56111111111111112</v>
      </c>
      <c r="I89" s="16">
        <f>MIN(0.25+(INDEX('Stat Boosts'!$D$2:$D$192,I$1-9)-10)*$C89,10.22)</f>
        <v>0.65</v>
      </c>
      <c r="J89" s="16">
        <f>MIN(0.25+(INDEX('Stat Boosts'!$D$2:$D$192,J$1-9)-10)*$C89,10.22)</f>
        <v>0.73888888888888893</v>
      </c>
      <c r="K89" s="16">
        <f>MIN(0.25+(INDEX('Stat Boosts'!$D$2:$D$192,K$1-9)-10)*$C89,10.22)</f>
        <v>0.9462962962962963</v>
      </c>
      <c r="L89" s="16">
        <f>MIN(0.25+(INDEX('Stat Boosts'!$D$2:$D$192,L$1-9)-10)*$C89,10.22)</f>
        <v>1.0203703703703704</v>
      </c>
      <c r="M89" s="16">
        <f>MIN(0.25+(INDEX('Stat Boosts'!$D$2:$D$192,M$1-9)-10)*$C89,10.22)</f>
        <v>1.1240740740740742</v>
      </c>
      <c r="N89" s="16">
        <f>MIN(0.25+(INDEX('Stat Boosts'!$D$2:$D$192,N$1-9)-10)*$C89,10.22)</f>
        <v>1.2574074074074075</v>
      </c>
      <c r="O89" s="16">
        <f>MIN(0.25+(INDEX('Stat Boosts'!$D$2:$D$192,O$1-9)-10)*$C89,10.22)</f>
        <v>1.3314814814814815</v>
      </c>
      <c r="P89" s="16">
        <f>MIN(0.25+(INDEX('Stat Boosts'!$D$2:$D$192,P$1-9)-10)*$C89,10.22)</f>
        <v>1.45</v>
      </c>
      <c r="Q89" s="16">
        <f>MIN(0.25+(INDEX('Stat Boosts'!$D$2:$D$192,Q$1-9)-10)*$C89,10.22)</f>
        <v>1.5685185185185186</v>
      </c>
      <c r="R89" s="16">
        <f>MIN(0.25+(INDEX('Stat Boosts'!$D$2:$D$192,R$1-9)-10)*$C89,10.22)</f>
        <v>1.6870370370370371</v>
      </c>
    </row>
    <row r="90" spans="1:18">
      <c r="A90" s="9">
        <v>89</v>
      </c>
      <c r="B90" s="16">
        <f t="shared" si="2"/>
        <v>37.25</v>
      </c>
      <c r="C90" s="16">
        <f t="shared" si="3"/>
        <v>1.4678899082568808E-2</v>
      </c>
      <c r="E90" s="16">
        <f>MIN(0.25+(INDEX('Stat Boosts'!$D$2:$D$192,E$1-9)-10)*$C90,10.22)</f>
        <v>0.25</v>
      </c>
      <c r="F90" s="16">
        <f>MIN(0.25+(INDEX('Stat Boosts'!$D$2:$D$192,F$1-9)-10)*$C90,10.22)</f>
        <v>0.35275229357798166</v>
      </c>
      <c r="G90" s="16">
        <f>MIN(0.25+(INDEX('Stat Boosts'!$D$2:$D$192,G$1-9)-10)*$C90,10.22)</f>
        <v>0.45550458715596331</v>
      </c>
      <c r="H90" s="16">
        <f>MIN(0.25+(INDEX('Stat Boosts'!$D$2:$D$192,H$1-9)-10)*$C90,10.22)</f>
        <v>0.55825688073394497</v>
      </c>
      <c r="I90" s="16">
        <f>MIN(0.25+(INDEX('Stat Boosts'!$D$2:$D$192,I$1-9)-10)*$C90,10.22)</f>
        <v>0.64633027522935782</v>
      </c>
      <c r="J90" s="16">
        <f>MIN(0.25+(INDEX('Stat Boosts'!$D$2:$D$192,J$1-9)-10)*$C90,10.22)</f>
        <v>0.73440366972477067</v>
      </c>
      <c r="K90" s="16">
        <f>MIN(0.25+(INDEX('Stat Boosts'!$D$2:$D$192,K$1-9)-10)*$C90,10.22)</f>
        <v>0.93990825688073398</v>
      </c>
      <c r="L90" s="16">
        <f>MIN(0.25+(INDEX('Stat Boosts'!$D$2:$D$192,L$1-9)-10)*$C90,10.22)</f>
        <v>1.013302752293578</v>
      </c>
      <c r="M90" s="16">
        <f>MIN(0.25+(INDEX('Stat Boosts'!$D$2:$D$192,M$1-9)-10)*$C90,10.22)</f>
        <v>1.1160550458715597</v>
      </c>
      <c r="N90" s="16">
        <f>MIN(0.25+(INDEX('Stat Boosts'!$D$2:$D$192,N$1-9)-10)*$C90,10.22)</f>
        <v>1.248165137614679</v>
      </c>
      <c r="O90" s="16">
        <f>MIN(0.25+(INDEX('Stat Boosts'!$D$2:$D$192,O$1-9)-10)*$C90,10.22)</f>
        <v>1.321559633027523</v>
      </c>
      <c r="P90" s="16">
        <f>MIN(0.25+(INDEX('Stat Boosts'!$D$2:$D$192,P$1-9)-10)*$C90,10.22)</f>
        <v>1.4389908256880735</v>
      </c>
      <c r="Q90" s="16">
        <f>MIN(0.25+(INDEX('Stat Boosts'!$D$2:$D$192,Q$1-9)-10)*$C90,10.22)</f>
        <v>1.5564220183486239</v>
      </c>
      <c r="R90" s="16">
        <f>MIN(0.25+(INDEX('Stat Boosts'!$D$2:$D$192,R$1-9)-10)*$C90,10.22)</f>
        <v>1.6738532110091744</v>
      </c>
    </row>
    <row r="91" spans="1:18">
      <c r="A91" s="9">
        <v>90</v>
      </c>
      <c r="B91" s="16">
        <f t="shared" si="2"/>
        <v>37.5</v>
      </c>
      <c r="C91" s="16">
        <f t="shared" si="3"/>
        <v>1.4545454545454545E-2</v>
      </c>
      <c r="E91" s="16">
        <f>MIN(0.25+(INDEX('Stat Boosts'!$D$2:$D$192,E$1-9)-10)*$C91,10.22)</f>
        <v>0.25</v>
      </c>
      <c r="F91" s="16">
        <f>MIN(0.25+(INDEX('Stat Boosts'!$D$2:$D$192,F$1-9)-10)*$C91,10.22)</f>
        <v>0.35181818181818181</v>
      </c>
      <c r="G91" s="16">
        <f>MIN(0.25+(INDEX('Stat Boosts'!$D$2:$D$192,G$1-9)-10)*$C91,10.22)</f>
        <v>0.45363636363636362</v>
      </c>
      <c r="H91" s="16">
        <f>MIN(0.25+(INDEX('Stat Boosts'!$D$2:$D$192,H$1-9)-10)*$C91,10.22)</f>
        <v>0.55545454545454542</v>
      </c>
      <c r="I91" s="16">
        <f>MIN(0.25+(INDEX('Stat Boosts'!$D$2:$D$192,I$1-9)-10)*$C91,10.22)</f>
        <v>0.6427272727272727</v>
      </c>
      <c r="J91" s="16">
        <f>MIN(0.25+(INDEX('Stat Boosts'!$D$2:$D$192,J$1-9)-10)*$C91,10.22)</f>
        <v>0.73</v>
      </c>
      <c r="K91" s="16">
        <f>MIN(0.25+(INDEX('Stat Boosts'!$D$2:$D$192,K$1-9)-10)*$C91,10.22)</f>
        <v>0.9336363636363636</v>
      </c>
      <c r="L91" s="16">
        <f>MIN(0.25+(INDEX('Stat Boosts'!$D$2:$D$192,L$1-9)-10)*$C91,10.22)</f>
        <v>1.0063636363636363</v>
      </c>
      <c r="M91" s="16">
        <f>MIN(0.25+(INDEX('Stat Boosts'!$D$2:$D$192,M$1-9)-10)*$C91,10.22)</f>
        <v>1.1081818181818182</v>
      </c>
      <c r="N91" s="16">
        <f>MIN(0.25+(INDEX('Stat Boosts'!$D$2:$D$192,N$1-9)-10)*$C91,10.22)</f>
        <v>1.2390909090909092</v>
      </c>
      <c r="O91" s="16">
        <f>MIN(0.25+(INDEX('Stat Boosts'!$D$2:$D$192,O$1-9)-10)*$C91,10.22)</f>
        <v>1.3118181818181818</v>
      </c>
      <c r="P91" s="16">
        <f>MIN(0.25+(INDEX('Stat Boosts'!$D$2:$D$192,P$1-9)-10)*$C91,10.22)</f>
        <v>1.4281818181818182</v>
      </c>
      <c r="Q91" s="16">
        <f>MIN(0.25+(INDEX('Stat Boosts'!$D$2:$D$192,Q$1-9)-10)*$C91,10.22)</f>
        <v>1.5445454545454544</v>
      </c>
      <c r="R91" s="16">
        <f>MIN(0.25+(INDEX('Stat Boosts'!$D$2:$D$192,R$1-9)-10)*$C91,10.22)</f>
        <v>1.6609090909090909</v>
      </c>
    </row>
    <row r="92" spans="1:18">
      <c r="A92" s="9">
        <v>91</v>
      </c>
      <c r="B92" s="16">
        <f t="shared" si="2"/>
        <v>37.75</v>
      </c>
      <c r="C92" s="16">
        <f t="shared" si="3"/>
        <v>1.4414414414414415E-2</v>
      </c>
      <c r="E92" s="16">
        <f>MIN(0.25+(INDEX('Stat Boosts'!$D$2:$D$192,E$1-9)-10)*$C92,10.22)</f>
        <v>0.25</v>
      </c>
      <c r="F92" s="16">
        <f>MIN(0.25+(INDEX('Stat Boosts'!$D$2:$D$192,F$1-9)-10)*$C92,10.22)</f>
        <v>0.35090090090090087</v>
      </c>
      <c r="G92" s="16">
        <f>MIN(0.25+(INDEX('Stat Boosts'!$D$2:$D$192,G$1-9)-10)*$C92,10.22)</f>
        <v>0.45180180180180179</v>
      </c>
      <c r="H92" s="16">
        <f>MIN(0.25+(INDEX('Stat Boosts'!$D$2:$D$192,H$1-9)-10)*$C92,10.22)</f>
        <v>0.55270270270270272</v>
      </c>
      <c r="I92" s="16">
        <f>MIN(0.25+(INDEX('Stat Boosts'!$D$2:$D$192,I$1-9)-10)*$C92,10.22)</f>
        <v>0.63918918918918921</v>
      </c>
      <c r="J92" s="16">
        <f>MIN(0.25+(INDEX('Stat Boosts'!$D$2:$D$192,J$1-9)-10)*$C92,10.22)</f>
        <v>0.7256756756756757</v>
      </c>
      <c r="K92" s="16">
        <f>MIN(0.25+(INDEX('Stat Boosts'!$D$2:$D$192,K$1-9)-10)*$C92,10.22)</f>
        <v>0.92747747747747744</v>
      </c>
      <c r="L92" s="16">
        <f>MIN(0.25+(INDEX('Stat Boosts'!$D$2:$D$192,L$1-9)-10)*$C92,10.22)</f>
        <v>0.99954954954954955</v>
      </c>
      <c r="M92" s="16">
        <f>MIN(0.25+(INDEX('Stat Boosts'!$D$2:$D$192,M$1-9)-10)*$C92,10.22)</f>
        <v>1.1004504504504504</v>
      </c>
      <c r="N92" s="16">
        <f>MIN(0.25+(INDEX('Stat Boosts'!$D$2:$D$192,N$1-9)-10)*$C92,10.22)</f>
        <v>1.2301801801801802</v>
      </c>
      <c r="O92" s="16">
        <f>MIN(0.25+(INDEX('Stat Boosts'!$D$2:$D$192,O$1-9)-10)*$C92,10.22)</f>
        <v>1.3022522522522522</v>
      </c>
      <c r="P92" s="16">
        <f>MIN(0.25+(INDEX('Stat Boosts'!$D$2:$D$192,P$1-9)-10)*$C92,10.22)</f>
        <v>1.4175675675675676</v>
      </c>
      <c r="Q92" s="16">
        <f>MIN(0.25+(INDEX('Stat Boosts'!$D$2:$D$192,Q$1-9)-10)*$C92,10.22)</f>
        <v>1.5328828828828829</v>
      </c>
      <c r="R92" s="16">
        <f>MIN(0.25+(INDEX('Stat Boosts'!$D$2:$D$192,R$1-9)-10)*$C92,10.22)</f>
        <v>1.6481981981981981</v>
      </c>
    </row>
    <row r="93" spans="1:18">
      <c r="A93" s="9">
        <v>92</v>
      </c>
      <c r="B93" s="16">
        <f t="shared" si="2"/>
        <v>38</v>
      </c>
      <c r="C93" s="16">
        <f t="shared" si="3"/>
        <v>1.4285714285714287E-2</v>
      </c>
      <c r="E93" s="16">
        <f>MIN(0.25+(INDEX('Stat Boosts'!$D$2:$D$192,E$1-9)-10)*$C93,10.22)</f>
        <v>0.25</v>
      </c>
      <c r="F93" s="16">
        <f>MIN(0.25+(INDEX('Stat Boosts'!$D$2:$D$192,F$1-9)-10)*$C93,10.22)</f>
        <v>0.35</v>
      </c>
      <c r="G93" s="16">
        <f>MIN(0.25+(INDEX('Stat Boosts'!$D$2:$D$192,G$1-9)-10)*$C93,10.22)</f>
        <v>0.45</v>
      </c>
      <c r="H93" s="16">
        <f>MIN(0.25+(INDEX('Stat Boosts'!$D$2:$D$192,H$1-9)-10)*$C93,10.22)</f>
        <v>0.55000000000000004</v>
      </c>
      <c r="I93" s="16">
        <f>MIN(0.25+(INDEX('Stat Boosts'!$D$2:$D$192,I$1-9)-10)*$C93,10.22)</f>
        <v>0.63571428571428568</v>
      </c>
      <c r="J93" s="16">
        <f>MIN(0.25+(INDEX('Stat Boosts'!$D$2:$D$192,J$1-9)-10)*$C93,10.22)</f>
        <v>0.72142857142857153</v>
      </c>
      <c r="K93" s="16">
        <f>MIN(0.25+(INDEX('Stat Boosts'!$D$2:$D$192,K$1-9)-10)*$C93,10.22)</f>
        <v>0.92142857142857149</v>
      </c>
      <c r="L93" s="16">
        <f>MIN(0.25+(INDEX('Stat Boosts'!$D$2:$D$192,L$1-9)-10)*$C93,10.22)</f>
        <v>0.99285714285714288</v>
      </c>
      <c r="M93" s="16">
        <f>MIN(0.25+(INDEX('Stat Boosts'!$D$2:$D$192,M$1-9)-10)*$C93,10.22)</f>
        <v>1.092857142857143</v>
      </c>
      <c r="N93" s="16">
        <f>MIN(0.25+(INDEX('Stat Boosts'!$D$2:$D$192,N$1-9)-10)*$C93,10.22)</f>
        <v>1.2214285714285715</v>
      </c>
      <c r="O93" s="16">
        <f>MIN(0.25+(INDEX('Stat Boosts'!$D$2:$D$192,O$1-9)-10)*$C93,10.22)</f>
        <v>1.2928571428571429</v>
      </c>
      <c r="P93" s="16">
        <f>MIN(0.25+(INDEX('Stat Boosts'!$D$2:$D$192,P$1-9)-10)*$C93,10.22)</f>
        <v>1.4071428571428573</v>
      </c>
      <c r="Q93" s="16">
        <f>MIN(0.25+(INDEX('Stat Boosts'!$D$2:$D$192,Q$1-9)-10)*$C93,10.22)</f>
        <v>1.5214285714285716</v>
      </c>
      <c r="R93" s="16">
        <f>MIN(0.25+(INDEX('Stat Boosts'!$D$2:$D$192,R$1-9)-10)*$C93,10.22)</f>
        <v>1.6357142857142859</v>
      </c>
    </row>
    <row r="94" spans="1:18">
      <c r="A94" s="9">
        <v>93</v>
      </c>
      <c r="B94" s="16">
        <f t="shared" si="2"/>
        <v>38.25</v>
      </c>
      <c r="C94" s="16">
        <f t="shared" si="3"/>
        <v>1.4159292035398232E-2</v>
      </c>
      <c r="E94" s="16">
        <f>MIN(0.25+(INDEX('Stat Boosts'!$D$2:$D$192,E$1-9)-10)*$C94,10.22)</f>
        <v>0.25</v>
      </c>
      <c r="F94" s="16">
        <f>MIN(0.25+(INDEX('Stat Boosts'!$D$2:$D$192,F$1-9)-10)*$C94,10.22)</f>
        <v>0.34911504424778761</v>
      </c>
      <c r="G94" s="16">
        <f>MIN(0.25+(INDEX('Stat Boosts'!$D$2:$D$192,G$1-9)-10)*$C94,10.22)</f>
        <v>0.44823008849557522</v>
      </c>
      <c r="H94" s="16">
        <f>MIN(0.25+(INDEX('Stat Boosts'!$D$2:$D$192,H$1-9)-10)*$C94,10.22)</f>
        <v>0.54734513274336294</v>
      </c>
      <c r="I94" s="16">
        <f>MIN(0.25+(INDEX('Stat Boosts'!$D$2:$D$192,I$1-9)-10)*$C94,10.22)</f>
        <v>0.63230088495575232</v>
      </c>
      <c r="J94" s="16">
        <f>MIN(0.25+(INDEX('Stat Boosts'!$D$2:$D$192,J$1-9)-10)*$C94,10.22)</f>
        <v>0.7172566371681417</v>
      </c>
      <c r="K94" s="16">
        <f>MIN(0.25+(INDEX('Stat Boosts'!$D$2:$D$192,K$1-9)-10)*$C94,10.22)</f>
        <v>0.91548672566371692</v>
      </c>
      <c r="L94" s="16">
        <f>MIN(0.25+(INDEX('Stat Boosts'!$D$2:$D$192,L$1-9)-10)*$C94,10.22)</f>
        <v>0.98628318584070807</v>
      </c>
      <c r="M94" s="16">
        <f>MIN(0.25+(INDEX('Stat Boosts'!$D$2:$D$192,M$1-9)-10)*$C94,10.22)</f>
        <v>1.0853982300884957</v>
      </c>
      <c r="N94" s="16">
        <f>MIN(0.25+(INDEX('Stat Boosts'!$D$2:$D$192,N$1-9)-10)*$C94,10.22)</f>
        <v>1.2128318584070796</v>
      </c>
      <c r="O94" s="16">
        <f>MIN(0.25+(INDEX('Stat Boosts'!$D$2:$D$192,O$1-9)-10)*$C94,10.22)</f>
        <v>1.2836283185840709</v>
      </c>
      <c r="P94" s="16">
        <f>MIN(0.25+(INDEX('Stat Boosts'!$D$2:$D$192,P$1-9)-10)*$C94,10.22)</f>
        <v>1.3969026548672567</v>
      </c>
      <c r="Q94" s="16">
        <f>MIN(0.25+(INDEX('Stat Boosts'!$D$2:$D$192,Q$1-9)-10)*$C94,10.22)</f>
        <v>1.5101769911504426</v>
      </c>
      <c r="R94" s="16">
        <f>MIN(0.25+(INDEX('Stat Boosts'!$D$2:$D$192,R$1-9)-10)*$C94,10.22)</f>
        <v>1.6234513274336284</v>
      </c>
    </row>
    <row r="95" spans="1:18">
      <c r="A95" s="9">
        <v>94</v>
      </c>
      <c r="B95" s="16">
        <f t="shared" si="2"/>
        <v>38.5</v>
      </c>
      <c r="C95" s="16">
        <f t="shared" si="3"/>
        <v>1.4035087719298246E-2</v>
      </c>
      <c r="E95" s="16">
        <f>MIN(0.25+(INDEX('Stat Boosts'!$D$2:$D$192,E$1-9)-10)*$C95,10.22)</f>
        <v>0.25</v>
      </c>
      <c r="F95" s="16">
        <f>MIN(0.25+(INDEX('Stat Boosts'!$D$2:$D$192,F$1-9)-10)*$C95,10.22)</f>
        <v>0.34824561403508769</v>
      </c>
      <c r="G95" s="16">
        <f>MIN(0.25+(INDEX('Stat Boosts'!$D$2:$D$192,G$1-9)-10)*$C95,10.22)</f>
        <v>0.44649122807017544</v>
      </c>
      <c r="H95" s="16">
        <f>MIN(0.25+(INDEX('Stat Boosts'!$D$2:$D$192,H$1-9)-10)*$C95,10.22)</f>
        <v>0.54473684210526319</v>
      </c>
      <c r="I95" s="16">
        <f>MIN(0.25+(INDEX('Stat Boosts'!$D$2:$D$192,I$1-9)-10)*$C95,10.22)</f>
        <v>0.6289473684210527</v>
      </c>
      <c r="J95" s="16">
        <f>MIN(0.25+(INDEX('Stat Boosts'!$D$2:$D$192,J$1-9)-10)*$C95,10.22)</f>
        <v>0.7131578947368421</v>
      </c>
      <c r="K95" s="16">
        <f>MIN(0.25+(INDEX('Stat Boosts'!$D$2:$D$192,K$1-9)-10)*$C95,10.22)</f>
        <v>0.9096491228070176</v>
      </c>
      <c r="L95" s="16">
        <f>MIN(0.25+(INDEX('Stat Boosts'!$D$2:$D$192,L$1-9)-10)*$C95,10.22)</f>
        <v>0.97982456140350882</v>
      </c>
      <c r="M95" s="16">
        <f>MIN(0.25+(INDEX('Stat Boosts'!$D$2:$D$192,M$1-9)-10)*$C95,10.22)</f>
        <v>1.0780701754385964</v>
      </c>
      <c r="N95" s="16">
        <f>MIN(0.25+(INDEX('Stat Boosts'!$D$2:$D$192,N$1-9)-10)*$C95,10.22)</f>
        <v>1.2043859649122806</v>
      </c>
      <c r="O95" s="16">
        <f>MIN(0.25+(INDEX('Stat Boosts'!$D$2:$D$192,O$1-9)-10)*$C95,10.22)</f>
        <v>1.274561403508772</v>
      </c>
      <c r="P95" s="16">
        <f>MIN(0.25+(INDEX('Stat Boosts'!$D$2:$D$192,P$1-9)-10)*$C95,10.22)</f>
        <v>1.3868421052631579</v>
      </c>
      <c r="Q95" s="16">
        <f>MIN(0.25+(INDEX('Stat Boosts'!$D$2:$D$192,Q$1-9)-10)*$C95,10.22)</f>
        <v>1.499122807017544</v>
      </c>
      <c r="R95" s="16">
        <f>MIN(0.25+(INDEX('Stat Boosts'!$D$2:$D$192,R$1-9)-10)*$C95,10.22)</f>
        <v>1.6114035087719298</v>
      </c>
    </row>
    <row r="96" spans="1:18">
      <c r="A96" s="9">
        <v>95</v>
      </c>
      <c r="B96" s="16">
        <f t="shared" si="2"/>
        <v>38.75</v>
      </c>
      <c r="C96" s="16">
        <f t="shared" si="3"/>
        <v>1.391304347826087E-2</v>
      </c>
      <c r="E96" s="16">
        <f>MIN(0.25+(INDEX('Stat Boosts'!$D$2:$D$192,E$1-9)-10)*$C96,10.22)</f>
        <v>0.25</v>
      </c>
      <c r="F96" s="16">
        <f>MIN(0.25+(INDEX('Stat Boosts'!$D$2:$D$192,F$1-9)-10)*$C96,10.22)</f>
        <v>0.34739130434782606</v>
      </c>
      <c r="G96" s="16">
        <f>MIN(0.25+(INDEX('Stat Boosts'!$D$2:$D$192,G$1-9)-10)*$C96,10.22)</f>
        <v>0.44478260869565217</v>
      </c>
      <c r="H96" s="16">
        <f>MIN(0.25+(INDEX('Stat Boosts'!$D$2:$D$192,H$1-9)-10)*$C96,10.22)</f>
        <v>0.54217391304347828</v>
      </c>
      <c r="I96" s="16">
        <f>MIN(0.25+(INDEX('Stat Boosts'!$D$2:$D$192,I$1-9)-10)*$C96,10.22)</f>
        <v>0.62565217391304351</v>
      </c>
      <c r="J96" s="16">
        <f>MIN(0.25+(INDEX('Stat Boosts'!$D$2:$D$192,J$1-9)-10)*$C96,10.22)</f>
        <v>0.70913043478260873</v>
      </c>
      <c r="K96" s="16">
        <f>MIN(0.25+(INDEX('Stat Boosts'!$D$2:$D$192,K$1-9)-10)*$C96,10.22)</f>
        <v>0.90391304347826085</v>
      </c>
      <c r="L96" s="16">
        <f>MIN(0.25+(INDEX('Stat Boosts'!$D$2:$D$192,L$1-9)-10)*$C96,10.22)</f>
        <v>0.97347826086956524</v>
      </c>
      <c r="M96" s="16">
        <f>MIN(0.25+(INDEX('Stat Boosts'!$D$2:$D$192,M$1-9)-10)*$C96,10.22)</f>
        <v>1.0708695652173912</v>
      </c>
      <c r="N96" s="16">
        <f>MIN(0.25+(INDEX('Stat Boosts'!$D$2:$D$192,N$1-9)-10)*$C96,10.22)</f>
        <v>1.1960869565217391</v>
      </c>
      <c r="O96" s="16">
        <f>MIN(0.25+(INDEX('Stat Boosts'!$D$2:$D$192,O$1-9)-10)*$C96,10.22)</f>
        <v>1.2656521739130435</v>
      </c>
      <c r="P96" s="16">
        <f>MIN(0.25+(INDEX('Stat Boosts'!$D$2:$D$192,P$1-9)-10)*$C96,10.22)</f>
        <v>1.3769565217391304</v>
      </c>
      <c r="Q96" s="16">
        <f>MIN(0.25+(INDEX('Stat Boosts'!$D$2:$D$192,Q$1-9)-10)*$C96,10.22)</f>
        <v>1.4882608695652175</v>
      </c>
      <c r="R96" s="16">
        <f>MIN(0.25+(INDEX('Stat Boosts'!$D$2:$D$192,R$1-9)-10)*$C96,10.22)</f>
        <v>1.5995652173913044</v>
      </c>
    </row>
    <row r="97" spans="1:18">
      <c r="A97" s="9">
        <v>96</v>
      </c>
      <c r="B97" s="16">
        <f t="shared" si="2"/>
        <v>39</v>
      </c>
      <c r="C97" s="16">
        <f t="shared" si="3"/>
        <v>1.3793103448275864E-2</v>
      </c>
      <c r="E97" s="16">
        <f>MIN(0.25+(INDEX('Stat Boosts'!$D$2:$D$192,E$1-9)-10)*$C97,10.22)</f>
        <v>0.25</v>
      </c>
      <c r="F97" s="16">
        <f>MIN(0.25+(INDEX('Stat Boosts'!$D$2:$D$192,F$1-9)-10)*$C97,10.22)</f>
        <v>0.34655172413793106</v>
      </c>
      <c r="G97" s="16">
        <f>MIN(0.25+(INDEX('Stat Boosts'!$D$2:$D$192,G$1-9)-10)*$C97,10.22)</f>
        <v>0.44310344827586212</v>
      </c>
      <c r="H97" s="16">
        <f>MIN(0.25+(INDEX('Stat Boosts'!$D$2:$D$192,H$1-9)-10)*$C97,10.22)</f>
        <v>0.53965517241379313</v>
      </c>
      <c r="I97" s="16">
        <f>MIN(0.25+(INDEX('Stat Boosts'!$D$2:$D$192,I$1-9)-10)*$C97,10.22)</f>
        <v>0.62241379310344835</v>
      </c>
      <c r="J97" s="16">
        <f>MIN(0.25+(INDEX('Stat Boosts'!$D$2:$D$192,J$1-9)-10)*$C97,10.22)</f>
        <v>0.70517241379310347</v>
      </c>
      <c r="K97" s="16">
        <f>MIN(0.25+(INDEX('Stat Boosts'!$D$2:$D$192,K$1-9)-10)*$C97,10.22)</f>
        <v>0.89827586206896559</v>
      </c>
      <c r="L97" s="16">
        <f>MIN(0.25+(INDEX('Stat Boosts'!$D$2:$D$192,L$1-9)-10)*$C97,10.22)</f>
        <v>0.96724137931034493</v>
      </c>
      <c r="M97" s="16">
        <f>MIN(0.25+(INDEX('Stat Boosts'!$D$2:$D$192,M$1-9)-10)*$C97,10.22)</f>
        <v>1.0637931034482759</v>
      </c>
      <c r="N97" s="16">
        <f>MIN(0.25+(INDEX('Stat Boosts'!$D$2:$D$192,N$1-9)-10)*$C97,10.22)</f>
        <v>1.1879310344827587</v>
      </c>
      <c r="O97" s="16">
        <f>MIN(0.25+(INDEX('Stat Boosts'!$D$2:$D$192,O$1-9)-10)*$C97,10.22)</f>
        <v>1.2568965517241379</v>
      </c>
      <c r="P97" s="16">
        <f>MIN(0.25+(INDEX('Stat Boosts'!$D$2:$D$192,P$1-9)-10)*$C97,10.22)</f>
        <v>1.3672413793103451</v>
      </c>
      <c r="Q97" s="16">
        <f>MIN(0.25+(INDEX('Stat Boosts'!$D$2:$D$192,Q$1-9)-10)*$C97,10.22)</f>
        <v>1.477586206896552</v>
      </c>
      <c r="R97" s="16">
        <f>MIN(0.25+(INDEX('Stat Boosts'!$D$2:$D$192,R$1-9)-10)*$C97,10.22)</f>
        <v>1.5879310344827589</v>
      </c>
    </row>
    <row r="98" spans="1:18">
      <c r="A98" s="9">
        <v>97</v>
      </c>
      <c r="B98" s="16">
        <f t="shared" si="2"/>
        <v>39.25</v>
      </c>
      <c r="C98" s="16">
        <f t="shared" si="3"/>
        <v>1.3675213675213675E-2</v>
      </c>
      <c r="E98" s="16">
        <f>MIN(0.25+(INDEX('Stat Boosts'!$D$2:$D$192,E$1-9)-10)*$C98,10.22)</f>
        <v>0.25</v>
      </c>
      <c r="F98" s="16">
        <f>MIN(0.25+(INDEX('Stat Boosts'!$D$2:$D$192,F$1-9)-10)*$C98,10.22)</f>
        <v>0.34572649572649572</v>
      </c>
      <c r="G98" s="16">
        <f>MIN(0.25+(INDEX('Stat Boosts'!$D$2:$D$192,G$1-9)-10)*$C98,10.22)</f>
        <v>0.44145299145299144</v>
      </c>
      <c r="H98" s="16">
        <f>MIN(0.25+(INDEX('Stat Boosts'!$D$2:$D$192,H$1-9)-10)*$C98,10.22)</f>
        <v>0.53717948717948716</v>
      </c>
      <c r="I98" s="16">
        <f>MIN(0.25+(INDEX('Stat Boosts'!$D$2:$D$192,I$1-9)-10)*$C98,10.22)</f>
        <v>0.61923076923076925</v>
      </c>
      <c r="J98" s="16">
        <f>MIN(0.25+(INDEX('Stat Boosts'!$D$2:$D$192,J$1-9)-10)*$C98,10.22)</f>
        <v>0.70128205128205123</v>
      </c>
      <c r="K98" s="16">
        <f>MIN(0.25+(INDEX('Stat Boosts'!$D$2:$D$192,K$1-9)-10)*$C98,10.22)</f>
        <v>0.89273504273504278</v>
      </c>
      <c r="L98" s="16">
        <f>MIN(0.25+(INDEX('Stat Boosts'!$D$2:$D$192,L$1-9)-10)*$C98,10.22)</f>
        <v>0.96111111111111114</v>
      </c>
      <c r="M98" s="16">
        <f>MIN(0.25+(INDEX('Stat Boosts'!$D$2:$D$192,M$1-9)-10)*$C98,10.22)</f>
        <v>1.0568376068376069</v>
      </c>
      <c r="N98" s="16">
        <f>MIN(0.25+(INDEX('Stat Boosts'!$D$2:$D$192,N$1-9)-10)*$C98,10.22)</f>
        <v>1.1799145299145299</v>
      </c>
      <c r="O98" s="16">
        <f>MIN(0.25+(INDEX('Stat Boosts'!$D$2:$D$192,O$1-9)-10)*$C98,10.22)</f>
        <v>1.2482905982905983</v>
      </c>
      <c r="P98" s="16">
        <f>MIN(0.25+(INDEX('Stat Boosts'!$D$2:$D$192,P$1-9)-10)*$C98,10.22)</f>
        <v>1.3576923076923078</v>
      </c>
      <c r="Q98" s="16">
        <f>MIN(0.25+(INDEX('Stat Boosts'!$D$2:$D$192,Q$1-9)-10)*$C98,10.22)</f>
        <v>1.467094017094017</v>
      </c>
      <c r="R98" s="16">
        <f>MIN(0.25+(INDEX('Stat Boosts'!$D$2:$D$192,R$1-9)-10)*$C98,10.22)</f>
        <v>1.5764957264957264</v>
      </c>
    </row>
    <row r="99" spans="1:18">
      <c r="A99" s="9">
        <v>98</v>
      </c>
      <c r="B99" s="16">
        <f t="shared" si="2"/>
        <v>39.5</v>
      </c>
      <c r="C99" s="16">
        <f t="shared" si="3"/>
        <v>1.3559322033898306E-2</v>
      </c>
      <c r="E99" s="16">
        <f>MIN(0.25+(INDEX('Stat Boosts'!$D$2:$D$192,E$1-9)-10)*$C99,10.22)</f>
        <v>0.25</v>
      </c>
      <c r="F99" s="16">
        <f>MIN(0.25+(INDEX('Stat Boosts'!$D$2:$D$192,F$1-9)-10)*$C99,10.22)</f>
        <v>0.34491525423728814</v>
      </c>
      <c r="G99" s="16">
        <f>MIN(0.25+(INDEX('Stat Boosts'!$D$2:$D$192,G$1-9)-10)*$C99,10.22)</f>
        <v>0.43983050847457628</v>
      </c>
      <c r="H99" s="16">
        <f>MIN(0.25+(INDEX('Stat Boosts'!$D$2:$D$192,H$1-9)-10)*$C99,10.22)</f>
        <v>0.53474576271186436</v>
      </c>
      <c r="I99" s="16">
        <f>MIN(0.25+(INDEX('Stat Boosts'!$D$2:$D$192,I$1-9)-10)*$C99,10.22)</f>
        <v>0.61610169491525424</v>
      </c>
      <c r="J99" s="16">
        <f>MIN(0.25+(INDEX('Stat Boosts'!$D$2:$D$192,J$1-9)-10)*$C99,10.22)</f>
        <v>0.69745762711864412</v>
      </c>
      <c r="K99" s="16">
        <f>MIN(0.25+(INDEX('Stat Boosts'!$D$2:$D$192,K$1-9)-10)*$C99,10.22)</f>
        <v>0.8872881355932204</v>
      </c>
      <c r="L99" s="16">
        <f>MIN(0.25+(INDEX('Stat Boosts'!$D$2:$D$192,L$1-9)-10)*$C99,10.22)</f>
        <v>0.95508474576271196</v>
      </c>
      <c r="M99" s="16">
        <f>MIN(0.25+(INDEX('Stat Boosts'!$D$2:$D$192,M$1-9)-10)*$C99,10.22)</f>
        <v>1.05</v>
      </c>
      <c r="N99" s="16">
        <f>MIN(0.25+(INDEX('Stat Boosts'!$D$2:$D$192,N$1-9)-10)*$C99,10.22)</f>
        <v>1.1720338983050849</v>
      </c>
      <c r="O99" s="16">
        <f>MIN(0.25+(INDEX('Stat Boosts'!$D$2:$D$192,O$1-9)-10)*$C99,10.22)</f>
        <v>1.2398305084745762</v>
      </c>
      <c r="P99" s="16">
        <f>MIN(0.25+(INDEX('Stat Boosts'!$D$2:$D$192,P$1-9)-10)*$C99,10.22)</f>
        <v>1.3483050847457627</v>
      </c>
      <c r="Q99" s="16">
        <f>MIN(0.25+(INDEX('Stat Boosts'!$D$2:$D$192,Q$1-9)-10)*$C99,10.22)</f>
        <v>1.4567796610169492</v>
      </c>
      <c r="R99" s="16">
        <f>MIN(0.25+(INDEX('Stat Boosts'!$D$2:$D$192,R$1-9)-10)*$C99,10.22)</f>
        <v>1.5652542372881357</v>
      </c>
    </row>
    <row r="100" spans="1:18">
      <c r="A100" s="9">
        <v>99</v>
      </c>
      <c r="B100" s="16">
        <f t="shared" si="2"/>
        <v>39.75</v>
      </c>
      <c r="C100" s="16">
        <f t="shared" si="3"/>
        <v>1.3445378151260505E-2</v>
      </c>
      <c r="E100" s="16">
        <f>MIN(0.25+(INDEX('Stat Boosts'!$D$2:$D$192,E$1-9)-10)*$C100,10.22)</f>
        <v>0.25</v>
      </c>
      <c r="F100" s="16">
        <f>MIN(0.25+(INDEX('Stat Boosts'!$D$2:$D$192,F$1-9)-10)*$C100,10.22)</f>
        <v>0.34411764705882353</v>
      </c>
      <c r="G100" s="16">
        <f>MIN(0.25+(INDEX('Stat Boosts'!$D$2:$D$192,G$1-9)-10)*$C100,10.22)</f>
        <v>0.43823529411764706</v>
      </c>
      <c r="H100" s="16">
        <f>MIN(0.25+(INDEX('Stat Boosts'!$D$2:$D$192,H$1-9)-10)*$C100,10.22)</f>
        <v>0.53235294117647058</v>
      </c>
      <c r="I100" s="16">
        <f>MIN(0.25+(INDEX('Stat Boosts'!$D$2:$D$192,I$1-9)-10)*$C100,10.22)</f>
        <v>0.61302521008403366</v>
      </c>
      <c r="J100" s="16">
        <f>MIN(0.25+(INDEX('Stat Boosts'!$D$2:$D$192,J$1-9)-10)*$C100,10.22)</f>
        <v>0.69369747899159662</v>
      </c>
      <c r="K100" s="16">
        <f>MIN(0.25+(INDEX('Stat Boosts'!$D$2:$D$192,K$1-9)-10)*$C100,10.22)</f>
        <v>0.88193277310924378</v>
      </c>
      <c r="L100" s="16">
        <f>MIN(0.25+(INDEX('Stat Boosts'!$D$2:$D$192,L$1-9)-10)*$C100,10.22)</f>
        <v>0.94915966386554629</v>
      </c>
      <c r="M100" s="16">
        <f>MIN(0.25+(INDEX('Stat Boosts'!$D$2:$D$192,M$1-9)-10)*$C100,10.22)</f>
        <v>1.0432773109243698</v>
      </c>
      <c r="N100" s="16">
        <f>MIN(0.25+(INDEX('Stat Boosts'!$D$2:$D$192,N$1-9)-10)*$C100,10.22)</f>
        <v>1.1642857142857144</v>
      </c>
      <c r="O100" s="16">
        <f>MIN(0.25+(INDEX('Stat Boosts'!$D$2:$D$192,O$1-9)-10)*$C100,10.22)</f>
        <v>1.2315126050420169</v>
      </c>
      <c r="P100" s="16">
        <f>MIN(0.25+(INDEX('Stat Boosts'!$D$2:$D$192,P$1-9)-10)*$C100,10.22)</f>
        <v>1.339075630252101</v>
      </c>
      <c r="Q100" s="16">
        <f>MIN(0.25+(INDEX('Stat Boosts'!$D$2:$D$192,Q$1-9)-10)*$C100,10.22)</f>
        <v>1.4466386554621848</v>
      </c>
      <c r="R100" s="16">
        <f>MIN(0.25+(INDEX('Stat Boosts'!$D$2:$D$192,R$1-9)-10)*$C100,10.22)</f>
        <v>1.5542016806722689</v>
      </c>
    </row>
    <row r="101" spans="1:18">
      <c r="A101" s="9">
        <v>100</v>
      </c>
      <c r="B101" s="16">
        <f t="shared" si="2"/>
        <v>40</v>
      </c>
      <c r="C101" s="16">
        <f t="shared" si="3"/>
        <v>1.3333333333333334E-2</v>
      </c>
      <c r="E101" s="16">
        <f>MIN(0.25+(INDEX('Stat Boosts'!$D$2:$D$192,E$1-9)-10)*$C101,10.22)</f>
        <v>0.25</v>
      </c>
      <c r="F101" s="16">
        <f>MIN(0.25+(INDEX('Stat Boosts'!$D$2:$D$192,F$1-9)-10)*$C101,10.22)</f>
        <v>0.34333333333333332</v>
      </c>
      <c r="G101" s="16">
        <f>MIN(0.25+(INDEX('Stat Boosts'!$D$2:$D$192,G$1-9)-10)*$C101,10.22)</f>
        <v>0.43666666666666665</v>
      </c>
      <c r="H101" s="16">
        <f>MIN(0.25+(INDEX('Stat Boosts'!$D$2:$D$192,H$1-9)-10)*$C101,10.22)</f>
        <v>0.53</v>
      </c>
      <c r="I101" s="16">
        <f>MIN(0.25+(INDEX('Stat Boosts'!$D$2:$D$192,I$1-9)-10)*$C101,10.22)</f>
        <v>0.6100000000000001</v>
      </c>
      <c r="J101" s="16">
        <f>MIN(0.25+(INDEX('Stat Boosts'!$D$2:$D$192,J$1-9)-10)*$C101,10.22)</f>
        <v>0.69</v>
      </c>
      <c r="K101" s="16">
        <f>MIN(0.25+(INDEX('Stat Boosts'!$D$2:$D$192,K$1-9)-10)*$C101,10.22)</f>
        <v>0.87666666666666671</v>
      </c>
      <c r="L101" s="16">
        <f>MIN(0.25+(INDEX('Stat Boosts'!$D$2:$D$192,L$1-9)-10)*$C101,10.22)</f>
        <v>0.94333333333333336</v>
      </c>
      <c r="M101" s="16">
        <f>MIN(0.25+(INDEX('Stat Boosts'!$D$2:$D$192,M$1-9)-10)*$C101,10.22)</f>
        <v>1.0366666666666666</v>
      </c>
      <c r="N101" s="16">
        <f>MIN(0.25+(INDEX('Stat Boosts'!$D$2:$D$192,N$1-9)-10)*$C101,10.22)</f>
        <v>1.1566666666666667</v>
      </c>
      <c r="O101" s="16">
        <f>MIN(0.25+(INDEX('Stat Boosts'!$D$2:$D$192,O$1-9)-10)*$C101,10.22)</f>
        <v>1.2233333333333334</v>
      </c>
      <c r="P101" s="16">
        <f>MIN(0.25+(INDEX('Stat Boosts'!$D$2:$D$192,P$1-9)-10)*$C101,10.22)</f>
        <v>1.33</v>
      </c>
      <c r="Q101" s="16">
        <f>MIN(0.25+(INDEX('Stat Boosts'!$D$2:$D$192,Q$1-9)-10)*$C101,10.22)</f>
        <v>1.4366666666666668</v>
      </c>
      <c r="R101" s="16">
        <f>MIN(0.25+(INDEX('Stat Boosts'!$D$2:$D$192,R$1-9)-10)*$C101,10.22)</f>
        <v>1.5433333333333334</v>
      </c>
    </row>
    <row r="102" spans="1:18">
      <c r="A102" s="9">
        <v>101</v>
      </c>
      <c r="B102" s="16">
        <f t="shared" si="2"/>
        <v>40.25</v>
      </c>
      <c r="C102" s="16">
        <f t="shared" si="3"/>
        <v>1.322314049586777E-2</v>
      </c>
      <c r="E102" s="16">
        <f>MIN(0.25+(INDEX('Stat Boosts'!$D$2:$D$192,E$1-9)-10)*$C102,10.22)</f>
        <v>0.25</v>
      </c>
      <c r="F102" s="16">
        <f>MIN(0.25+(INDEX('Stat Boosts'!$D$2:$D$192,F$1-9)-10)*$C102,10.22)</f>
        <v>0.34256198347107436</v>
      </c>
      <c r="G102" s="16">
        <f>MIN(0.25+(INDEX('Stat Boosts'!$D$2:$D$192,G$1-9)-10)*$C102,10.22)</f>
        <v>0.43512396694214878</v>
      </c>
      <c r="H102" s="16">
        <f>MIN(0.25+(INDEX('Stat Boosts'!$D$2:$D$192,H$1-9)-10)*$C102,10.22)</f>
        <v>0.52768595041322319</v>
      </c>
      <c r="I102" s="16">
        <f>MIN(0.25+(INDEX('Stat Boosts'!$D$2:$D$192,I$1-9)-10)*$C102,10.22)</f>
        <v>0.60702479338842985</v>
      </c>
      <c r="J102" s="16">
        <f>MIN(0.25+(INDEX('Stat Boosts'!$D$2:$D$192,J$1-9)-10)*$C102,10.22)</f>
        <v>0.6863636363636364</v>
      </c>
      <c r="K102" s="16">
        <f>MIN(0.25+(INDEX('Stat Boosts'!$D$2:$D$192,K$1-9)-10)*$C102,10.22)</f>
        <v>0.87148760330578523</v>
      </c>
      <c r="L102" s="16">
        <f>MIN(0.25+(INDEX('Stat Boosts'!$D$2:$D$192,L$1-9)-10)*$C102,10.22)</f>
        <v>0.93760330578512407</v>
      </c>
      <c r="M102" s="16">
        <f>MIN(0.25+(INDEX('Stat Boosts'!$D$2:$D$192,M$1-9)-10)*$C102,10.22)</f>
        <v>1.0301652892561983</v>
      </c>
      <c r="N102" s="16">
        <f>MIN(0.25+(INDEX('Stat Boosts'!$D$2:$D$192,N$1-9)-10)*$C102,10.22)</f>
        <v>1.1491735537190082</v>
      </c>
      <c r="O102" s="16">
        <f>MIN(0.25+(INDEX('Stat Boosts'!$D$2:$D$192,O$1-9)-10)*$C102,10.22)</f>
        <v>1.2152892561983473</v>
      </c>
      <c r="P102" s="16">
        <f>MIN(0.25+(INDEX('Stat Boosts'!$D$2:$D$192,P$1-9)-10)*$C102,10.22)</f>
        <v>1.3210743801652893</v>
      </c>
      <c r="Q102" s="16">
        <f>MIN(0.25+(INDEX('Stat Boosts'!$D$2:$D$192,Q$1-9)-10)*$C102,10.22)</f>
        <v>1.4268595041322316</v>
      </c>
      <c r="R102" s="16">
        <f>MIN(0.25+(INDEX('Stat Boosts'!$D$2:$D$192,R$1-9)-10)*$C102,10.22)</f>
        <v>1.5326446280991737</v>
      </c>
    </row>
    <row r="103" spans="1:18">
      <c r="A103" s="9">
        <v>102</v>
      </c>
      <c r="B103" s="16">
        <f t="shared" si="2"/>
        <v>40.5</v>
      </c>
      <c r="C103" s="16">
        <f t="shared" si="3"/>
        <v>1.3114754098360656E-2</v>
      </c>
      <c r="E103" s="16">
        <f>MIN(0.25+(INDEX('Stat Boosts'!$D$2:$D$192,E$1-9)-10)*$C103,10.22)</f>
        <v>0.25</v>
      </c>
      <c r="F103" s="16">
        <f>MIN(0.25+(INDEX('Stat Boosts'!$D$2:$D$192,F$1-9)-10)*$C103,10.22)</f>
        <v>0.34180327868852456</v>
      </c>
      <c r="G103" s="16">
        <f>MIN(0.25+(INDEX('Stat Boosts'!$D$2:$D$192,G$1-9)-10)*$C103,10.22)</f>
        <v>0.43360655737704917</v>
      </c>
      <c r="H103" s="16">
        <f>MIN(0.25+(INDEX('Stat Boosts'!$D$2:$D$192,H$1-9)-10)*$C103,10.22)</f>
        <v>0.52540983606557379</v>
      </c>
      <c r="I103" s="16">
        <f>MIN(0.25+(INDEX('Stat Boosts'!$D$2:$D$192,I$1-9)-10)*$C103,10.22)</f>
        <v>0.60409836065573774</v>
      </c>
      <c r="J103" s="16">
        <f>MIN(0.25+(INDEX('Stat Boosts'!$D$2:$D$192,J$1-9)-10)*$C103,10.22)</f>
        <v>0.68278688524590159</v>
      </c>
      <c r="K103" s="16">
        <f>MIN(0.25+(INDEX('Stat Boosts'!$D$2:$D$192,K$1-9)-10)*$C103,10.22)</f>
        <v>0.86639344262295082</v>
      </c>
      <c r="L103" s="16">
        <f>MIN(0.25+(INDEX('Stat Boosts'!$D$2:$D$192,L$1-9)-10)*$C103,10.22)</f>
        <v>0.93196721311475406</v>
      </c>
      <c r="M103" s="16">
        <f>MIN(0.25+(INDEX('Stat Boosts'!$D$2:$D$192,M$1-9)-10)*$C103,10.22)</f>
        <v>1.0237704918032788</v>
      </c>
      <c r="N103" s="16">
        <f>MIN(0.25+(INDEX('Stat Boosts'!$D$2:$D$192,N$1-9)-10)*$C103,10.22)</f>
        <v>1.1418032786885246</v>
      </c>
      <c r="O103" s="16">
        <f>MIN(0.25+(INDEX('Stat Boosts'!$D$2:$D$192,O$1-9)-10)*$C103,10.22)</f>
        <v>1.207377049180328</v>
      </c>
      <c r="P103" s="16">
        <f>MIN(0.25+(INDEX('Stat Boosts'!$D$2:$D$192,P$1-9)-10)*$C103,10.22)</f>
        <v>1.312295081967213</v>
      </c>
      <c r="Q103" s="16">
        <f>MIN(0.25+(INDEX('Stat Boosts'!$D$2:$D$192,Q$1-9)-10)*$C103,10.22)</f>
        <v>1.4172131147540983</v>
      </c>
      <c r="R103" s="16">
        <f>MIN(0.25+(INDEX('Stat Boosts'!$D$2:$D$192,R$1-9)-10)*$C103,10.22)</f>
        <v>1.5221311475409836</v>
      </c>
    </row>
    <row r="104" spans="1:18">
      <c r="A104" s="9">
        <v>103</v>
      </c>
      <c r="B104" s="16">
        <f t="shared" si="2"/>
        <v>40.75</v>
      </c>
      <c r="C104" s="16">
        <f t="shared" si="3"/>
        <v>1.3008130081300813E-2</v>
      </c>
      <c r="E104" s="16">
        <f>MIN(0.25+(INDEX('Stat Boosts'!$D$2:$D$192,E$1-9)-10)*$C104,10.22)</f>
        <v>0.25</v>
      </c>
      <c r="F104" s="16">
        <f>MIN(0.25+(INDEX('Stat Boosts'!$D$2:$D$192,F$1-9)-10)*$C104,10.22)</f>
        <v>0.3410569105691057</v>
      </c>
      <c r="G104" s="16">
        <f>MIN(0.25+(INDEX('Stat Boosts'!$D$2:$D$192,G$1-9)-10)*$C104,10.22)</f>
        <v>0.4321138211382114</v>
      </c>
      <c r="H104" s="16">
        <f>MIN(0.25+(INDEX('Stat Boosts'!$D$2:$D$192,H$1-9)-10)*$C104,10.22)</f>
        <v>0.52317073170731709</v>
      </c>
      <c r="I104" s="16">
        <f>MIN(0.25+(INDEX('Stat Boosts'!$D$2:$D$192,I$1-9)-10)*$C104,10.22)</f>
        <v>0.60121951219512193</v>
      </c>
      <c r="J104" s="16">
        <f>MIN(0.25+(INDEX('Stat Boosts'!$D$2:$D$192,J$1-9)-10)*$C104,10.22)</f>
        <v>0.67926829268292677</v>
      </c>
      <c r="K104" s="16">
        <f>MIN(0.25+(INDEX('Stat Boosts'!$D$2:$D$192,K$1-9)-10)*$C104,10.22)</f>
        <v>0.86138211382113816</v>
      </c>
      <c r="L104" s="16">
        <f>MIN(0.25+(INDEX('Stat Boosts'!$D$2:$D$192,L$1-9)-10)*$C104,10.22)</f>
        <v>0.92642276422764225</v>
      </c>
      <c r="M104" s="16">
        <f>MIN(0.25+(INDEX('Stat Boosts'!$D$2:$D$192,M$1-9)-10)*$C104,10.22)</f>
        <v>1.0174796747967481</v>
      </c>
      <c r="N104" s="16">
        <f>MIN(0.25+(INDEX('Stat Boosts'!$D$2:$D$192,N$1-9)-10)*$C104,10.22)</f>
        <v>1.1345528455284553</v>
      </c>
      <c r="O104" s="16">
        <f>MIN(0.25+(INDEX('Stat Boosts'!$D$2:$D$192,O$1-9)-10)*$C104,10.22)</f>
        <v>1.1995934959349595</v>
      </c>
      <c r="P104" s="16">
        <f>MIN(0.25+(INDEX('Stat Boosts'!$D$2:$D$192,P$1-9)-10)*$C104,10.22)</f>
        <v>1.3036585365853659</v>
      </c>
      <c r="Q104" s="16">
        <f>MIN(0.25+(INDEX('Stat Boosts'!$D$2:$D$192,Q$1-9)-10)*$C104,10.22)</f>
        <v>1.4077235772357723</v>
      </c>
      <c r="R104" s="16">
        <f>MIN(0.25+(INDEX('Stat Boosts'!$D$2:$D$192,R$1-9)-10)*$C104,10.22)</f>
        <v>1.5117886178861788</v>
      </c>
    </row>
    <row r="105" spans="1:18">
      <c r="A105" s="9">
        <v>104</v>
      </c>
      <c r="B105" s="16">
        <f t="shared" si="2"/>
        <v>41</v>
      </c>
      <c r="C105" s="16">
        <f t="shared" si="3"/>
        <v>1.2903225806451613E-2</v>
      </c>
      <c r="E105" s="16">
        <f>MIN(0.25+(INDEX('Stat Boosts'!$D$2:$D$192,E$1-9)-10)*$C105,10.22)</f>
        <v>0.25</v>
      </c>
      <c r="F105" s="16">
        <f>MIN(0.25+(INDEX('Stat Boosts'!$D$2:$D$192,F$1-9)-10)*$C105,10.22)</f>
        <v>0.3403225806451613</v>
      </c>
      <c r="G105" s="16">
        <f>MIN(0.25+(INDEX('Stat Boosts'!$D$2:$D$192,G$1-9)-10)*$C105,10.22)</f>
        <v>0.4306451612903226</v>
      </c>
      <c r="H105" s="16">
        <f>MIN(0.25+(INDEX('Stat Boosts'!$D$2:$D$192,H$1-9)-10)*$C105,10.22)</f>
        <v>0.5209677419354839</v>
      </c>
      <c r="I105" s="16">
        <f>MIN(0.25+(INDEX('Stat Boosts'!$D$2:$D$192,I$1-9)-10)*$C105,10.22)</f>
        <v>0.59838709677419355</v>
      </c>
      <c r="J105" s="16">
        <f>MIN(0.25+(INDEX('Stat Boosts'!$D$2:$D$192,J$1-9)-10)*$C105,10.22)</f>
        <v>0.6758064516129032</v>
      </c>
      <c r="K105" s="16">
        <f>MIN(0.25+(INDEX('Stat Boosts'!$D$2:$D$192,K$1-9)-10)*$C105,10.22)</f>
        <v>0.8564516129032258</v>
      </c>
      <c r="L105" s="16">
        <f>MIN(0.25+(INDEX('Stat Boosts'!$D$2:$D$192,L$1-9)-10)*$C105,10.22)</f>
        <v>0.92096774193548392</v>
      </c>
      <c r="M105" s="16">
        <f>MIN(0.25+(INDEX('Stat Boosts'!$D$2:$D$192,M$1-9)-10)*$C105,10.22)</f>
        <v>1.0112903225806451</v>
      </c>
      <c r="N105" s="16">
        <f>MIN(0.25+(INDEX('Stat Boosts'!$D$2:$D$192,N$1-9)-10)*$C105,10.22)</f>
        <v>1.1274193548387097</v>
      </c>
      <c r="O105" s="16">
        <f>MIN(0.25+(INDEX('Stat Boosts'!$D$2:$D$192,O$1-9)-10)*$C105,10.22)</f>
        <v>1.1919354838709677</v>
      </c>
      <c r="P105" s="16">
        <f>MIN(0.25+(INDEX('Stat Boosts'!$D$2:$D$192,P$1-9)-10)*$C105,10.22)</f>
        <v>1.2951612903225806</v>
      </c>
      <c r="Q105" s="16">
        <f>MIN(0.25+(INDEX('Stat Boosts'!$D$2:$D$192,Q$1-9)-10)*$C105,10.22)</f>
        <v>1.3983870967741936</v>
      </c>
      <c r="R105" s="16">
        <f>MIN(0.25+(INDEX('Stat Boosts'!$D$2:$D$192,R$1-9)-10)*$C105,10.22)</f>
        <v>1.5016129032258065</v>
      </c>
    </row>
    <row r="106" spans="1:18">
      <c r="A106" s="9">
        <v>105</v>
      </c>
      <c r="B106" s="16">
        <f t="shared" si="2"/>
        <v>41.25</v>
      </c>
      <c r="C106" s="16">
        <f t="shared" si="3"/>
        <v>1.2800000000000001E-2</v>
      </c>
      <c r="E106" s="16">
        <f>MIN(0.25+(INDEX('Stat Boosts'!$D$2:$D$192,E$1-9)-10)*$C106,10.22)</f>
        <v>0.25</v>
      </c>
      <c r="F106" s="16">
        <f>MIN(0.25+(INDEX('Stat Boosts'!$D$2:$D$192,F$1-9)-10)*$C106,10.22)</f>
        <v>0.33960000000000001</v>
      </c>
      <c r="G106" s="16">
        <f>MIN(0.25+(INDEX('Stat Boosts'!$D$2:$D$192,G$1-9)-10)*$C106,10.22)</f>
        <v>0.42920000000000003</v>
      </c>
      <c r="H106" s="16">
        <f>MIN(0.25+(INDEX('Stat Boosts'!$D$2:$D$192,H$1-9)-10)*$C106,10.22)</f>
        <v>0.51880000000000004</v>
      </c>
      <c r="I106" s="16">
        <f>MIN(0.25+(INDEX('Stat Boosts'!$D$2:$D$192,I$1-9)-10)*$C106,10.22)</f>
        <v>0.59560000000000002</v>
      </c>
      <c r="J106" s="16">
        <f>MIN(0.25+(INDEX('Stat Boosts'!$D$2:$D$192,J$1-9)-10)*$C106,10.22)</f>
        <v>0.6724</v>
      </c>
      <c r="K106" s="16">
        <f>MIN(0.25+(INDEX('Stat Boosts'!$D$2:$D$192,K$1-9)-10)*$C106,10.22)</f>
        <v>0.85160000000000002</v>
      </c>
      <c r="L106" s="16">
        <f>MIN(0.25+(INDEX('Stat Boosts'!$D$2:$D$192,L$1-9)-10)*$C106,10.22)</f>
        <v>0.91560000000000008</v>
      </c>
      <c r="M106" s="16">
        <f>MIN(0.25+(INDEX('Stat Boosts'!$D$2:$D$192,M$1-9)-10)*$C106,10.22)</f>
        <v>1.0051999999999999</v>
      </c>
      <c r="N106" s="16">
        <f>MIN(0.25+(INDEX('Stat Boosts'!$D$2:$D$192,N$1-9)-10)*$C106,10.22)</f>
        <v>1.1204000000000001</v>
      </c>
      <c r="O106" s="16">
        <f>MIN(0.25+(INDEX('Stat Boosts'!$D$2:$D$192,O$1-9)-10)*$C106,10.22)</f>
        <v>1.1844000000000001</v>
      </c>
      <c r="P106" s="16">
        <f>MIN(0.25+(INDEX('Stat Boosts'!$D$2:$D$192,P$1-9)-10)*$C106,10.22)</f>
        <v>1.2867999999999999</v>
      </c>
      <c r="Q106" s="16">
        <f>MIN(0.25+(INDEX('Stat Boosts'!$D$2:$D$192,Q$1-9)-10)*$C106,10.22)</f>
        <v>1.3892</v>
      </c>
      <c r="R106" s="16">
        <f>MIN(0.25+(INDEX('Stat Boosts'!$D$2:$D$192,R$1-9)-10)*$C106,10.22)</f>
        <v>1.4916</v>
      </c>
    </row>
    <row r="107" spans="1:18">
      <c r="A107" s="9">
        <v>106</v>
      </c>
      <c r="B107" s="16">
        <f t="shared" si="2"/>
        <v>41.5</v>
      </c>
      <c r="C107" s="16">
        <f t="shared" si="3"/>
        <v>1.2698412698412698E-2</v>
      </c>
      <c r="E107" s="16">
        <f>MIN(0.25+(INDEX('Stat Boosts'!$D$2:$D$192,E$1-9)-10)*$C107,10.22)</f>
        <v>0.25</v>
      </c>
      <c r="F107" s="16">
        <f>MIN(0.25+(INDEX('Stat Boosts'!$D$2:$D$192,F$1-9)-10)*$C107,10.22)</f>
        <v>0.33888888888888891</v>
      </c>
      <c r="G107" s="16">
        <f>MIN(0.25+(INDEX('Stat Boosts'!$D$2:$D$192,G$1-9)-10)*$C107,10.22)</f>
        <v>0.42777777777777781</v>
      </c>
      <c r="H107" s="16">
        <f>MIN(0.25+(INDEX('Stat Boosts'!$D$2:$D$192,H$1-9)-10)*$C107,10.22)</f>
        <v>0.51666666666666661</v>
      </c>
      <c r="I107" s="16">
        <f>MIN(0.25+(INDEX('Stat Boosts'!$D$2:$D$192,I$1-9)-10)*$C107,10.22)</f>
        <v>0.59285714285714286</v>
      </c>
      <c r="J107" s="16">
        <f>MIN(0.25+(INDEX('Stat Boosts'!$D$2:$D$192,J$1-9)-10)*$C107,10.22)</f>
        <v>0.66904761904761911</v>
      </c>
      <c r="K107" s="16">
        <f>MIN(0.25+(INDEX('Stat Boosts'!$D$2:$D$192,K$1-9)-10)*$C107,10.22)</f>
        <v>0.84682539682539681</v>
      </c>
      <c r="L107" s="16">
        <f>MIN(0.25+(INDEX('Stat Boosts'!$D$2:$D$192,L$1-9)-10)*$C107,10.22)</f>
        <v>0.9103174603174603</v>
      </c>
      <c r="M107" s="16">
        <f>MIN(0.25+(INDEX('Stat Boosts'!$D$2:$D$192,M$1-9)-10)*$C107,10.22)</f>
        <v>0.99920634920634921</v>
      </c>
      <c r="N107" s="16">
        <f>MIN(0.25+(INDEX('Stat Boosts'!$D$2:$D$192,N$1-9)-10)*$C107,10.22)</f>
        <v>1.1134920634920635</v>
      </c>
      <c r="O107" s="16">
        <f>MIN(0.25+(INDEX('Stat Boosts'!$D$2:$D$192,O$1-9)-10)*$C107,10.22)</f>
        <v>1.176984126984127</v>
      </c>
      <c r="P107" s="16">
        <f>MIN(0.25+(INDEX('Stat Boosts'!$D$2:$D$192,P$1-9)-10)*$C107,10.22)</f>
        <v>1.2785714285714285</v>
      </c>
      <c r="Q107" s="16">
        <f>MIN(0.25+(INDEX('Stat Boosts'!$D$2:$D$192,Q$1-9)-10)*$C107,10.22)</f>
        <v>1.3801587301587301</v>
      </c>
      <c r="R107" s="16">
        <f>MIN(0.25+(INDEX('Stat Boosts'!$D$2:$D$192,R$1-9)-10)*$C107,10.22)</f>
        <v>1.4817460317460318</v>
      </c>
    </row>
    <row r="108" spans="1:18">
      <c r="A108" s="9">
        <v>107</v>
      </c>
      <c r="B108" s="16">
        <f t="shared" si="2"/>
        <v>41.75</v>
      </c>
      <c r="C108" s="16">
        <f t="shared" si="3"/>
        <v>1.2598425196850395E-2</v>
      </c>
      <c r="E108" s="16">
        <f>MIN(0.25+(INDEX('Stat Boosts'!$D$2:$D$192,E$1-9)-10)*$C108,10.22)</f>
        <v>0.25</v>
      </c>
      <c r="F108" s="16">
        <f>MIN(0.25+(INDEX('Stat Boosts'!$D$2:$D$192,F$1-9)-10)*$C108,10.22)</f>
        <v>0.33818897637795275</v>
      </c>
      <c r="G108" s="16">
        <f>MIN(0.25+(INDEX('Stat Boosts'!$D$2:$D$192,G$1-9)-10)*$C108,10.22)</f>
        <v>0.42637795275590551</v>
      </c>
      <c r="H108" s="16">
        <f>MIN(0.25+(INDEX('Stat Boosts'!$D$2:$D$192,H$1-9)-10)*$C108,10.22)</f>
        <v>0.51456692913385838</v>
      </c>
      <c r="I108" s="16">
        <f>MIN(0.25+(INDEX('Stat Boosts'!$D$2:$D$192,I$1-9)-10)*$C108,10.22)</f>
        <v>0.59015748031496074</v>
      </c>
      <c r="J108" s="16">
        <f>MIN(0.25+(INDEX('Stat Boosts'!$D$2:$D$192,J$1-9)-10)*$C108,10.22)</f>
        <v>0.6657480314960631</v>
      </c>
      <c r="K108" s="16">
        <f>MIN(0.25+(INDEX('Stat Boosts'!$D$2:$D$192,K$1-9)-10)*$C108,10.22)</f>
        <v>0.84212598425196861</v>
      </c>
      <c r="L108" s="16">
        <f>MIN(0.25+(INDEX('Stat Boosts'!$D$2:$D$192,L$1-9)-10)*$C108,10.22)</f>
        <v>0.90511811023622057</v>
      </c>
      <c r="M108" s="16">
        <f>MIN(0.25+(INDEX('Stat Boosts'!$D$2:$D$192,M$1-9)-10)*$C108,10.22)</f>
        <v>0.99330708661417333</v>
      </c>
      <c r="N108" s="16">
        <f>MIN(0.25+(INDEX('Stat Boosts'!$D$2:$D$192,N$1-9)-10)*$C108,10.22)</f>
        <v>1.1066929133858268</v>
      </c>
      <c r="O108" s="16">
        <f>MIN(0.25+(INDEX('Stat Boosts'!$D$2:$D$192,O$1-9)-10)*$C108,10.22)</f>
        <v>1.1696850393700788</v>
      </c>
      <c r="P108" s="16">
        <f>MIN(0.25+(INDEX('Stat Boosts'!$D$2:$D$192,P$1-9)-10)*$C108,10.22)</f>
        <v>1.270472440944882</v>
      </c>
      <c r="Q108" s="16">
        <f>MIN(0.25+(INDEX('Stat Boosts'!$D$2:$D$192,Q$1-9)-10)*$C108,10.22)</f>
        <v>1.3712598425196851</v>
      </c>
      <c r="R108" s="16">
        <f>MIN(0.25+(INDEX('Stat Boosts'!$D$2:$D$192,R$1-9)-10)*$C108,10.22)</f>
        <v>1.4720472440944883</v>
      </c>
    </row>
    <row r="109" spans="1:18">
      <c r="A109" s="9">
        <v>108</v>
      </c>
      <c r="B109" s="16">
        <f t="shared" si="2"/>
        <v>42</v>
      </c>
      <c r="C109" s="16">
        <f t="shared" si="3"/>
        <v>1.2500000000000001E-2</v>
      </c>
      <c r="E109" s="16">
        <f>MIN(0.25+(INDEX('Stat Boosts'!$D$2:$D$192,E$1-9)-10)*$C109,10.22)</f>
        <v>0.25</v>
      </c>
      <c r="F109" s="16">
        <f>MIN(0.25+(INDEX('Stat Boosts'!$D$2:$D$192,F$1-9)-10)*$C109,10.22)</f>
        <v>0.33750000000000002</v>
      </c>
      <c r="G109" s="16">
        <f>MIN(0.25+(INDEX('Stat Boosts'!$D$2:$D$192,G$1-9)-10)*$C109,10.22)</f>
        <v>0.42500000000000004</v>
      </c>
      <c r="H109" s="16">
        <f>MIN(0.25+(INDEX('Stat Boosts'!$D$2:$D$192,H$1-9)-10)*$C109,10.22)</f>
        <v>0.51249999999999996</v>
      </c>
      <c r="I109" s="16">
        <f>MIN(0.25+(INDEX('Stat Boosts'!$D$2:$D$192,I$1-9)-10)*$C109,10.22)</f>
        <v>0.58750000000000002</v>
      </c>
      <c r="J109" s="16">
        <f>MIN(0.25+(INDEX('Stat Boosts'!$D$2:$D$192,J$1-9)-10)*$C109,10.22)</f>
        <v>0.66250000000000009</v>
      </c>
      <c r="K109" s="16">
        <f>MIN(0.25+(INDEX('Stat Boosts'!$D$2:$D$192,K$1-9)-10)*$C109,10.22)</f>
        <v>0.83750000000000002</v>
      </c>
      <c r="L109" s="16">
        <f>MIN(0.25+(INDEX('Stat Boosts'!$D$2:$D$192,L$1-9)-10)*$C109,10.22)</f>
        <v>0.9</v>
      </c>
      <c r="M109" s="16">
        <f>MIN(0.25+(INDEX('Stat Boosts'!$D$2:$D$192,M$1-9)-10)*$C109,10.22)</f>
        <v>0.98750000000000004</v>
      </c>
      <c r="N109" s="16">
        <f>MIN(0.25+(INDEX('Stat Boosts'!$D$2:$D$192,N$1-9)-10)*$C109,10.22)</f>
        <v>1.1000000000000001</v>
      </c>
      <c r="O109" s="16">
        <f>MIN(0.25+(INDEX('Stat Boosts'!$D$2:$D$192,O$1-9)-10)*$C109,10.22)</f>
        <v>1.1625000000000001</v>
      </c>
      <c r="P109" s="16">
        <f>MIN(0.25+(INDEX('Stat Boosts'!$D$2:$D$192,P$1-9)-10)*$C109,10.22)</f>
        <v>1.2625</v>
      </c>
      <c r="Q109" s="16">
        <f>MIN(0.25+(INDEX('Stat Boosts'!$D$2:$D$192,Q$1-9)-10)*$C109,10.22)</f>
        <v>1.3625</v>
      </c>
      <c r="R109" s="16">
        <f>MIN(0.25+(INDEX('Stat Boosts'!$D$2:$D$192,R$1-9)-10)*$C109,10.22)</f>
        <v>1.4625000000000001</v>
      </c>
    </row>
    <row r="110" spans="1:18">
      <c r="A110" s="9">
        <v>109</v>
      </c>
      <c r="B110" s="16">
        <f t="shared" si="2"/>
        <v>42.25</v>
      </c>
      <c r="C110" s="16">
        <f t="shared" si="3"/>
        <v>1.2403100775193798E-2</v>
      </c>
      <c r="E110" s="16">
        <f>MIN(0.25+(INDEX('Stat Boosts'!$D$2:$D$192,E$1-9)-10)*$C110,10.22)</f>
        <v>0.25</v>
      </c>
      <c r="F110" s="16">
        <f>MIN(0.25+(INDEX('Stat Boosts'!$D$2:$D$192,F$1-9)-10)*$C110,10.22)</f>
        <v>0.33682170542635659</v>
      </c>
      <c r="G110" s="16">
        <f>MIN(0.25+(INDEX('Stat Boosts'!$D$2:$D$192,G$1-9)-10)*$C110,10.22)</f>
        <v>0.42364341085271318</v>
      </c>
      <c r="H110" s="16">
        <f>MIN(0.25+(INDEX('Stat Boosts'!$D$2:$D$192,H$1-9)-10)*$C110,10.22)</f>
        <v>0.51046511627906976</v>
      </c>
      <c r="I110" s="16">
        <f>MIN(0.25+(INDEX('Stat Boosts'!$D$2:$D$192,I$1-9)-10)*$C110,10.22)</f>
        <v>0.58488372093023255</v>
      </c>
      <c r="J110" s="16">
        <f>MIN(0.25+(INDEX('Stat Boosts'!$D$2:$D$192,J$1-9)-10)*$C110,10.22)</f>
        <v>0.65930232558139534</v>
      </c>
      <c r="K110" s="16">
        <f>MIN(0.25+(INDEX('Stat Boosts'!$D$2:$D$192,K$1-9)-10)*$C110,10.22)</f>
        <v>0.83294573643410852</v>
      </c>
      <c r="L110" s="16">
        <f>MIN(0.25+(INDEX('Stat Boosts'!$D$2:$D$192,L$1-9)-10)*$C110,10.22)</f>
        <v>0.89496124031007751</v>
      </c>
      <c r="M110" s="16">
        <f>MIN(0.25+(INDEX('Stat Boosts'!$D$2:$D$192,M$1-9)-10)*$C110,10.22)</f>
        <v>0.9817829457364341</v>
      </c>
      <c r="N110" s="16">
        <f>MIN(0.25+(INDEX('Stat Boosts'!$D$2:$D$192,N$1-9)-10)*$C110,10.22)</f>
        <v>1.0934108527131783</v>
      </c>
      <c r="O110" s="16">
        <f>MIN(0.25+(INDEX('Stat Boosts'!$D$2:$D$192,O$1-9)-10)*$C110,10.22)</f>
        <v>1.1554263565891474</v>
      </c>
      <c r="P110" s="16">
        <f>MIN(0.25+(INDEX('Stat Boosts'!$D$2:$D$192,P$1-9)-10)*$C110,10.22)</f>
        <v>1.2546511627906978</v>
      </c>
      <c r="Q110" s="16">
        <f>MIN(0.25+(INDEX('Stat Boosts'!$D$2:$D$192,Q$1-9)-10)*$C110,10.22)</f>
        <v>1.3538759689922482</v>
      </c>
      <c r="R110" s="16">
        <f>MIN(0.25+(INDEX('Stat Boosts'!$D$2:$D$192,R$1-9)-10)*$C110,10.22)</f>
        <v>1.4531007751937985</v>
      </c>
    </row>
    <row r="111" spans="1:18">
      <c r="A111" s="9">
        <v>110</v>
      </c>
      <c r="B111" s="16">
        <f t="shared" si="2"/>
        <v>42.5</v>
      </c>
      <c r="C111" s="16">
        <f t="shared" si="3"/>
        <v>1.2307692307692308E-2</v>
      </c>
      <c r="E111" s="16">
        <f>MIN(0.25+(INDEX('Stat Boosts'!$D$2:$D$192,E$1-9)-10)*$C111,10.22)</f>
        <v>0.25</v>
      </c>
      <c r="F111" s="16">
        <f>MIN(0.25+(INDEX('Stat Boosts'!$D$2:$D$192,F$1-9)-10)*$C111,10.22)</f>
        <v>0.33615384615384614</v>
      </c>
      <c r="G111" s="16">
        <f>MIN(0.25+(INDEX('Stat Boosts'!$D$2:$D$192,G$1-9)-10)*$C111,10.22)</f>
        <v>0.42230769230769227</v>
      </c>
      <c r="H111" s="16">
        <f>MIN(0.25+(INDEX('Stat Boosts'!$D$2:$D$192,H$1-9)-10)*$C111,10.22)</f>
        <v>0.50846153846153852</v>
      </c>
      <c r="I111" s="16">
        <f>MIN(0.25+(INDEX('Stat Boosts'!$D$2:$D$192,I$1-9)-10)*$C111,10.22)</f>
        <v>0.5823076923076923</v>
      </c>
      <c r="J111" s="16">
        <f>MIN(0.25+(INDEX('Stat Boosts'!$D$2:$D$192,J$1-9)-10)*$C111,10.22)</f>
        <v>0.65615384615384609</v>
      </c>
      <c r="K111" s="16">
        <f>MIN(0.25+(INDEX('Stat Boosts'!$D$2:$D$192,K$1-9)-10)*$C111,10.22)</f>
        <v>0.82846153846153847</v>
      </c>
      <c r="L111" s="16">
        <f>MIN(0.25+(INDEX('Stat Boosts'!$D$2:$D$192,L$1-9)-10)*$C111,10.22)</f>
        <v>0.89</v>
      </c>
      <c r="M111" s="16">
        <f>MIN(0.25+(INDEX('Stat Boosts'!$D$2:$D$192,M$1-9)-10)*$C111,10.22)</f>
        <v>0.97615384615384615</v>
      </c>
      <c r="N111" s="16">
        <f>MIN(0.25+(INDEX('Stat Boosts'!$D$2:$D$192,N$1-9)-10)*$C111,10.22)</f>
        <v>1.0869230769230769</v>
      </c>
      <c r="O111" s="16">
        <f>MIN(0.25+(INDEX('Stat Boosts'!$D$2:$D$192,O$1-9)-10)*$C111,10.22)</f>
        <v>1.1484615384615384</v>
      </c>
      <c r="P111" s="16">
        <f>MIN(0.25+(INDEX('Stat Boosts'!$D$2:$D$192,P$1-9)-10)*$C111,10.22)</f>
        <v>1.246923076923077</v>
      </c>
      <c r="Q111" s="16">
        <f>MIN(0.25+(INDEX('Stat Boosts'!$D$2:$D$192,Q$1-9)-10)*$C111,10.22)</f>
        <v>1.3453846153846154</v>
      </c>
      <c r="R111" s="16">
        <f>MIN(0.25+(INDEX('Stat Boosts'!$D$2:$D$192,R$1-9)-10)*$C111,10.22)</f>
        <v>1.4438461538461538</v>
      </c>
    </row>
    <row r="112" spans="1:18">
      <c r="A112" s="9">
        <v>111</v>
      </c>
      <c r="B112" s="16">
        <f t="shared" si="2"/>
        <v>42.75</v>
      </c>
      <c r="C112" s="16">
        <f t="shared" si="3"/>
        <v>1.2213740458015267E-2</v>
      </c>
      <c r="E112" s="16">
        <f>MIN(0.25+(INDEX('Stat Boosts'!$D$2:$D$192,E$1-9)-10)*$C112,10.22)</f>
        <v>0.25</v>
      </c>
      <c r="F112" s="16">
        <f>MIN(0.25+(INDEX('Stat Boosts'!$D$2:$D$192,F$1-9)-10)*$C112,10.22)</f>
        <v>0.33549618320610686</v>
      </c>
      <c r="G112" s="16">
        <f>MIN(0.25+(INDEX('Stat Boosts'!$D$2:$D$192,G$1-9)-10)*$C112,10.22)</f>
        <v>0.42099236641221371</v>
      </c>
      <c r="H112" s="16">
        <f>MIN(0.25+(INDEX('Stat Boosts'!$D$2:$D$192,H$1-9)-10)*$C112,10.22)</f>
        <v>0.50648854961832068</v>
      </c>
      <c r="I112" s="16">
        <f>MIN(0.25+(INDEX('Stat Boosts'!$D$2:$D$192,I$1-9)-10)*$C112,10.22)</f>
        <v>0.57977099236641227</v>
      </c>
      <c r="J112" s="16">
        <f>MIN(0.25+(INDEX('Stat Boosts'!$D$2:$D$192,J$1-9)-10)*$C112,10.22)</f>
        <v>0.65305343511450387</v>
      </c>
      <c r="K112" s="16">
        <f>MIN(0.25+(INDEX('Stat Boosts'!$D$2:$D$192,K$1-9)-10)*$C112,10.22)</f>
        <v>0.82404580152671758</v>
      </c>
      <c r="L112" s="16">
        <f>MIN(0.25+(INDEX('Stat Boosts'!$D$2:$D$192,L$1-9)-10)*$C112,10.22)</f>
        <v>0.88511450381679391</v>
      </c>
      <c r="M112" s="16">
        <f>MIN(0.25+(INDEX('Stat Boosts'!$D$2:$D$192,M$1-9)-10)*$C112,10.22)</f>
        <v>0.97061068702290076</v>
      </c>
      <c r="N112" s="16">
        <f>MIN(0.25+(INDEX('Stat Boosts'!$D$2:$D$192,N$1-9)-10)*$C112,10.22)</f>
        <v>1.080534351145038</v>
      </c>
      <c r="O112" s="16">
        <f>MIN(0.25+(INDEX('Stat Boosts'!$D$2:$D$192,O$1-9)-10)*$C112,10.22)</f>
        <v>1.1416030534351145</v>
      </c>
      <c r="P112" s="16">
        <f>MIN(0.25+(INDEX('Stat Boosts'!$D$2:$D$192,P$1-9)-10)*$C112,10.22)</f>
        <v>1.2393129770992366</v>
      </c>
      <c r="Q112" s="16">
        <f>MIN(0.25+(INDEX('Stat Boosts'!$D$2:$D$192,Q$1-9)-10)*$C112,10.22)</f>
        <v>1.3370229007633587</v>
      </c>
      <c r="R112" s="16">
        <f>MIN(0.25+(INDEX('Stat Boosts'!$D$2:$D$192,R$1-9)-10)*$C112,10.22)</f>
        <v>1.4347328244274808</v>
      </c>
    </row>
    <row r="113" spans="1:18">
      <c r="A113" s="9">
        <v>112</v>
      </c>
      <c r="B113" s="16">
        <f t="shared" si="2"/>
        <v>43</v>
      </c>
      <c r="C113" s="16">
        <f t="shared" si="3"/>
        <v>1.2121212121212121E-2</v>
      </c>
      <c r="E113" s="16">
        <f>MIN(0.25+(INDEX('Stat Boosts'!$D$2:$D$192,E$1-9)-10)*$C113,10.22)</f>
        <v>0.25</v>
      </c>
      <c r="F113" s="16">
        <f>MIN(0.25+(INDEX('Stat Boosts'!$D$2:$D$192,F$1-9)-10)*$C113,10.22)</f>
        <v>0.33484848484848484</v>
      </c>
      <c r="G113" s="16">
        <f>MIN(0.25+(INDEX('Stat Boosts'!$D$2:$D$192,G$1-9)-10)*$C113,10.22)</f>
        <v>0.41969696969696968</v>
      </c>
      <c r="H113" s="16">
        <f>MIN(0.25+(INDEX('Stat Boosts'!$D$2:$D$192,H$1-9)-10)*$C113,10.22)</f>
        <v>0.50454545454545452</v>
      </c>
      <c r="I113" s="16">
        <f>MIN(0.25+(INDEX('Stat Boosts'!$D$2:$D$192,I$1-9)-10)*$C113,10.22)</f>
        <v>0.57727272727272727</v>
      </c>
      <c r="J113" s="16">
        <f>MIN(0.25+(INDEX('Stat Boosts'!$D$2:$D$192,J$1-9)-10)*$C113,10.22)</f>
        <v>0.65</v>
      </c>
      <c r="K113" s="16">
        <f>MIN(0.25+(INDEX('Stat Boosts'!$D$2:$D$192,K$1-9)-10)*$C113,10.22)</f>
        <v>0.8196969696969697</v>
      </c>
      <c r="L113" s="16">
        <f>MIN(0.25+(INDEX('Stat Boosts'!$D$2:$D$192,L$1-9)-10)*$C113,10.22)</f>
        <v>0.88030303030303025</v>
      </c>
      <c r="M113" s="16">
        <f>MIN(0.25+(INDEX('Stat Boosts'!$D$2:$D$192,M$1-9)-10)*$C113,10.22)</f>
        <v>0.9651515151515152</v>
      </c>
      <c r="N113" s="16">
        <f>MIN(0.25+(INDEX('Stat Boosts'!$D$2:$D$192,N$1-9)-10)*$C113,10.22)</f>
        <v>1.0742424242424242</v>
      </c>
      <c r="O113" s="16">
        <f>MIN(0.25+(INDEX('Stat Boosts'!$D$2:$D$192,O$1-9)-10)*$C113,10.22)</f>
        <v>1.1348484848484848</v>
      </c>
      <c r="P113" s="16">
        <f>MIN(0.25+(INDEX('Stat Boosts'!$D$2:$D$192,P$1-9)-10)*$C113,10.22)</f>
        <v>1.2318181818181819</v>
      </c>
      <c r="Q113" s="16">
        <f>MIN(0.25+(INDEX('Stat Boosts'!$D$2:$D$192,Q$1-9)-10)*$C113,10.22)</f>
        <v>1.3287878787878789</v>
      </c>
      <c r="R113" s="16">
        <f>MIN(0.25+(INDEX('Stat Boosts'!$D$2:$D$192,R$1-9)-10)*$C113,10.22)</f>
        <v>1.4257575757575758</v>
      </c>
    </row>
    <row r="114" spans="1:18">
      <c r="A114" s="9">
        <v>113</v>
      </c>
      <c r="B114" s="16">
        <f t="shared" si="2"/>
        <v>43.25</v>
      </c>
      <c r="C114" s="16">
        <f t="shared" si="3"/>
        <v>1.2030075187969926E-2</v>
      </c>
      <c r="E114" s="16">
        <f>MIN(0.25+(INDEX('Stat Boosts'!$D$2:$D$192,E$1-9)-10)*$C114,10.22)</f>
        <v>0.25</v>
      </c>
      <c r="F114" s="16">
        <f>MIN(0.25+(INDEX('Stat Boosts'!$D$2:$D$192,F$1-9)-10)*$C114,10.22)</f>
        <v>0.33421052631578951</v>
      </c>
      <c r="G114" s="16">
        <f>MIN(0.25+(INDEX('Stat Boosts'!$D$2:$D$192,G$1-9)-10)*$C114,10.22)</f>
        <v>0.41842105263157897</v>
      </c>
      <c r="H114" s="16">
        <f>MIN(0.25+(INDEX('Stat Boosts'!$D$2:$D$192,H$1-9)-10)*$C114,10.22)</f>
        <v>0.50263157894736843</v>
      </c>
      <c r="I114" s="16">
        <f>MIN(0.25+(INDEX('Stat Boosts'!$D$2:$D$192,I$1-9)-10)*$C114,10.22)</f>
        <v>0.574812030075188</v>
      </c>
      <c r="J114" s="16">
        <f>MIN(0.25+(INDEX('Stat Boosts'!$D$2:$D$192,J$1-9)-10)*$C114,10.22)</f>
        <v>0.64699248120300756</v>
      </c>
      <c r="K114" s="16">
        <f>MIN(0.25+(INDEX('Stat Boosts'!$D$2:$D$192,K$1-9)-10)*$C114,10.22)</f>
        <v>0.81541353383458648</v>
      </c>
      <c r="L114" s="16">
        <f>MIN(0.25+(INDEX('Stat Boosts'!$D$2:$D$192,L$1-9)-10)*$C114,10.22)</f>
        <v>0.8755639097744361</v>
      </c>
      <c r="M114" s="16">
        <f>MIN(0.25+(INDEX('Stat Boosts'!$D$2:$D$192,M$1-9)-10)*$C114,10.22)</f>
        <v>0.95977443609022561</v>
      </c>
      <c r="N114" s="16">
        <f>MIN(0.25+(INDEX('Stat Boosts'!$D$2:$D$192,N$1-9)-10)*$C114,10.22)</f>
        <v>1.068045112781955</v>
      </c>
      <c r="O114" s="16">
        <f>MIN(0.25+(INDEX('Stat Boosts'!$D$2:$D$192,O$1-9)-10)*$C114,10.22)</f>
        <v>1.1281954887218046</v>
      </c>
      <c r="P114" s="16">
        <f>MIN(0.25+(INDEX('Stat Boosts'!$D$2:$D$192,P$1-9)-10)*$C114,10.22)</f>
        <v>1.224436090225564</v>
      </c>
      <c r="Q114" s="16">
        <f>MIN(0.25+(INDEX('Stat Boosts'!$D$2:$D$192,Q$1-9)-10)*$C114,10.22)</f>
        <v>1.3206766917293233</v>
      </c>
      <c r="R114" s="16">
        <f>MIN(0.25+(INDEX('Stat Boosts'!$D$2:$D$192,R$1-9)-10)*$C114,10.22)</f>
        <v>1.4169172932330827</v>
      </c>
    </row>
    <row r="115" spans="1:18">
      <c r="A115" s="9">
        <v>114</v>
      </c>
      <c r="B115" s="16">
        <f t="shared" si="2"/>
        <v>43.5</v>
      </c>
      <c r="C115" s="16">
        <f t="shared" si="3"/>
        <v>1.1940298507462687E-2</v>
      </c>
      <c r="E115" s="16">
        <f>MIN(0.25+(INDEX('Stat Boosts'!$D$2:$D$192,E$1-9)-10)*$C115,10.22)</f>
        <v>0.25</v>
      </c>
      <c r="F115" s="16">
        <f>MIN(0.25+(INDEX('Stat Boosts'!$D$2:$D$192,F$1-9)-10)*$C115,10.22)</f>
        <v>0.33358208955223878</v>
      </c>
      <c r="G115" s="16">
        <f>MIN(0.25+(INDEX('Stat Boosts'!$D$2:$D$192,G$1-9)-10)*$C115,10.22)</f>
        <v>0.41716417910447762</v>
      </c>
      <c r="H115" s="16">
        <f>MIN(0.25+(INDEX('Stat Boosts'!$D$2:$D$192,H$1-9)-10)*$C115,10.22)</f>
        <v>0.50074626865671634</v>
      </c>
      <c r="I115" s="16">
        <f>MIN(0.25+(INDEX('Stat Boosts'!$D$2:$D$192,I$1-9)-10)*$C115,10.22)</f>
        <v>0.57238805970149254</v>
      </c>
      <c r="J115" s="16">
        <f>MIN(0.25+(INDEX('Stat Boosts'!$D$2:$D$192,J$1-9)-10)*$C115,10.22)</f>
        <v>0.64402985074626873</v>
      </c>
      <c r="K115" s="16">
        <f>MIN(0.25+(INDEX('Stat Boosts'!$D$2:$D$192,K$1-9)-10)*$C115,10.22)</f>
        <v>0.81119402985074629</v>
      </c>
      <c r="L115" s="16">
        <f>MIN(0.25+(INDEX('Stat Boosts'!$D$2:$D$192,L$1-9)-10)*$C115,10.22)</f>
        <v>0.87089552238805967</v>
      </c>
      <c r="M115" s="16">
        <f>MIN(0.25+(INDEX('Stat Boosts'!$D$2:$D$192,M$1-9)-10)*$C115,10.22)</f>
        <v>0.95447761194029856</v>
      </c>
      <c r="N115" s="16">
        <f>MIN(0.25+(INDEX('Stat Boosts'!$D$2:$D$192,N$1-9)-10)*$C115,10.22)</f>
        <v>1.0619402985074626</v>
      </c>
      <c r="O115" s="16">
        <f>MIN(0.25+(INDEX('Stat Boosts'!$D$2:$D$192,O$1-9)-10)*$C115,10.22)</f>
        <v>1.1216417910447762</v>
      </c>
      <c r="P115" s="16">
        <f>MIN(0.25+(INDEX('Stat Boosts'!$D$2:$D$192,P$1-9)-10)*$C115,10.22)</f>
        <v>1.2171641791044776</v>
      </c>
      <c r="Q115" s="16">
        <f>MIN(0.25+(INDEX('Stat Boosts'!$D$2:$D$192,Q$1-9)-10)*$C115,10.22)</f>
        <v>1.3126865671641792</v>
      </c>
      <c r="R115" s="16">
        <f>MIN(0.25+(INDEX('Stat Boosts'!$D$2:$D$192,R$1-9)-10)*$C115,10.22)</f>
        <v>1.4082089552238806</v>
      </c>
    </row>
    <row r="116" spans="1:18">
      <c r="A116" s="9">
        <v>115</v>
      </c>
      <c r="B116" s="16">
        <f t="shared" si="2"/>
        <v>43.75</v>
      </c>
      <c r="C116" s="16">
        <f t="shared" si="3"/>
        <v>1.1851851851851853E-2</v>
      </c>
      <c r="E116" s="16">
        <f>MIN(0.25+(INDEX('Stat Boosts'!$D$2:$D$192,E$1-9)-10)*$C116,10.22)</f>
        <v>0.25</v>
      </c>
      <c r="F116" s="16">
        <f>MIN(0.25+(INDEX('Stat Boosts'!$D$2:$D$192,F$1-9)-10)*$C116,10.22)</f>
        <v>0.33296296296296296</v>
      </c>
      <c r="G116" s="16">
        <f>MIN(0.25+(INDEX('Stat Boosts'!$D$2:$D$192,G$1-9)-10)*$C116,10.22)</f>
        <v>0.41592592592592592</v>
      </c>
      <c r="H116" s="16">
        <f>MIN(0.25+(INDEX('Stat Boosts'!$D$2:$D$192,H$1-9)-10)*$C116,10.22)</f>
        <v>0.49888888888888894</v>
      </c>
      <c r="I116" s="16">
        <f>MIN(0.25+(INDEX('Stat Boosts'!$D$2:$D$192,I$1-9)-10)*$C116,10.22)</f>
        <v>0.57000000000000006</v>
      </c>
      <c r="J116" s="16">
        <f>MIN(0.25+(INDEX('Stat Boosts'!$D$2:$D$192,J$1-9)-10)*$C116,10.22)</f>
        <v>0.64111111111111119</v>
      </c>
      <c r="K116" s="16">
        <f>MIN(0.25+(INDEX('Stat Boosts'!$D$2:$D$192,K$1-9)-10)*$C116,10.22)</f>
        <v>0.80703703703703711</v>
      </c>
      <c r="L116" s="16">
        <f>MIN(0.25+(INDEX('Stat Boosts'!$D$2:$D$192,L$1-9)-10)*$C116,10.22)</f>
        <v>0.86629629629629634</v>
      </c>
      <c r="M116" s="16">
        <f>MIN(0.25+(INDEX('Stat Boosts'!$D$2:$D$192,M$1-9)-10)*$C116,10.22)</f>
        <v>0.94925925925925936</v>
      </c>
      <c r="N116" s="16">
        <f>MIN(0.25+(INDEX('Stat Boosts'!$D$2:$D$192,N$1-9)-10)*$C116,10.22)</f>
        <v>1.0559259259259259</v>
      </c>
      <c r="O116" s="16">
        <f>MIN(0.25+(INDEX('Stat Boosts'!$D$2:$D$192,O$1-9)-10)*$C116,10.22)</f>
        <v>1.1151851851851853</v>
      </c>
      <c r="P116" s="16">
        <f>MIN(0.25+(INDEX('Stat Boosts'!$D$2:$D$192,P$1-9)-10)*$C116,10.22)</f>
        <v>1.21</v>
      </c>
      <c r="Q116" s="16">
        <f>MIN(0.25+(INDEX('Stat Boosts'!$D$2:$D$192,Q$1-9)-10)*$C116,10.22)</f>
        <v>1.3048148148148149</v>
      </c>
      <c r="R116" s="16">
        <f>MIN(0.25+(INDEX('Stat Boosts'!$D$2:$D$192,R$1-9)-10)*$C116,10.22)</f>
        <v>1.3996296296296298</v>
      </c>
    </row>
    <row r="117" spans="1:18">
      <c r="A117" s="9">
        <v>116</v>
      </c>
      <c r="B117" s="16">
        <f t="shared" si="2"/>
        <v>44</v>
      </c>
      <c r="C117" s="16">
        <f t="shared" si="3"/>
        <v>1.1764705882352941E-2</v>
      </c>
      <c r="E117" s="16">
        <f>MIN(0.25+(INDEX('Stat Boosts'!$D$2:$D$192,E$1-9)-10)*$C117,10.22)</f>
        <v>0.25</v>
      </c>
      <c r="F117" s="16">
        <f>MIN(0.25+(INDEX('Stat Boosts'!$D$2:$D$192,F$1-9)-10)*$C117,10.22)</f>
        <v>0.33235294117647057</v>
      </c>
      <c r="G117" s="16">
        <f>MIN(0.25+(INDEX('Stat Boosts'!$D$2:$D$192,G$1-9)-10)*$C117,10.22)</f>
        <v>0.41470588235294115</v>
      </c>
      <c r="H117" s="16">
        <f>MIN(0.25+(INDEX('Stat Boosts'!$D$2:$D$192,H$1-9)-10)*$C117,10.22)</f>
        <v>0.49705882352941178</v>
      </c>
      <c r="I117" s="16">
        <f>MIN(0.25+(INDEX('Stat Boosts'!$D$2:$D$192,I$1-9)-10)*$C117,10.22)</f>
        <v>0.56764705882352939</v>
      </c>
      <c r="J117" s="16">
        <f>MIN(0.25+(INDEX('Stat Boosts'!$D$2:$D$192,J$1-9)-10)*$C117,10.22)</f>
        <v>0.63823529411764701</v>
      </c>
      <c r="K117" s="16">
        <f>MIN(0.25+(INDEX('Stat Boosts'!$D$2:$D$192,K$1-9)-10)*$C117,10.22)</f>
        <v>0.80294117647058827</v>
      </c>
      <c r="L117" s="16">
        <f>MIN(0.25+(INDEX('Stat Boosts'!$D$2:$D$192,L$1-9)-10)*$C117,10.22)</f>
        <v>0.86176470588235299</v>
      </c>
      <c r="M117" s="16">
        <f>MIN(0.25+(INDEX('Stat Boosts'!$D$2:$D$192,M$1-9)-10)*$C117,10.22)</f>
        <v>0.94411764705882351</v>
      </c>
      <c r="N117" s="16">
        <f>MIN(0.25+(INDEX('Stat Boosts'!$D$2:$D$192,N$1-9)-10)*$C117,10.22)</f>
        <v>1.05</v>
      </c>
      <c r="O117" s="16">
        <f>MIN(0.25+(INDEX('Stat Boosts'!$D$2:$D$192,O$1-9)-10)*$C117,10.22)</f>
        <v>1.1088235294117648</v>
      </c>
      <c r="P117" s="16">
        <f>MIN(0.25+(INDEX('Stat Boosts'!$D$2:$D$192,P$1-9)-10)*$C117,10.22)</f>
        <v>1.2029411764705882</v>
      </c>
      <c r="Q117" s="16">
        <f>MIN(0.25+(INDEX('Stat Boosts'!$D$2:$D$192,Q$1-9)-10)*$C117,10.22)</f>
        <v>1.2970588235294118</v>
      </c>
      <c r="R117" s="16">
        <f>MIN(0.25+(INDEX('Stat Boosts'!$D$2:$D$192,R$1-9)-10)*$C117,10.22)</f>
        <v>1.3911764705882352</v>
      </c>
    </row>
    <row r="118" spans="1:18">
      <c r="A118" s="9">
        <v>117</v>
      </c>
      <c r="B118" s="16">
        <f t="shared" si="2"/>
        <v>44.25</v>
      </c>
      <c r="C118" s="16">
        <f t="shared" si="3"/>
        <v>1.1678832116788322E-2</v>
      </c>
      <c r="E118" s="16">
        <f>MIN(0.25+(INDEX('Stat Boosts'!$D$2:$D$192,E$1-9)-10)*$C118,10.22)</f>
        <v>0.25</v>
      </c>
      <c r="F118" s="16">
        <f>MIN(0.25+(INDEX('Stat Boosts'!$D$2:$D$192,F$1-9)-10)*$C118,10.22)</f>
        <v>0.33175182481751825</v>
      </c>
      <c r="G118" s="16">
        <f>MIN(0.25+(INDEX('Stat Boosts'!$D$2:$D$192,G$1-9)-10)*$C118,10.22)</f>
        <v>0.4135036496350365</v>
      </c>
      <c r="H118" s="16">
        <f>MIN(0.25+(INDEX('Stat Boosts'!$D$2:$D$192,H$1-9)-10)*$C118,10.22)</f>
        <v>0.4952554744525548</v>
      </c>
      <c r="I118" s="16">
        <f>MIN(0.25+(INDEX('Stat Boosts'!$D$2:$D$192,I$1-9)-10)*$C118,10.22)</f>
        <v>0.56532846715328477</v>
      </c>
      <c r="J118" s="16">
        <f>MIN(0.25+(INDEX('Stat Boosts'!$D$2:$D$192,J$1-9)-10)*$C118,10.22)</f>
        <v>0.63540145985401464</v>
      </c>
      <c r="K118" s="16">
        <f>MIN(0.25+(INDEX('Stat Boosts'!$D$2:$D$192,K$1-9)-10)*$C118,10.22)</f>
        <v>0.79890510948905114</v>
      </c>
      <c r="L118" s="16">
        <f>MIN(0.25+(INDEX('Stat Boosts'!$D$2:$D$192,L$1-9)-10)*$C118,10.22)</f>
        <v>0.85729927007299278</v>
      </c>
      <c r="M118" s="16">
        <f>MIN(0.25+(INDEX('Stat Boosts'!$D$2:$D$192,M$1-9)-10)*$C118,10.22)</f>
        <v>0.93905109489051097</v>
      </c>
      <c r="N118" s="16">
        <f>MIN(0.25+(INDEX('Stat Boosts'!$D$2:$D$192,N$1-9)-10)*$C118,10.22)</f>
        <v>1.0441605839416059</v>
      </c>
      <c r="O118" s="16">
        <f>MIN(0.25+(INDEX('Stat Boosts'!$D$2:$D$192,O$1-9)-10)*$C118,10.22)</f>
        <v>1.1025547445255475</v>
      </c>
      <c r="P118" s="16">
        <f>MIN(0.25+(INDEX('Stat Boosts'!$D$2:$D$192,P$1-9)-10)*$C118,10.22)</f>
        <v>1.1959854014598541</v>
      </c>
      <c r="Q118" s="16">
        <f>MIN(0.25+(INDEX('Stat Boosts'!$D$2:$D$192,Q$1-9)-10)*$C118,10.22)</f>
        <v>1.2894160583941607</v>
      </c>
      <c r="R118" s="16">
        <f>MIN(0.25+(INDEX('Stat Boosts'!$D$2:$D$192,R$1-9)-10)*$C118,10.22)</f>
        <v>1.3828467153284671</v>
      </c>
    </row>
    <row r="119" spans="1:18">
      <c r="A119" s="9">
        <v>118</v>
      </c>
      <c r="B119" s="16">
        <f t="shared" si="2"/>
        <v>44.5</v>
      </c>
      <c r="C119" s="16">
        <f t="shared" si="3"/>
        <v>1.1594202898550725E-2</v>
      </c>
      <c r="E119" s="16">
        <f>MIN(0.25+(INDEX('Stat Boosts'!$D$2:$D$192,E$1-9)-10)*$C119,10.22)</f>
        <v>0.25</v>
      </c>
      <c r="F119" s="16">
        <f>MIN(0.25+(INDEX('Stat Boosts'!$D$2:$D$192,F$1-9)-10)*$C119,10.22)</f>
        <v>0.33115942028985507</v>
      </c>
      <c r="G119" s="16">
        <f>MIN(0.25+(INDEX('Stat Boosts'!$D$2:$D$192,G$1-9)-10)*$C119,10.22)</f>
        <v>0.41231884057971013</v>
      </c>
      <c r="H119" s="16">
        <f>MIN(0.25+(INDEX('Stat Boosts'!$D$2:$D$192,H$1-9)-10)*$C119,10.22)</f>
        <v>0.49347826086956526</v>
      </c>
      <c r="I119" s="16">
        <f>MIN(0.25+(INDEX('Stat Boosts'!$D$2:$D$192,I$1-9)-10)*$C119,10.22)</f>
        <v>0.56304347826086953</v>
      </c>
      <c r="J119" s="16">
        <f>MIN(0.25+(INDEX('Stat Boosts'!$D$2:$D$192,J$1-9)-10)*$C119,10.22)</f>
        <v>0.63260869565217392</v>
      </c>
      <c r="K119" s="16">
        <f>MIN(0.25+(INDEX('Stat Boosts'!$D$2:$D$192,K$1-9)-10)*$C119,10.22)</f>
        <v>0.79492753623188406</v>
      </c>
      <c r="L119" s="16">
        <f>MIN(0.25+(INDEX('Stat Boosts'!$D$2:$D$192,L$1-9)-10)*$C119,10.22)</f>
        <v>0.85289855072463772</v>
      </c>
      <c r="M119" s="16">
        <f>MIN(0.25+(INDEX('Stat Boosts'!$D$2:$D$192,M$1-9)-10)*$C119,10.22)</f>
        <v>0.93405797101449273</v>
      </c>
      <c r="N119" s="16">
        <f>MIN(0.25+(INDEX('Stat Boosts'!$D$2:$D$192,N$1-9)-10)*$C119,10.22)</f>
        <v>1.0384057971014493</v>
      </c>
      <c r="O119" s="16">
        <f>MIN(0.25+(INDEX('Stat Boosts'!$D$2:$D$192,O$1-9)-10)*$C119,10.22)</f>
        <v>1.0963768115942027</v>
      </c>
      <c r="P119" s="16">
        <f>MIN(0.25+(INDEX('Stat Boosts'!$D$2:$D$192,P$1-9)-10)*$C119,10.22)</f>
        <v>1.1891304347826086</v>
      </c>
      <c r="Q119" s="16">
        <f>MIN(0.25+(INDEX('Stat Boosts'!$D$2:$D$192,Q$1-9)-10)*$C119,10.22)</f>
        <v>1.2818840579710145</v>
      </c>
      <c r="R119" s="16">
        <f>MIN(0.25+(INDEX('Stat Boosts'!$D$2:$D$192,R$1-9)-10)*$C119,10.22)</f>
        <v>1.3746376811594203</v>
      </c>
    </row>
    <row r="120" spans="1:18">
      <c r="A120" s="9">
        <v>119</v>
      </c>
      <c r="B120" s="16">
        <f t="shared" si="2"/>
        <v>44.75</v>
      </c>
      <c r="C120" s="16">
        <f t="shared" si="3"/>
        <v>1.1510791366906475E-2</v>
      </c>
      <c r="E120" s="16">
        <f>MIN(0.25+(INDEX('Stat Boosts'!$D$2:$D$192,E$1-9)-10)*$C120,10.22)</f>
        <v>0.25</v>
      </c>
      <c r="F120" s="16">
        <f>MIN(0.25+(INDEX('Stat Boosts'!$D$2:$D$192,F$1-9)-10)*$C120,10.22)</f>
        <v>0.33057553956834534</v>
      </c>
      <c r="G120" s="16">
        <f>MIN(0.25+(INDEX('Stat Boosts'!$D$2:$D$192,G$1-9)-10)*$C120,10.22)</f>
        <v>0.41115107913669069</v>
      </c>
      <c r="H120" s="16">
        <f>MIN(0.25+(INDEX('Stat Boosts'!$D$2:$D$192,H$1-9)-10)*$C120,10.22)</f>
        <v>0.49172661870503598</v>
      </c>
      <c r="I120" s="16">
        <f>MIN(0.25+(INDEX('Stat Boosts'!$D$2:$D$192,I$1-9)-10)*$C120,10.22)</f>
        <v>0.5607913669064748</v>
      </c>
      <c r="J120" s="16">
        <f>MIN(0.25+(INDEX('Stat Boosts'!$D$2:$D$192,J$1-9)-10)*$C120,10.22)</f>
        <v>0.62985611510791362</v>
      </c>
      <c r="K120" s="16">
        <f>MIN(0.25+(INDEX('Stat Boosts'!$D$2:$D$192,K$1-9)-10)*$C120,10.22)</f>
        <v>0.79100719424460431</v>
      </c>
      <c r="L120" s="16">
        <f>MIN(0.25+(INDEX('Stat Boosts'!$D$2:$D$192,L$1-9)-10)*$C120,10.22)</f>
        <v>0.84856115107913666</v>
      </c>
      <c r="M120" s="16">
        <f>MIN(0.25+(INDEX('Stat Boosts'!$D$2:$D$192,M$1-9)-10)*$C120,10.22)</f>
        <v>0.92913669064748206</v>
      </c>
      <c r="N120" s="16">
        <f>MIN(0.25+(INDEX('Stat Boosts'!$D$2:$D$192,N$1-9)-10)*$C120,10.22)</f>
        <v>1.0327338129496404</v>
      </c>
      <c r="O120" s="16">
        <f>MIN(0.25+(INDEX('Stat Boosts'!$D$2:$D$192,O$1-9)-10)*$C120,10.22)</f>
        <v>1.0902877697841726</v>
      </c>
      <c r="P120" s="16">
        <f>MIN(0.25+(INDEX('Stat Boosts'!$D$2:$D$192,P$1-9)-10)*$C120,10.22)</f>
        <v>1.1823741007194246</v>
      </c>
      <c r="Q120" s="16">
        <f>MIN(0.25+(INDEX('Stat Boosts'!$D$2:$D$192,Q$1-9)-10)*$C120,10.22)</f>
        <v>1.2744604316546764</v>
      </c>
      <c r="R120" s="16">
        <f>MIN(0.25+(INDEX('Stat Boosts'!$D$2:$D$192,R$1-9)-10)*$C120,10.22)</f>
        <v>1.3665467625899281</v>
      </c>
    </row>
    <row r="121" spans="1:18">
      <c r="A121" s="9">
        <v>120</v>
      </c>
      <c r="B121" s="16">
        <f t="shared" si="2"/>
        <v>45</v>
      </c>
      <c r="C121" s="16">
        <f t="shared" si="3"/>
        <v>1.1428571428571429E-2</v>
      </c>
      <c r="E121" s="16">
        <f>MIN(0.25+(INDEX('Stat Boosts'!$D$2:$D$192,E$1-9)-10)*$C121,10.22)</f>
        <v>0.25</v>
      </c>
      <c r="F121" s="16">
        <f>MIN(0.25+(INDEX('Stat Boosts'!$D$2:$D$192,F$1-9)-10)*$C121,10.22)</f>
        <v>0.33</v>
      </c>
      <c r="G121" s="16">
        <f>MIN(0.25+(INDEX('Stat Boosts'!$D$2:$D$192,G$1-9)-10)*$C121,10.22)</f>
        <v>0.41000000000000003</v>
      </c>
      <c r="H121" s="16">
        <f>MIN(0.25+(INDEX('Stat Boosts'!$D$2:$D$192,H$1-9)-10)*$C121,10.22)</f>
        <v>0.49</v>
      </c>
      <c r="I121" s="16">
        <f>MIN(0.25+(INDEX('Stat Boosts'!$D$2:$D$192,I$1-9)-10)*$C121,10.22)</f>
        <v>0.5585714285714285</v>
      </c>
      <c r="J121" s="16">
        <f>MIN(0.25+(INDEX('Stat Boosts'!$D$2:$D$192,J$1-9)-10)*$C121,10.22)</f>
        <v>0.62714285714285722</v>
      </c>
      <c r="K121" s="16">
        <f>MIN(0.25+(INDEX('Stat Boosts'!$D$2:$D$192,K$1-9)-10)*$C121,10.22)</f>
        <v>0.78714285714285714</v>
      </c>
      <c r="L121" s="16">
        <f>MIN(0.25+(INDEX('Stat Boosts'!$D$2:$D$192,L$1-9)-10)*$C121,10.22)</f>
        <v>0.84428571428571431</v>
      </c>
      <c r="M121" s="16">
        <f>MIN(0.25+(INDEX('Stat Boosts'!$D$2:$D$192,M$1-9)-10)*$C121,10.22)</f>
        <v>0.92428571428571427</v>
      </c>
      <c r="N121" s="16">
        <f>MIN(0.25+(INDEX('Stat Boosts'!$D$2:$D$192,N$1-9)-10)*$C121,10.22)</f>
        <v>1.0271428571428571</v>
      </c>
      <c r="O121" s="16">
        <f>MIN(0.25+(INDEX('Stat Boosts'!$D$2:$D$192,O$1-9)-10)*$C121,10.22)</f>
        <v>1.0842857142857143</v>
      </c>
      <c r="P121" s="16">
        <f>MIN(0.25+(INDEX('Stat Boosts'!$D$2:$D$192,P$1-9)-10)*$C121,10.22)</f>
        <v>1.1757142857142857</v>
      </c>
      <c r="Q121" s="16">
        <f>MIN(0.25+(INDEX('Stat Boosts'!$D$2:$D$192,Q$1-9)-10)*$C121,10.22)</f>
        <v>1.2671428571428571</v>
      </c>
      <c r="R121" s="16">
        <f>MIN(0.25+(INDEX('Stat Boosts'!$D$2:$D$192,R$1-9)-10)*$C121,10.22)</f>
        <v>1.3585714285714285</v>
      </c>
    </row>
    <row r="122" spans="1:18">
      <c r="A122" s="9">
        <v>121</v>
      </c>
      <c r="B122" s="16">
        <f t="shared" si="2"/>
        <v>45.25</v>
      </c>
      <c r="C122" s="16">
        <f t="shared" si="3"/>
        <v>1.1347517730496455E-2</v>
      </c>
      <c r="E122" s="16">
        <f>MIN(0.25+(INDEX('Stat Boosts'!$D$2:$D$192,E$1-9)-10)*$C122,10.22)</f>
        <v>0.25</v>
      </c>
      <c r="F122" s="16">
        <f>MIN(0.25+(INDEX('Stat Boosts'!$D$2:$D$192,F$1-9)-10)*$C122,10.22)</f>
        <v>0.32943262411347518</v>
      </c>
      <c r="G122" s="16">
        <f>MIN(0.25+(INDEX('Stat Boosts'!$D$2:$D$192,G$1-9)-10)*$C122,10.22)</f>
        <v>0.40886524822695036</v>
      </c>
      <c r="H122" s="16">
        <f>MIN(0.25+(INDEX('Stat Boosts'!$D$2:$D$192,H$1-9)-10)*$C122,10.22)</f>
        <v>0.48829787234042554</v>
      </c>
      <c r="I122" s="16">
        <f>MIN(0.25+(INDEX('Stat Boosts'!$D$2:$D$192,I$1-9)-10)*$C122,10.22)</f>
        <v>0.55638297872340425</v>
      </c>
      <c r="J122" s="16">
        <f>MIN(0.25+(INDEX('Stat Boosts'!$D$2:$D$192,J$1-9)-10)*$C122,10.22)</f>
        <v>0.62446808510638308</v>
      </c>
      <c r="K122" s="16">
        <f>MIN(0.25+(INDEX('Stat Boosts'!$D$2:$D$192,K$1-9)-10)*$C122,10.22)</f>
        <v>0.78333333333333333</v>
      </c>
      <c r="L122" s="16">
        <f>MIN(0.25+(INDEX('Stat Boosts'!$D$2:$D$192,L$1-9)-10)*$C122,10.22)</f>
        <v>0.84007092198581568</v>
      </c>
      <c r="M122" s="16">
        <f>MIN(0.25+(INDEX('Stat Boosts'!$D$2:$D$192,M$1-9)-10)*$C122,10.22)</f>
        <v>0.91950354609929086</v>
      </c>
      <c r="N122" s="16">
        <f>MIN(0.25+(INDEX('Stat Boosts'!$D$2:$D$192,N$1-9)-10)*$C122,10.22)</f>
        <v>1.0216312056737589</v>
      </c>
      <c r="O122" s="16">
        <f>MIN(0.25+(INDEX('Stat Boosts'!$D$2:$D$192,O$1-9)-10)*$C122,10.22)</f>
        <v>1.0783687943262412</v>
      </c>
      <c r="P122" s="16">
        <f>MIN(0.25+(INDEX('Stat Boosts'!$D$2:$D$192,P$1-9)-10)*$C122,10.22)</f>
        <v>1.1691489361702128</v>
      </c>
      <c r="Q122" s="16">
        <f>MIN(0.25+(INDEX('Stat Boosts'!$D$2:$D$192,Q$1-9)-10)*$C122,10.22)</f>
        <v>1.2599290780141845</v>
      </c>
      <c r="R122" s="16">
        <f>MIN(0.25+(INDEX('Stat Boosts'!$D$2:$D$192,R$1-9)-10)*$C122,10.22)</f>
        <v>1.3507092198581561</v>
      </c>
    </row>
    <row r="123" spans="1:18">
      <c r="A123" s="9">
        <v>122</v>
      </c>
      <c r="B123" s="16">
        <f t="shared" si="2"/>
        <v>45.5</v>
      </c>
      <c r="C123" s="16">
        <f t="shared" si="3"/>
        <v>1.1267605633802818E-2</v>
      </c>
      <c r="E123" s="16">
        <f>MIN(0.25+(INDEX('Stat Boosts'!$D$2:$D$192,E$1-9)-10)*$C123,10.22)</f>
        <v>0.25</v>
      </c>
      <c r="F123" s="16">
        <f>MIN(0.25+(INDEX('Stat Boosts'!$D$2:$D$192,F$1-9)-10)*$C123,10.22)</f>
        <v>0.32887323943661972</v>
      </c>
      <c r="G123" s="16">
        <f>MIN(0.25+(INDEX('Stat Boosts'!$D$2:$D$192,G$1-9)-10)*$C123,10.22)</f>
        <v>0.40774647887323945</v>
      </c>
      <c r="H123" s="16">
        <f>MIN(0.25+(INDEX('Stat Boosts'!$D$2:$D$192,H$1-9)-10)*$C123,10.22)</f>
        <v>0.48661971830985917</v>
      </c>
      <c r="I123" s="16">
        <f>MIN(0.25+(INDEX('Stat Boosts'!$D$2:$D$192,I$1-9)-10)*$C123,10.22)</f>
        <v>0.5542253521126761</v>
      </c>
      <c r="J123" s="16">
        <f>MIN(0.25+(INDEX('Stat Boosts'!$D$2:$D$192,J$1-9)-10)*$C123,10.22)</f>
        <v>0.62183098591549291</v>
      </c>
      <c r="K123" s="16">
        <f>MIN(0.25+(INDEX('Stat Boosts'!$D$2:$D$192,K$1-9)-10)*$C123,10.22)</f>
        <v>0.77957746478873247</v>
      </c>
      <c r="L123" s="16">
        <f>MIN(0.25+(INDEX('Stat Boosts'!$D$2:$D$192,L$1-9)-10)*$C123,10.22)</f>
        <v>0.83591549295774648</v>
      </c>
      <c r="M123" s="16">
        <f>MIN(0.25+(INDEX('Stat Boosts'!$D$2:$D$192,M$1-9)-10)*$C123,10.22)</f>
        <v>0.9147887323943662</v>
      </c>
      <c r="N123" s="16">
        <f>MIN(0.25+(INDEX('Stat Boosts'!$D$2:$D$192,N$1-9)-10)*$C123,10.22)</f>
        <v>1.0161971830985916</v>
      </c>
      <c r="O123" s="16">
        <f>MIN(0.25+(INDEX('Stat Boosts'!$D$2:$D$192,O$1-9)-10)*$C123,10.22)</f>
        <v>1.0725352112676056</v>
      </c>
      <c r="P123" s="16">
        <f>MIN(0.25+(INDEX('Stat Boosts'!$D$2:$D$192,P$1-9)-10)*$C123,10.22)</f>
        <v>1.1626760563380283</v>
      </c>
      <c r="Q123" s="16">
        <f>MIN(0.25+(INDEX('Stat Boosts'!$D$2:$D$192,Q$1-9)-10)*$C123,10.22)</f>
        <v>1.2528169014084507</v>
      </c>
      <c r="R123" s="16">
        <f>MIN(0.25+(INDEX('Stat Boosts'!$D$2:$D$192,R$1-9)-10)*$C123,10.22)</f>
        <v>1.3429577464788733</v>
      </c>
    </row>
    <row r="124" spans="1:18">
      <c r="A124" s="9">
        <v>123</v>
      </c>
      <c r="B124" s="16">
        <f t="shared" si="2"/>
        <v>45.75</v>
      </c>
      <c r="C124" s="16">
        <f t="shared" si="3"/>
        <v>1.1188811188811189E-2</v>
      </c>
      <c r="E124" s="16">
        <f>MIN(0.25+(INDEX('Stat Boosts'!$D$2:$D$192,E$1-9)-10)*$C124,10.22)</f>
        <v>0.25</v>
      </c>
      <c r="F124" s="16">
        <f>MIN(0.25+(INDEX('Stat Boosts'!$D$2:$D$192,F$1-9)-10)*$C124,10.22)</f>
        <v>0.32832167832167836</v>
      </c>
      <c r="G124" s="16">
        <f>MIN(0.25+(INDEX('Stat Boosts'!$D$2:$D$192,G$1-9)-10)*$C124,10.22)</f>
        <v>0.40664335664335666</v>
      </c>
      <c r="H124" s="16">
        <f>MIN(0.25+(INDEX('Stat Boosts'!$D$2:$D$192,H$1-9)-10)*$C124,10.22)</f>
        <v>0.48496503496503496</v>
      </c>
      <c r="I124" s="16">
        <f>MIN(0.25+(INDEX('Stat Boosts'!$D$2:$D$192,I$1-9)-10)*$C124,10.22)</f>
        <v>0.5520979020979021</v>
      </c>
      <c r="J124" s="16">
        <f>MIN(0.25+(INDEX('Stat Boosts'!$D$2:$D$192,J$1-9)-10)*$C124,10.22)</f>
        <v>0.61923076923076925</v>
      </c>
      <c r="K124" s="16">
        <f>MIN(0.25+(INDEX('Stat Boosts'!$D$2:$D$192,K$1-9)-10)*$C124,10.22)</f>
        <v>0.77587412587412585</v>
      </c>
      <c r="L124" s="16">
        <f>MIN(0.25+(INDEX('Stat Boosts'!$D$2:$D$192,L$1-9)-10)*$C124,10.22)</f>
        <v>0.83181818181818179</v>
      </c>
      <c r="M124" s="16">
        <f>MIN(0.25+(INDEX('Stat Boosts'!$D$2:$D$192,M$1-9)-10)*$C124,10.22)</f>
        <v>0.91013986013986015</v>
      </c>
      <c r="N124" s="16">
        <f>MIN(0.25+(INDEX('Stat Boosts'!$D$2:$D$192,N$1-9)-10)*$C124,10.22)</f>
        <v>1.0108391608391609</v>
      </c>
      <c r="O124" s="16">
        <f>MIN(0.25+(INDEX('Stat Boosts'!$D$2:$D$192,O$1-9)-10)*$C124,10.22)</f>
        <v>1.0667832167832167</v>
      </c>
      <c r="P124" s="16">
        <f>MIN(0.25+(INDEX('Stat Boosts'!$D$2:$D$192,P$1-9)-10)*$C124,10.22)</f>
        <v>1.1562937062937064</v>
      </c>
      <c r="Q124" s="16">
        <f>MIN(0.25+(INDEX('Stat Boosts'!$D$2:$D$192,Q$1-9)-10)*$C124,10.22)</f>
        <v>1.2458041958041957</v>
      </c>
      <c r="R124" s="16">
        <f>MIN(0.25+(INDEX('Stat Boosts'!$D$2:$D$192,R$1-9)-10)*$C124,10.22)</f>
        <v>1.3353146853146853</v>
      </c>
    </row>
    <row r="125" spans="1:18">
      <c r="A125" s="9">
        <v>124</v>
      </c>
      <c r="B125" s="16">
        <f t="shared" si="2"/>
        <v>46</v>
      </c>
      <c r="C125" s="16">
        <f t="shared" si="3"/>
        <v>1.1111111111111112E-2</v>
      </c>
      <c r="E125" s="16">
        <f>MIN(0.25+(INDEX('Stat Boosts'!$D$2:$D$192,E$1-9)-10)*$C125,10.22)</f>
        <v>0.25</v>
      </c>
      <c r="F125" s="16">
        <f>MIN(0.25+(INDEX('Stat Boosts'!$D$2:$D$192,F$1-9)-10)*$C125,10.22)</f>
        <v>0.32777777777777778</v>
      </c>
      <c r="G125" s="16">
        <f>MIN(0.25+(INDEX('Stat Boosts'!$D$2:$D$192,G$1-9)-10)*$C125,10.22)</f>
        <v>0.40555555555555556</v>
      </c>
      <c r="H125" s="16">
        <f>MIN(0.25+(INDEX('Stat Boosts'!$D$2:$D$192,H$1-9)-10)*$C125,10.22)</f>
        <v>0.48333333333333334</v>
      </c>
      <c r="I125" s="16">
        <f>MIN(0.25+(INDEX('Stat Boosts'!$D$2:$D$192,I$1-9)-10)*$C125,10.22)</f>
        <v>0.55000000000000004</v>
      </c>
      <c r="J125" s="16">
        <f>MIN(0.25+(INDEX('Stat Boosts'!$D$2:$D$192,J$1-9)-10)*$C125,10.22)</f>
        <v>0.6166666666666667</v>
      </c>
      <c r="K125" s="16">
        <f>MIN(0.25+(INDEX('Stat Boosts'!$D$2:$D$192,K$1-9)-10)*$C125,10.22)</f>
        <v>0.77222222222222225</v>
      </c>
      <c r="L125" s="16">
        <f>MIN(0.25+(INDEX('Stat Boosts'!$D$2:$D$192,L$1-9)-10)*$C125,10.22)</f>
        <v>0.82777777777777783</v>
      </c>
      <c r="M125" s="16">
        <f>MIN(0.25+(INDEX('Stat Boosts'!$D$2:$D$192,M$1-9)-10)*$C125,10.22)</f>
        <v>0.90555555555555556</v>
      </c>
      <c r="N125" s="16">
        <f>MIN(0.25+(INDEX('Stat Boosts'!$D$2:$D$192,N$1-9)-10)*$C125,10.22)</f>
        <v>1.0055555555555555</v>
      </c>
      <c r="O125" s="16">
        <f>MIN(0.25+(INDEX('Stat Boosts'!$D$2:$D$192,O$1-9)-10)*$C125,10.22)</f>
        <v>1.0611111111111111</v>
      </c>
      <c r="P125" s="16">
        <f>MIN(0.25+(INDEX('Stat Boosts'!$D$2:$D$192,P$1-9)-10)*$C125,10.22)</f>
        <v>1.1499999999999999</v>
      </c>
      <c r="Q125" s="16">
        <f>MIN(0.25+(INDEX('Stat Boosts'!$D$2:$D$192,Q$1-9)-10)*$C125,10.22)</f>
        <v>1.2388888888888889</v>
      </c>
      <c r="R125" s="16">
        <f>MIN(0.25+(INDEX('Stat Boosts'!$D$2:$D$192,R$1-9)-10)*$C125,10.22)</f>
        <v>1.3277777777777777</v>
      </c>
    </row>
    <row r="126" spans="1:18">
      <c r="A126" s="9">
        <v>125</v>
      </c>
      <c r="B126" s="16">
        <f t="shared" si="2"/>
        <v>46.25</v>
      </c>
      <c r="C126" s="16">
        <f t="shared" si="3"/>
        <v>1.1034482758620691E-2</v>
      </c>
      <c r="E126" s="16">
        <f>MIN(0.25+(INDEX('Stat Boosts'!$D$2:$D$192,E$1-9)-10)*$C126,10.22)</f>
        <v>0.25</v>
      </c>
      <c r="F126" s="16">
        <f>MIN(0.25+(INDEX('Stat Boosts'!$D$2:$D$192,F$1-9)-10)*$C126,10.22)</f>
        <v>0.3272413793103448</v>
      </c>
      <c r="G126" s="16">
        <f>MIN(0.25+(INDEX('Stat Boosts'!$D$2:$D$192,G$1-9)-10)*$C126,10.22)</f>
        <v>0.40448275862068966</v>
      </c>
      <c r="H126" s="16">
        <f>MIN(0.25+(INDEX('Stat Boosts'!$D$2:$D$192,H$1-9)-10)*$C126,10.22)</f>
        <v>0.48172413793103452</v>
      </c>
      <c r="I126" s="16">
        <f>MIN(0.25+(INDEX('Stat Boosts'!$D$2:$D$192,I$1-9)-10)*$C126,10.22)</f>
        <v>0.54793103448275859</v>
      </c>
      <c r="J126" s="16">
        <f>MIN(0.25+(INDEX('Stat Boosts'!$D$2:$D$192,J$1-9)-10)*$C126,10.22)</f>
        <v>0.61413793103448278</v>
      </c>
      <c r="K126" s="16">
        <f>MIN(0.25+(INDEX('Stat Boosts'!$D$2:$D$192,K$1-9)-10)*$C126,10.22)</f>
        <v>0.7686206896551725</v>
      </c>
      <c r="L126" s="16">
        <f>MIN(0.25+(INDEX('Stat Boosts'!$D$2:$D$192,L$1-9)-10)*$C126,10.22)</f>
        <v>0.82379310344827594</v>
      </c>
      <c r="M126" s="16">
        <f>MIN(0.25+(INDEX('Stat Boosts'!$D$2:$D$192,M$1-9)-10)*$C126,10.22)</f>
        <v>0.90103448275862075</v>
      </c>
      <c r="N126" s="16">
        <f>MIN(0.25+(INDEX('Stat Boosts'!$D$2:$D$192,N$1-9)-10)*$C126,10.22)</f>
        <v>1.0003448275862068</v>
      </c>
      <c r="O126" s="16">
        <f>MIN(0.25+(INDEX('Stat Boosts'!$D$2:$D$192,O$1-9)-10)*$C126,10.22)</f>
        <v>1.0555172413793104</v>
      </c>
      <c r="P126" s="16">
        <f>MIN(0.25+(INDEX('Stat Boosts'!$D$2:$D$192,P$1-9)-10)*$C126,10.22)</f>
        <v>1.1437931034482758</v>
      </c>
      <c r="Q126" s="16">
        <f>MIN(0.25+(INDEX('Stat Boosts'!$D$2:$D$192,Q$1-9)-10)*$C126,10.22)</f>
        <v>1.2320689655172414</v>
      </c>
      <c r="R126" s="16">
        <f>MIN(0.25+(INDEX('Stat Boosts'!$D$2:$D$192,R$1-9)-10)*$C126,10.22)</f>
        <v>1.3203448275862071</v>
      </c>
    </row>
    <row r="127" spans="1:18">
      <c r="A127" s="9">
        <v>126</v>
      </c>
      <c r="B127" s="16">
        <f t="shared" si="2"/>
        <v>46.5</v>
      </c>
      <c r="C127" s="16">
        <f t="shared" si="3"/>
        <v>1.0958904109589041E-2</v>
      </c>
      <c r="E127" s="16">
        <f>MIN(0.25+(INDEX('Stat Boosts'!$D$2:$D$192,E$1-9)-10)*$C127,10.22)</f>
        <v>0.25</v>
      </c>
      <c r="F127" s="16">
        <f>MIN(0.25+(INDEX('Stat Boosts'!$D$2:$D$192,F$1-9)-10)*$C127,10.22)</f>
        <v>0.32671232876712331</v>
      </c>
      <c r="G127" s="16">
        <f>MIN(0.25+(INDEX('Stat Boosts'!$D$2:$D$192,G$1-9)-10)*$C127,10.22)</f>
        <v>0.40342465753424661</v>
      </c>
      <c r="H127" s="16">
        <f>MIN(0.25+(INDEX('Stat Boosts'!$D$2:$D$192,H$1-9)-10)*$C127,10.22)</f>
        <v>0.48013698630136986</v>
      </c>
      <c r="I127" s="16">
        <f>MIN(0.25+(INDEX('Stat Boosts'!$D$2:$D$192,I$1-9)-10)*$C127,10.22)</f>
        <v>0.54589041095890412</v>
      </c>
      <c r="J127" s="16">
        <f>MIN(0.25+(INDEX('Stat Boosts'!$D$2:$D$192,J$1-9)-10)*$C127,10.22)</f>
        <v>0.61164383561643842</v>
      </c>
      <c r="K127" s="16">
        <f>MIN(0.25+(INDEX('Stat Boosts'!$D$2:$D$192,K$1-9)-10)*$C127,10.22)</f>
        <v>0.76506849315068493</v>
      </c>
      <c r="L127" s="16">
        <f>MIN(0.25+(INDEX('Stat Boosts'!$D$2:$D$192,L$1-9)-10)*$C127,10.22)</f>
        <v>0.81986301369863013</v>
      </c>
      <c r="M127" s="16">
        <f>MIN(0.25+(INDEX('Stat Boosts'!$D$2:$D$192,M$1-9)-10)*$C127,10.22)</f>
        <v>0.89657534246575343</v>
      </c>
      <c r="N127" s="16">
        <f>MIN(0.25+(INDEX('Stat Boosts'!$D$2:$D$192,N$1-9)-10)*$C127,10.22)</f>
        <v>0.99520547945205484</v>
      </c>
      <c r="O127" s="16">
        <f>MIN(0.25+(INDEX('Stat Boosts'!$D$2:$D$192,O$1-9)-10)*$C127,10.22)</f>
        <v>1.05</v>
      </c>
      <c r="P127" s="16">
        <f>MIN(0.25+(INDEX('Stat Boosts'!$D$2:$D$192,P$1-9)-10)*$C127,10.22)</f>
        <v>1.1376712328767122</v>
      </c>
      <c r="Q127" s="16">
        <f>MIN(0.25+(INDEX('Stat Boosts'!$D$2:$D$192,Q$1-9)-10)*$C127,10.22)</f>
        <v>1.2253424657534246</v>
      </c>
      <c r="R127" s="16">
        <f>MIN(0.25+(INDEX('Stat Boosts'!$D$2:$D$192,R$1-9)-10)*$C127,10.22)</f>
        <v>1.3130136986301371</v>
      </c>
    </row>
    <row r="128" spans="1:18">
      <c r="A128" s="9">
        <v>127</v>
      </c>
      <c r="B128" s="16">
        <f t="shared" si="2"/>
        <v>46.75</v>
      </c>
      <c r="C128" s="16">
        <f t="shared" si="3"/>
        <v>1.08843537414966E-2</v>
      </c>
      <c r="E128" s="16">
        <f>MIN(0.25+(INDEX('Stat Boosts'!$D$2:$D$192,E$1-9)-10)*$C128,10.22)</f>
        <v>0.25</v>
      </c>
      <c r="F128" s="16">
        <f>MIN(0.25+(INDEX('Stat Boosts'!$D$2:$D$192,F$1-9)-10)*$C128,10.22)</f>
        <v>0.3261904761904762</v>
      </c>
      <c r="G128" s="16">
        <f>MIN(0.25+(INDEX('Stat Boosts'!$D$2:$D$192,G$1-9)-10)*$C128,10.22)</f>
        <v>0.40238095238095239</v>
      </c>
      <c r="H128" s="16">
        <f>MIN(0.25+(INDEX('Stat Boosts'!$D$2:$D$192,H$1-9)-10)*$C128,10.22)</f>
        <v>0.47857142857142859</v>
      </c>
      <c r="I128" s="16">
        <f>MIN(0.25+(INDEX('Stat Boosts'!$D$2:$D$192,I$1-9)-10)*$C128,10.22)</f>
        <v>0.54387755102040813</v>
      </c>
      <c r="J128" s="16">
        <f>MIN(0.25+(INDEX('Stat Boosts'!$D$2:$D$192,J$1-9)-10)*$C128,10.22)</f>
        <v>0.60918367346938784</v>
      </c>
      <c r="K128" s="16">
        <f>MIN(0.25+(INDEX('Stat Boosts'!$D$2:$D$192,K$1-9)-10)*$C128,10.22)</f>
        <v>0.76156462585034013</v>
      </c>
      <c r="L128" s="16">
        <f>MIN(0.25+(INDEX('Stat Boosts'!$D$2:$D$192,L$1-9)-10)*$C128,10.22)</f>
        <v>0.81598639455782318</v>
      </c>
      <c r="M128" s="16">
        <f>MIN(0.25+(INDEX('Stat Boosts'!$D$2:$D$192,M$1-9)-10)*$C128,10.22)</f>
        <v>0.89217687074829932</v>
      </c>
      <c r="N128" s="16">
        <f>MIN(0.25+(INDEX('Stat Boosts'!$D$2:$D$192,N$1-9)-10)*$C128,10.22)</f>
        <v>0.99013605442176877</v>
      </c>
      <c r="O128" s="16">
        <f>MIN(0.25+(INDEX('Stat Boosts'!$D$2:$D$192,O$1-9)-10)*$C128,10.22)</f>
        <v>1.0445578231292518</v>
      </c>
      <c r="P128" s="16">
        <f>MIN(0.25+(INDEX('Stat Boosts'!$D$2:$D$192,P$1-9)-10)*$C128,10.22)</f>
        <v>1.1316326530612246</v>
      </c>
      <c r="Q128" s="16">
        <f>MIN(0.25+(INDEX('Stat Boosts'!$D$2:$D$192,Q$1-9)-10)*$C128,10.22)</f>
        <v>1.2187074829931974</v>
      </c>
      <c r="R128" s="16">
        <f>MIN(0.25+(INDEX('Stat Boosts'!$D$2:$D$192,R$1-9)-10)*$C128,10.22)</f>
        <v>1.3057823129251702</v>
      </c>
    </row>
    <row r="129" spans="1:18">
      <c r="A129" s="9">
        <v>128</v>
      </c>
      <c r="B129" s="16">
        <f t="shared" si="2"/>
        <v>47</v>
      </c>
      <c r="C129" s="16">
        <f t="shared" si="3"/>
        <v>1.0810810810810811E-2</v>
      </c>
      <c r="E129" s="16">
        <f>MIN(0.25+(INDEX('Stat Boosts'!$D$2:$D$192,E$1-9)-10)*$C129,10.22)</f>
        <v>0.25</v>
      </c>
      <c r="F129" s="16">
        <f>MIN(0.25+(INDEX('Stat Boosts'!$D$2:$D$192,F$1-9)-10)*$C129,10.22)</f>
        <v>0.32567567567567568</v>
      </c>
      <c r="G129" s="16">
        <f>MIN(0.25+(INDEX('Stat Boosts'!$D$2:$D$192,G$1-9)-10)*$C129,10.22)</f>
        <v>0.40135135135135136</v>
      </c>
      <c r="H129" s="16">
        <f>MIN(0.25+(INDEX('Stat Boosts'!$D$2:$D$192,H$1-9)-10)*$C129,10.22)</f>
        <v>0.47702702702702704</v>
      </c>
      <c r="I129" s="16">
        <f>MIN(0.25+(INDEX('Stat Boosts'!$D$2:$D$192,I$1-9)-10)*$C129,10.22)</f>
        <v>0.54189189189189191</v>
      </c>
      <c r="J129" s="16">
        <f>MIN(0.25+(INDEX('Stat Boosts'!$D$2:$D$192,J$1-9)-10)*$C129,10.22)</f>
        <v>0.60675675675675678</v>
      </c>
      <c r="K129" s="16">
        <f>MIN(0.25+(INDEX('Stat Boosts'!$D$2:$D$192,K$1-9)-10)*$C129,10.22)</f>
        <v>0.75810810810810814</v>
      </c>
      <c r="L129" s="16">
        <f>MIN(0.25+(INDEX('Stat Boosts'!$D$2:$D$192,L$1-9)-10)*$C129,10.22)</f>
        <v>0.81216216216216219</v>
      </c>
      <c r="M129" s="16">
        <f>MIN(0.25+(INDEX('Stat Boosts'!$D$2:$D$192,M$1-9)-10)*$C129,10.22)</f>
        <v>0.88783783783783787</v>
      </c>
      <c r="N129" s="16">
        <f>MIN(0.25+(INDEX('Stat Boosts'!$D$2:$D$192,N$1-9)-10)*$C129,10.22)</f>
        <v>0.98513513513513518</v>
      </c>
      <c r="O129" s="16">
        <f>MIN(0.25+(INDEX('Stat Boosts'!$D$2:$D$192,O$1-9)-10)*$C129,10.22)</f>
        <v>1.0391891891891891</v>
      </c>
      <c r="P129" s="16">
        <f>MIN(0.25+(INDEX('Stat Boosts'!$D$2:$D$192,P$1-9)-10)*$C129,10.22)</f>
        <v>1.1256756756756756</v>
      </c>
      <c r="Q129" s="16">
        <f>MIN(0.25+(INDEX('Stat Boosts'!$D$2:$D$192,Q$1-9)-10)*$C129,10.22)</f>
        <v>1.2121621621621621</v>
      </c>
      <c r="R129" s="16">
        <f>MIN(0.25+(INDEX('Stat Boosts'!$D$2:$D$192,R$1-9)-10)*$C129,10.22)</f>
        <v>1.2986486486486486</v>
      </c>
    </row>
    <row r="130" spans="1:18">
      <c r="A130" s="9">
        <v>129</v>
      </c>
      <c r="B130" s="16">
        <f t="shared" si="2"/>
        <v>47.25</v>
      </c>
      <c r="C130" s="16">
        <f t="shared" si="3"/>
        <v>1.0738255033557048E-2</v>
      </c>
      <c r="E130" s="16">
        <f>MIN(0.25+(INDEX('Stat Boosts'!$D$2:$D$192,E$1-9)-10)*$C130,10.22)</f>
        <v>0.25</v>
      </c>
      <c r="F130" s="16">
        <f>MIN(0.25+(INDEX('Stat Boosts'!$D$2:$D$192,F$1-9)-10)*$C130,10.22)</f>
        <v>0.32516778523489931</v>
      </c>
      <c r="G130" s="16">
        <f>MIN(0.25+(INDEX('Stat Boosts'!$D$2:$D$192,G$1-9)-10)*$C130,10.22)</f>
        <v>0.40033557046979867</v>
      </c>
      <c r="H130" s="16">
        <f>MIN(0.25+(INDEX('Stat Boosts'!$D$2:$D$192,H$1-9)-10)*$C130,10.22)</f>
        <v>0.47550335570469804</v>
      </c>
      <c r="I130" s="16">
        <f>MIN(0.25+(INDEX('Stat Boosts'!$D$2:$D$192,I$1-9)-10)*$C130,10.22)</f>
        <v>0.53993288590604027</v>
      </c>
      <c r="J130" s="16">
        <f>MIN(0.25+(INDEX('Stat Boosts'!$D$2:$D$192,J$1-9)-10)*$C130,10.22)</f>
        <v>0.60436241610738262</v>
      </c>
      <c r="K130" s="16">
        <f>MIN(0.25+(INDEX('Stat Boosts'!$D$2:$D$192,K$1-9)-10)*$C130,10.22)</f>
        <v>0.75469798657718123</v>
      </c>
      <c r="L130" s="16">
        <f>MIN(0.25+(INDEX('Stat Boosts'!$D$2:$D$192,L$1-9)-10)*$C130,10.22)</f>
        <v>0.8083892617449665</v>
      </c>
      <c r="M130" s="16">
        <f>MIN(0.25+(INDEX('Stat Boosts'!$D$2:$D$192,M$1-9)-10)*$C130,10.22)</f>
        <v>0.88355704697986581</v>
      </c>
      <c r="N130" s="16">
        <f>MIN(0.25+(INDEX('Stat Boosts'!$D$2:$D$192,N$1-9)-10)*$C130,10.22)</f>
        <v>0.98020134228187927</v>
      </c>
      <c r="O130" s="16">
        <f>MIN(0.25+(INDEX('Stat Boosts'!$D$2:$D$192,O$1-9)-10)*$C130,10.22)</f>
        <v>1.0338926174496645</v>
      </c>
      <c r="P130" s="16">
        <f>MIN(0.25+(INDEX('Stat Boosts'!$D$2:$D$192,P$1-9)-10)*$C130,10.22)</f>
        <v>1.1197986577181209</v>
      </c>
      <c r="Q130" s="16">
        <f>MIN(0.25+(INDEX('Stat Boosts'!$D$2:$D$192,Q$1-9)-10)*$C130,10.22)</f>
        <v>1.2057046979865773</v>
      </c>
      <c r="R130" s="16">
        <f>MIN(0.25+(INDEX('Stat Boosts'!$D$2:$D$192,R$1-9)-10)*$C130,10.22)</f>
        <v>1.2916107382550337</v>
      </c>
    </row>
    <row r="131" spans="1:18">
      <c r="A131" s="9">
        <v>130</v>
      </c>
      <c r="B131" s="16">
        <f t="shared" ref="B131:B151" si="4">15+A131/4</f>
        <v>47.5</v>
      </c>
      <c r="C131" s="16">
        <f t="shared" ref="C131:C151" si="5">0.4/(B131-10)</f>
        <v>1.0666666666666668E-2</v>
      </c>
      <c r="E131" s="16">
        <f>MIN(0.25+(INDEX('Stat Boosts'!$D$2:$D$192,E$1-9)-10)*$C131,10.22)</f>
        <v>0.25</v>
      </c>
      <c r="F131" s="16">
        <f>MIN(0.25+(INDEX('Stat Boosts'!$D$2:$D$192,F$1-9)-10)*$C131,10.22)</f>
        <v>0.32466666666666666</v>
      </c>
      <c r="G131" s="16">
        <f>MIN(0.25+(INDEX('Stat Boosts'!$D$2:$D$192,G$1-9)-10)*$C131,10.22)</f>
        <v>0.39933333333333332</v>
      </c>
      <c r="H131" s="16">
        <f>MIN(0.25+(INDEX('Stat Boosts'!$D$2:$D$192,H$1-9)-10)*$C131,10.22)</f>
        <v>0.47400000000000003</v>
      </c>
      <c r="I131" s="16">
        <f>MIN(0.25+(INDEX('Stat Boosts'!$D$2:$D$192,I$1-9)-10)*$C131,10.22)</f>
        <v>0.53800000000000003</v>
      </c>
      <c r="J131" s="16">
        <f>MIN(0.25+(INDEX('Stat Boosts'!$D$2:$D$192,J$1-9)-10)*$C131,10.22)</f>
        <v>0.60200000000000009</v>
      </c>
      <c r="K131" s="16">
        <f>MIN(0.25+(INDEX('Stat Boosts'!$D$2:$D$192,K$1-9)-10)*$C131,10.22)</f>
        <v>0.75133333333333341</v>
      </c>
      <c r="L131" s="16">
        <f>MIN(0.25+(INDEX('Stat Boosts'!$D$2:$D$192,L$1-9)-10)*$C131,10.22)</f>
        <v>0.80466666666666675</v>
      </c>
      <c r="M131" s="16">
        <f>MIN(0.25+(INDEX('Stat Boosts'!$D$2:$D$192,M$1-9)-10)*$C131,10.22)</f>
        <v>0.87933333333333341</v>
      </c>
      <c r="N131" s="16">
        <f>MIN(0.25+(INDEX('Stat Boosts'!$D$2:$D$192,N$1-9)-10)*$C131,10.22)</f>
        <v>0.97533333333333339</v>
      </c>
      <c r="O131" s="16">
        <f>MIN(0.25+(INDEX('Stat Boosts'!$D$2:$D$192,O$1-9)-10)*$C131,10.22)</f>
        <v>1.0286666666666666</v>
      </c>
      <c r="P131" s="16">
        <f>MIN(0.25+(INDEX('Stat Boosts'!$D$2:$D$192,P$1-9)-10)*$C131,10.22)</f>
        <v>1.1140000000000001</v>
      </c>
      <c r="Q131" s="16">
        <f>MIN(0.25+(INDEX('Stat Boosts'!$D$2:$D$192,Q$1-9)-10)*$C131,10.22)</f>
        <v>1.1993333333333336</v>
      </c>
      <c r="R131" s="16">
        <f>MIN(0.25+(INDEX('Stat Boosts'!$D$2:$D$192,R$1-9)-10)*$C131,10.22)</f>
        <v>1.2846666666666668</v>
      </c>
    </row>
    <row r="132" spans="1:18">
      <c r="A132" s="9">
        <v>131</v>
      </c>
      <c r="B132" s="16">
        <f t="shared" si="4"/>
        <v>47.75</v>
      </c>
      <c r="C132" s="16">
        <f t="shared" si="5"/>
        <v>1.0596026490066225E-2</v>
      </c>
      <c r="E132" s="16">
        <f>MIN(0.25+(INDEX('Stat Boosts'!$D$2:$D$192,E$1-9)-10)*$C132,10.22)</f>
        <v>0.25</v>
      </c>
      <c r="F132" s="16">
        <f>MIN(0.25+(INDEX('Stat Boosts'!$D$2:$D$192,F$1-9)-10)*$C132,10.22)</f>
        <v>0.32417218543046356</v>
      </c>
      <c r="G132" s="16">
        <f>MIN(0.25+(INDEX('Stat Boosts'!$D$2:$D$192,G$1-9)-10)*$C132,10.22)</f>
        <v>0.39834437086092717</v>
      </c>
      <c r="H132" s="16">
        <f>MIN(0.25+(INDEX('Stat Boosts'!$D$2:$D$192,H$1-9)-10)*$C132,10.22)</f>
        <v>0.47251655629139072</v>
      </c>
      <c r="I132" s="16">
        <f>MIN(0.25+(INDEX('Stat Boosts'!$D$2:$D$192,I$1-9)-10)*$C132,10.22)</f>
        <v>0.53609271523178803</v>
      </c>
      <c r="J132" s="16">
        <f>MIN(0.25+(INDEX('Stat Boosts'!$D$2:$D$192,J$1-9)-10)*$C132,10.22)</f>
        <v>0.5996688741721854</v>
      </c>
      <c r="K132" s="16">
        <f>MIN(0.25+(INDEX('Stat Boosts'!$D$2:$D$192,K$1-9)-10)*$C132,10.22)</f>
        <v>0.74801324503311251</v>
      </c>
      <c r="L132" s="16">
        <f>MIN(0.25+(INDEX('Stat Boosts'!$D$2:$D$192,L$1-9)-10)*$C132,10.22)</f>
        <v>0.80099337748344368</v>
      </c>
      <c r="M132" s="16">
        <f>MIN(0.25+(INDEX('Stat Boosts'!$D$2:$D$192,M$1-9)-10)*$C132,10.22)</f>
        <v>0.87516556291390724</v>
      </c>
      <c r="N132" s="16">
        <f>MIN(0.25+(INDEX('Stat Boosts'!$D$2:$D$192,N$1-9)-10)*$C132,10.22)</f>
        <v>0.97052980132450328</v>
      </c>
      <c r="O132" s="16">
        <f>MIN(0.25+(INDEX('Stat Boosts'!$D$2:$D$192,O$1-9)-10)*$C132,10.22)</f>
        <v>1.0235099337748346</v>
      </c>
      <c r="P132" s="16">
        <f>MIN(0.25+(INDEX('Stat Boosts'!$D$2:$D$192,P$1-9)-10)*$C132,10.22)</f>
        <v>1.1082781456953641</v>
      </c>
      <c r="Q132" s="16">
        <f>MIN(0.25+(INDEX('Stat Boosts'!$D$2:$D$192,Q$1-9)-10)*$C132,10.22)</f>
        <v>1.1930463576158941</v>
      </c>
      <c r="R132" s="16">
        <f>MIN(0.25+(INDEX('Stat Boosts'!$D$2:$D$192,R$1-9)-10)*$C132,10.22)</f>
        <v>1.2778145695364238</v>
      </c>
    </row>
    <row r="133" spans="1:18">
      <c r="A133" s="9">
        <v>132</v>
      </c>
      <c r="B133" s="16">
        <f t="shared" si="4"/>
        <v>48</v>
      </c>
      <c r="C133" s="16">
        <f t="shared" si="5"/>
        <v>1.0526315789473684E-2</v>
      </c>
      <c r="E133" s="16">
        <f>MIN(0.25+(INDEX('Stat Boosts'!$D$2:$D$192,E$1-9)-10)*$C133,10.22)</f>
        <v>0.25</v>
      </c>
      <c r="F133" s="16">
        <f>MIN(0.25+(INDEX('Stat Boosts'!$D$2:$D$192,F$1-9)-10)*$C133,10.22)</f>
        <v>0.3236842105263158</v>
      </c>
      <c r="G133" s="16">
        <f>MIN(0.25+(INDEX('Stat Boosts'!$D$2:$D$192,G$1-9)-10)*$C133,10.22)</f>
        <v>0.39736842105263159</v>
      </c>
      <c r="H133" s="16">
        <f>MIN(0.25+(INDEX('Stat Boosts'!$D$2:$D$192,H$1-9)-10)*$C133,10.22)</f>
        <v>0.47105263157894739</v>
      </c>
      <c r="I133" s="16">
        <f>MIN(0.25+(INDEX('Stat Boosts'!$D$2:$D$192,I$1-9)-10)*$C133,10.22)</f>
        <v>0.53421052631578947</v>
      </c>
      <c r="J133" s="16">
        <f>MIN(0.25+(INDEX('Stat Boosts'!$D$2:$D$192,J$1-9)-10)*$C133,10.22)</f>
        <v>0.59736842105263155</v>
      </c>
      <c r="K133" s="16">
        <f>MIN(0.25+(INDEX('Stat Boosts'!$D$2:$D$192,K$1-9)-10)*$C133,10.22)</f>
        <v>0.74473684210526314</v>
      </c>
      <c r="L133" s="16">
        <f>MIN(0.25+(INDEX('Stat Boosts'!$D$2:$D$192,L$1-9)-10)*$C133,10.22)</f>
        <v>0.79736842105263162</v>
      </c>
      <c r="M133" s="16">
        <f>MIN(0.25+(INDEX('Stat Boosts'!$D$2:$D$192,M$1-9)-10)*$C133,10.22)</f>
        <v>0.8710526315789473</v>
      </c>
      <c r="N133" s="16">
        <f>MIN(0.25+(INDEX('Stat Boosts'!$D$2:$D$192,N$1-9)-10)*$C133,10.22)</f>
        <v>0.96578947368421053</v>
      </c>
      <c r="O133" s="16">
        <f>MIN(0.25+(INDEX('Stat Boosts'!$D$2:$D$192,O$1-9)-10)*$C133,10.22)</f>
        <v>1.0184210526315789</v>
      </c>
      <c r="P133" s="16">
        <f>MIN(0.25+(INDEX('Stat Boosts'!$D$2:$D$192,P$1-9)-10)*$C133,10.22)</f>
        <v>1.1026315789473684</v>
      </c>
      <c r="Q133" s="16">
        <f>MIN(0.25+(INDEX('Stat Boosts'!$D$2:$D$192,Q$1-9)-10)*$C133,10.22)</f>
        <v>1.1868421052631579</v>
      </c>
      <c r="R133" s="16">
        <f>MIN(0.25+(INDEX('Stat Boosts'!$D$2:$D$192,R$1-9)-10)*$C133,10.22)</f>
        <v>1.2710526315789474</v>
      </c>
    </row>
    <row r="134" spans="1:18">
      <c r="A134" s="9">
        <v>133</v>
      </c>
      <c r="B134" s="16">
        <f t="shared" si="4"/>
        <v>48.25</v>
      </c>
      <c r="C134" s="16">
        <f t="shared" si="5"/>
        <v>1.0457516339869282E-2</v>
      </c>
      <c r="E134" s="16">
        <f>MIN(0.25+(INDEX('Stat Boosts'!$D$2:$D$192,E$1-9)-10)*$C134,10.22)</f>
        <v>0.25</v>
      </c>
      <c r="F134" s="16">
        <f>MIN(0.25+(INDEX('Stat Boosts'!$D$2:$D$192,F$1-9)-10)*$C134,10.22)</f>
        <v>0.32320261437908498</v>
      </c>
      <c r="G134" s="16">
        <f>MIN(0.25+(INDEX('Stat Boosts'!$D$2:$D$192,G$1-9)-10)*$C134,10.22)</f>
        <v>0.39640522875816997</v>
      </c>
      <c r="H134" s="16">
        <f>MIN(0.25+(INDEX('Stat Boosts'!$D$2:$D$192,H$1-9)-10)*$C134,10.22)</f>
        <v>0.4696078431372549</v>
      </c>
      <c r="I134" s="16">
        <f>MIN(0.25+(INDEX('Stat Boosts'!$D$2:$D$192,I$1-9)-10)*$C134,10.22)</f>
        <v>0.5323529411764707</v>
      </c>
      <c r="J134" s="16">
        <f>MIN(0.25+(INDEX('Stat Boosts'!$D$2:$D$192,J$1-9)-10)*$C134,10.22)</f>
        <v>0.59509803921568638</v>
      </c>
      <c r="K134" s="16">
        <f>MIN(0.25+(INDEX('Stat Boosts'!$D$2:$D$192,K$1-9)-10)*$C134,10.22)</f>
        <v>0.74150326797385624</v>
      </c>
      <c r="L134" s="16">
        <f>MIN(0.25+(INDEX('Stat Boosts'!$D$2:$D$192,L$1-9)-10)*$C134,10.22)</f>
        <v>0.79379084967320268</v>
      </c>
      <c r="M134" s="16">
        <f>MIN(0.25+(INDEX('Stat Boosts'!$D$2:$D$192,M$1-9)-10)*$C134,10.22)</f>
        <v>0.86699346405228761</v>
      </c>
      <c r="N134" s="16">
        <f>MIN(0.25+(INDEX('Stat Boosts'!$D$2:$D$192,N$1-9)-10)*$C134,10.22)</f>
        <v>0.96111111111111114</v>
      </c>
      <c r="O134" s="16">
        <f>MIN(0.25+(INDEX('Stat Boosts'!$D$2:$D$192,O$1-9)-10)*$C134,10.22)</f>
        <v>1.0133986928104575</v>
      </c>
      <c r="P134" s="16">
        <f>MIN(0.25+(INDEX('Stat Boosts'!$D$2:$D$192,P$1-9)-10)*$C134,10.22)</f>
        <v>1.0970588235294119</v>
      </c>
      <c r="Q134" s="16">
        <f>MIN(0.25+(INDEX('Stat Boosts'!$D$2:$D$192,Q$1-9)-10)*$C134,10.22)</f>
        <v>1.1807189542483663</v>
      </c>
      <c r="R134" s="16">
        <f>MIN(0.25+(INDEX('Stat Boosts'!$D$2:$D$192,R$1-9)-10)*$C134,10.22)</f>
        <v>1.2643790849673204</v>
      </c>
    </row>
    <row r="135" spans="1:18">
      <c r="A135" s="9">
        <v>134</v>
      </c>
      <c r="B135" s="16">
        <f t="shared" si="4"/>
        <v>48.5</v>
      </c>
      <c r="C135" s="16">
        <f t="shared" si="5"/>
        <v>1.038961038961039E-2</v>
      </c>
      <c r="E135" s="16">
        <f>MIN(0.25+(INDEX('Stat Boosts'!$D$2:$D$192,E$1-9)-10)*$C135,10.22)</f>
        <v>0.25</v>
      </c>
      <c r="F135" s="16">
        <f>MIN(0.25+(INDEX('Stat Boosts'!$D$2:$D$192,F$1-9)-10)*$C135,10.22)</f>
        <v>0.32272727272727275</v>
      </c>
      <c r="G135" s="16">
        <f>MIN(0.25+(INDEX('Stat Boosts'!$D$2:$D$192,G$1-9)-10)*$C135,10.22)</f>
        <v>0.39545454545454545</v>
      </c>
      <c r="H135" s="16">
        <f>MIN(0.25+(INDEX('Stat Boosts'!$D$2:$D$192,H$1-9)-10)*$C135,10.22)</f>
        <v>0.46818181818181814</v>
      </c>
      <c r="I135" s="16">
        <f>MIN(0.25+(INDEX('Stat Boosts'!$D$2:$D$192,I$1-9)-10)*$C135,10.22)</f>
        <v>0.5305194805194805</v>
      </c>
      <c r="J135" s="16">
        <f>MIN(0.25+(INDEX('Stat Boosts'!$D$2:$D$192,J$1-9)-10)*$C135,10.22)</f>
        <v>0.59285714285714286</v>
      </c>
      <c r="K135" s="16">
        <f>MIN(0.25+(INDEX('Stat Boosts'!$D$2:$D$192,K$1-9)-10)*$C135,10.22)</f>
        <v>0.73831168831168825</v>
      </c>
      <c r="L135" s="16">
        <f>MIN(0.25+(INDEX('Stat Boosts'!$D$2:$D$192,L$1-9)-10)*$C135,10.22)</f>
        <v>0.79025974025974022</v>
      </c>
      <c r="M135" s="16">
        <f>MIN(0.25+(INDEX('Stat Boosts'!$D$2:$D$192,M$1-9)-10)*$C135,10.22)</f>
        <v>0.86298701298701297</v>
      </c>
      <c r="N135" s="16">
        <f>MIN(0.25+(INDEX('Stat Boosts'!$D$2:$D$192,N$1-9)-10)*$C135,10.22)</f>
        <v>0.95649350649350651</v>
      </c>
      <c r="O135" s="16">
        <f>MIN(0.25+(INDEX('Stat Boosts'!$D$2:$D$192,O$1-9)-10)*$C135,10.22)</f>
        <v>1.0084415584415585</v>
      </c>
      <c r="P135" s="16">
        <f>MIN(0.25+(INDEX('Stat Boosts'!$D$2:$D$192,P$1-9)-10)*$C135,10.22)</f>
        <v>1.0915584415584414</v>
      </c>
      <c r="Q135" s="16">
        <f>MIN(0.25+(INDEX('Stat Boosts'!$D$2:$D$192,Q$1-9)-10)*$C135,10.22)</f>
        <v>1.1746753246753245</v>
      </c>
      <c r="R135" s="16">
        <f>MIN(0.25+(INDEX('Stat Boosts'!$D$2:$D$192,R$1-9)-10)*$C135,10.22)</f>
        <v>1.2577922077922077</v>
      </c>
    </row>
    <row r="136" spans="1:18">
      <c r="A136" s="9">
        <v>135</v>
      </c>
      <c r="B136" s="16">
        <f t="shared" si="4"/>
        <v>48.75</v>
      </c>
      <c r="C136" s="16">
        <f t="shared" si="5"/>
        <v>1.032258064516129E-2</v>
      </c>
      <c r="E136" s="16">
        <f>MIN(0.25+(INDEX('Stat Boosts'!$D$2:$D$192,E$1-9)-10)*$C136,10.22)</f>
        <v>0.25</v>
      </c>
      <c r="F136" s="16">
        <f>MIN(0.25+(INDEX('Stat Boosts'!$D$2:$D$192,F$1-9)-10)*$C136,10.22)</f>
        <v>0.32225806451612904</v>
      </c>
      <c r="G136" s="16">
        <f>MIN(0.25+(INDEX('Stat Boosts'!$D$2:$D$192,G$1-9)-10)*$C136,10.22)</f>
        <v>0.39451612903225808</v>
      </c>
      <c r="H136" s="16">
        <f>MIN(0.25+(INDEX('Stat Boosts'!$D$2:$D$192,H$1-9)-10)*$C136,10.22)</f>
        <v>0.46677419354838712</v>
      </c>
      <c r="I136" s="16">
        <f>MIN(0.25+(INDEX('Stat Boosts'!$D$2:$D$192,I$1-9)-10)*$C136,10.22)</f>
        <v>0.52870967741935482</v>
      </c>
      <c r="J136" s="16">
        <f>MIN(0.25+(INDEX('Stat Boosts'!$D$2:$D$192,J$1-9)-10)*$C136,10.22)</f>
        <v>0.59064516129032252</v>
      </c>
      <c r="K136" s="16">
        <f>MIN(0.25+(INDEX('Stat Boosts'!$D$2:$D$192,K$1-9)-10)*$C136,10.22)</f>
        <v>0.7351612903225806</v>
      </c>
      <c r="L136" s="16">
        <f>MIN(0.25+(INDEX('Stat Boosts'!$D$2:$D$192,L$1-9)-10)*$C136,10.22)</f>
        <v>0.78677419354838707</v>
      </c>
      <c r="M136" s="16">
        <f>MIN(0.25+(INDEX('Stat Boosts'!$D$2:$D$192,M$1-9)-10)*$C136,10.22)</f>
        <v>0.85903225806451611</v>
      </c>
      <c r="N136" s="16">
        <f>MIN(0.25+(INDEX('Stat Boosts'!$D$2:$D$192,N$1-9)-10)*$C136,10.22)</f>
        <v>0.95193548387096771</v>
      </c>
      <c r="O136" s="16">
        <f>MIN(0.25+(INDEX('Stat Boosts'!$D$2:$D$192,O$1-9)-10)*$C136,10.22)</f>
        <v>1.0035483870967741</v>
      </c>
      <c r="P136" s="16">
        <f>MIN(0.25+(INDEX('Stat Boosts'!$D$2:$D$192,P$1-9)-10)*$C136,10.22)</f>
        <v>1.0861290322580646</v>
      </c>
      <c r="Q136" s="16">
        <f>MIN(0.25+(INDEX('Stat Boosts'!$D$2:$D$192,Q$1-9)-10)*$C136,10.22)</f>
        <v>1.1687096774193548</v>
      </c>
      <c r="R136" s="16">
        <f>MIN(0.25+(INDEX('Stat Boosts'!$D$2:$D$192,R$1-9)-10)*$C136,10.22)</f>
        <v>1.2512903225806451</v>
      </c>
    </row>
    <row r="137" spans="1:18">
      <c r="A137" s="9">
        <v>136</v>
      </c>
      <c r="B137" s="16">
        <f t="shared" si="4"/>
        <v>49</v>
      </c>
      <c r="C137" s="16">
        <f t="shared" si="5"/>
        <v>1.0256410256410256E-2</v>
      </c>
      <c r="E137" s="16">
        <f>MIN(0.25+(INDEX('Stat Boosts'!$D$2:$D$192,E$1-9)-10)*$C137,10.22)</f>
        <v>0.25</v>
      </c>
      <c r="F137" s="16">
        <f>MIN(0.25+(INDEX('Stat Boosts'!$D$2:$D$192,F$1-9)-10)*$C137,10.22)</f>
        <v>0.32179487179487176</v>
      </c>
      <c r="G137" s="16">
        <f>MIN(0.25+(INDEX('Stat Boosts'!$D$2:$D$192,G$1-9)-10)*$C137,10.22)</f>
        <v>0.39358974358974358</v>
      </c>
      <c r="H137" s="16">
        <f>MIN(0.25+(INDEX('Stat Boosts'!$D$2:$D$192,H$1-9)-10)*$C137,10.22)</f>
        <v>0.4653846153846154</v>
      </c>
      <c r="I137" s="16">
        <f>MIN(0.25+(INDEX('Stat Boosts'!$D$2:$D$192,I$1-9)-10)*$C137,10.22)</f>
        <v>0.52692307692307694</v>
      </c>
      <c r="J137" s="16">
        <f>MIN(0.25+(INDEX('Stat Boosts'!$D$2:$D$192,J$1-9)-10)*$C137,10.22)</f>
        <v>0.58846153846153848</v>
      </c>
      <c r="K137" s="16">
        <f>MIN(0.25+(INDEX('Stat Boosts'!$D$2:$D$192,K$1-9)-10)*$C137,10.22)</f>
        <v>0.73205128205128212</v>
      </c>
      <c r="L137" s="16">
        <f>MIN(0.25+(INDEX('Stat Boosts'!$D$2:$D$192,L$1-9)-10)*$C137,10.22)</f>
        <v>0.78333333333333333</v>
      </c>
      <c r="M137" s="16">
        <f>MIN(0.25+(INDEX('Stat Boosts'!$D$2:$D$192,M$1-9)-10)*$C137,10.22)</f>
        <v>0.85512820512820509</v>
      </c>
      <c r="N137" s="16">
        <f>MIN(0.25+(INDEX('Stat Boosts'!$D$2:$D$192,N$1-9)-10)*$C137,10.22)</f>
        <v>0.9474358974358974</v>
      </c>
      <c r="O137" s="16">
        <f>MIN(0.25+(INDEX('Stat Boosts'!$D$2:$D$192,O$1-9)-10)*$C137,10.22)</f>
        <v>0.99871794871794872</v>
      </c>
      <c r="P137" s="16">
        <f>MIN(0.25+(INDEX('Stat Boosts'!$D$2:$D$192,P$1-9)-10)*$C137,10.22)</f>
        <v>1.0807692307692309</v>
      </c>
      <c r="Q137" s="16">
        <f>MIN(0.25+(INDEX('Stat Boosts'!$D$2:$D$192,Q$1-9)-10)*$C137,10.22)</f>
        <v>1.1628205128205127</v>
      </c>
      <c r="R137" s="16">
        <f>MIN(0.25+(INDEX('Stat Boosts'!$D$2:$D$192,R$1-9)-10)*$C137,10.22)</f>
        <v>1.2448717948717949</v>
      </c>
    </row>
    <row r="138" spans="1:18">
      <c r="A138" s="9">
        <v>137</v>
      </c>
      <c r="B138" s="16">
        <f t="shared" si="4"/>
        <v>49.25</v>
      </c>
      <c r="C138" s="16">
        <f t="shared" si="5"/>
        <v>1.0191082802547772E-2</v>
      </c>
      <c r="E138" s="16">
        <f>MIN(0.25+(INDEX('Stat Boosts'!$D$2:$D$192,E$1-9)-10)*$C138,10.22)</f>
        <v>0.25</v>
      </c>
      <c r="F138" s="16">
        <f>MIN(0.25+(INDEX('Stat Boosts'!$D$2:$D$192,F$1-9)-10)*$C138,10.22)</f>
        <v>0.32133757961783438</v>
      </c>
      <c r="G138" s="16">
        <f>MIN(0.25+(INDEX('Stat Boosts'!$D$2:$D$192,G$1-9)-10)*$C138,10.22)</f>
        <v>0.39267515923566881</v>
      </c>
      <c r="H138" s="16">
        <f>MIN(0.25+(INDEX('Stat Boosts'!$D$2:$D$192,H$1-9)-10)*$C138,10.22)</f>
        <v>0.46401273885350325</v>
      </c>
      <c r="I138" s="16">
        <f>MIN(0.25+(INDEX('Stat Boosts'!$D$2:$D$192,I$1-9)-10)*$C138,10.22)</f>
        <v>0.52515923566878986</v>
      </c>
      <c r="J138" s="16">
        <f>MIN(0.25+(INDEX('Stat Boosts'!$D$2:$D$192,J$1-9)-10)*$C138,10.22)</f>
        <v>0.58630573248407647</v>
      </c>
      <c r="K138" s="16">
        <f>MIN(0.25+(INDEX('Stat Boosts'!$D$2:$D$192,K$1-9)-10)*$C138,10.22)</f>
        <v>0.72898089171974534</v>
      </c>
      <c r="L138" s="16">
        <f>MIN(0.25+(INDEX('Stat Boosts'!$D$2:$D$192,L$1-9)-10)*$C138,10.22)</f>
        <v>0.77993630573248418</v>
      </c>
      <c r="M138" s="16">
        <f>MIN(0.25+(INDEX('Stat Boosts'!$D$2:$D$192,M$1-9)-10)*$C138,10.22)</f>
        <v>0.85127388535031856</v>
      </c>
      <c r="N138" s="16">
        <f>MIN(0.25+(INDEX('Stat Boosts'!$D$2:$D$192,N$1-9)-10)*$C138,10.22)</f>
        <v>0.94299363057324848</v>
      </c>
      <c r="O138" s="16">
        <f>MIN(0.25+(INDEX('Stat Boosts'!$D$2:$D$192,O$1-9)-10)*$C138,10.22)</f>
        <v>0.99394904458598732</v>
      </c>
      <c r="P138" s="16">
        <f>MIN(0.25+(INDEX('Stat Boosts'!$D$2:$D$192,P$1-9)-10)*$C138,10.22)</f>
        <v>1.0754777070063697</v>
      </c>
      <c r="Q138" s="16">
        <f>MIN(0.25+(INDEX('Stat Boosts'!$D$2:$D$192,Q$1-9)-10)*$C138,10.22)</f>
        <v>1.1570063694267518</v>
      </c>
      <c r="R138" s="16">
        <f>MIN(0.25+(INDEX('Stat Boosts'!$D$2:$D$192,R$1-9)-10)*$C138,10.22)</f>
        <v>1.238535031847134</v>
      </c>
    </row>
    <row r="139" spans="1:18">
      <c r="A139" s="9">
        <v>138</v>
      </c>
      <c r="B139" s="16">
        <f t="shared" si="4"/>
        <v>49.5</v>
      </c>
      <c r="C139" s="16">
        <f t="shared" si="5"/>
        <v>1.0126582278481013E-2</v>
      </c>
      <c r="E139" s="16">
        <f>MIN(0.25+(INDEX('Stat Boosts'!$D$2:$D$192,E$1-9)-10)*$C139,10.22)</f>
        <v>0.25</v>
      </c>
      <c r="F139" s="16">
        <f>MIN(0.25+(INDEX('Stat Boosts'!$D$2:$D$192,F$1-9)-10)*$C139,10.22)</f>
        <v>0.32088607594936708</v>
      </c>
      <c r="G139" s="16">
        <f>MIN(0.25+(INDEX('Stat Boosts'!$D$2:$D$192,G$1-9)-10)*$C139,10.22)</f>
        <v>0.39177215189873416</v>
      </c>
      <c r="H139" s="16">
        <f>MIN(0.25+(INDEX('Stat Boosts'!$D$2:$D$192,H$1-9)-10)*$C139,10.22)</f>
        <v>0.46265822784810129</v>
      </c>
      <c r="I139" s="16">
        <f>MIN(0.25+(INDEX('Stat Boosts'!$D$2:$D$192,I$1-9)-10)*$C139,10.22)</f>
        <v>0.52341772151898736</v>
      </c>
      <c r="J139" s="16">
        <f>MIN(0.25+(INDEX('Stat Boosts'!$D$2:$D$192,J$1-9)-10)*$C139,10.22)</f>
        <v>0.58417721518987342</v>
      </c>
      <c r="K139" s="16">
        <f>MIN(0.25+(INDEX('Stat Boosts'!$D$2:$D$192,K$1-9)-10)*$C139,10.22)</f>
        <v>0.72594936708860758</v>
      </c>
      <c r="L139" s="16">
        <f>MIN(0.25+(INDEX('Stat Boosts'!$D$2:$D$192,L$1-9)-10)*$C139,10.22)</f>
        <v>0.77658227848101269</v>
      </c>
      <c r="M139" s="16">
        <f>MIN(0.25+(INDEX('Stat Boosts'!$D$2:$D$192,M$1-9)-10)*$C139,10.22)</f>
        <v>0.84746835443037971</v>
      </c>
      <c r="N139" s="16">
        <f>MIN(0.25+(INDEX('Stat Boosts'!$D$2:$D$192,N$1-9)-10)*$C139,10.22)</f>
        <v>0.93860759493670887</v>
      </c>
      <c r="O139" s="16">
        <f>MIN(0.25+(INDEX('Stat Boosts'!$D$2:$D$192,O$1-9)-10)*$C139,10.22)</f>
        <v>0.98924050632911398</v>
      </c>
      <c r="P139" s="16">
        <f>MIN(0.25+(INDEX('Stat Boosts'!$D$2:$D$192,P$1-9)-10)*$C139,10.22)</f>
        <v>1.070253164556962</v>
      </c>
      <c r="Q139" s="16">
        <f>MIN(0.25+(INDEX('Stat Boosts'!$D$2:$D$192,Q$1-9)-10)*$C139,10.22)</f>
        <v>1.15126582278481</v>
      </c>
      <c r="R139" s="16">
        <f>MIN(0.25+(INDEX('Stat Boosts'!$D$2:$D$192,R$1-9)-10)*$C139,10.22)</f>
        <v>1.2322784810126581</v>
      </c>
    </row>
    <row r="140" spans="1:18">
      <c r="A140" s="9">
        <v>139</v>
      </c>
      <c r="B140" s="16">
        <f t="shared" si="4"/>
        <v>49.75</v>
      </c>
      <c r="C140" s="16">
        <f t="shared" si="5"/>
        <v>1.0062893081761008E-2</v>
      </c>
      <c r="E140" s="16">
        <f>MIN(0.25+(INDEX('Stat Boosts'!$D$2:$D$192,E$1-9)-10)*$C140,10.22)</f>
        <v>0.25</v>
      </c>
      <c r="F140" s="16">
        <f>MIN(0.25+(INDEX('Stat Boosts'!$D$2:$D$192,F$1-9)-10)*$C140,10.22)</f>
        <v>0.32044025157232703</v>
      </c>
      <c r="G140" s="16">
        <f>MIN(0.25+(INDEX('Stat Boosts'!$D$2:$D$192,G$1-9)-10)*$C140,10.22)</f>
        <v>0.39088050314465411</v>
      </c>
      <c r="H140" s="16">
        <f>MIN(0.25+(INDEX('Stat Boosts'!$D$2:$D$192,H$1-9)-10)*$C140,10.22)</f>
        <v>0.4613207547169812</v>
      </c>
      <c r="I140" s="16">
        <f>MIN(0.25+(INDEX('Stat Boosts'!$D$2:$D$192,I$1-9)-10)*$C140,10.22)</f>
        <v>0.52169811320754722</v>
      </c>
      <c r="J140" s="16">
        <f>MIN(0.25+(INDEX('Stat Boosts'!$D$2:$D$192,J$1-9)-10)*$C140,10.22)</f>
        <v>0.58207547169811324</v>
      </c>
      <c r="K140" s="16">
        <f>MIN(0.25+(INDEX('Stat Boosts'!$D$2:$D$192,K$1-9)-10)*$C140,10.22)</f>
        <v>0.72295597484276741</v>
      </c>
      <c r="L140" s="16">
        <f>MIN(0.25+(INDEX('Stat Boosts'!$D$2:$D$192,L$1-9)-10)*$C140,10.22)</f>
        <v>0.77327044025157243</v>
      </c>
      <c r="M140" s="16">
        <f>MIN(0.25+(INDEX('Stat Boosts'!$D$2:$D$192,M$1-9)-10)*$C140,10.22)</f>
        <v>0.84371069182389946</v>
      </c>
      <c r="N140" s="16">
        <f>MIN(0.25+(INDEX('Stat Boosts'!$D$2:$D$192,N$1-9)-10)*$C140,10.22)</f>
        <v>0.9342767295597485</v>
      </c>
      <c r="O140" s="16">
        <f>MIN(0.25+(INDEX('Stat Boosts'!$D$2:$D$192,O$1-9)-10)*$C140,10.22)</f>
        <v>0.98459119496855352</v>
      </c>
      <c r="P140" s="16">
        <f>MIN(0.25+(INDEX('Stat Boosts'!$D$2:$D$192,P$1-9)-10)*$C140,10.22)</f>
        <v>1.0650943396226418</v>
      </c>
      <c r="Q140" s="16">
        <f>MIN(0.25+(INDEX('Stat Boosts'!$D$2:$D$192,Q$1-9)-10)*$C140,10.22)</f>
        <v>1.1455974842767298</v>
      </c>
      <c r="R140" s="16">
        <f>MIN(0.25+(INDEX('Stat Boosts'!$D$2:$D$192,R$1-9)-10)*$C140,10.22)</f>
        <v>1.2261006289308178</v>
      </c>
    </row>
    <row r="141" spans="1:18">
      <c r="A141" s="9">
        <v>140</v>
      </c>
      <c r="B141" s="16">
        <f t="shared" si="4"/>
        <v>50</v>
      </c>
      <c r="C141" s="16">
        <f t="shared" si="5"/>
        <v>0.01</v>
      </c>
      <c r="E141" s="16">
        <f>MIN(0.25+(INDEX('Stat Boosts'!$D$2:$D$192,E$1-9)-10)*$C141,10.22)</f>
        <v>0.25</v>
      </c>
      <c r="F141" s="16">
        <f>MIN(0.25+(INDEX('Stat Boosts'!$D$2:$D$192,F$1-9)-10)*$C141,10.22)</f>
        <v>0.32</v>
      </c>
      <c r="G141" s="16">
        <f>MIN(0.25+(INDEX('Stat Boosts'!$D$2:$D$192,G$1-9)-10)*$C141,10.22)</f>
        <v>0.39</v>
      </c>
      <c r="H141" s="16">
        <f>MIN(0.25+(INDEX('Stat Boosts'!$D$2:$D$192,H$1-9)-10)*$C141,10.22)</f>
        <v>0.45999999999999996</v>
      </c>
      <c r="I141" s="16">
        <f>MIN(0.25+(INDEX('Stat Boosts'!$D$2:$D$192,I$1-9)-10)*$C141,10.22)</f>
        <v>0.52</v>
      </c>
      <c r="J141" s="16">
        <f>MIN(0.25+(INDEX('Stat Boosts'!$D$2:$D$192,J$1-9)-10)*$C141,10.22)</f>
        <v>0.58000000000000007</v>
      </c>
      <c r="K141" s="16">
        <f>MIN(0.25+(INDEX('Stat Boosts'!$D$2:$D$192,K$1-9)-10)*$C141,10.22)</f>
        <v>0.72</v>
      </c>
      <c r="L141" s="16">
        <f>MIN(0.25+(INDEX('Stat Boosts'!$D$2:$D$192,L$1-9)-10)*$C141,10.22)</f>
        <v>0.77</v>
      </c>
      <c r="M141" s="16">
        <f>MIN(0.25+(INDEX('Stat Boosts'!$D$2:$D$192,M$1-9)-10)*$C141,10.22)</f>
        <v>0.84</v>
      </c>
      <c r="N141" s="16">
        <f>MIN(0.25+(INDEX('Stat Boosts'!$D$2:$D$192,N$1-9)-10)*$C141,10.22)</f>
        <v>0.93</v>
      </c>
      <c r="O141" s="16">
        <f>MIN(0.25+(INDEX('Stat Boosts'!$D$2:$D$192,O$1-9)-10)*$C141,10.22)</f>
        <v>0.98</v>
      </c>
      <c r="P141" s="16">
        <f>MIN(0.25+(INDEX('Stat Boosts'!$D$2:$D$192,P$1-9)-10)*$C141,10.22)</f>
        <v>1.06</v>
      </c>
      <c r="Q141" s="16">
        <f>MIN(0.25+(INDEX('Stat Boosts'!$D$2:$D$192,Q$1-9)-10)*$C141,10.22)</f>
        <v>1.1400000000000001</v>
      </c>
      <c r="R141" s="16">
        <f>MIN(0.25+(INDEX('Stat Boosts'!$D$2:$D$192,R$1-9)-10)*$C141,10.22)</f>
        <v>1.22</v>
      </c>
    </row>
    <row r="142" spans="1:18">
      <c r="A142" s="9">
        <v>141</v>
      </c>
      <c r="B142" s="16">
        <f t="shared" si="4"/>
        <v>50.25</v>
      </c>
      <c r="C142" s="16">
        <f t="shared" si="5"/>
        <v>9.9378881987577643E-3</v>
      </c>
      <c r="E142" s="16">
        <f>MIN(0.25+(INDEX('Stat Boosts'!$D$2:$D$192,E$1-9)-10)*$C142,10.22)</f>
        <v>0.25</v>
      </c>
      <c r="F142" s="16">
        <f>MIN(0.25+(INDEX('Stat Boosts'!$D$2:$D$192,F$1-9)-10)*$C142,10.22)</f>
        <v>0.31956521739130433</v>
      </c>
      <c r="G142" s="16">
        <f>MIN(0.25+(INDEX('Stat Boosts'!$D$2:$D$192,G$1-9)-10)*$C142,10.22)</f>
        <v>0.38913043478260867</v>
      </c>
      <c r="H142" s="16">
        <f>MIN(0.25+(INDEX('Stat Boosts'!$D$2:$D$192,H$1-9)-10)*$C142,10.22)</f>
        <v>0.45869565217391306</v>
      </c>
      <c r="I142" s="16">
        <f>MIN(0.25+(INDEX('Stat Boosts'!$D$2:$D$192,I$1-9)-10)*$C142,10.22)</f>
        <v>0.5183229813664596</v>
      </c>
      <c r="J142" s="16">
        <f>MIN(0.25+(INDEX('Stat Boosts'!$D$2:$D$192,J$1-9)-10)*$C142,10.22)</f>
        <v>0.57795031055900625</v>
      </c>
      <c r="K142" s="16">
        <f>MIN(0.25+(INDEX('Stat Boosts'!$D$2:$D$192,K$1-9)-10)*$C142,10.22)</f>
        <v>0.71708074534161492</v>
      </c>
      <c r="L142" s="16">
        <f>MIN(0.25+(INDEX('Stat Boosts'!$D$2:$D$192,L$1-9)-10)*$C142,10.22)</f>
        <v>0.76677018633540373</v>
      </c>
      <c r="M142" s="16">
        <f>MIN(0.25+(INDEX('Stat Boosts'!$D$2:$D$192,M$1-9)-10)*$C142,10.22)</f>
        <v>0.83633540372670812</v>
      </c>
      <c r="N142" s="16">
        <f>MIN(0.25+(INDEX('Stat Boosts'!$D$2:$D$192,N$1-9)-10)*$C142,10.22)</f>
        <v>0.92577639751552798</v>
      </c>
      <c r="O142" s="16">
        <f>MIN(0.25+(INDEX('Stat Boosts'!$D$2:$D$192,O$1-9)-10)*$C142,10.22)</f>
        <v>0.97546583850931678</v>
      </c>
      <c r="P142" s="16">
        <f>MIN(0.25+(INDEX('Stat Boosts'!$D$2:$D$192,P$1-9)-10)*$C142,10.22)</f>
        <v>1.0549689440993788</v>
      </c>
      <c r="Q142" s="16">
        <f>MIN(0.25+(INDEX('Stat Boosts'!$D$2:$D$192,Q$1-9)-10)*$C142,10.22)</f>
        <v>1.1344720496894412</v>
      </c>
      <c r="R142" s="16">
        <f>MIN(0.25+(INDEX('Stat Boosts'!$D$2:$D$192,R$1-9)-10)*$C142,10.22)</f>
        <v>1.2139751552795031</v>
      </c>
    </row>
    <row r="143" spans="1:18">
      <c r="A143" s="9">
        <v>142</v>
      </c>
      <c r="B143" s="16">
        <f t="shared" si="4"/>
        <v>50.5</v>
      </c>
      <c r="C143" s="16">
        <f t="shared" si="5"/>
        <v>9.876543209876543E-3</v>
      </c>
      <c r="E143" s="16">
        <f>MIN(0.25+(INDEX('Stat Boosts'!$D$2:$D$192,E$1-9)-10)*$C143,10.22)</f>
        <v>0.25</v>
      </c>
      <c r="F143" s="16">
        <f>MIN(0.25+(INDEX('Stat Boosts'!$D$2:$D$192,F$1-9)-10)*$C143,10.22)</f>
        <v>0.31913580246913581</v>
      </c>
      <c r="G143" s="16">
        <f>MIN(0.25+(INDEX('Stat Boosts'!$D$2:$D$192,G$1-9)-10)*$C143,10.22)</f>
        <v>0.38827160493827162</v>
      </c>
      <c r="H143" s="16">
        <f>MIN(0.25+(INDEX('Stat Boosts'!$D$2:$D$192,H$1-9)-10)*$C143,10.22)</f>
        <v>0.45740740740740737</v>
      </c>
      <c r="I143" s="16">
        <f>MIN(0.25+(INDEX('Stat Boosts'!$D$2:$D$192,I$1-9)-10)*$C143,10.22)</f>
        <v>0.51666666666666661</v>
      </c>
      <c r="J143" s="16">
        <f>MIN(0.25+(INDEX('Stat Boosts'!$D$2:$D$192,J$1-9)-10)*$C143,10.22)</f>
        <v>0.57592592592592595</v>
      </c>
      <c r="K143" s="16">
        <f>MIN(0.25+(INDEX('Stat Boosts'!$D$2:$D$192,K$1-9)-10)*$C143,10.22)</f>
        <v>0.71419753086419746</v>
      </c>
      <c r="L143" s="16">
        <f>MIN(0.25+(INDEX('Stat Boosts'!$D$2:$D$192,L$1-9)-10)*$C143,10.22)</f>
        <v>0.76358024691358029</v>
      </c>
      <c r="M143" s="16">
        <f>MIN(0.25+(INDEX('Stat Boosts'!$D$2:$D$192,M$1-9)-10)*$C143,10.22)</f>
        <v>0.83271604938271604</v>
      </c>
      <c r="N143" s="16">
        <f>MIN(0.25+(INDEX('Stat Boosts'!$D$2:$D$192,N$1-9)-10)*$C143,10.22)</f>
        <v>0.92160493827160495</v>
      </c>
      <c r="O143" s="16">
        <f>MIN(0.25+(INDEX('Stat Boosts'!$D$2:$D$192,O$1-9)-10)*$C143,10.22)</f>
        <v>0.97098765432098766</v>
      </c>
      <c r="P143" s="16">
        <f>MIN(0.25+(INDEX('Stat Boosts'!$D$2:$D$192,P$1-9)-10)*$C143,10.22)</f>
        <v>1.0499999999999998</v>
      </c>
      <c r="Q143" s="16">
        <f>MIN(0.25+(INDEX('Stat Boosts'!$D$2:$D$192,Q$1-9)-10)*$C143,10.22)</f>
        <v>1.1290123456790124</v>
      </c>
      <c r="R143" s="16">
        <f>MIN(0.25+(INDEX('Stat Boosts'!$D$2:$D$192,R$1-9)-10)*$C143,10.22)</f>
        <v>1.2080246913580246</v>
      </c>
    </row>
    <row r="144" spans="1:18">
      <c r="A144" s="9">
        <v>143</v>
      </c>
      <c r="B144" s="16">
        <f t="shared" si="4"/>
        <v>50.75</v>
      </c>
      <c r="C144" s="16">
        <f t="shared" si="5"/>
        <v>9.8159509202453993E-3</v>
      </c>
      <c r="E144" s="16">
        <f>MIN(0.25+(INDEX('Stat Boosts'!$D$2:$D$192,E$1-9)-10)*$C144,10.22)</f>
        <v>0.25</v>
      </c>
      <c r="F144" s="16">
        <f>MIN(0.25+(INDEX('Stat Boosts'!$D$2:$D$192,F$1-9)-10)*$C144,10.22)</f>
        <v>0.31871165644171778</v>
      </c>
      <c r="G144" s="16">
        <f>MIN(0.25+(INDEX('Stat Boosts'!$D$2:$D$192,G$1-9)-10)*$C144,10.22)</f>
        <v>0.38742331288343557</v>
      </c>
      <c r="H144" s="16">
        <f>MIN(0.25+(INDEX('Stat Boosts'!$D$2:$D$192,H$1-9)-10)*$C144,10.22)</f>
        <v>0.45613496932515341</v>
      </c>
      <c r="I144" s="16">
        <f>MIN(0.25+(INDEX('Stat Boosts'!$D$2:$D$192,I$1-9)-10)*$C144,10.22)</f>
        <v>0.51503067484662579</v>
      </c>
      <c r="J144" s="16">
        <f>MIN(0.25+(INDEX('Stat Boosts'!$D$2:$D$192,J$1-9)-10)*$C144,10.22)</f>
        <v>0.57392638036809818</v>
      </c>
      <c r="K144" s="16">
        <f>MIN(0.25+(INDEX('Stat Boosts'!$D$2:$D$192,K$1-9)-10)*$C144,10.22)</f>
        <v>0.71134969325153374</v>
      </c>
      <c r="L144" s="16">
        <f>MIN(0.25+(INDEX('Stat Boosts'!$D$2:$D$192,L$1-9)-10)*$C144,10.22)</f>
        <v>0.76042944785276079</v>
      </c>
      <c r="M144" s="16">
        <f>MIN(0.25+(INDEX('Stat Boosts'!$D$2:$D$192,M$1-9)-10)*$C144,10.22)</f>
        <v>0.82914110429447851</v>
      </c>
      <c r="N144" s="16">
        <f>MIN(0.25+(INDEX('Stat Boosts'!$D$2:$D$192,N$1-9)-10)*$C144,10.22)</f>
        <v>0.91748466257668715</v>
      </c>
      <c r="O144" s="16">
        <f>MIN(0.25+(INDEX('Stat Boosts'!$D$2:$D$192,O$1-9)-10)*$C144,10.22)</f>
        <v>0.96656441717791419</v>
      </c>
      <c r="P144" s="16">
        <f>MIN(0.25+(INDEX('Stat Boosts'!$D$2:$D$192,P$1-9)-10)*$C144,10.22)</f>
        <v>1.0450920245398774</v>
      </c>
      <c r="Q144" s="16">
        <f>MIN(0.25+(INDEX('Stat Boosts'!$D$2:$D$192,Q$1-9)-10)*$C144,10.22)</f>
        <v>1.1236196319018406</v>
      </c>
      <c r="R144" s="16">
        <f>MIN(0.25+(INDEX('Stat Boosts'!$D$2:$D$192,R$1-9)-10)*$C144,10.22)</f>
        <v>1.2021472392638037</v>
      </c>
    </row>
    <row r="145" spans="1:18">
      <c r="A145" s="9">
        <v>144</v>
      </c>
      <c r="B145" s="16">
        <f t="shared" si="4"/>
        <v>51</v>
      </c>
      <c r="C145" s="16">
        <f t="shared" si="5"/>
        <v>9.7560975609756097E-3</v>
      </c>
      <c r="E145" s="16">
        <f>MIN(0.25+(INDEX('Stat Boosts'!$D$2:$D$192,E$1-9)-10)*$C145,10.22)</f>
        <v>0.25</v>
      </c>
      <c r="F145" s="16">
        <f>MIN(0.25+(INDEX('Stat Boosts'!$D$2:$D$192,F$1-9)-10)*$C145,10.22)</f>
        <v>0.31829268292682927</v>
      </c>
      <c r="G145" s="16">
        <f>MIN(0.25+(INDEX('Stat Boosts'!$D$2:$D$192,G$1-9)-10)*$C145,10.22)</f>
        <v>0.38658536585365855</v>
      </c>
      <c r="H145" s="16">
        <f>MIN(0.25+(INDEX('Stat Boosts'!$D$2:$D$192,H$1-9)-10)*$C145,10.22)</f>
        <v>0.45487804878048776</v>
      </c>
      <c r="I145" s="16">
        <f>MIN(0.25+(INDEX('Stat Boosts'!$D$2:$D$192,I$1-9)-10)*$C145,10.22)</f>
        <v>0.51341463414634148</v>
      </c>
      <c r="J145" s="16">
        <f>MIN(0.25+(INDEX('Stat Boosts'!$D$2:$D$192,J$1-9)-10)*$C145,10.22)</f>
        <v>0.57195121951219519</v>
      </c>
      <c r="K145" s="16">
        <f>MIN(0.25+(INDEX('Stat Boosts'!$D$2:$D$192,K$1-9)-10)*$C145,10.22)</f>
        <v>0.70853658536585362</v>
      </c>
      <c r="L145" s="16">
        <f>MIN(0.25+(INDEX('Stat Boosts'!$D$2:$D$192,L$1-9)-10)*$C145,10.22)</f>
        <v>0.75731707317073171</v>
      </c>
      <c r="M145" s="16">
        <f>MIN(0.25+(INDEX('Stat Boosts'!$D$2:$D$192,M$1-9)-10)*$C145,10.22)</f>
        <v>0.82560975609756093</v>
      </c>
      <c r="N145" s="16">
        <f>MIN(0.25+(INDEX('Stat Boosts'!$D$2:$D$192,N$1-9)-10)*$C145,10.22)</f>
        <v>0.9134146341463415</v>
      </c>
      <c r="O145" s="16">
        <f>MIN(0.25+(INDEX('Stat Boosts'!$D$2:$D$192,O$1-9)-10)*$C145,10.22)</f>
        <v>0.96219512195121948</v>
      </c>
      <c r="P145" s="16">
        <f>MIN(0.25+(INDEX('Stat Boosts'!$D$2:$D$192,P$1-9)-10)*$C145,10.22)</f>
        <v>1.0402439024390244</v>
      </c>
      <c r="Q145" s="16">
        <f>MIN(0.25+(INDEX('Stat Boosts'!$D$2:$D$192,Q$1-9)-10)*$C145,10.22)</f>
        <v>1.1182926829268292</v>
      </c>
      <c r="R145" s="16">
        <f>MIN(0.25+(INDEX('Stat Boosts'!$D$2:$D$192,R$1-9)-10)*$C145,10.22)</f>
        <v>1.1963414634146341</v>
      </c>
    </row>
    <row r="146" spans="1:18">
      <c r="A146" s="9">
        <v>145</v>
      </c>
      <c r="B146" s="16">
        <f t="shared" si="4"/>
        <v>51.25</v>
      </c>
      <c r="C146" s="16">
        <f t="shared" si="5"/>
        <v>9.696969696969697E-3</v>
      </c>
      <c r="E146" s="16">
        <f>MIN(0.25+(INDEX('Stat Boosts'!$D$2:$D$192,E$1-9)-10)*$C146,10.22)</f>
        <v>0.25</v>
      </c>
      <c r="F146" s="16">
        <f>MIN(0.25+(INDEX('Stat Boosts'!$D$2:$D$192,F$1-9)-10)*$C146,10.22)</f>
        <v>0.31787878787878787</v>
      </c>
      <c r="G146" s="16">
        <f>MIN(0.25+(INDEX('Stat Boosts'!$D$2:$D$192,G$1-9)-10)*$C146,10.22)</f>
        <v>0.38575757575757574</v>
      </c>
      <c r="H146" s="16">
        <f>MIN(0.25+(INDEX('Stat Boosts'!$D$2:$D$192,H$1-9)-10)*$C146,10.22)</f>
        <v>0.45363636363636362</v>
      </c>
      <c r="I146" s="16">
        <f>MIN(0.25+(INDEX('Stat Boosts'!$D$2:$D$192,I$1-9)-10)*$C146,10.22)</f>
        <v>0.51181818181818184</v>
      </c>
      <c r="J146" s="16">
        <f>MIN(0.25+(INDEX('Stat Boosts'!$D$2:$D$192,J$1-9)-10)*$C146,10.22)</f>
        <v>0.57000000000000006</v>
      </c>
      <c r="K146" s="16">
        <f>MIN(0.25+(INDEX('Stat Boosts'!$D$2:$D$192,K$1-9)-10)*$C146,10.22)</f>
        <v>0.70575757575757581</v>
      </c>
      <c r="L146" s="16">
        <f>MIN(0.25+(INDEX('Stat Boosts'!$D$2:$D$192,L$1-9)-10)*$C146,10.22)</f>
        <v>0.75424242424242427</v>
      </c>
      <c r="M146" s="16">
        <f>MIN(0.25+(INDEX('Stat Boosts'!$D$2:$D$192,M$1-9)-10)*$C146,10.22)</f>
        <v>0.82212121212121214</v>
      </c>
      <c r="N146" s="16">
        <f>MIN(0.25+(INDEX('Stat Boosts'!$D$2:$D$192,N$1-9)-10)*$C146,10.22)</f>
        <v>0.90939393939393942</v>
      </c>
      <c r="O146" s="16">
        <f>MIN(0.25+(INDEX('Stat Boosts'!$D$2:$D$192,O$1-9)-10)*$C146,10.22)</f>
        <v>0.95787878787878789</v>
      </c>
      <c r="P146" s="16">
        <f>MIN(0.25+(INDEX('Stat Boosts'!$D$2:$D$192,P$1-9)-10)*$C146,10.22)</f>
        <v>1.0354545454545454</v>
      </c>
      <c r="Q146" s="16">
        <f>MIN(0.25+(INDEX('Stat Boosts'!$D$2:$D$192,Q$1-9)-10)*$C146,10.22)</f>
        <v>1.113030303030303</v>
      </c>
      <c r="R146" s="16">
        <f>MIN(0.25+(INDEX('Stat Boosts'!$D$2:$D$192,R$1-9)-10)*$C146,10.22)</f>
        <v>1.1906060606060604</v>
      </c>
    </row>
    <row r="147" spans="1:18">
      <c r="A147" s="9">
        <v>146</v>
      </c>
      <c r="B147" s="16">
        <f t="shared" si="4"/>
        <v>51.5</v>
      </c>
      <c r="C147" s="16">
        <f t="shared" si="5"/>
        <v>9.6385542168674707E-3</v>
      </c>
      <c r="E147" s="16">
        <f>MIN(0.25+(INDEX('Stat Boosts'!$D$2:$D$192,E$1-9)-10)*$C147,10.22)</f>
        <v>0.25</v>
      </c>
      <c r="F147" s="16">
        <f>MIN(0.25+(INDEX('Stat Boosts'!$D$2:$D$192,F$1-9)-10)*$C147,10.22)</f>
        <v>0.31746987951807226</v>
      </c>
      <c r="G147" s="16">
        <f>MIN(0.25+(INDEX('Stat Boosts'!$D$2:$D$192,G$1-9)-10)*$C147,10.22)</f>
        <v>0.38493975903614458</v>
      </c>
      <c r="H147" s="16">
        <f>MIN(0.25+(INDEX('Stat Boosts'!$D$2:$D$192,H$1-9)-10)*$C147,10.22)</f>
        <v>0.4524096385542169</v>
      </c>
      <c r="I147" s="16">
        <f>MIN(0.25+(INDEX('Stat Boosts'!$D$2:$D$192,I$1-9)-10)*$C147,10.22)</f>
        <v>0.51024096385542173</v>
      </c>
      <c r="J147" s="16">
        <f>MIN(0.25+(INDEX('Stat Boosts'!$D$2:$D$192,J$1-9)-10)*$C147,10.22)</f>
        <v>0.56807228915662655</v>
      </c>
      <c r="K147" s="16">
        <f>MIN(0.25+(INDEX('Stat Boosts'!$D$2:$D$192,K$1-9)-10)*$C147,10.22)</f>
        <v>0.70301204819277108</v>
      </c>
      <c r="L147" s="16">
        <f>MIN(0.25+(INDEX('Stat Boosts'!$D$2:$D$192,L$1-9)-10)*$C147,10.22)</f>
        <v>0.75120481927710847</v>
      </c>
      <c r="M147" s="16">
        <f>MIN(0.25+(INDEX('Stat Boosts'!$D$2:$D$192,M$1-9)-10)*$C147,10.22)</f>
        <v>0.81867469879518073</v>
      </c>
      <c r="N147" s="16">
        <f>MIN(0.25+(INDEX('Stat Boosts'!$D$2:$D$192,N$1-9)-10)*$C147,10.22)</f>
        <v>0.90542168674698797</v>
      </c>
      <c r="O147" s="16">
        <f>MIN(0.25+(INDEX('Stat Boosts'!$D$2:$D$192,O$1-9)-10)*$C147,10.22)</f>
        <v>0.95361445783132537</v>
      </c>
      <c r="P147" s="16">
        <f>MIN(0.25+(INDEX('Stat Boosts'!$D$2:$D$192,P$1-9)-10)*$C147,10.22)</f>
        <v>1.0307228915662652</v>
      </c>
      <c r="Q147" s="16">
        <f>MIN(0.25+(INDEX('Stat Boosts'!$D$2:$D$192,Q$1-9)-10)*$C147,10.22)</f>
        <v>1.1078313253012049</v>
      </c>
      <c r="R147" s="16">
        <f>MIN(0.25+(INDEX('Stat Boosts'!$D$2:$D$192,R$1-9)-10)*$C147,10.22)</f>
        <v>1.1849397590361446</v>
      </c>
    </row>
    <row r="148" spans="1:18">
      <c r="A148" s="9">
        <v>147</v>
      </c>
      <c r="B148" s="16">
        <f t="shared" si="4"/>
        <v>51.75</v>
      </c>
      <c r="C148" s="16">
        <f t="shared" si="5"/>
        <v>9.5808383233532933E-3</v>
      </c>
      <c r="E148" s="16">
        <f>MIN(0.25+(INDEX('Stat Boosts'!$D$2:$D$192,E$1-9)-10)*$C148,10.22)</f>
        <v>0.25</v>
      </c>
      <c r="F148" s="16">
        <f>MIN(0.25+(INDEX('Stat Boosts'!$D$2:$D$192,F$1-9)-10)*$C148,10.22)</f>
        <v>0.31706586826347305</v>
      </c>
      <c r="G148" s="16">
        <f>MIN(0.25+(INDEX('Stat Boosts'!$D$2:$D$192,G$1-9)-10)*$C148,10.22)</f>
        <v>0.3841317365269461</v>
      </c>
      <c r="H148" s="16">
        <f>MIN(0.25+(INDEX('Stat Boosts'!$D$2:$D$192,H$1-9)-10)*$C148,10.22)</f>
        <v>0.45119760479041915</v>
      </c>
      <c r="I148" s="16">
        <f>MIN(0.25+(INDEX('Stat Boosts'!$D$2:$D$192,I$1-9)-10)*$C148,10.22)</f>
        <v>0.50868263473053887</v>
      </c>
      <c r="J148" s="16">
        <f>MIN(0.25+(INDEX('Stat Boosts'!$D$2:$D$192,J$1-9)-10)*$C148,10.22)</f>
        <v>0.5661676646706586</v>
      </c>
      <c r="K148" s="16">
        <f>MIN(0.25+(INDEX('Stat Boosts'!$D$2:$D$192,K$1-9)-10)*$C148,10.22)</f>
        <v>0.70029940119760481</v>
      </c>
      <c r="L148" s="16">
        <f>MIN(0.25+(INDEX('Stat Boosts'!$D$2:$D$192,L$1-9)-10)*$C148,10.22)</f>
        <v>0.74820359281437132</v>
      </c>
      <c r="M148" s="16">
        <f>MIN(0.25+(INDEX('Stat Boosts'!$D$2:$D$192,M$1-9)-10)*$C148,10.22)</f>
        <v>0.81526946107784426</v>
      </c>
      <c r="N148" s="16">
        <f>MIN(0.25+(INDEX('Stat Boosts'!$D$2:$D$192,N$1-9)-10)*$C148,10.22)</f>
        <v>0.90149700598802396</v>
      </c>
      <c r="O148" s="16">
        <f>MIN(0.25+(INDEX('Stat Boosts'!$D$2:$D$192,O$1-9)-10)*$C148,10.22)</f>
        <v>0.94940119760479036</v>
      </c>
      <c r="P148" s="16">
        <f>MIN(0.25+(INDEX('Stat Boosts'!$D$2:$D$192,P$1-9)-10)*$C148,10.22)</f>
        <v>1.0260479041916168</v>
      </c>
      <c r="Q148" s="16">
        <f>MIN(0.25+(INDEX('Stat Boosts'!$D$2:$D$192,Q$1-9)-10)*$C148,10.22)</f>
        <v>1.102694610778443</v>
      </c>
      <c r="R148" s="16">
        <f>MIN(0.25+(INDEX('Stat Boosts'!$D$2:$D$192,R$1-9)-10)*$C148,10.22)</f>
        <v>1.1793413173652696</v>
      </c>
    </row>
    <row r="149" spans="1:18">
      <c r="A149" s="9">
        <v>148</v>
      </c>
      <c r="B149" s="16">
        <f t="shared" si="4"/>
        <v>52</v>
      </c>
      <c r="C149" s="16">
        <f t="shared" si="5"/>
        <v>9.5238095238095247E-3</v>
      </c>
      <c r="E149" s="16">
        <f>MIN(0.25+(INDEX('Stat Boosts'!$D$2:$D$192,E$1-9)-10)*$C149,10.22)</f>
        <v>0.25</v>
      </c>
      <c r="F149" s="16">
        <f>MIN(0.25+(INDEX('Stat Boosts'!$D$2:$D$192,F$1-9)-10)*$C149,10.22)</f>
        <v>0.31666666666666665</v>
      </c>
      <c r="G149" s="16">
        <f>MIN(0.25+(INDEX('Stat Boosts'!$D$2:$D$192,G$1-9)-10)*$C149,10.22)</f>
        <v>0.38333333333333336</v>
      </c>
      <c r="H149" s="16">
        <f>MIN(0.25+(INDEX('Stat Boosts'!$D$2:$D$192,H$1-9)-10)*$C149,10.22)</f>
        <v>0.45</v>
      </c>
      <c r="I149" s="16">
        <f>MIN(0.25+(INDEX('Stat Boosts'!$D$2:$D$192,I$1-9)-10)*$C149,10.22)</f>
        <v>0.50714285714285712</v>
      </c>
      <c r="J149" s="16">
        <f>MIN(0.25+(INDEX('Stat Boosts'!$D$2:$D$192,J$1-9)-10)*$C149,10.22)</f>
        <v>0.56428571428571428</v>
      </c>
      <c r="K149" s="16">
        <f>MIN(0.25+(INDEX('Stat Boosts'!$D$2:$D$192,K$1-9)-10)*$C149,10.22)</f>
        <v>0.69761904761904758</v>
      </c>
      <c r="L149" s="16">
        <f>MIN(0.25+(INDEX('Stat Boosts'!$D$2:$D$192,L$1-9)-10)*$C149,10.22)</f>
        <v>0.74523809523809526</v>
      </c>
      <c r="M149" s="16">
        <f>MIN(0.25+(INDEX('Stat Boosts'!$D$2:$D$192,M$1-9)-10)*$C149,10.22)</f>
        <v>0.81190476190476191</v>
      </c>
      <c r="N149" s="16">
        <f>MIN(0.25+(INDEX('Stat Boosts'!$D$2:$D$192,N$1-9)-10)*$C149,10.22)</f>
        <v>0.89761904761904765</v>
      </c>
      <c r="O149" s="16">
        <f>MIN(0.25+(INDEX('Stat Boosts'!$D$2:$D$192,O$1-9)-10)*$C149,10.22)</f>
        <v>0.94523809523809532</v>
      </c>
      <c r="P149" s="16">
        <f>MIN(0.25+(INDEX('Stat Boosts'!$D$2:$D$192,P$1-9)-10)*$C149,10.22)</f>
        <v>1.0214285714285714</v>
      </c>
      <c r="Q149" s="16">
        <f>MIN(0.25+(INDEX('Stat Boosts'!$D$2:$D$192,Q$1-9)-10)*$C149,10.22)</f>
        <v>1.0976190476190477</v>
      </c>
      <c r="R149" s="16">
        <f>MIN(0.25+(INDEX('Stat Boosts'!$D$2:$D$192,R$1-9)-10)*$C149,10.22)</f>
        <v>1.1738095238095239</v>
      </c>
    </row>
    <row r="150" spans="1:18">
      <c r="A150" s="9">
        <v>149</v>
      </c>
      <c r="B150" s="16">
        <f t="shared" si="4"/>
        <v>52.25</v>
      </c>
      <c r="C150" s="16">
        <f t="shared" si="5"/>
        <v>9.4674556213017753E-3</v>
      </c>
      <c r="E150" s="16">
        <f>MIN(0.25+(INDEX('Stat Boosts'!$D$2:$D$192,E$1-9)-10)*$C150,10.22)</f>
        <v>0.25</v>
      </c>
      <c r="F150" s="16">
        <f>MIN(0.25+(INDEX('Stat Boosts'!$D$2:$D$192,F$1-9)-10)*$C150,10.22)</f>
        <v>0.31627218934911244</v>
      </c>
      <c r="G150" s="16">
        <f>MIN(0.25+(INDEX('Stat Boosts'!$D$2:$D$192,G$1-9)-10)*$C150,10.22)</f>
        <v>0.38254437869822489</v>
      </c>
      <c r="H150" s="16">
        <f>MIN(0.25+(INDEX('Stat Boosts'!$D$2:$D$192,H$1-9)-10)*$C150,10.22)</f>
        <v>0.44881656804733727</v>
      </c>
      <c r="I150" s="16">
        <f>MIN(0.25+(INDEX('Stat Boosts'!$D$2:$D$192,I$1-9)-10)*$C150,10.22)</f>
        <v>0.50562130177514786</v>
      </c>
      <c r="J150" s="16">
        <f>MIN(0.25+(INDEX('Stat Boosts'!$D$2:$D$192,J$1-9)-10)*$C150,10.22)</f>
        <v>0.56242603550295867</v>
      </c>
      <c r="K150" s="16">
        <f>MIN(0.25+(INDEX('Stat Boosts'!$D$2:$D$192,K$1-9)-10)*$C150,10.22)</f>
        <v>0.69497041420118344</v>
      </c>
      <c r="L150" s="16">
        <f>MIN(0.25+(INDEX('Stat Boosts'!$D$2:$D$192,L$1-9)-10)*$C150,10.22)</f>
        <v>0.74230769230769234</v>
      </c>
      <c r="M150" s="16">
        <f>MIN(0.25+(INDEX('Stat Boosts'!$D$2:$D$192,M$1-9)-10)*$C150,10.22)</f>
        <v>0.80857988165680472</v>
      </c>
      <c r="N150" s="16">
        <f>MIN(0.25+(INDEX('Stat Boosts'!$D$2:$D$192,N$1-9)-10)*$C150,10.22)</f>
        <v>0.89378698224852071</v>
      </c>
      <c r="O150" s="16">
        <f>MIN(0.25+(INDEX('Stat Boosts'!$D$2:$D$192,O$1-9)-10)*$C150,10.22)</f>
        <v>0.94112426035502961</v>
      </c>
      <c r="P150" s="16">
        <f>MIN(0.25+(INDEX('Stat Boosts'!$D$2:$D$192,P$1-9)-10)*$C150,10.22)</f>
        <v>1.0168639053254438</v>
      </c>
      <c r="Q150" s="16">
        <f>MIN(0.25+(INDEX('Stat Boosts'!$D$2:$D$192,Q$1-9)-10)*$C150,10.22)</f>
        <v>1.092603550295858</v>
      </c>
      <c r="R150" s="16">
        <f>MIN(0.25+(INDEX('Stat Boosts'!$D$2:$D$192,R$1-9)-10)*$C150,10.22)</f>
        <v>1.1683431952662722</v>
      </c>
    </row>
    <row r="151" spans="1:18">
      <c r="A151" s="9">
        <v>150</v>
      </c>
      <c r="B151" s="16">
        <f t="shared" si="4"/>
        <v>52.5</v>
      </c>
      <c r="C151" s="16">
        <f t="shared" si="5"/>
        <v>9.4117647058823539E-3</v>
      </c>
      <c r="E151" s="16">
        <f>MIN(0.25+(INDEX('Stat Boosts'!$D$2:$D$192,E$1-9)-10)*$C151,10.22)</f>
        <v>0.25</v>
      </c>
      <c r="F151" s="16">
        <f>MIN(0.25+(INDEX('Stat Boosts'!$D$2:$D$192,F$1-9)-10)*$C151,10.22)</f>
        <v>0.3158823529411765</v>
      </c>
      <c r="G151" s="16">
        <f>MIN(0.25+(INDEX('Stat Boosts'!$D$2:$D$192,G$1-9)-10)*$C151,10.22)</f>
        <v>0.38176470588235295</v>
      </c>
      <c r="H151" s="16">
        <f>MIN(0.25+(INDEX('Stat Boosts'!$D$2:$D$192,H$1-9)-10)*$C151,10.22)</f>
        <v>0.4476470588235294</v>
      </c>
      <c r="I151" s="16">
        <f>MIN(0.25+(INDEX('Stat Boosts'!$D$2:$D$192,I$1-9)-10)*$C151,10.22)</f>
        <v>0.50411764705882356</v>
      </c>
      <c r="J151" s="16">
        <f>MIN(0.25+(INDEX('Stat Boosts'!$D$2:$D$192,J$1-9)-10)*$C151,10.22)</f>
        <v>0.56058823529411761</v>
      </c>
      <c r="K151" s="16">
        <f>MIN(0.25+(INDEX('Stat Boosts'!$D$2:$D$192,K$1-9)-10)*$C151,10.22)</f>
        <v>0.69235294117647062</v>
      </c>
      <c r="L151" s="16">
        <f>MIN(0.25+(INDEX('Stat Boosts'!$D$2:$D$192,L$1-9)-10)*$C151,10.22)</f>
        <v>0.73941176470588243</v>
      </c>
      <c r="M151" s="16">
        <f>MIN(0.25+(INDEX('Stat Boosts'!$D$2:$D$192,M$1-9)-10)*$C151,10.22)</f>
        <v>0.80529411764705883</v>
      </c>
      <c r="N151" s="16">
        <f>MIN(0.25+(INDEX('Stat Boosts'!$D$2:$D$192,N$1-9)-10)*$C151,10.22)</f>
        <v>0.89</v>
      </c>
      <c r="O151" s="16">
        <f>MIN(0.25+(INDEX('Stat Boosts'!$D$2:$D$192,O$1-9)-10)*$C151,10.22)</f>
        <v>0.93705882352941183</v>
      </c>
      <c r="P151" s="16">
        <f>MIN(0.25+(INDEX('Stat Boosts'!$D$2:$D$192,P$1-9)-10)*$C151,10.22)</f>
        <v>1.0123529411764707</v>
      </c>
      <c r="Q151" s="16">
        <f>MIN(0.25+(INDEX('Stat Boosts'!$D$2:$D$192,Q$1-9)-10)*$C151,10.22)</f>
        <v>1.0876470588235296</v>
      </c>
      <c r="R151" s="16">
        <f>MIN(0.25+(INDEX('Stat Boosts'!$D$2:$D$192,R$1-9)-10)*$C151,10.22)</f>
        <v>1.1629411764705884</v>
      </c>
    </row>
  </sheetData>
  <conditionalFormatting sqref="E1:R1048576">
    <cfRule type="expression" dxfId="3" priority="1">
      <formula>INDEX($A$1:$A$150,ROW())+22&lt;INDEX($A$1:$R$1,1,COLUMN())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1"/>
  <dimension ref="A1:T151"/>
  <sheetViews>
    <sheetView workbookViewId="0">
      <selection activeCell="A8" sqref="A8:XFD8"/>
    </sheetView>
  </sheetViews>
  <sheetFormatPr defaultRowHeight="15"/>
  <cols>
    <col min="1" max="1" width="11.85546875" style="9" bestFit="1" customWidth="1"/>
    <col min="2" max="2" width="22.5703125" style="16" bestFit="1" customWidth="1"/>
    <col min="3" max="3" width="14.7109375" style="16" bestFit="1" customWidth="1"/>
    <col min="4" max="4" width="11.5703125" style="16" bestFit="1" customWidth="1"/>
    <col min="5" max="18" width="9.140625" style="16"/>
  </cols>
  <sheetData>
    <row r="1" spans="1:20" s="54" customFormat="1">
      <c r="A1" s="31" t="s">
        <v>311</v>
      </c>
      <c r="B1" s="31" t="s">
        <v>319</v>
      </c>
      <c r="C1" s="31" t="s">
        <v>315</v>
      </c>
      <c r="D1" s="55" t="s">
        <v>320</v>
      </c>
      <c r="E1" s="31">
        <v>10</v>
      </c>
      <c r="F1" s="31">
        <v>15</v>
      </c>
      <c r="G1" s="31">
        <v>20</v>
      </c>
      <c r="H1" s="31">
        <v>25</v>
      </c>
      <c r="I1" s="31">
        <v>30</v>
      </c>
      <c r="J1" s="31">
        <v>35</v>
      </c>
      <c r="K1" s="31">
        <v>45</v>
      </c>
      <c r="L1" s="31">
        <v>50</v>
      </c>
      <c r="M1" s="31">
        <v>55</v>
      </c>
      <c r="N1" s="31">
        <v>60</v>
      </c>
      <c r="O1" s="31">
        <v>65</v>
      </c>
      <c r="P1" s="31">
        <v>70</v>
      </c>
      <c r="Q1" s="31">
        <v>75</v>
      </c>
      <c r="R1" s="31">
        <v>80</v>
      </c>
    </row>
    <row r="2" spans="1:20">
      <c r="A2" s="9">
        <v>1</v>
      </c>
      <c r="B2" s="16">
        <f>18+A2/4</f>
        <v>18.25</v>
      </c>
      <c r="C2" s="16">
        <f>0.4/(B2-10)</f>
        <v>4.8484848484848485E-2</v>
      </c>
      <c r="E2" s="16">
        <f>MIN(0.5+(INDEX('Stat Boosts'!$D$2:$D$192,E$1-9)-10)*$C2,10.22)</f>
        <v>0.5</v>
      </c>
      <c r="F2" s="16">
        <f>MIN(0.5+(INDEX('Stat Boosts'!$D$2:$D$192,F$1-9)-10)*$C2,10.22)</f>
        <v>0.83939393939393936</v>
      </c>
      <c r="G2" s="16">
        <f>MIN(0.5+(INDEX('Stat Boosts'!$D$2:$D$192,G$1-9)-10)*$C2,10.22)</f>
        <v>1.1787878787878787</v>
      </c>
      <c r="H2" s="16">
        <f>MIN(0.5+(INDEX('Stat Boosts'!$D$2:$D$192,H$1-9)-10)*$C2,10.22)</f>
        <v>1.5181818181818181</v>
      </c>
      <c r="I2" s="16">
        <f>MIN(0.5+(INDEX('Stat Boosts'!$D$2:$D$192,I$1-9)-10)*$C2,10.22)</f>
        <v>1.8090909090909091</v>
      </c>
      <c r="J2" s="16">
        <f>MIN(0.5+(INDEX('Stat Boosts'!$D$2:$D$192,J$1-9)-10)*$C2,10.22)</f>
        <v>2.1</v>
      </c>
      <c r="K2" s="16">
        <f>MIN(0.5+(INDEX('Stat Boosts'!$D$2:$D$192,K$1-9)-10)*$C2,10.22)</f>
        <v>2.7787878787878788</v>
      </c>
      <c r="L2" s="16">
        <f>MIN(0.5+(INDEX('Stat Boosts'!$D$2:$D$192,L$1-9)-10)*$C2,10.22)</f>
        <v>3.021212121212121</v>
      </c>
      <c r="M2" s="16">
        <f>MIN(0.5+(INDEX('Stat Boosts'!$D$2:$D$192,M$1-9)-10)*$C2,10.22)</f>
        <v>3.3606060606060608</v>
      </c>
      <c r="N2" s="16">
        <f>MIN(0.5+(INDEX('Stat Boosts'!$D$2:$D$192,N$1-9)-10)*$C2,10.22)</f>
        <v>3.7969696969696969</v>
      </c>
      <c r="O2" s="16">
        <f>MIN(0.5+(INDEX('Stat Boosts'!$D$2:$D$192,O$1-9)-10)*$C2,10.22)</f>
        <v>4.0393939393939391</v>
      </c>
      <c r="P2" s="16">
        <f>MIN(0.5+(INDEX('Stat Boosts'!$D$2:$D$192,P$1-9)-10)*$C2,10.22)</f>
        <v>4.4272727272727277</v>
      </c>
      <c r="Q2" s="16">
        <f>MIN(0.5+(INDEX('Stat Boosts'!$D$2:$D$192,Q$1-9)-10)*$C2,10.22)</f>
        <v>4.8151515151515154</v>
      </c>
      <c r="R2" s="16">
        <f>MIN(0.5+(INDEX('Stat Boosts'!$D$2:$D$192,R$1-9)-10)*$C2,10.22)</f>
        <v>5.2030303030303031</v>
      </c>
      <c r="T2" s="16"/>
    </row>
    <row r="3" spans="1:20">
      <c r="A3" s="9">
        <v>2</v>
      </c>
      <c r="B3" s="16">
        <f t="shared" ref="B3:B66" si="0">18+A3/4</f>
        <v>18.5</v>
      </c>
      <c r="C3" s="16">
        <f t="shared" ref="C3:C66" si="1">0.4/(B3-10)</f>
        <v>4.7058823529411764E-2</v>
      </c>
      <c r="E3" s="16">
        <f>MIN(0.5+(INDEX('Stat Boosts'!$D$2:$D$192,E$1-9)-10)*$C3,10.22)</f>
        <v>0.5</v>
      </c>
      <c r="F3" s="16">
        <f>MIN(0.5+(INDEX('Stat Boosts'!$D$2:$D$192,F$1-9)-10)*$C3,10.22)</f>
        <v>0.82941176470588229</v>
      </c>
      <c r="G3" s="16">
        <f>MIN(0.5+(INDEX('Stat Boosts'!$D$2:$D$192,G$1-9)-10)*$C3,10.22)</f>
        <v>1.1588235294117646</v>
      </c>
      <c r="H3" s="16">
        <f>MIN(0.5+(INDEX('Stat Boosts'!$D$2:$D$192,H$1-9)-10)*$C3,10.22)</f>
        <v>1.4882352941176471</v>
      </c>
      <c r="I3" s="16">
        <f>MIN(0.5+(INDEX('Stat Boosts'!$D$2:$D$192,I$1-9)-10)*$C3,10.22)</f>
        <v>1.7705882352941176</v>
      </c>
      <c r="J3" s="16">
        <f>MIN(0.5+(INDEX('Stat Boosts'!$D$2:$D$192,J$1-9)-10)*$C3,10.22)</f>
        <v>2.052941176470588</v>
      </c>
      <c r="K3" s="16">
        <f>MIN(0.5+(INDEX('Stat Boosts'!$D$2:$D$192,K$1-9)-10)*$C3,10.22)</f>
        <v>2.7117647058823531</v>
      </c>
      <c r="L3" s="16">
        <f>MIN(0.5+(INDEX('Stat Boosts'!$D$2:$D$192,L$1-9)-10)*$C3,10.22)</f>
        <v>2.947058823529412</v>
      </c>
      <c r="M3" s="16">
        <f>MIN(0.5+(INDEX('Stat Boosts'!$D$2:$D$192,M$1-9)-10)*$C3,10.22)</f>
        <v>3.276470588235294</v>
      </c>
      <c r="N3" s="16">
        <f>MIN(0.5+(INDEX('Stat Boosts'!$D$2:$D$192,N$1-9)-10)*$C3,10.22)</f>
        <v>3.7</v>
      </c>
      <c r="O3" s="16">
        <f>MIN(0.5+(INDEX('Stat Boosts'!$D$2:$D$192,O$1-9)-10)*$C3,10.22)</f>
        <v>3.9352941176470586</v>
      </c>
      <c r="P3" s="16">
        <f>MIN(0.5+(INDEX('Stat Boosts'!$D$2:$D$192,P$1-9)-10)*$C3,10.22)</f>
        <v>4.3117647058823527</v>
      </c>
      <c r="Q3" s="16">
        <f>MIN(0.5+(INDEX('Stat Boosts'!$D$2:$D$192,Q$1-9)-10)*$C3,10.22)</f>
        <v>4.6882352941176473</v>
      </c>
      <c r="R3" s="16">
        <f>MIN(0.5+(INDEX('Stat Boosts'!$D$2:$D$192,R$1-9)-10)*$C3,10.22)</f>
        <v>5.0647058823529409</v>
      </c>
    </row>
    <row r="4" spans="1:20">
      <c r="A4" s="9">
        <v>3</v>
      </c>
      <c r="B4" s="16">
        <f t="shared" si="0"/>
        <v>18.75</v>
      </c>
      <c r="C4" s="16">
        <f t="shared" si="1"/>
        <v>4.5714285714285714E-2</v>
      </c>
      <c r="E4" s="16">
        <f>MIN(0.5+(INDEX('Stat Boosts'!$D$2:$D$192,E$1-9)-10)*$C4,10.22)</f>
        <v>0.5</v>
      </c>
      <c r="F4" s="16">
        <f>MIN(0.5+(INDEX('Stat Boosts'!$D$2:$D$192,F$1-9)-10)*$C4,10.22)</f>
        <v>0.82000000000000006</v>
      </c>
      <c r="G4" s="16">
        <f>MIN(0.5+(INDEX('Stat Boosts'!$D$2:$D$192,G$1-9)-10)*$C4,10.22)</f>
        <v>1.1400000000000001</v>
      </c>
      <c r="H4" s="16">
        <f>MIN(0.5+(INDEX('Stat Boosts'!$D$2:$D$192,H$1-9)-10)*$C4,10.22)</f>
        <v>1.46</v>
      </c>
      <c r="I4" s="16">
        <f>MIN(0.5+(INDEX('Stat Boosts'!$D$2:$D$192,I$1-9)-10)*$C4,10.22)</f>
        <v>1.7342857142857142</v>
      </c>
      <c r="J4" s="16">
        <f>MIN(0.5+(INDEX('Stat Boosts'!$D$2:$D$192,J$1-9)-10)*$C4,10.22)</f>
        <v>2.0085714285714289</v>
      </c>
      <c r="K4" s="16">
        <f>MIN(0.5+(INDEX('Stat Boosts'!$D$2:$D$192,K$1-9)-10)*$C4,10.22)</f>
        <v>2.6485714285714286</v>
      </c>
      <c r="L4" s="16">
        <f>MIN(0.5+(INDEX('Stat Boosts'!$D$2:$D$192,L$1-9)-10)*$C4,10.22)</f>
        <v>2.8771428571428572</v>
      </c>
      <c r="M4" s="16">
        <f>MIN(0.5+(INDEX('Stat Boosts'!$D$2:$D$192,M$1-9)-10)*$C4,10.22)</f>
        <v>3.1971428571428571</v>
      </c>
      <c r="N4" s="16">
        <f>MIN(0.5+(INDEX('Stat Boosts'!$D$2:$D$192,N$1-9)-10)*$C4,10.22)</f>
        <v>3.6085714285714285</v>
      </c>
      <c r="O4" s="16">
        <f>MIN(0.5+(INDEX('Stat Boosts'!$D$2:$D$192,O$1-9)-10)*$C4,10.22)</f>
        <v>3.8371428571428572</v>
      </c>
      <c r="P4" s="16">
        <f>MIN(0.5+(INDEX('Stat Boosts'!$D$2:$D$192,P$1-9)-10)*$C4,10.22)</f>
        <v>4.2028571428571428</v>
      </c>
      <c r="Q4" s="16">
        <f>MIN(0.5+(INDEX('Stat Boosts'!$D$2:$D$192,Q$1-9)-10)*$C4,10.22)</f>
        <v>4.5685714285714285</v>
      </c>
      <c r="R4" s="16">
        <f>MIN(0.5+(INDEX('Stat Boosts'!$D$2:$D$192,R$1-9)-10)*$C4,10.22)</f>
        <v>4.9342857142857142</v>
      </c>
    </row>
    <row r="5" spans="1:20">
      <c r="A5" s="9">
        <v>4</v>
      </c>
      <c r="B5" s="16">
        <f t="shared" si="0"/>
        <v>19</v>
      </c>
      <c r="C5" s="16">
        <f t="shared" si="1"/>
        <v>4.4444444444444446E-2</v>
      </c>
      <c r="E5" s="16">
        <f>MIN(0.5+(INDEX('Stat Boosts'!$D$2:$D$192,E$1-9)-10)*$C5,10.22)</f>
        <v>0.5</v>
      </c>
      <c r="F5" s="16">
        <f>MIN(0.5+(INDEX('Stat Boosts'!$D$2:$D$192,F$1-9)-10)*$C5,10.22)</f>
        <v>0.81111111111111112</v>
      </c>
      <c r="G5" s="16">
        <f>MIN(0.5+(INDEX('Stat Boosts'!$D$2:$D$192,G$1-9)-10)*$C5,10.22)</f>
        <v>1.1222222222222222</v>
      </c>
      <c r="H5" s="16">
        <f>MIN(0.5+(INDEX('Stat Boosts'!$D$2:$D$192,H$1-9)-10)*$C5,10.22)</f>
        <v>1.4333333333333333</v>
      </c>
      <c r="I5" s="16">
        <f>MIN(0.5+(INDEX('Stat Boosts'!$D$2:$D$192,I$1-9)-10)*$C5,10.22)</f>
        <v>1.7</v>
      </c>
      <c r="J5" s="16">
        <f>MIN(0.5+(INDEX('Stat Boosts'!$D$2:$D$192,J$1-9)-10)*$C5,10.22)</f>
        <v>1.9666666666666668</v>
      </c>
      <c r="K5" s="16">
        <f>MIN(0.5+(INDEX('Stat Boosts'!$D$2:$D$192,K$1-9)-10)*$C5,10.22)</f>
        <v>2.588888888888889</v>
      </c>
      <c r="L5" s="16">
        <f>MIN(0.5+(INDEX('Stat Boosts'!$D$2:$D$192,L$1-9)-10)*$C5,10.22)</f>
        <v>2.8111111111111113</v>
      </c>
      <c r="M5" s="16">
        <f>MIN(0.5+(INDEX('Stat Boosts'!$D$2:$D$192,M$1-9)-10)*$C5,10.22)</f>
        <v>3.1222222222222222</v>
      </c>
      <c r="N5" s="16">
        <f>MIN(0.5+(INDEX('Stat Boosts'!$D$2:$D$192,N$1-9)-10)*$C5,10.22)</f>
        <v>3.5222222222222221</v>
      </c>
      <c r="O5" s="16">
        <f>MIN(0.5+(INDEX('Stat Boosts'!$D$2:$D$192,O$1-9)-10)*$C5,10.22)</f>
        <v>3.7444444444444445</v>
      </c>
      <c r="P5" s="16">
        <f>MIN(0.5+(INDEX('Stat Boosts'!$D$2:$D$192,P$1-9)-10)*$C5,10.22)</f>
        <v>4.0999999999999996</v>
      </c>
      <c r="Q5" s="16">
        <f>MIN(0.5+(INDEX('Stat Boosts'!$D$2:$D$192,Q$1-9)-10)*$C5,10.22)</f>
        <v>4.4555555555555557</v>
      </c>
      <c r="R5" s="16">
        <f>MIN(0.5+(INDEX('Stat Boosts'!$D$2:$D$192,R$1-9)-10)*$C5,10.22)</f>
        <v>4.8111111111111109</v>
      </c>
    </row>
    <row r="6" spans="1:20">
      <c r="A6" s="9">
        <v>5</v>
      </c>
      <c r="B6" s="16">
        <f t="shared" si="0"/>
        <v>19.25</v>
      </c>
      <c r="C6" s="16">
        <f t="shared" si="1"/>
        <v>4.3243243243243246E-2</v>
      </c>
      <c r="E6" s="16">
        <f>MIN(0.5+(INDEX('Stat Boosts'!$D$2:$D$192,E$1-9)-10)*$C6,10.22)</f>
        <v>0.5</v>
      </c>
      <c r="F6" s="16">
        <f>MIN(0.5+(INDEX('Stat Boosts'!$D$2:$D$192,F$1-9)-10)*$C6,10.22)</f>
        <v>0.80270270270270272</v>
      </c>
      <c r="G6" s="16">
        <f>MIN(0.5+(INDEX('Stat Boosts'!$D$2:$D$192,G$1-9)-10)*$C6,10.22)</f>
        <v>1.1054054054054054</v>
      </c>
      <c r="H6" s="16">
        <f>MIN(0.5+(INDEX('Stat Boosts'!$D$2:$D$192,H$1-9)-10)*$C6,10.22)</f>
        <v>1.4081081081081082</v>
      </c>
      <c r="I6" s="16">
        <f>MIN(0.5+(INDEX('Stat Boosts'!$D$2:$D$192,I$1-9)-10)*$C6,10.22)</f>
        <v>1.6675675675675676</v>
      </c>
      <c r="J6" s="16">
        <f>MIN(0.5+(INDEX('Stat Boosts'!$D$2:$D$192,J$1-9)-10)*$C6,10.22)</f>
        <v>1.9270270270270271</v>
      </c>
      <c r="K6" s="16">
        <f>MIN(0.5+(INDEX('Stat Boosts'!$D$2:$D$192,K$1-9)-10)*$C6,10.22)</f>
        <v>2.5324324324324325</v>
      </c>
      <c r="L6" s="16">
        <f>MIN(0.5+(INDEX('Stat Boosts'!$D$2:$D$192,L$1-9)-10)*$C6,10.22)</f>
        <v>2.7486486486486488</v>
      </c>
      <c r="M6" s="16">
        <f>MIN(0.5+(INDEX('Stat Boosts'!$D$2:$D$192,M$1-9)-10)*$C6,10.22)</f>
        <v>3.0513513513513515</v>
      </c>
      <c r="N6" s="16">
        <f>MIN(0.5+(INDEX('Stat Boosts'!$D$2:$D$192,N$1-9)-10)*$C6,10.22)</f>
        <v>3.4405405405405407</v>
      </c>
      <c r="O6" s="16">
        <f>MIN(0.5+(INDEX('Stat Boosts'!$D$2:$D$192,O$1-9)-10)*$C6,10.22)</f>
        <v>3.6567567567567569</v>
      </c>
      <c r="P6" s="16">
        <f>MIN(0.5+(INDEX('Stat Boosts'!$D$2:$D$192,P$1-9)-10)*$C6,10.22)</f>
        <v>4.0027027027027025</v>
      </c>
      <c r="Q6" s="16">
        <f>MIN(0.5+(INDEX('Stat Boosts'!$D$2:$D$192,Q$1-9)-10)*$C6,10.22)</f>
        <v>4.3486486486486484</v>
      </c>
      <c r="R6" s="16">
        <f>MIN(0.5+(INDEX('Stat Boosts'!$D$2:$D$192,R$1-9)-10)*$C6,10.22)</f>
        <v>4.6945945945945944</v>
      </c>
    </row>
    <row r="7" spans="1:20">
      <c r="A7" s="9">
        <v>6</v>
      </c>
      <c r="B7" s="16">
        <f t="shared" si="0"/>
        <v>19.5</v>
      </c>
      <c r="C7" s="16">
        <f t="shared" si="1"/>
        <v>4.2105263157894736E-2</v>
      </c>
      <c r="E7" s="16">
        <f>MIN(0.5+(INDEX('Stat Boosts'!$D$2:$D$192,E$1-9)-10)*$C7,10.22)</f>
        <v>0.5</v>
      </c>
      <c r="F7" s="16">
        <f>MIN(0.5+(INDEX('Stat Boosts'!$D$2:$D$192,F$1-9)-10)*$C7,10.22)</f>
        <v>0.79473684210526319</v>
      </c>
      <c r="G7" s="16">
        <f>MIN(0.5+(INDEX('Stat Boosts'!$D$2:$D$192,G$1-9)-10)*$C7,10.22)</f>
        <v>1.0894736842105264</v>
      </c>
      <c r="H7" s="16">
        <f>MIN(0.5+(INDEX('Stat Boosts'!$D$2:$D$192,H$1-9)-10)*$C7,10.22)</f>
        <v>1.3842105263157896</v>
      </c>
      <c r="I7" s="16">
        <f>MIN(0.5+(INDEX('Stat Boosts'!$D$2:$D$192,I$1-9)-10)*$C7,10.22)</f>
        <v>1.6368421052631579</v>
      </c>
      <c r="J7" s="16">
        <f>MIN(0.5+(INDEX('Stat Boosts'!$D$2:$D$192,J$1-9)-10)*$C7,10.22)</f>
        <v>1.8894736842105262</v>
      </c>
      <c r="K7" s="16">
        <f>MIN(0.5+(INDEX('Stat Boosts'!$D$2:$D$192,K$1-9)-10)*$C7,10.22)</f>
        <v>2.4789473684210526</v>
      </c>
      <c r="L7" s="16">
        <f>MIN(0.5+(INDEX('Stat Boosts'!$D$2:$D$192,L$1-9)-10)*$C7,10.22)</f>
        <v>2.6894736842105265</v>
      </c>
      <c r="M7" s="16">
        <f>MIN(0.5+(INDEX('Stat Boosts'!$D$2:$D$192,M$1-9)-10)*$C7,10.22)</f>
        <v>2.9842105263157892</v>
      </c>
      <c r="N7" s="16">
        <f>MIN(0.5+(INDEX('Stat Boosts'!$D$2:$D$192,N$1-9)-10)*$C7,10.22)</f>
        <v>3.3631578947368421</v>
      </c>
      <c r="O7" s="16">
        <f>MIN(0.5+(INDEX('Stat Boosts'!$D$2:$D$192,O$1-9)-10)*$C7,10.22)</f>
        <v>3.5736842105263156</v>
      </c>
      <c r="P7" s="16">
        <f>MIN(0.5+(INDEX('Stat Boosts'!$D$2:$D$192,P$1-9)-10)*$C7,10.22)</f>
        <v>3.9105263157894736</v>
      </c>
      <c r="Q7" s="16">
        <f>MIN(0.5+(INDEX('Stat Boosts'!$D$2:$D$192,Q$1-9)-10)*$C7,10.22)</f>
        <v>4.2473684210526317</v>
      </c>
      <c r="R7" s="16">
        <f>MIN(0.5+(INDEX('Stat Boosts'!$D$2:$D$192,R$1-9)-10)*$C7,10.22)</f>
        <v>4.5842105263157897</v>
      </c>
    </row>
    <row r="8" spans="1:20">
      <c r="A8" s="9">
        <v>7</v>
      </c>
      <c r="B8" s="16">
        <f t="shared" si="0"/>
        <v>19.75</v>
      </c>
      <c r="C8" s="16">
        <f t="shared" si="1"/>
        <v>4.1025641025641026E-2</v>
      </c>
      <c r="E8" s="16">
        <f>MIN(0.5+(INDEX('Stat Boosts'!$D$2:$D$192,E$1-9)-10)*$C8,10.22)</f>
        <v>0.5</v>
      </c>
      <c r="F8" s="16">
        <f>MIN(0.5+(INDEX('Stat Boosts'!$D$2:$D$192,F$1-9)-10)*$C8,10.22)</f>
        <v>0.78717948717948716</v>
      </c>
      <c r="G8" s="16">
        <f>MIN(0.5+(INDEX('Stat Boosts'!$D$2:$D$192,G$1-9)-10)*$C8,10.22)</f>
        <v>1.0743589743589743</v>
      </c>
      <c r="H8" s="16">
        <f>MIN(0.5+(INDEX('Stat Boosts'!$D$2:$D$192,H$1-9)-10)*$C8,10.22)</f>
        <v>1.3615384615384616</v>
      </c>
      <c r="I8" s="16">
        <f>MIN(0.5+(INDEX('Stat Boosts'!$D$2:$D$192,I$1-9)-10)*$C8,10.22)</f>
        <v>1.6076923076923078</v>
      </c>
      <c r="J8" s="16">
        <f>MIN(0.5+(INDEX('Stat Boosts'!$D$2:$D$192,J$1-9)-10)*$C8,10.22)</f>
        <v>1.8538461538461539</v>
      </c>
      <c r="K8" s="16">
        <f>MIN(0.5+(INDEX('Stat Boosts'!$D$2:$D$192,K$1-9)-10)*$C8,10.22)</f>
        <v>2.4282051282051285</v>
      </c>
      <c r="L8" s="16">
        <f>MIN(0.5+(INDEX('Stat Boosts'!$D$2:$D$192,L$1-9)-10)*$C8,10.22)</f>
        <v>2.6333333333333333</v>
      </c>
      <c r="M8" s="16">
        <f>MIN(0.5+(INDEX('Stat Boosts'!$D$2:$D$192,M$1-9)-10)*$C8,10.22)</f>
        <v>2.9205128205128204</v>
      </c>
      <c r="N8" s="16">
        <f>MIN(0.5+(INDEX('Stat Boosts'!$D$2:$D$192,N$1-9)-10)*$C8,10.22)</f>
        <v>3.2897435897435896</v>
      </c>
      <c r="O8" s="16">
        <f>MIN(0.5+(INDEX('Stat Boosts'!$D$2:$D$192,O$1-9)-10)*$C8,10.22)</f>
        <v>3.4948717948717949</v>
      </c>
      <c r="P8" s="16">
        <f>MIN(0.5+(INDEX('Stat Boosts'!$D$2:$D$192,P$1-9)-10)*$C8,10.22)</f>
        <v>3.8230769230769233</v>
      </c>
      <c r="Q8" s="16">
        <f>MIN(0.5+(INDEX('Stat Boosts'!$D$2:$D$192,Q$1-9)-10)*$C8,10.22)</f>
        <v>4.1512820512820507</v>
      </c>
      <c r="R8" s="16">
        <f>MIN(0.5+(INDEX('Stat Boosts'!$D$2:$D$192,R$1-9)-10)*$C8,10.22)</f>
        <v>4.4794871794871796</v>
      </c>
    </row>
    <row r="9" spans="1:20">
      <c r="A9" s="9">
        <v>8</v>
      </c>
      <c r="B9" s="16">
        <f t="shared" si="0"/>
        <v>20</v>
      </c>
      <c r="C9" s="16">
        <f t="shared" si="1"/>
        <v>0.04</v>
      </c>
      <c r="E9" s="16">
        <f>MIN(0.5+(INDEX('Stat Boosts'!$D$2:$D$192,E$1-9)-10)*$C9,10.22)</f>
        <v>0.5</v>
      </c>
      <c r="F9" s="16">
        <f>MIN(0.5+(INDEX('Stat Boosts'!$D$2:$D$192,F$1-9)-10)*$C9,10.22)</f>
        <v>0.78</v>
      </c>
      <c r="G9" s="16">
        <f>MIN(0.5+(INDEX('Stat Boosts'!$D$2:$D$192,G$1-9)-10)*$C9,10.22)</f>
        <v>1.06</v>
      </c>
      <c r="H9" s="16">
        <f>MIN(0.5+(INDEX('Stat Boosts'!$D$2:$D$192,H$1-9)-10)*$C9,10.22)</f>
        <v>1.3399999999999999</v>
      </c>
      <c r="I9" s="16">
        <f>MIN(0.5+(INDEX('Stat Boosts'!$D$2:$D$192,I$1-9)-10)*$C9,10.22)</f>
        <v>1.58</v>
      </c>
      <c r="J9" s="16">
        <f>MIN(0.5+(INDEX('Stat Boosts'!$D$2:$D$192,J$1-9)-10)*$C9,10.22)</f>
        <v>1.82</v>
      </c>
      <c r="K9" s="16">
        <f>MIN(0.5+(INDEX('Stat Boosts'!$D$2:$D$192,K$1-9)-10)*$C9,10.22)</f>
        <v>2.38</v>
      </c>
      <c r="L9" s="16">
        <f>MIN(0.5+(INDEX('Stat Boosts'!$D$2:$D$192,L$1-9)-10)*$C9,10.22)</f>
        <v>2.58</v>
      </c>
      <c r="M9" s="16">
        <f>MIN(0.5+(INDEX('Stat Boosts'!$D$2:$D$192,M$1-9)-10)*$C9,10.22)</f>
        <v>2.86</v>
      </c>
      <c r="N9" s="16">
        <f>MIN(0.5+(INDEX('Stat Boosts'!$D$2:$D$192,N$1-9)-10)*$C9,10.22)</f>
        <v>3.22</v>
      </c>
      <c r="O9" s="16">
        <f>MIN(0.5+(INDEX('Stat Boosts'!$D$2:$D$192,O$1-9)-10)*$C9,10.22)</f>
        <v>3.42</v>
      </c>
      <c r="P9" s="16">
        <f>MIN(0.5+(INDEX('Stat Boosts'!$D$2:$D$192,P$1-9)-10)*$C9,10.22)</f>
        <v>3.74</v>
      </c>
      <c r="Q9" s="16">
        <f>MIN(0.5+(INDEX('Stat Boosts'!$D$2:$D$192,Q$1-9)-10)*$C9,10.22)</f>
        <v>4.0600000000000005</v>
      </c>
      <c r="R9" s="16">
        <f>MIN(0.5+(INDEX('Stat Boosts'!$D$2:$D$192,R$1-9)-10)*$C9,10.22)</f>
        <v>4.38</v>
      </c>
    </row>
    <row r="10" spans="1:20">
      <c r="A10" s="9">
        <v>9</v>
      </c>
      <c r="B10" s="16">
        <f t="shared" si="0"/>
        <v>20.25</v>
      </c>
      <c r="C10" s="16">
        <f t="shared" si="1"/>
        <v>3.9024390243902439E-2</v>
      </c>
      <c r="E10" s="16">
        <f>MIN(0.5+(INDEX('Stat Boosts'!$D$2:$D$192,E$1-9)-10)*$C10,10.22)</f>
        <v>0.5</v>
      </c>
      <c r="F10" s="16">
        <f>MIN(0.5+(INDEX('Stat Boosts'!$D$2:$D$192,F$1-9)-10)*$C10,10.22)</f>
        <v>0.77317073170731709</v>
      </c>
      <c r="G10" s="16">
        <f>MIN(0.5+(INDEX('Stat Boosts'!$D$2:$D$192,G$1-9)-10)*$C10,10.22)</f>
        <v>1.0463414634146342</v>
      </c>
      <c r="H10" s="16">
        <f>MIN(0.5+(INDEX('Stat Boosts'!$D$2:$D$192,H$1-9)-10)*$C10,10.22)</f>
        <v>1.3195121951219511</v>
      </c>
      <c r="I10" s="16">
        <f>MIN(0.5+(INDEX('Stat Boosts'!$D$2:$D$192,I$1-9)-10)*$C10,10.22)</f>
        <v>1.5536585365853659</v>
      </c>
      <c r="J10" s="16">
        <f>MIN(0.5+(INDEX('Stat Boosts'!$D$2:$D$192,J$1-9)-10)*$C10,10.22)</f>
        <v>1.7878048780487805</v>
      </c>
      <c r="K10" s="16">
        <f>MIN(0.5+(INDEX('Stat Boosts'!$D$2:$D$192,K$1-9)-10)*$C10,10.22)</f>
        <v>2.3341463414634145</v>
      </c>
      <c r="L10" s="16">
        <f>MIN(0.5+(INDEX('Stat Boosts'!$D$2:$D$192,L$1-9)-10)*$C10,10.22)</f>
        <v>2.5292682926829269</v>
      </c>
      <c r="M10" s="16">
        <f>MIN(0.5+(INDEX('Stat Boosts'!$D$2:$D$192,M$1-9)-10)*$C10,10.22)</f>
        <v>2.8024390243902437</v>
      </c>
      <c r="N10" s="16">
        <f>MIN(0.5+(INDEX('Stat Boosts'!$D$2:$D$192,N$1-9)-10)*$C10,10.22)</f>
        <v>3.153658536585366</v>
      </c>
      <c r="O10" s="16">
        <f>MIN(0.5+(INDEX('Stat Boosts'!$D$2:$D$192,O$1-9)-10)*$C10,10.22)</f>
        <v>3.3487804878048779</v>
      </c>
      <c r="P10" s="16">
        <f>MIN(0.5+(INDEX('Stat Boosts'!$D$2:$D$192,P$1-9)-10)*$C10,10.22)</f>
        <v>3.6609756097560977</v>
      </c>
      <c r="Q10" s="16">
        <f>MIN(0.5+(INDEX('Stat Boosts'!$D$2:$D$192,Q$1-9)-10)*$C10,10.22)</f>
        <v>3.973170731707317</v>
      </c>
      <c r="R10" s="16">
        <f>MIN(0.5+(INDEX('Stat Boosts'!$D$2:$D$192,R$1-9)-10)*$C10,10.22)</f>
        <v>4.2853658536585364</v>
      </c>
    </row>
    <row r="11" spans="1:20">
      <c r="A11" s="9">
        <v>10</v>
      </c>
      <c r="B11" s="16">
        <f t="shared" si="0"/>
        <v>20.5</v>
      </c>
      <c r="C11" s="16">
        <f t="shared" si="1"/>
        <v>3.8095238095238099E-2</v>
      </c>
      <c r="E11" s="16">
        <f>MIN(0.5+(INDEX('Stat Boosts'!$D$2:$D$192,E$1-9)-10)*$C11,10.22)</f>
        <v>0.5</v>
      </c>
      <c r="F11" s="16">
        <f>MIN(0.5+(INDEX('Stat Boosts'!$D$2:$D$192,F$1-9)-10)*$C11,10.22)</f>
        <v>0.76666666666666672</v>
      </c>
      <c r="G11" s="16">
        <f>MIN(0.5+(INDEX('Stat Boosts'!$D$2:$D$192,G$1-9)-10)*$C11,10.22)</f>
        <v>1.0333333333333334</v>
      </c>
      <c r="H11" s="16">
        <f>MIN(0.5+(INDEX('Stat Boosts'!$D$2:$D$192,H$1-9)-10)*$C11,10.22)</f>
        <v>1.3</v>
      </c>
      <c r="I11" s="16">
        <f>MIN(0.5+(INDEX('Stat Boosts'!$D$2:$D$192,I$1-9)-10)*$C11,10.22)</f>
        <v>1.5285714285714287</v>
      </c>
      <c r="J11" s="16">
        <f>MIN(0.5+(INDEX('Stat Boosts'!$D$2:$D$192,J$1-9)-10)*$C11,10.22)</f>
        <v>1.7571428571428573</v>
      </c>
      <c r="K11" s="16">
        <f>MIN(0.5+(INDEX('Stat Boosts'!$D$2:$D$192,K$1-9)-10)*$C11,10.22)</f>
        <v>2.2904761904761903</v>
      </c>
      <c r="L11" s="16">
        <f>MIN(0.5+(INDEX('Stat Boosts'!$D$2:$D$192,L$1-9)-10)*$C11,10.22)</f>
        <v>2.480952380952381</v>
      </c>
      <c r="M11" s="16">
        <f>MIN(0.5+(INDEX('Stat Boosts'!$D$2:$D$192,M$1-9)-10)*$C11,10.22)</f>
        <v>2.7476190476190476</v>
      </c>
      <c r="N11" s="16">
        <f>MIN(0.5+(INDEX('Stat Boosts'!$D$2:$D$192,N$1-9)-10)*$C11,10.22)</f>
        <v>3.0904761904761906</v>
      </c>
      <c r="O11" s="16">
        <f>MIN(0.5+(INDEX('Stat Boosts'!$D$2:$D$192,O$1-9)-10)*$C11,10.22)</f>
        <v>3.2809523809523813</v>
      </c>
      <c r="P11" s="16">
        <f>MIN(0.5+(INDEX('Stat Boosts'!$D$2:$D$192,P$1-9)-10)*$C11,10.22)</f>
        <v>3.5857142857142859</v>
      </c>
      <c r="Q11" s="16">
        <f>MIN(0.5+(INDEX('Stat Boosts'!$D$2:$D$192,Q$1-9)-10)*$C11,10.22)</f>
        <v>3.8904761904761909</v>
      </c>
      <c r="R11" s="16">
        <f>MIN(0.5+(INDEX('Stat Boosts'!$D$2:$D$192,R$1-9)-10)*$C11,10.22)</f>
        <v>4.1952380952380954</v>
      </c>
    </row>
    <row r="12" spans="1:20">
      <c r="A12" s="9">
        <v>11</v>
      </c>
      <c r="B12" s="16">
        <f t="shared" si="0"/>
        <v>20.75</v>
      </c>
      <c r="C12" s="16">
        <f t="shared" si="1"/>
        <v>3.7209302325581395E-2</v>
      </c>
      <c r="E12" s="16">
        <f>MIN(0.5+(INDEX('Stat Boosts'!$D$2:$D$192,E$1-9)-10)*$C12,10.22)</f>
        <v>0.5</v>
      </c>
      <c r="F12" s="16">
        <f>MIN(0.5+(INDEX('Stat Boosts'!$D$2:$D$192,F$1-9)-10)*$C12,10.22)</f>
        <v>0.76046511627906976</v>
      </c>
      <c r="G12" s="16">
        <f>MIN(0.5+(INDEX('Stat Boosts'!$D$2:$D$192,G$1-9)-10)*$C12,10.22)</f>
        <v>1.0209302325581395</v>
      </c>
      <c r="H12" s="16">
        <f>MIN(0.5+(INDEX('Stat Boosts'!$D$2:$D$192,H$1-9)-10)*$C12,10.22)</f>
        <v>1.2813953488372092</v>
      </c>
      <c r="I12" s="16">
        <f>MIN(0.5+(INDEX('Stat Boosts'!$D$2:$D$192,I$1-9)-10)*$C12,10.22)</f>
        <v>1.5046511627906978</v>
      </c>
      <c r="J12" s="16">
        <f>MIN(0.5+(INDEX('Stat Boosts'!$D$2:$D$192,J$1-9)-10)*$C12,10.22)</f>
        <v>1.7279069767441859</v>
      </c>
      <c r="K12" s="16">
        <f>MIN(0.5+(INDEX('Stat Boosts'!$D$2:$D$192,K$1-9)-10)*$C12,10.22)</f>
        <v>2.2488372093023257</v>
      </c>
      <c r="L12" s="16">
        <f>MIN(0.5+(INDEX('Stat Boosts'!$D$2:$D$192,L$1-9)-10)*$C12,10.22)</f>
        <v>2.4348837209302325</v>
      </c>
      <c r="M12" s="16">
        <f>MIN(0.5+(INDEX('Stat Boosts'!$D$2:$D$192,M$1-9)-10)*$C12,10.22)</f>
        <v>2.6953488372093024</v>
      </c>
      <c r="N12" s="16">
        <f>MIN(0.5+(INDEX('Stat Boosts'!$D$2:$D$192,N$1-9)-10)*$C12,10.22)</f>
        <v>3.0302325581395348</v>
      </c>
      <c r="O12" s="16">
        <f>MIN(0.5+(INDEX('Stat Boosts'!$D$2:$D$192,O$1-9)-10)*$C12,10.22)</f>
        <v>3.2162790697674417</v>
      </c>
      <c r="P12" s="16">
        <f>MIN(0.5+(INDEX('Stat Boosts'!$D$2:$D$192,P$1-9)-10)*$C12,10.22)</f>
        <v>3.5139534883720929</v>
      </c>
      <c r="Q12" s="16">
        <f>MIN(0.5+(INDEX('Stat Boosts'!$D$2:$D$192,Q$1-9)-10)*$C12,10.22)</f>
        <v>3.811627906976744</v>
      </c>
      <c r="R12" s="16">
        <f>MIN(0.5+(INDEX('Stat Boosts'!$D$2:$D$192,R$1-9)-10)*$C12,10.22)</f>
        <v>4.1093023255813952</v>
      </c>
    </row>
    <row r="13" spans="1:20">
      <c r="A13" s="9">
        <v>12</v>
      </c>
      <c r="B13" s="16">
        <f t="shared" si="0"/>
        <v>21</v>
      </c>
      <c r="C13" s="16">
        <f t="shared" si="1"/>
        <v>3.6363636363636369E-2</v>
      </c>
      <c r="E13" s="16">
        <f>MIN(0.5+(INDEX('Stat Boosts'!$D$2:$D$192,E$1-9)-10)*$C13,10.22)</f>
        <v>0.5</v>
      </c>
      <c r="F13" s="16">
        <f>MIN(0.5+(INDEX('Stat Boosts'!$D$2:$D$192,F$1-9)-10)*$C13,10.22)</f>
        <v>0.75454545454545463</v>
      </c>
      <c r="G13" s="16">
        <f>MIN(0.5+(INDEX('Stat Boosts'!$D$2:$D$192,G$1-9)-10)*$C13,10.22)</f>
        <v>1.0090909090909093</v>
      </c>
      <c r="H13" s="16">
        <f>MIN(0.5+(INDEX('Stat Boosts'!$D$2:$D$192,H$1-9)-10)*$C13,10.22)</f>
        <v>1.2636363636363637</v>
      </c>
      <c r="I13" s="16">
        <f>MIN(0.5+(INDEX('Stat Boosts'!$D$2:$D$192,I$1-9)-10)*$C13,10.22)</f>
        <v>1.4818181818181819</v>
      </c>
      <c r="J13" s="16">
        <f>MIN(0.5+(INDEX('Stat Boosts'!$D$2:$D$192,J$1-9)-10)*$C13,10.22)</f>
        <v>1.7000000000000002</v>
      </c>
      <c r="K13" s="16">
        <f>MIN(0.5+(INDEX('Stat Boosts'!$D$2:$D$192,K$1-9)-10)*$C13,10.22)</f>
        <v>2.2090909090909094</v>
      </c>
      <c r="L13" s="16">
        <f>MIN(0.5+(INDEX('Stat Boosts'!$D$2:$D$192,L$1-9)-10)*$C13,10.22)</f>
        <v>2.3909090909090911</v>
      </c>
      <c r="M13" s="16">
        <f>MIN(0.5+(INDEX('Stat Boosts'!$D$2:$D$192,M$1-9)-10)*$C13,10.22)</f>
        <v>2.6454545454545459</v>
      </c>
      <c r="N13" s="16">
        <f>MIN(0.5+(INDEX('Stat Boosts'!$D$2:$D$192,N$1-9)-10)*$C13,10.22)</f>
        <v>2.9727272727272731</v>
      </c>
      <c r="O13" s="16">
        <f>MIN(0.5+(INDEX('Stat Boosts'!$D$2:$D$192,O$1-9)-10)*$C13,10.22)</f>
        <v>3.1545454545454548</v>
      </c>
      <c r="P13" s="16">
        <f>MIN(0.5+(INDEX('Stat Boosts'!$D$2:$D$192,P$1-9)-10)*$C13,10.22)</f>
        <v>3.4454545454545458</v>
      </c>
      <c r="Q13" s="16">
        <f>MIN(0.5+(INDEX('Stat Boosts'!$D$2:$D$192,Q$1-9)-10)*$C13,10.22)</f>
        <v>3.7363636363636368</v>
      </c>
      <c r="R13" s="16">
        <f>MIN(0.5+(INDEX('Stat Boosts'!$D$2:$D$192,R$1-9)-10)*$C13,10.22)</f>
        <v>4.0272727272727273</v>
      </c>
    </row>
    <row r="14" spans="1:20">
      <c r="A14" s="9">
        <v>13</v>
      </c>
      <c r="B14" s="16">
        <f t="shared" si="0"/>
        <v>21.25</v>
      </c>
      <c r="C14" s="16">
        <f t="shared" si="1"/>
        <v>3.5555555555555556E-2</v>
      </c>
      <c r="E14" s="16">
        <f>MIN(0.5+(INDEX('Stat Boosts'!$D$2:$D$192,E$1-9)-10)*$C14,10.22)</f>
        <v>0.5</v>
      </c>
      <c r="F14" s="16">
        <f>MIN(0.5+(INDEX('Stat Boosts'!$D$2:$D$192,F$1-9)-10)*$C14,10.22)</f>
        <v>0.74888888888888894</v>
      </c>
      <c r="G14" s="16">
        <f>MIN(0.5+(INDEX('Stat Boosts'!$D$2:$D$192,G$1-9)-10)*$C14,10.22)</f>
        <v>0.99777777777777776</v>
      </c>
      <c r="H14" s="16">
        <f>MIN(0.5+(INDEX('Stat Boosts'!$D$2:$D$192,H$1-9)-10)*$C14,10.22)</f>
        <v>1.2466666666666666</v>
      </c>
      <c r="I14" s="16">
        <f>MIN(0.5+(INDEX('Stat Boosts'!$D$2:$D$192,I$1-9)-10)*$C14,10.22)</f>
        <v>1.46</v>
      </c>
      <c r="J14" s="16">
        <f>MIN(0.5+(INDEX('Stat Boosts'!$D$2:$D$192,J$1-9)-10)*$C14,10.22)</f>
        <v>1.6733333333333333</v>
      </c>
      <c r="K14" s="16">
        <f>MIN(0.5+(INDEX('Stat Boosts'!$D$2:$D$192,K$1-9)-10)*$C14,10.22)</f>
        <v>2.1711111111111112</v>
      </c>
      <c r="L14" s="16">
        <f>MIN(0.5+(INDEX('Stat Boosts'!$D$2:$D$192,L$1-9)-10)*$C14,10.22)</f>
        <v>2.3488888888888888</v>
      </c>
      <c r="M14" s="16">
        <f>MIN(0.5+(INDEX('Stat Boosts'!$D$2:$D$192,M$1-9)-10)*$C14,10.22)</f>
        <v>2.597777777777778</v>
      </c>
      <c r="N14" s="16">
        <f>MIN(0.5+(INDEX('Stat Boosts'!$D$2:$D$192,N$1-9)-10)*$C14,10.22)</f>
        <v>2.9177777777777778</v>
      </c>
      <c r="O14" s="16">
        <f>MIN(0.5+(INDEX('Stat Boosts'!$D$2:$D$192,O$1-9)-10)*$C14,10.22)</f>
        <v>3.0955555555555554</v>
      </c>
      <c r="P14" s="16">
        <f>MIN(0.5+(INDEX('Stat Boosts'!$D$2:$D$192,P$1-9)-10)*$C14,10.22)</f>
        <v>3.38</v>
      </c>
      <c r="Q14" s="16">
        <f>MIN(0.5+(INDEX('Stat Boosts'!$D$2:$D$192,Q$1-9)-10)*$C14,10.22)</f>
        <v>3.6644444444444444</v>
      </c>
      <c r="R14" s="16">
        <f>MIN(0.5+(INDEX('Stat Boosts'!$D$2:$D$192,R$1-9)-10)*$C14,10.22)</f>
        <v>3.9488888888888889</v>
      </c>
    </row>
    <row r="15" spans="1:20">
      <c r="A15" s="9">
        <v>14</v>
      </c>
      <c r="B15" s="16">
        <f t="shared" si="0"/>
        <v>21.5</v>
      </c>
      <c r="C15" s="16">
        <f t="shared" si="1"/>
        <v>3.4782608695652174E-2</v>
      </c>
      <c r="E15" s="16">
        <f>MIN(0.5+(INDEX('Stat Boosts'!$D$2:$D$192,E$1-9)-10)*$C15,10.22)</f>
        <v>0.5</v>
      </c>
      <c r="F15" s="16">
        <f>MIN(0.5+(INDEX('Stat Boosts'!$D$2:$D$192,F$1-9)-10)*$C15,10.22)</f>
        <v>0.74347826086956526</v>
      </c>
      <c r="G15" s="16">
        <f>MIN(0.5+(INDEX('Stat Boosts'!$D$2:$D$192,G$1-9)-10)*$C15,10.22)</f>
        <v>0.98695652173913051</v>
      </c>
      <c r="H15" s="16">
        <f>MIN(0.5+(INDEX('Stat Boosts'!$D$2:$D$192,H$1-9)-10)*$C15,10.22)</f>
        <v>1.2304347826086957</v>
      </c>
      <c r="I15" s="16">
        <f>MIN(0.5+(INDEX('Stat Boosts'!$D$2:$D$192,I$1-9)-10)*$C15,10.22)</f>
        <v>1.4391304347826086</v>
      </c>
      <c r="J15" s="16">
        <f>MIN(0.5+(INDEX('Stat Boosts'!$D$2:$D$192,J$1-9)-10)*$C15,10.22)</f>
        <v>1.6478260869565218</v>
      </c>
      <c r="K15" s="16">
        <f>MIN(0.5+(INDEX('Stat Boosts'!$D$2:$D$192,K$1-9)-10)*$C15,10.22)</f>
        <v>2.1347826086956525</v>
      </c>
      <c r="L15" s="16">
        <f>MIN(0.5+(INDEX('Stat Boosts'!$D$2:$D$192,L$1-9)-10)*$C15,10.22)</f>
        <v>2.3086956521739133</v>
      </c>
      <c r="M15" s="16">
        <f>MIN(0.5+(INDEX('Stat Boosts'!$D$2:$D$192,M$1-9)-10)*$C15,10.22)</f>
        <v>2.5521739130434784</v>
      </c>
      <c r="N15" s="16">
        <f>MIN(0.5+(INDEX('Stat Boosts'!$D$2:$D$192,N$1-9)-10)*$C15,10.22)</f>
        <v>2.8652173913043479</v>
      </c>
      <c r="O15" s="16">
        <f>MIN(0.5+(INDEX('Stat Boosts'!$D$2:$D$192,O$1-9)-10)*$C15,10.22)</f>
        <v>3.0391304347826087</v>
      </c>
      <c r="P15" s="16">
        <f>MIN(0.5+(INDEX('Stat Boosts'!$D$2:$D$192,P$1-9)-10)*$C15,10.22)</f>
        <v>3.3173913043478263</v>
      </c>
      <c r="Q15" s="16">
        <f>MIN(0.5+(INDEX('Stat Boosts'!$D$2:$D$192,Q$1-9)-10)*$C15,10.22)</f>
        <v>3.5956521739130434</v>
      </c>
      <c r="R15" s="16">
        <f>MIN(0.5+(INDEX('Stat Boosts'!$D$2:$D$192,R$1-9)-10)*$C15,10.22)</f>
        <v>3.8739130434782609</v>
      </c>
    </row>
    <row r="16" spans="1:20">
      <c r="A16" s="9">
        <v>15</v>
      </c>
      <c r="B16" s="16">
        <f t="shared" si="0"/>
        <v>21.75</v>
      </c>
      <c r="C16" s="16">
        <f t="shared" si="1"/>
        <v>3.4042553191489362E-2</v>
      </c>
      <c r="E16" s="16">
        <f>MIN(0.5+(INDEX('Stat Boosts'!$D$2:$D$192,E$1-9)-10)*$C16,10.22)</f>
        <v>0.5</v>
      </c>
      <c r="F16" s="16">
        <f>MIN(0.5+(INDEX('Stat Boosts'!$D$2:$D$192,F$1-9)-10)*$C16,10.22)</f>
        <v>0.73829787234042554</v>
      </c>
      <c r="G16" s="16">
        <f>MIN(0.5+(INDEX('Stat Boosts'!$D$2:$D$192,G$1-9)-10)*$C16,10.22)</f>
        <v>0.97659574468085109</v>
      </c>
      <c r="H16" s="16">
        <f>MIN(0.5+(INDEX('Stat Boosts'!$D$2:$D$192,H$1-9)-10)*$C16,10.22)</f>
        <v>1.2148936170212767</v>
      </c>
      <c r="I16" s="16">
        <f>MIN(0.5+(INDEX('Stat Boosts'!$D$2:$D$192,I$1-9)-10)*$C16,10.22)</f>
        <v>1.4191489361702128</v>
      </c>
      <c r="J16" s="16">
        <f>MIN(0.5+(INDEX('Stat Boosts'!$D$2:$D$192,J$1-9)-10)*$C16,10.22)</f>
        <v>1.623404255319149</v>
      </c>
      <c r="K16" s="16">
        <f>MIN(0.5+(INDEX('Stat Boosts'!$D$2:$D$192,K$1-9)-10)*$C16,10.22)</f>
        <v>2.1</v>
      </c>
      <c r="L16" s="16">
        <f>MIN(0.5+(INDEX('Stat Boosts'!$D$2:$D$192,L$1-9)-10)*$C16,10.22)</f>
        <v>2.2702127659574467</v>
      </c>
      <c r="M16" s="16">
        <f>MIN(0.5+(INDEX('Stat Boosts'!$D$2:$D$192,M$1-9)-10)*$C16,10.22)</f>
        <v>2.5085106382978726</v>
      </c>
      <c r="N16" s="16">
        <f>MIN(0.5+(INDEX('Stat Boosts'!$D$2:$D$192,N$1-9)-10)*$C16,10.22)</f>
        <v>2.8148936170212768</v>
      </c>
      <c r="O16" s="16">
        <f>MIN(0.5+(INDEX('Stat Boosts'!$D$2:$D$192,O$1-9)-10)*$C16,10.22)</f>
        <v>2.9851063829787234</v>
      </c>
      <c r="P16" s="16">
        <f>MIN(0.5+(INDEX('Stat Boosts'!$D$2:$D$192,P$1-9)-10)*$C16,10.22)</f>
        <v>3.2574468085106383</v>
      </c>
      <c r="Q16" s="16">
        <f>MIN(0.5+(INDEX('Stat Boosts'!$D$2:$D$192,Q$1-9)-10)*$C16,10.22)</f>
        <v>3.5297872340425531</v>
      </c>
      <c r="R16" s="16">
        <f>MIN(0.5+(INDEX('Stat Boosts'!$D$2:$D$192,R$1-9)-10)*$C16,10.22)</f>
        <v>3.802127659574468</v>
      </c>
    </row>
    <row r="17" spans="1:18">
      <c r="A17" s="9">
        <v>16</v>
      </c>
      <c r="B17" s="16">
        <f t="shared" si="0"/>
        <v>22</v>
      </c>
      <c r="C17" s="16">
        <f t="shared" si="1"/>
        <v>3.3333333333333333E-2</v>
      </c>
      <c r="E17" s="16">
        <f>MIN(0.5+(INDEX('Stat Boosts'!$D$2:$D$192,E$1-9)-10)*$C17,10.22)</f>
        <v>0.5</v>
      </c>
      <c r="F17" s="16">
        <f>MIN(0.5+(INDEX('Stat Boosts'!$D$2:$D$192,F$1-9)-10)*$C17,10.22)</f>
        <v>0.73333333333333339</v>
      </c>
      <c r="G17" s="16">
        <f>MIN(0.5+(INDEX('Stat Boosts'!$D$2:$D$192,G$1-9)-10)*$C17,10.22)</f>
        <v>0.96666666666666667</v>
      </c>
      <c r="H17" s="16">
        <f>MIN(0.5+(INDEX('Stat Boosts'!$D$2:$D$192,H$1-9)-10)*$C17,10.22)</f>
        <v>1.2</v>
      </c>
      <c r="I17" s="16">
        <f>MIN(0.5+(INDEX('Stat Boosts'!$D$2:$D$192,I$1-9)-10)*$C17,10.22)</f>
        <v>1.4</v>
      </c>
      <c r="J17" s="16">
        <f>MIN(0.5+(INDEX('Stat Boosts'!$D$2:$D$192,J$1-9)-10)*$C17,10.22)</f>
        <v>1.6</v>
      </c>
      <c r="K17" s="16">
        <f>MIN(0.5+(INDEX('Stat Boosts'!$D$2:$D$192,K$1-9)-10)*$C17,10.22)</f>
        <v>2.0666666666666664</v>
      </c>
      <c r="L17" s="16">
        <f>MIN(0.5+(INDEX('Stat Boosts'!$D$2:$D$192,L$1-9)-10)*$C17,10.22)</f>
        <v>2.2333333333333334</v>
      </c>
      <c r="M17" s="16">
        <f>MIN(0.5+(INDEX('Stat Boosts'!$D$2:$D$192,M$1-9)-10)*$C17,10.22)</f>
        <v>2.4666666666666668</v>
      </c>
      <c r="N17" s="16">
        <f>MIN(0.5+(INDEX('Stat Boosts'!$D$2:$D$192,N$1-9)-10)*$C17,10.22)</f>
        <v>2.7666666666666666</v>
      </c>
      <c r="O17" s="16">
        <f>MIN(0.5+(INDEX('Stat Boosts'!$D$2:$D$192,O$1-9)-10)*$C17,10.22)</f>
        <v>2.9333333333333331</v>
      </c>
      <c r="P17" s="16">
        <f>MIN(0.5+(INDEX('Stat Boosts'!$D$2:$D$192,P$1-9)-10)*$C17,10.22)</f>
        <v>3.2</v>
      </c>
      <c r="Q17" s="16">
        <f>MIN(0.5+(INDEX('Stat Boosts'!$D$2:$D$192,Q$1-9)-10)*$C17,10.22)</f>
        <v>3.4666666666666668</v>
      </c>
      <c r="R17" s="16">
        <f>MIN(0.5+(INDEX('Stat Boosts'!$D$2:$D$192,R$1-9)-10)*$C17,10.22)</f>
        <v>3.7333333333333334</v>
      </c>
    </row>
    <row r="18" spans="1:18">
      <c r="A18" s="9">
        <v>17</v>
      </c>
      <c r="B18" s="16">
        <f t="shared" si="0"/>
        <v>22.25</v>
      </c>
      <c r="C18" s="16">
        <f t="shared" si="1"/>
        <v>3.2653061224489799E-2</v>
      </c>
      <c r="E18" s="16">
        <f>MIN(0.5+(INDEX('Stat Boosts'!$D$2:$D$192,E$1-9)-10)*$C18,10.22)</f>
        <v>0.5</v>
      </c>
      <c r="F18" s="16">
        <f>MIN(0.5+(INDEX('Stat Boosts'!$D$2:$D$192,F$1-9)-10)*$C18,10.22)</f>
        <v>0.72857142857142865</v>
      </c>
      <c r="G18" s="16">
        <f>MIN(0.5+(INDEX('Stat Boosts'!$D$2:$D$192,G$1-9)-10)*$C18,10.22)</f>
        <v>0.95714285714285718</v>
      </c>
      <c r="H18" s="16">
        <f>MIN(0.5+(INDEX('Stat Boosts'!$D$2:$D$192,H$1-9)-10)*$C18,10.22)</f>
        <v>1.1857142857142857</v>
      </c>
      <c r="I18" s="16">
        <f>MIN(0.5+(INDEX('Stat Boosts'!$D$2:$D$192,I$1-9)-10)*$C18,10.22)</f>
        <v>1.3816326530612246</v>
      </c>
      <c r="J18" s="16">
        <f>MIN(0.5+(INDEX('Stat Boosts'!$D$2:$D$192,J$1-9)-10)*$C18,10.22)</f>
        <v>1.5775510204081633</v>
      </c>
      <c r="K18" s="16">
        <f>MIN(0.5+(INDEX('Stat Boosts'!$D$2:$D$192,K$1-9)-10)*$C18,10.22)</f>
        <v>2.0346938775510206</v>
      </c>
      <c r="L18" s="16">
        <f>MIN(0.5+(INDEX('Stat Boosts'!$D$2:$D$192,L$1-9)-10)*$C18,10.22)</f>
        <v>2.1979591836734693</v>
      </c>
      <c r="M18" s="16">
        <f>MIN(0.5+(INDEX('Stat Boosts'!$D$2:$D$192,M$1-9)-10)*$C18,10.22)</f>
        <v>2.426530612244898</v>
      </c>
      <c r="N18" s="16">
        <f>MIN(0.5+(INDEX('Stat Boosts'!$D$2:$D$192,N$1-9)-10)*$C18,10.22)</f>
        <v>2.7204081632653061</v>
      </c>
      <c r="O18" s="16">
        <f>MIN(0.5+(INDEX('Stat Boosts'!$D$2:$D$192,O$1-9)-10)*$C18,10.22)</f>
        <v>2.8836734693877553</v>
      </c>
      <c r="P18" s="16">
        <f>MIN(0.5+(INDEX('Stat Boosts'!$D$2:$D$192,P$1-9)-10)*$C18,10.22)</f>
        <v>3.1448979591836737</v>
      </c>
      <c r="Q18" s="16">
        <f>MIN(0.5+(INDEX('Stat Boosts'!$D$2:$D$192,Q$1-9)-10)*$C18,10.22)</f>
        <v>3.406122448979592</v>
      </c>
      <c r="R18" s="16">
        <f>MIN(0.5+(INDEX('Stat Boosts'!$D$2:$D$192,R$1-9)-10)*$C18,10.22)</f>
        <v>3.6673469387755104</v>
      </c>
    </row>
    <row r="19" spans="1:18">
      <c r="A19" s="9">
        <v>18</v>
      </c>
      <c r="B19" s="16">
        <f t="shared" si="0"/>
        <v>22.5</v>
      </c>
      <c r="C19" s="16">
        <f t="shared" si="1"/>
        <v>3.2000000000000001E-2</v>
      </c>
      <c r="E19" s="16">
        <f>MIN(0.5+(INDEX('Stat Boosts'!$D$2:$D$192,E$1-9)-10)*$C19,10.22)</f>
        <v>0.5</v>
      </c>
      <c r="F19" s="16">
        <f>MIN(0.5+(INDEX('Stat Boosts'!$D$2:$D$192,F$1-9)-10)*$C19,10.22)</f>
        <v>0.72399999999999998</v>
      </c>
      <c r="G19" s="16">
        <f>MIN(0.5+(INDEX('Stat Boosts'!$D$2:$D$192,G$1-9)-10)*$C19,10.22)</f>
        <v>0.94799999999999995</v>
      </c>
      <c r="H19" s="16">
        <f>MIN(0.5+(INDEX('Stat Boosts'!$D$2:$D$192,H$1-9)-10)*$C19,10.22)</f>
        <v>1.1720000000000002</v>
      </c>
      <c r="I19" s="16">
        <f>MIN(0.5+(INDEX('Stat Boosts'!$D$2:$D$192,I$1-9)-10)*$C19,10.22)</f>
        <v>1.3639999999999999</v>
      </c>
      <c r="J19" s="16">
        <f>MIN(0.5+(INDEX('Stat Boosts'!$D$2:$D$192,J$1-9)-10)*$C19,10.22)</f>
        <v>1.556</v>
      </c>
      <c r="K19" s="16">
        <f>MIN(0.5+(INDEX('Stat Boosts'!$D$2:$D$192,K$1-9)-10)*$C19,10.22)</f>
        <v>2.004</v>
      </c>
      <c r="L19" s="16">
        <f>MIN(0.5+(INDEX('Stat Boosts'!$D$2:$D$192,L$1-9)-10)*$C19,10.22)</f>
        <v>2.1640000000000001</v>
      </c>
      <c r="M19" s="16">
        <f>MIN(0.5+(INDEX('Stat Boosts'!$D$2:$D$192,M$1-9)-10)*$C19,10.22)</f>
        <v>2.3879999999999999</v>
      </c>
      <c r="N19" s="16">
        <f>MIN(0.5+(INDEX('Stat Boosts'!$D$2:$D$192,N$1-9)-10)*$C19,10.22)</f>
        <v>2.6760000000000002</v>
      </c>
      <c r="O19" s="16">
        <f>MIN(0.5+(INDEX('Stat Boosts'!$D$2:$D$192,O$1-9)-10)*$C19,10.22)</f>
        <v>2.8359999999999999</v>
      </c>
      <c r="P19" s="16">
        <f>MIN(0.5+(INDEX('Stat Boosts'!$D$2:$D$192,P$1-9)-10)*$C19,10.22)</f>
        <v>3.0920000000000001</v>
      </c>
      <c r="Q19" s="16">
        <f>MIN(0.5+(INDEX('Stat Boosts'!$D$2:$D$192,Q$1-9)-10)*$C19,10.22)</f>
        <v>3.3479999999999999</v>
      </c>
      <c r="R19" s="16">
        <f>MIN(0.5+(INDEX('Stat Boosts'!$D$2:$D$192,R$1-9)-10)*$C19,10.22)</f>
        <v>3.6040000000000001</v>
      </c>
    </row>
    <row r="20" spans="1:18">
      <c r="A20" s="9">
        <v>19</v>
      </c>
      <c r="B20" s="16">
        <f t="shared" si="0"/>
        <v>22.75</v>
      </c>
      <c r="C20" s="16">
        <f t="shared" si="1"/>
        <v>3.1372549019607843E-2</v>
      </c>
      <c r="E20" s="16">
        <f>MIN(0.5+(INDEX('Stat Boosts'!$D$2:$D$192,E$1-9)-10)*$C20,10.22)</f>
        <v>0.5</v>
      </c>
      <c r="F20" s="16">
        <f>MIN(0.5+(INDEX('Stat Boosts'!$D$2:$D$192,F$1-9)-10)*$C20,10.22)</f>
        <v>0.7196078431372549</v>
      </c>
      <c r="G20" s="16">
        <f>MIN(0.5+(INDEX('Stat Boosts'!$D$2:$D$192,G$1-9)-10)*$C20,10.22)</f>
        <v>0.9392156862745098</v>
      </c>
      <c r="H20" s="16">
        <f>MIN(0.5+(INDEX('Stat Boosts'!$D$2:$D$192,H$1-9)-10)*$C20,10.22)</f>
        <v>1.1588235294117646</v>
      </c>
      <c r="I20" s="16">
        <f>MIN(0.5+(INDEX('Stat Boosts'!$D$2:$D$192,I$1-9)-10)*$C20,10.22)</f>
        <v>1.3470588235294119</v>
      </c>
      <c r="J20" s="16">
        <f>MIN(0.5+(INDEX('Stat Boosts'!$D$2:$D$192,J$1-9)-10)*$C20,10.22)</f>
        <v>1.5352941176470587</v>
      </c>
      <c r="K20" s="16">
        <f>MIN(0.5+(INDEX('Stat Boosts'!$D$2:$D$192,K$1-9)-10)*$C20,10.22)</f>
        <v>1.9745098039215687</v>
      </c>
      <c r="L20" s="16">
        <f>MIN(0.5+(INDEX('Stat Boosts'!$D$2:$D$192,L$1-9)-10)*$C20,10.22)</f>
        <v>2.1313725490196078</v>
      </c>
      <c r="M20" s="16">
        <f>MIN(0.5+(INDEX('Stat Boosts'!$D$2:$D$192,M$1-9)-10)*$C20,10.22)</f>
        <v>2.3509803921568628</v>
      </c>
      <c r="N20" s="16">
        <f>MIN(0.5+(INDEX('Stat Boosts'!$D$2:$D$192,N$1-9)-10)*$C20,10.22)</f>
        <v>2.6333333333333333</v>
      </c>
      <c r="O20" s="16">
        <f>MIN(0.5+(INDEX('Stat Boosts'!$D$2:$D$192,O$1-9)-10)*$C20,10.22)</f>
        <v>2.7901960784313724</v>
      </c>
      <c r="P20" s="16">
        <f>MIN(0.5+(INDEX('Stat Boosts'!$D$2:$D$192,P$1-9)-10)*$C20,10.22)</f>
        <v>3.0411764705882351</v>
      </c>
      <c r="Q20" s="16">
        <f>MIN(0.5+(INDEX('Stat Boosts'!$D$2:$D$192,Q$1-9)-10)*$C20,10.22)</f>
        <v>3.2921568627450979</v>
      </c>
      <c r="R20" s="16">
        <f>MIN(0.5+(INDEX('Stat Boosts'!$D$2:$D$192,R$1-9)-10)*$C20,10.22)</f>
        <v>3.5431372549019606</v>
      </c>
    </row>
    <row r="21" spans="1:18">
      <c r="A21" s="9">
        <v>20</v>
      </c>
      <c r="B21" s="16">
        <f t="shared" si="0"/>
        <v>23</v>
      </c>
      <c r="C21" s="16">
        <f t="shared" si="1"/>
        <v>3.0769230769230771E-2</v>
      </c>
      <c r="E21" s="16">
        <f>MIN(0.5+(INDEX('Stat Boosts'!$D$2:$D$192,E$1-9)-10)*$C21,10.22)</f>
        <v>0.5</v>
      </c>
      <c r="F21" s="16">
        <f>MIN(0.5+(INDEX('Stat Boosts'!$D$2:$D$192,F$1-9)-10)*$C21,10.22)</f>
        <v>0.7153846153846154</v>
      </c>
      <c r="G21" s="16">
        <f>MIN(0.5+(INDEX('Stat Boosts'!$D$2:$D$192,G$1-9)-10)*$C21,10.22)</f>
        <v>0.93076923076923079</v>
      </c>
      <c r="H21" s="16">
        <f>MIN(0.5+(INDEX('Stat Boosts'!$D$2:$D$192,H$1-9)-10)*$C21,10.22)</f>
        <v>1.1461538461538461</v>
      </c>
      <c r="I21" s="16">
        <f>MIN(0.5+(INDEX('Stat Boosts'!$D$2:$D$192,I$1-9)-10)*$C21,10.22)</f>
        <v>1.3307692307692309</v>
      </c>
      <c r="J21" s="16">
        <f>MIN(0.5+(INDEX('Stat Boosts'!$D$2:$D$192,J$1-9)-10)*$C21,10.22)</f>
        <v>1.5153846153846153</v>
      </c>
      <c r="K21" s="16">
        <f>MIN(0.5+(INDEX('Stat Boosts'!$D$2:$D$192,K$1-9)-10)*$C21,10.22)</f>
        <v>1.9461538461538463</v>
      </c>
      <c r="L21" s="16">
        <f>MIN(0.5+(INDEX('Stat Boosts'!$D$2:$D$192,L$1-9)-10)*$C21,10.22)</f>
        <v>2.1</v>
      </c>
      <c r="M21" s="16">
        <f>MIN(0.5+(INDEX('Stat Boosts'!$D$2:$D$192,M$1-9)-10)*$C21,10.22)</f>
        <v>2.3153846153846156</v>
      </c>
      <c r="N21" s="16">
        <f>MIN(0.5+(INDEX('Stat Boosts'!$D$2:$D$192,N$1-9)-10)*$C21,10.22)</f>
        <v>2.5923076923076924</v>
      </c>
      <c r="O21" s="16">
        <f>MIN(0.5+(INDEX('Stat Boosts'!$D$2:$D$192,O$1-9)-10)*$C21,10.22)</f>
        <v>2.7461538461538462</v>
      </c>
      <c r="P21" s="16">
        <f>MIN(0.5+(INDEX('Stat Boosts'!$D$2:$D$192,P$1-9)-10)*$C21,10.22)</f>
        <v>2.9923076923076923</v>
      </c>
      <c r="Q21" s="16">
        <f>MIN(0.5+(INDEX('Stat Boosts'!$D$2:$D$192,Q$1-9)-10)*$C21,10.22)</f>
        <v>3.2384615384615385</v>
      </c>
      <c r="R21" s="16">
        <f>MIN(0.5+(INDEX('Stat Boosts'!$D$2:$D$192,R$1-9)-10)*$C21,10.22)</f>
        <v>3.4846153846153847</v>
      </c>
    </row>
    <row r="22" spans="1:18">
      <c r="A22" s="9">
        <v>21</v>
      </c>
      <c r="B22" s="16">
        <f t="shared" si="0"/>
        <v>23.25</v>
      </c>
      <c r="C22" s="16">
        <f t="shared" si="1"/>
        <v>3.0188679245283019E-2</v>
      </c>
      <c r="E22" s="16">
        <f>MIN(0.5+(INDEX('Stat Boosts'!$D$2:$D$192,E$1-9)-10)*$C22,10.22)</f>
        <v>0.5</v>
      </c>
      <c r="F22" s="16">
        <f>MIN(0.5+(INDEX('Stat Boosts'!$D$2:$D$192,F$1-9)-10)*$C22,10.22)</f>
        <v>0.71132075471698109</v>
      </c>
      <c r="G22" s="16">
        <f>MIN(0.5+(INDEX('Stat Boosts'!$D$2:$D$192,G$1-9)-10)*$C22,10.22)</f>
        <v>0.92264150943396228</v>
      </c>
      <c r="H22" s="16">
        <f>MIN(0.5+(INDEX('Stat Boosts'!$D$2:$D$192,H$1-9)-10)*$C22,10.22)</f>
        <v>1.1339622641509433</v>
      </c>
      <c r="I22" s="16">
        <f>MIN(0.5+(INDEX('Stat Boosts'!$D$2:$D$192,I$1-9)-10)*$C22,10.22)</f>
        <v>1.3150943396226416</v>
      </c>
      <c r="J22" s="16">
        <f>MIN(0.5+(INDEX('Stat Boosts'!$D$2:$D$192,J$1-9)-10)*$C22,10.22)</f>
        <v>1.4962264150943396</v>
      </c>
      <c r="K22" s="16">
        <f>MIN(0.5+(INDEX('Stat Boosts'!$D$2:$D$192,K$1-9)-10)*$C22,10.22)</f>
        <v>1.9188679245283018</v>
      </c>
      <c r="L22" s="16">
        <f>MIN(0.5+(INDEX('Stat Boosts'!$D$2:$D$192,L$1-9)-10)*$C22,10.22)</f>
        <v>2.0698113207547171</v>
      </c>
      <c r="M22" s="16">
        <f>MIN(0.5+(INDEX('Stat Boosts'!$D$2:$D$192,M$1-9)-10)*$C22,10.22)</f>
        <v>2.2811320754716982</v>
      </c>
      <c r="N22" s="16">
        <f>MIN(0.5+(INDEX('Stat Boosts'!$D$2:$D$192,N$1-9)-10)*$C22,10.22)</f>
        <v>2.5528301886792453</v>
      </c>
      <c r="O22" s="16">
        <f>MIN(0.5+(INDEX('Stat Boosts'!$D$2:$D$192,O$1-9)-10)*$C22,10.22)</f>
        <v>2.7037735849056603</v>
      </c>
      <c r="P22" s="16">
        <f>MIN(0.5+(INDEX('Stat Boosts'!$D$2:$D$192,P$1-9)-10)*$C22,10.22)</f>
        <v>2.9452830188679244</v>
      </c>
      <c r="Q22" s="16">
        <f>MIN(0.5+(INDEX('Stat Boosts'!$D$2:$D$192,Q$1-9)-10)*$C22,10.22)</f>
        <v>3.1867924528301885</v>
      </c>
      <c r="R22" s="16">
        <f>MIN(0.5+(INDEX('Stat Boosts'!$D$2:$D$192,R$1-9)-10)*$C22,10.22)</f>
        <v>3.4283018867924531</v>
      </c>
    </row>
    <row r="23" spans="1:18">
      <c r="A23" s="9">
        <v>22</v>
      </c>
      <c r="B23" s="16">
        <f t="shared" si="0"/>
        <v>23.5</v>
      </c>
      <c r="C23" s="16">
        <f t="shared" si="1"/>
        <v>2.9629629629629631E-2</v>
      </c>
      <c r="E23" s="16">
        <f>MIN(0.5+(INDEX('Stat Boosts'!$D$2:$D$192,E$1-9)-10)*$C23,10.22)</f>
        <v>0.5</v>
      </c>
      <c r="F23" s="16">
        <f>MIN(0.5+(INDEX('Stat Boosts'!$D$2:$D$192,F$1-9)-10)*$C23,10.22)</f>
        <v>0.70740740740740748</v>
      </c>
      <c r="G23" s="16">
        <f>MIN(0.5+(INDEX('Stat Boosts'!$D$2:$D$192,G$1-9)-10)*$C23,10.22)</f>
        <v>0.91481481481481486</v>
      </c>
      <c r="H23" s="16">
        <f>MIN(0.5+(INDEX('Stat Boosts'!$D$2:$D$192,H$1-9)-10)*$C23,10.22)</f>
        <v>1.1222222222222222</v>
      </c>
      <c r="I23" s="16">
        <f>MIN(0.5+(INDEX('Stat Boosts'!$D$2:$D$192,I$1-9)-10)*$C23,10.22)</f>
        <v>1.3</v>
      </c>
      <c r="J23" s="16">
        <f>MIN(0.5+(INDEX('Stat Boosts'!$D$2:$D$192,J$1-9)-10)*$C23,10.22)</f>
        <v>1.4777777777777779</v>
      </c>
      <c r="K23" s="16">
        <f>MIN(0.5+(INDEX('Stat Boosts'!$D$2:$D$192,K$1-9)-10)*$C23,10.22)</f>
        <v>1.8925925925925926</v>
      </c>
      <c r="L23" s="16">
        <f>MIN(0.5+(INDEX('Stat Boosts'!$D$2:$D$192,L$1-9)-10)*$C23,10.22)</f>
        <v>2.0407407407407407</v>
      </c>
      <c r="M23" s="16">
        <f>MIN(0.5+(INDEX('Stat Boosts'!$D$2:$D$192,M$1-9)-10)*$C23,10.22)</f>
        <v>2.2481481481481485</v>
      </c>
      <c r="N23" s="16">
        <f>MIN(0.5+(INDEX('Stat Boosts'!$D$2:$D$192,N$1-9)-10)*$C23,10.22)</f>
        <v>2.5148148148148151</v>
      </c>
      <c r="O23" s="16">
        <f>MIN(0.5+(INDEX('Stat Boosts'!$D$2:$D$192,O$1-9)-10)*$C23,10.22)</f>
        <v>2.662962962962963</v>
      </c>
      <c r="P23" s="16">
        <f>MIN(0.5+(INDEX('Stat Boosts'!$D$2:$D$192,P$1-9)-10)*$C23,10.22)</f>
        <v>2.9</v>
      </c>
      <c r="Q23" s="16">
        <f>MIN(0.5+(INDEX('Stat Boosts'!$D$2:$D$192,Q$1-9)-10)*$C23,10.22)</f>
        <v>3.1370370370370373</v>
      </c>
      <c r="R23" s="16">
        <f>MIN(0.5+(INDEX('Stat Boosts'!$D$2:$D$192,R$1-9)-10)*$C23,10.22)</f>
        <v>3.3740740740740742</v>
      </c>
    </row>
    <row r="24" spans="1:18">
      <c r="A24" s="9">
        <v>23</v>
      </c>
      <c r="B24" s="16">
        <f t="shared" si="0"/>
        <v>23.75</v>
      </c>
      <c r="C24" s="16">
        <f t="shared" si="1"/>
        <v>2.9090909090909091E-2</v>
      </c>
      <c r="E24" s="16">
        <f>MIN(0.5+(INDEX('Stat Boosts'!$D$2:$D$192,E$1-9)-10)*$C24,10.22)</f>
        <v>0.5</v>
      </c>
      <c r="F24" s="16">
        <f>MIN(0.5+(INDEX('Stat Boosts'!$D$2:$D$192,F$1-9)-10)*$C24,10.22)</f>
        <v>0.70363636363636362</v>
      </c>
      <c r="G24" s="16">
        <f>MIN(0.5+(INDEX('Stat Boosts'!$D$2:$D$192,G$1-9)-10)*$C24,10.22)</f>
        <v>0.90727272727272723</v>
      </c>
      <c r="H24" s="16">
        <f>MIN(0.5+(INDEX('Stat Boosts'!$D$2:$D$192,H$1-9)-10)*$C24,10.22)</f>
        <v>1.1109090909090908</v>
      </c>
      <c r="I24" s="16">
        <f>MIN(0.5+(INDEX('Stat Boosts'!$D$2:$D$192,I$1-9)-10)*$C24,10.22)</f>
        <v>1.2854545454545454</v>
      </c>
      <c r="J24" s="16">
        <f>MIN(0.5+(INDEX('Stat Boosts'!$D$2:$D$192,J$1-9)-10)*$C24,10.22)</f>
        <v>1.46</v>
      </c>
      <c r="K24" s="16">
        <f>MIN(0.5+(INDEX('Stat Boosts'!$D$2:$D$192,K$1-9)-10)*$C24,10.22)</f>
        <v>1.8672727272727272</v>
      </c>
      <c r="L24" s="16">
        <f>MIN(0.5+(INDEX('Stat Boosts'!$D$2:$D$192,L$1-9)-10)*$C24,10.22)</f>
        <v>2.0127272727272727</v>
      </c>
      <c r="M24" s="16">
        <f>MIN(0.5+(INDEX('Stat Boosts'!$D$2:$D$192,M$1-9)-10)*$C24,10.22)</f>
        <v>2.2163636363636363</v>
      </c>
      <c r="N24" s="16">
        <f>MIN(0.5+(INDEX('Stat Boosts'!$D$2:$D$192,N$1-9)-10)*$C24,10.22)</f>
        <v>2.4781818181818185</v>
      </c>
      <c r="O24" s="16">
        <f>MIN(0.5+(INDEX('Stat Boosts'!$D$2:$D$192,O$1-9)-10)*$C24,10.22)</f>
        <v>2.6236363636363635</v>
      </c>
      <c r="P24" s="16">
        <f>MIN(0.5+(INDEX('Stat Boosts'!$D$2:$D$192,P$1-9)-10)*$C24,10.22)</f>
        <v>2.8563636363636364</v>
      </c>
      <c r="Q24" s="16">
        <f>MIN(0.5+(INDEX('Stat Boosts'!$D$2:$D$192,Q$1-9)-10)*$C24,10.22)</f>
        <v>3.0890909090909089</v>
      </c>
      <c r="R24" s="16">
        <f>MIN(0.5+(INDEX('Stat Boosts'!$D$2:$D$192,R$1-9)-10)*$C24,10.22)</f>
        <v>3.3218181818181818</v>
      </c>
    </row>
    <row r="25" spans="1:18">
      <c r="A25" s="9">
        <v>24</v>
      </c>
      <c r="B25" s="16">
        <f t="shared" si="0"/>
        <v>24</v>
      </c>
      <c r="C25" s="16">
        <f t="shared" si="1"/>
        <v>2.8571428571428574E-2</v>
      </c>
      <c r="E25" s="16">
        <f>MIN(0.5+(INDEX('Stat Boosts'!$D$2:$D$192,E$1-9)-10)*$C25,10.22)</f>
        <v>0.5</v>
      </c>
      <c r="F25" s="16">
        <f>MIN(0.5+(INDEX('Stat Boosts'!$D$2:$D$192,F$1-9)-10)*$C25,10.22)</f>
        <v>0.7</v>
      </c>
      <c r="G25" s="16">
        <f>MIN(0.5+(INDEX('Stat Boosts'!$D$2:$D$192,G$1-9)-10)*$C25,10.22)</f>
        <v>0.9</v>
      </c>
      <c r="H25" s="16">
        <f>MIN(0.5+(INDEX('Stat Boosts'!$D$2:$D$192,H$1-9)-10)*$C25,10.22)</f>
        <v>1.1000000000000001</v>
      </c>
      <c r="I25" s="16">
        <f>MIN(0.5+(INDEX('Stat Boosts'!$D$2:$D$192,I$1-9)-10)*$C25,10.22)</f>
        <v>1.2714285714285714</v>
      </c>
      <c r="J25" s="16">
        <f>MIN(0.5+(INDEX('Stat Boosts'!$D$2:$D$192,J$1-9)-10)*$C25,10.22)</f>
        <v>1.4428571428571431</v>
      </c>
      <c r="K25" s="16">
        <f>MIN(0.5+(INDEX('Stat Boosts'!$D$2:$D$192,K$1-9)-10)*$C25,10.22)</f>
        <v>1.842857142857143</v>
      </c>
      <c r="L25" s="16">
        <f>MIN(0.5+(INDEX('Stat Boosts'!$D$2:$D$192,L$1-9)-10)*$C25,10.22)</f>
        <v>1.9857142857142858</v>
      </c>
      <c r="M25" s="16">
        <f>MIN(0.5+(INDEX('Stat Boosts'!$D$2:$D$192,M$1-9)-10)*$C25,10.22)</f>
        <v>2.1857142857142859</v>
      </c>
      <c r="N25" s="16">
        <f>MIN(0.5+(INDEX('Stat Boosts'!$D$2:$D$192,N$1-9)-10)*$C25,10.22)</f>
        <v>2.4428571428571431</v>
      </c>
      <c r="O25" s="16">
        <f>MIN(0.5+(INDEX('Stat Boosts'!$D$2:$D$192,O$1-9)-10)*$C25,10.22)</f>
        <v>2.5857142857142859</v>
      </c>
      <c r="P25" s="16">
        <f>MIN(0.5+(INDEX('Stat Boosts'!$D$2:$D$192,P$1-9)-10)*$C25,10.22)</f>
        <v>2.8142857142857145</v>
      </c>
      <c r="Q25" s="16">
        <f>MIN(0.5+(INDEX('Stat Boosts'!$D$2:$D$192,Q$1-9)-10)*$C25,10.22)</f>
        <v>3.0428571428571431</v>
      </c>
      <c r="R25" s="16">
        <f>MIN(0.5+(INDEX('Stat Boosts'!$D$2:$D$192,R$1-9)-10)*$C25,10.22)</f>
        <v>3.2714285714285718</v>
      </c>
    </row>
    <row r="26" spans="1:18">
      <c r="A26" s="9">
        <v>25</v>
      </c>
      <c r="B26" s="16">
        <f t="shared" si="0"/>
        <v>24.25</v>
      </c>
      <c r="C26" s="16">
        <f t="shared" si="1"/>
        <v>2.8070175438596492E-2</v>
      </c>
      <c r="E26" s="16">
        <f>MIN(0.5+(INDEX('Stat Boosts'!$D$2:$D$192,E$1-9)-10)*$C26,10.22)</f>
        <v>0.5</v>
      </c>
      <c r="F26" s="16">
        <f>MIN(0.5+(INDEX('Stat Boosts'!$D$2:$D$192,F$1-9)-10)*$C26,10.22)</f>
        <v>0.69649122807017538</v>
      </c>
      <c r="G26" s="16">
        <f>MIN(0.5+(INDEX('Stat Boosts'!$D$2:$D$192,G$1-9)-10)*$C26,10.22)</f>
        <v>0.89298245614035088</v>
      </c>
      <c r="H26" s="16">
        <f>MIN(0.5+(INDEX('Stat Boosts'!$D$2:$D$192,H$1-9)-10)*$C26,10.22)</f>
        <v>1.0894736842105264</v>
      </c>
      <c r="I26" s="16">
        <f>MIN(0.5+(INDEX('Stat Boosts'!$D$2:$D$192,I$1-9)-10)*$C26,10.22)</f>
        <v>1.2578947368421054</v>
      </c>
      <c r="J26" s="16">
        <f>MIN(0.5+(INDEX('Stat Boosts'!$D$2:$D$192,J$1-9)-10)*$C26,10.22)</f>
        <v>1.4263157894736842</v>
      </c>
      <c r="K26" s="16">
        <f>MIN(0.5+(INDEX('Stat Boosts'!$D$2:$D$192,K$1-9)-10)*$C26,10.22)</f>
        <v>1.8192982456140352</v>
      </c>
      <c r="L26" s="16">
        <f>MIN(0.5+(INDEX('Stat Boosts'!$D$2:$D$192,L$1-9)-10)*$C26,10.22)</f>
        <v>1.9596491228070176</v>
      </c>
      <c r="M26" s="16">
        <f>MIN(0.5+(INDEX('Stat Boosts'!$D$2:$D$192,M$1-9)-10)*$C26,10.22)</f>
        <v>2.1561403508771928</v>
      </c>
      <c r="N26" s="16">
        <f>MIN(0.5+(INDEX('Stat Boosts'!$D$2:$D$192,N$1-9)-10)*$C26,10.22)</f>
        <v>2.4087719298245611</v>
      </c>
      <c r="O26" s="16">
        <f>MIN(0.5+(INDEX('Stat Boosts'!$D$2:$D$192,O$1-9)-10)*$C26,10.22)</f>
        <v>2.549122807017544</v>
      </c>
      <c r="P26" s="16">
        <f>MIN(0.5+(INDEX('Stat Boosts'!$D$2:$D$192,P$1-9)-10)*$C26,10.22)</f>
        <v>2.7736842105263158</v>
      </c>
      <c r="Q26" s="16">
        <f>MIN(0.5+(INDEX('Stat Boosts'!$D$2:$D$192,Q$1-9)-10)*$C26,10.22)</f>
        <v>2.9982456140350879</v>
      </c>
      <c r="R26" s="16">
        <f>MIN(0.5+(INDEX('Stat Boosts'!$D$2:$D$192,R$1-9)-10)*$C26,10.22)</f>
        <v>3.2228070175438597</v>
      </c>
    </row>
    <row r="27" spans="1:18">
      <c r="A27" s="9">
        <v>26</v>
      </c>
      <c r="B27" s="16">
        <f t="shared" si="0"/>
        <v>24.5</v>
      </c>
      <c r="C27" s="16">
        <f t="shared" si="1"/>
        <v>2.7586206896551727E-2</v>
      </c>
      <c r="E27" s="16">
        <f>MIN(0.5+(INDEX('Stat Boosts'!$D$2:$D$192,E$1-9)-10)*$C27,10.22)</f>
        <v>0.5</v>
      </c>
      <c r="F27" s="16">
        <f>MIN(0.5+(INDEX('Stat Boosts'!$D$2:$D$192,F$1-9)-10)*$C27,10.22)</f>
        <v>0.69310344827586212</v>
      </c>
      <c r="G27" s="16">
        <f>MIN(0.5+(INDEX('Stat Boosts'!$D$2:$D$192,G$1-9)-10)*$C27,10.22)</f>
        <v>0.88620689655172424</v>
      </c>
      <c r="H27" s="16">
        <f>MIN(0.5+(INDEX('Stat Boosts'!$D$2:$D$192,H$1-9)-10)*$C27,10.22)</f>
        <v>1.0793103448275863</v>
      </c>
      <c r="I27" s="16">
        <f>MIN(0.5+(INDEX('Stat Boosts'!$D$2:$D$192,I$1-9)-10)*$C27,10.22)</f>
        <v>1.2448275862068967</v>
      </c>
      <c r="J27" s="16">
        <f>MIN(0.5+(INDEX('Stat Boosts'!$D$2:$D$192,J$1-9)-10)*$C27,10.22)</f>
        <v>1.4103448275862069</v>
      </c>
      <c r="K27" s="16">
        <f>MIN(0.5+(INDEX('Stat Boosts'!$D$2:$D$192,K$1-9)-10)*$C27,10.22)</f>
        <v>1.7965517241379312</v>
      </c>
      <c r="L27" s="16">
        <f>MIN(0.5+(INDEX('Stat Boosts'!$D$2:$D$192,L$1-9)-10)*$C27,10.22)</f>
        <v>1.9344827586206899</v>
      </c>
      <c r="M27" s="16">
        <f>MIN(0.5+(INDEX('Stat Boosts'!$D$2:$D$192,M$1-9)-10)*$C27,10.22)</f>
        <v>2.1275862068965519</v>
      </c>
      <c r="N27" s="16">
        <f>MIN(0.5+(INDEX('Stat Boosts'!$D$2:$D$192,N$1-9)-10)*$C27,10.22)</f>
        <v>2.3758620689655174</v>
      </c>
      <c r="O27" s="16">
        <f>MIN(0.5+(INDEX('Stat Boosts'!$D$2:$D$192,O$1-9)-10)*$C27,10.22)</f>
        <v>2.5137931034482759</v>
      </c>
      <c r="P27" s="16">
        <f>MIN(0.5+(INDEX('Stat Boosts'!$D$2:$D$192,P$1-9)-10)*$C27,10.22)</f>
        <v>2.7344827586206901</v>
      </c>
      <c r="Q27" s="16">
        <f>MIN(0.5+(INDEX('Stat Boosts'!$D$2:$D$192,Q$1-9)-10)*$C27,10.22)</f>
        <v>2.9551724137931039</v>
      </c>
      <c r="R27" s="16">
        <f>MIN(0.5+(INDEX('Stat Boosts'!$D$2:$D$192,R$1-9)-10)*$C27,10.22)</f>
        <v>3.1758620689655177</v>
      </c>
    </row>
    <row r="28" spans="1:18">
      <c r="A28" s="9">
        <v>27</v>
      </c>
      <c r="B28" s="16">
        <f t="shared" si="0"/>
        <v>24.75</v>
      </c>
      <c r="C28" s="16">
        <f t="shared" si="1"/>
        <v>2.7118644067796613E-2</v>
      </c>
      <c r="E28" s="16">
        <f>MIN(0.5+(INDEX('Stat Boosts'!$D$2:$D$192,E$1-9)-10)*$C28,10.22)</f>
        <v>0.5</v>
      </c>
      <c r="F28" s="16">
        <f>MIN(0.5+(INDEX('Stat Boosts'!$D$2:$D$192,F$1-9)-10)*$C28,10.22)</f>
        <v>0.68983050847457628</v>
      </c>
      <c r="G28" s="16">
        <f>MIN(0.5+(INDEX('Stat Boosts'!$D$2:$D$192,G$1-9)-10)*$C28,10.22)</f>
        <v>0.87966101694915255</v>
      </c>
      <c r="H28" s="16">
        <f>MIN(0.5+(INDEX('Stat Boosts'!$D$2:$D$192,H$1-9)-10)*$C28,10.22)</f>
        <v>1.0694915254237287</v>
      </c>
      <c r="I28" s="16">
        <f>MIN(0.5+(INDEX('Stat Boosts'!$D$2:$D$192,I$1-9)-10)*$C28,10.22)</f>
        <v>1.2322033898305085</v>
      </c>
      <c r="J28" s="16">
        <f>MIN(0.5+(INDEX('Stat Boosts'!$D$2:$D$192,J$1-9)-10)*$C28,10.22)</f>
        <v>1.3949152542372882</v>
      </c>
      <c r="K28" s="16">
        <f>MIN(0.5+(INDEX('Stat Boosts'!$D$2:$D$192,K$1-9)-10)*$C28,10.22)</f>
        <v>1.7745762711864408</v>
      </c>
      <c r="L28" s="16">
        <f>MIN(0.5+(INDEX('Stat Boosts'!$D$2:$D$192,L$1-9)-10)*$C28,10.22)</f>
        <v>1.9101694915254239</v>
      </c>
      <c r="M28" s="16">
        <f>MIN(0.5+(INDEX('Stat Boosts'!$D$2:$D$192,M$1-9)-10)*$C28,10.22)</f>
        <v>2.1</v>
      </c>
      <c r="N28" s="16">
        <f>MIN(0.5+(INDEX('Stat Boosts'!$D$2:$D$192,N$1-9)-10)*$C28,10.22)</f>
        <v>2.3440677966101697</v>
      </c>
      <c r="O28" s="16">
        <f>MIN(0.5+(INDEX('Stat Boosts'!$D$2:$D$192,O$1-9)-10)*$C28,10.22)</f>
        <v>2.4796610169491524</v>
      </c>
      <c r="P28" s="16">
        <f>MIN(0.5+(INDEX('Stat Boosts'!$D$2:$D$192,P$1-9)-10)*$C28,10.22)</f>
        <v>2.6966101694915254</v>
      </c>
      <c r="Q28" s="16">
        <f>MIN(0.5+(INDEX('Stat Boosts'!$D$2:$D$192,Q$1-9)-10)*$C28,10.22)</f>
        <v>2.9135593220338984</v>
      </c>
      <c r="R28" s="16">
        <f>MIN(0.5+(INDEX('Stat Boosts'!$D$2:$D$192,R$1-9)-10)*$C28,10.22)</f>
        <v>3.1305084745762715</v>
      </c>
    </row>
    <row r="29" spans="1:18">
      <c r="A29" s="9">
        <v>28</v>
      </c>
      <c r="B29" s="16">
        <f t="shared" si="0"/>
        <v>25</v>
      </c>
      <c r="C29" s="16">
        <f t="shared" si="1"/>
        <v>2.6666666666666668E-2</v>
      </c>
      <c r="E29" s="16">
        <f>MIN(0.5+(INDEX('Stat Boosts'!$D$2:$D$192,E$1-9)-10)*$C29,10.22)</f>
        <v>0.5</v>
      </c>
      <c r="F29" s="16">
        <f>MIN(0.5+(INDEX('Stat Boosts'!$D$2:$D$192,F$1-9)-10)*$C29,10.22)</f>
        <v>0.68666666666666665</v>
      </c>
      <c r="G29" s="16">
        <f>MIN(0.5+(INDEX('Stat Boosts'!$D$2:$D$192,G$1-9)-10)*$C29,10.22)</f>
        <v>0.87333333333333329</v>
      </c>
      <c r="H29" s="16">
        <f>MIN(0.5+(INDEX('Stat Boosts'!$D$2:$D$192,H$1-9)-10)*$C29,10.22)</f>
        <v>1.06</v>
      </c>
      <c r="I29" s="16">
        <f>MIN(0.5+(INDEX('Stat Boosts'!$D$2:$D$192,I$1-9)-10)*$C29,10.22)</f>
        <v>1.2200000000000002</v>
      </c>
      <c r="J29" s="16">
        <f>MIN(0.5+(INDEX('Stat Boosts'!$D$2:$D$192,J$1-9)-10)*$C29,10.22)</f>
        <v>1.38</v>
      </c>
      <c r="K29" s="16">
        <f>MIN(0.5+(INDEX('Stat Boosts'!$D$2:$D$192,K$1-9)-10)*$C29,10.22)</f>
        <v>1.7533333333333334</v>
      </c>
      <c r="L29" s="16">
        <f>MIN(0.5+(INDEX('Stat Boosts'!$D$2:$D$192,L$1-9)-10)*$C29,10.22)</f>
        <v>1.8866666666666667</v>
      </c>
      <c r="M29" s="16">
        <f>MIN(0.5+(INDEX('Stat Boosts'!$D$2:$D$192,M$1-9)-10)*$C29,10.22)</f>
        <v>2.0733333333333333</v>
      </c>
      <c r="N29" s="16">
        <f>MIN(0.5+(INDEX('Stat Boosts'!$D$2:$D$192,N$1-9)-10)*$C29,10.22)</f>
        <v>2.3133333333333335</v>
      </c>
      <c r="O29" s="16">
        <f>MIN(0.5+(INDEX('Stat Boosts'!$D$2:$D$192,O$1-9)-10)*$C29,10.22)</f>
        <v>2.4466666666666668</v>
      </c>
      <c r="P29" s="16">
        <f>MIN(0.5+(INDEX('Stat Boosts'!$D$2:$D$192,P$1-9)-10)*$C29,10.22)</f>
        <v>2.66</v>
      </c>
      <c r="Q29" s="16">
        <f>MIN(0.5+(INDEX('Stat Boosts'!$D$2:$D$192,Q$1-9)-10)*$C29,10.22)</f>
        <v>2.8733333333333335</v>
      </c>
      <c r="R29" s="16">
        <f>MIN(0.5+(INDEX('Stat Boosts'!$D$2:$D$192,R$1-9)-10)*$C29,10.22)</f>
        <v>3.0866666666666669</v>
      </c>
    </row>
    <row r="30" spans="1:18">
      <c r="A30" s="9">
        <v>29</v>
      </c>
      <c r="B30" s="16">
        <f t="shared" si="0"/>
        <v>25.25</v>
      </c>
      <c r="C30" s="16">
        <f t="shared" si="1"/>
        <v>2.6229508196721311E-2</v>
      </c>
      <c r="E30" s="16">
        <f>MIN(0.5+(INDEX('Stat Boosts'!$D$2:$D$192,E$1-9)-10)*$C30,10.22)</f>
        <v>0.5</v>
      </c>
      <c r="F30" s="16">
        <f>MIN(0.5+(INDEX('Stat Boosts'!$D$2:$D$192,F$1-9)-10)*$C30,10.22)</f>
        <v>0.68360655737704912</v>
      </c>
      <c r="G30" s="16">
        <f>MIN(0.5+(INDEX('Stat Boosts'!$D$2:$D$192,G$1-9)-10)*$C30,10.22)</f>
        <v>0.86721311475409835</v>
      </c>
      <c r="H30" s="16">
        <f>MIN(0.5+(INDEX('Stat Boosts'!$D$2:$D$192,H$1-9)-10)*$C30,10.22)</f>
        <v>1.0508196721311476</v>
      </c>
      <c r="I30" s="16">
        <f>MIN(0.5+(INDEX('Stat Boosts'!$D$2:$D$192,I$1-9)-10)*$C30,10.22)</f>
        <v>1.2081967213114755</v>
      </c>
      <c r="J30" s="16">
        <f>MIN(0.5+(INDEX('Stat Boosts'!$D$2:$D$192,J$1-9)-10)*$C30,10.22)</f>
        <v>1.3655737704918032</v>
      </c>
      <c r="K30" s="16">
        <f>MIN(0.5+(INDEX('Stat Boosts'!$D$2:$D$192,K$1-9)-10)*$C30,10.22)</f>
        <v>1.7327868852459016</v>
      </c>
      <c r="L30" s="16">
        <f>MIN(0.5+(INDEX('Stat Boosts'!$D$2:$D$192,L$1-9)-10)*$C30,10.22)</f>
        <v>1.8639344262295081</v>
      </c>
      <c r="M30" s="16">
        <f>MIN(0.5+(INDEX('Stat Boosts'!$D$2:$D$192,M$1-9)-10)*$C30,10.22)</f>
        <v>2.0475409836065577</v>
      </c>
      <c r="N30" s="16">
        <f>MIN(0.5+(INDEX('Stat Boosts'!$D$2:$D$192,N$1-9)-10)*$C30,10.22)</f>
        <v>2.2836065573770492</v>
      </c>
      <c r="O30" s="16">
        <f>MIN(0.5+(INDEX('Stat Boosts'!$D$2:$D$192,O$1-9)-10)*$C30,10.22)</f>
        <v>2.4147540983606559</v>
      </c>
      <c r="P30" s="16">
        <f>MIN(0.5+(INDEX('Stat Boosts'!$D$2:$D$192,P$1-9)-10)*$C30,10.22)</f>
        <v>2.624590163934426</v>
      </c>
      <c r="Q30" s="16">
        <f>MIN(0.5+(INDEX('Stat Boosts'!$D$2:$D$192,Q$1-9)-10)*$C30,10.22)</f>
        <v>2.8344262295081966</v>
      </c>
      <c r="R30" s="16">
        <f>MIN(0.5+(INDEX('Stat Boosts'!$D$2:$D$192,R$1-9)-10)*$C30,10.22)</f>
        <v>3.0442622950819671</v>
      </c>
    </row>
    <row r="31" spans="1:18">
      <c r="A31" s="9">
        <v>30</v>
      </c>
      <c r="B31" s="16">
        <f t="shared" si="0"/>
        <v>25.5</v>
      </c>
      <c r="C31" s="16">
        <f t="shared" si="1"/>
        <v>2.5806451612903226E-2</v>
      </c>
      <c r="E31" s="16">
        <f>MIN(0.5+(INDEX('Stat Boosts'!$D$2:$D$192,E$1-9)-10)*$C31,10.22)</f>
        <v>0.5</v>
      </c>
      <c r="F31" s="16">
        <f>MIN(0.5+(INDEX('Stat Boosts'!$D$2:$D$192,F$1-9)-10)*$C31,10.22)</f>
        <v>0.6806451612903226</v>
      </c>
      <c r="G31" s="16">
        <f>MIN(0.5+(INDEX('Stat Boosts'!$D$2:$D$192,G$1-9)-10)*$C31,10.22)</f>
        <v>0.8612903225806452</v>
      </c>
      <c r="H31" s="16">
        <f>MIN(0.5+(INDEX('Stat Boosts'!$D$2:$D$192,H$1-9)-10)*$C31,10.22)</f>
        <v>1.0419354838709678</v>
      </c>
      <c r="I31" s="16">
        <f>MIN(0.5+(INDEX('Stat Boosts'!$D$2:$D$192,I$1-9)-10)*$C31,10.22)</f>
        <v>1.1967741935483871</v>
      </c>
      <c r="J31" s="16">
        <f>MIN(0.5+(INDEX('Stat Boosts'!$D$2:$D$192,J$1-9)-10)*$C31,10.22)</f>
        <v>1.3516129032258064</v>
      </c>
      <c r="K31" s="16">
        <f>MIN(0.5+(INDEX('Stat Boosts'!$D$2:$D$192,K$1-9)-10)*$C31,10.22)</f>
        <v>1.7129032258064516</v>
      </c>
      <c r="L31" s="16">
        <f>MIN(0.5+(INDEX('Stat Boosts'!$D$2:$D$192,L$1-9)-10)*$C31,10.22)</f>
        <v>1.8419354838709678</v>
      </c>
      <c r="M31" s="16">
        <f>MIN(0.5+(INDEX('Stat Boosts'!$D$2:$D$192,M$1-9)-10)*$C31,10.22)</f>
        <v>2.0225806451612902</v>
      </c>
      <c r="N31" s="16">
        <f>MIN(0.5+(INDEX('Stat Boosts'!$D$2:$D$192,N$1-9)-10)*$C31,10.22)</f>
        <v>2.2548387096774194</v>
      </c>
      <c r="O31" s="16">
        <f>MIN(0.5+(INDEX('Stat Boosts'!$D$2:$D$192,O$1-9)-10)*$C31,10.22)</f>
        <v>2.3838709677419354</v>
      </c>
      <c r="P31" s="16">
        <f>MIN(0.5+(INDEX('Stat Boosts'!$D$2:$D$192,P$1-9)-10)*$C31,10.22)</f>
        <v>2.5903225806451613</v>
      </c>
      <c r="Q31" s="16">
        <f>MIN(0.5+(INDEX('Stat Boosts'!$D$2:$D$192,Q$1-9)-10)*$C31,10.22)</f>
        <v>2.7967741935483872</v>
      </c>
      <c r="R31" s="16">
        <f>MIN(0.5+(INDEX('Stat Boosts'!$D$2:$D$192,R$1-9)-10)*$C31,10.22)</f>
        <v>3.0032258064516131</v>
      </c>
    </row>
    <row r="32" spans="1:18">
      <c r="A32" s="9">
        <v>31</v>
      </c>
      <c r="B32" s="16">
        <f t="shared" si="0"/>
        <v>25.75</v>
      </c>
      <c r="C32" s="16">
        <f t="shared" si="1"/>
        <v>2.5396825396825397E-2</v>
      </c>
      <c r="E32" s="16">
        <f>MIN(0.5+(INDEX('Stat Boosts'!$D$2:$D$192,E$1-9)-10)*$C32,10.22)</f>
        <v>0.5</v>
      </c>
      <c r="F32" s="16">
        <f>MIN(0.5+(INDEX('Stat Boosts'!$D$2:$D$192,F$1-9)-10)*$C32,10.22)</f>
        <v>0.67777777777777781</v>
      </c>
      <c r="G32" s="16">
        <f>MIN(0.5+(INDEX('Stat Boosts'!$D$2:$D$192,G$1-9)-10)*$C32,10.22)</f>
        <v>0.85555555555555562</v>
      </c>
      <c r="H32" s="16">
        <f>MIN(0.5+(INDEX('Stat Boosts'!$D$2:$D$192,H$1-9)-10)*$C32,10.22)</f>
        <v>1.0333333333333332</v>
      </c>
      <c r="I32" s="16">
        <f>MIN(0.5+(INDEX('Stat Boosts'!$D$2:$D$192,I$1-9)-10)*$C32,10.22)</f>
        <v>1.1857142857142857</v>
      </c>
      <c r="J32" s="16">
        <f>MIN(0.5+(INDEX('Stat Boosts'!$D$2:$D$192,J$1-9)-10)*$C32,10.22)</f>
        <v>1.3380952380952382</v>
      </c>
      <c r="K32" s="16">
        <f>MIN(0.5+(INDEX('Stat Boosts'!$D$2:$D$192,K$1-9)-10)*$C32,10.22)</f>
        <v>1.6936507936507936</v>
      </c>
      <c r="L32" s="16">
        <f>MIN(0.5+(INDEX('Stat Boosts'!$D$2:$D$192,L$1-9)-10)*$C32,10.22)</f>
        <v>1.8206349206349206</v>
      </c>
      <c r="M32" s="16">
        <f>MIN(0.5+(INDEX('Stat Boosts'!$D$2:$D$192,M$1-9)-10)*$C32,10.22)</f>
        <v>1.9984126984126984</v>
      </c>
      <c r="N32" s="16">
        <f>MIN(0.5+(INDEX('Stat Boosts'!$D$2:$D$192,N$1-9)-10)*$C32,10.22)</f>
        <v>2.2269841269841271</v>
      </c>
      <c r="O32" s="16">
        <f>MIN(0.5+(INDEX('Stat Boosts'!$D$2:$D$192,O$1-9)-10)*$C32,10.22)</f>
        <v>2.353968253968254</v>
      </c>
      <c r="P32" s="16">
        <f>MIN(0.5+(INDEX('Stat Boosts'!$D$2:$D$192,P$1-9)-10)*$C32,10.22)</f>
        <v>2.5571428571428569</v>
      </c>
      <c r="Q32" s="16">
        <f>MIN(0.5+(INDEX('Stat Boosts'!$D$2:$D$192,Q$1-9)-10)*$C32,10.22)</f>
        <v>2.7603174603174603</v>
      </c>
      <c r="R32" s="16">
        <f>MIN(0.5+(INDEX('Stat Boosts'!$D$2:$D$192,R$1-9)-10)*$C32,10.22)</f>
        <v>2.9634920634920636</v>
      </c>
    </row>
    <row r="33" spans="1:18">
      <c r="A33" s="9">
        <v>32</v>
      </c>
      <c r="B33" s="16">
        <f t="shared" si="0"/>
        <v>26</v>
      </c>
      <c r="C33" s="16">
        <f t="shared" si="1"/>
        <v>2.5000000000000001E-2</v>
      </c>
      <c r="E33" s="16">
        <f>MIN(0.5+(INDEX('Stat Boosts'!$D$2:$D$192,E$1-9)-10)*$C33,10.22)</f>
        <v>0.5</v>
      </c>
      <c r="F33" s="16">
        <f>MIN(0.5+(INDEX('Stat Boosts'!$D$2:$D$192,F$1-9)-10)*$C33,10.22)</f>
        <v>0.67500000000000004</v>
      </c>
      <c r="G33" s="16">
        <f>MIN(0.5+(INDEX('Stat Boosts'!$D$2:$D$192,G$1-9)-10)*$C33,10.22)</f>
        <v>0.85000000000000009</v>
      </c>
      <c r="H33" s="16">
        <f>MIN(0.5+(INDEX('Stat Boosts'!$D$2:$D$192,H$1-9)-10)*$C33,10.22)</f>
        <v>1.0249999999999999</v>
      </c>
      <c r="I33" s="16">
        <f>MIN(0.5+(INDEX('Stat Boosts'!$D$2:$D$192,I$1-9)-10)*$C33,10.22)</f>
        <v>1.175</v>
      </c>
      <c r="J33" s="16">
        <f>MIN(0.5+(INDEX('Stat Boosts'!$D$2:$D$192,J$1-9)-10)*$C33,10.22)</f>
        <v>1.3250000000000002</v>
      </c>
      <c r="K33" s="16">
        <f>MIN(0.5+(INDEX('Stat Boosts'!$D$2:$D$192,K$1-9)-10)*$C33,10.22)</f>
        <v>1.675</v>
      </c>
      <c r="L33" s="16">
        <f>MIN(0.5+(INDEX('Stat Boosts'!$D$2:$D$192,L$1-9)-10)*$C33,10.22)</f>
        <v>1.8</v>
      </c>
      <c r="M33" s="16">
        <f>MIN(0.5+(INDEX('Stat Boosts'!$D$2:$D$192,M$1-9)-10)*$C33,10.22)</f>
        <v>1.9750000000000001</v>
      </c>
      <c r="N33" s="16">
        <f>MIN(0.5+(INDEX('Stat Boosts'!$D$2:$D$192,N$1-9)-10)*$C33,10.22)</f>
        <v>2.2000000000000002</v>
      </c>
      <c r="O33" s="16">
        <f>MIN(0.5+(INDEX('Stat Boosts'!$D$2:$D$192,O$1-9)-10)*$C33,10.22)</f>
        <v>2.3250000000000002</v>
      </c>
      <c r="P33" s="16">
        <f>MIN(0.5+(INDEX('Stat Boosts'!$D$2:$D$192,P$1-9)-10)*$C33,10.22)</f>
        <v>2.5249999999999999</v>
      </c>
      <c r="Q33" s="16">
        <f>MIN(0.5+(INDEX('Stat Boosts'!$D$2:$D$192,Q$1-9)-10)*$C33,10.22)</f>
        <v>2.7250000000000001</v>
      </c>
      <c r="R33" s="16">
        <f>MIN(0.5+(INDEX('Stat Boosts'!$D$2:$D$192,R$1-9)-10)*$C33,10.22)</f>
        <v>2.9250000000000003</v>
      </c>
    </row>
    <row r="34" spans="1:18">
      <c r="A34" s="9">
        <v>33</v>
      </c>
      <c r="B34" s="16">
        <f t="shared" si="0"/>
        <v>26.25</v>
      </c>
      <c r="C34" s="16">
        <f t="shared" si="1"/>
        <v>2.4615384615384615E-2</v>
      </c>
      <c r="E34" s="16">
        <f>MIN(0.5+(INDEX('Stat Boosts'!$D$2:$D$192,E$1-9)-10)*$C34,10.22)</f>
        <v>0.5</v>
      </c>
      <c r="F34" s="16">
        <f>MIN(0.5+(INDEX('Stat Boosts'!$D$2:$D$192,F$1-9)-10)*$C34,10.22)</f>
        <v>0.67230769230769227</v>
      </c>
      <c r="G34" s="16">
        <f>MIN(0.5+(INDEX('Stat Boosts'!$D$2:$D$192,G$1-9)-10)*$C34,10.22)</f>
        <v>0.84461538461538455</v>
      </c>
      <c r="H34" s="16">
        <f>MIN(0.5+(INDEX('Stat Boosts'!$D$2:$D$192,H$1-9)-10)*$C34,10.22)</f>
        <v>1.016923076923077</v>
      </c>
      <c r="I34" s="16">
        <f>MIN(0.5+(INDEX('Stat Boosts'!$D$2:$D$192,I$1-9)-10)*$C34,10.22)</f>
        <v>1.1646153846153846</v>
      </c>
      <c r="J34" s="16">
        <f>MIN(0.5+(INDEX('Stat Boosts'!$D$2:$D$192,J$1-9)-10)*$C34,10.22)</f>
        <v>1.3123076923076922</v>
      </c>
      <c r="K34" s="16">
        <f>MIN(0.5+(INDEX('Stat Boosts'!$D$2:$D$192,K$1-9)-10)*$C34,10.22)</f>
        <v>1.6569230769230769</v>
      </c>
      <c r="L34" s="16">
        <f>MIN(0.5+(INDEX('Stat Boosts'!$D$2:$D$192,L$1-9)-10)*$C34,10.22)</f>
        <v>1.78</v>
      </c>
      <c r="M34" s="16">
        <f>MIN(0.5+(INDEX('Stat Boosts'!$D$2:$D$192,M$1-9)-10)*$C34,10.22)</f>
        <v>1.9523076923076923</v>
      </c>
      <c r="N34" s="16">
        <f>MIN(0.5+(INDEX('Stat Boosts'!$D$2:$D$192,N$1-9)-10)*$C34,10.22)</f>
        <v>2.1738461538461538</v>
      </c>
      <c r="O34" s="16">
        <f>MIN(0.5+(INDEX('Stat Boosts'!$D$2:$D$192,O$1-9)-10)*$C34,10.22)</f>
        <v>2.2969230769230768</v>
      </c>
      <c r="P34" s="16">
        <f>MIN(0.5+(INDEX('Stat Boosts'!$D$2:$D$192,P$1-9)-10)*$C34,10.22)</f>
        <v>2.493846153846154</v>
      </c>
      <c r="Q34" s="16">
        <f>MIN(0.5+(INDEX('Stat Boosts'!$D$2:$D$192,Q$1-9)-10)*$C34,10.22)</f>
        <v>2.6907692307692308</v>
      </c>
      <c r="R34" s="16">
        <f>MIN(0.5+(INDEX('Stat Boosts'!$D$2:$D$192,R$1-9)-10)*$C34,10.22)</f>
        <v>2.8876923076923076</v>
      </c>
    </row>
    <row r="35" spans="1:18">
      <c r="A35" s="9">
        <v>34</v>
      </c>
      <c r="B35" s="16">
        <f t="shared" si="0"/>
        <v>26.5</v>
      </c>
      <c r="C35" s="16">
        <f t="shared" si="1"/>
        <v>2.4242424242424242E-2</v>
      </c>
      <c r="E35" s="16">
        <f>MIN(0.5+(INDEX('Stat Boosts'!$D$2:$D$192,E$1-9)-10)*$C35,10.22)</f>
        <v>0.5</v>
      </c>
      <c r="F35" s="16">
        <f>MIN(0.5+(INDEX('Stat Boosts'!$D$2:$D$192,F$1-9)-10)*$C35,10.22)</f>
        <v>0.66969696969696968</v>
      </c>
      <c r="G35" s="16">
        <f>MIN(0.5+(INDEX('Stat Boosts'!$D$2:$D$192,G$1-9)-10)*$C35,10.22)</f>
        <v>0.83939393939393936</v>
      </c>
      <c r="H35" s="16">
        <f>MIN(0.5+(INDEX('Stat Boosts'!$D$2:$D$192,H$1-9)-10)*$C35,10.22)</f>
        <v>1.009090909090909</v>
      </c>
      <c r="I35" s="16">
        <f>MIN(0.5+(INDEX('Stat Boosts'!$D$2:$D$192,I$1-9)-10)*$C35,10.22)</f>
        <v>1.1545454545454545</v>
      </c>
      <c r="J35" s="16">
        <f>MIN(0.5+(INDEX('Stat Boosts'!$D$2:$D$192,J$1-9)-10)*$C35,10.22)</f>
        <v>1.3</v>
      </c>
      <c r="K35" s="16">
        <f>MIN(0.5+(INDEX('Stat Boosts'!$D$2:$D$192,K$1-9)-10)*$C35,10.22)</f>
        <v>1.6393939393939394</v>
      </c>
      <c r="L35" s="16">
        <f>MIN(0.5+(INDEX('Stat Boosts'!$D$2:$D$192,L$1-9)-10)*$C35,10.22)</f>
        <v>1.7606060606060605</v>
      </c>
      <c r="M35" s="16">
        <f>MIN(0.5+(INDEX('Stat Boosts'!$D$2:$D$192,M$1-9)-10)*$C35,10.22)</f>
        <v>1.9303030303030304</v>
      </c>
      <c r="N35" s="16">
        <f>MIN(0.5+(INDEX('Stat Boosts'!$D$2:$D$192,N$1-9)-10)*$C35,10.22)</f>
        <v>2.1484848484848484</v>
      </c>
      <c r="O35" s="16">
        <f>MIN(0.5+(INDEX('Stat Boosts'!$D$2:$D$192,O$1-9)-10)*$C35,10.22)</f>
        <v>2.2696969696969695</v>
      </c>
      <c r="P35" s="16">
        <f>MIN(0.5+(INDEX('Stat Boosts'!$D$2:$D$192,P$1-9)-10)*$C35,10.22)</f>
        <v>2.4636363636363638</v>
      </c>
      <c r="Q35" s="16">
        <f>MIN(0.5+(INDEX('Stat Boosts'!$D$2:$D$192,Q$1-9)-10)*$C35,10.22)</f>
        <v>2.6575757575757577</v>
      </c>
      <c r="R35" s="16">
        <f>MIN(0.5+(INDEX('Stat Boosts'!$D$2:$D$192,R$1-9)-10)*$C35,10.22)</f>
        <v>2.8515151515151516</v>
      </c>
    </row>
    <row r="36" spans="1:18">
      <c r="A36" s="9">
        <v>35</v>
      </c>
      <c r="B36" s="16">
        <f t="shared" si="0"/>
        <v>26.75</v>
      </c>
      <c r="C36" s="16">
        <f t="shared" si="1"/>
        <v>2.3880597014925373E-2</v>
      </c>
      <c r="E36" s="16">
        <f>MIN(0.5+(INDEX('Stat Boosts'!$D$2:$D$192,E$1-9)-10)*$C36,10.22)</f>
        <v>0.5</v>
      </c>
      <c r="F36" s="16">
        <f>MIN(0.5+(INDEX('Stat Boosts'!$D$2:$D$192,F$1-9)-10)*$C36,10.22)</f>
        <v>0.66716417910447756</v>
      </c>
      <c r="G36" s="16">
        <f>MIN(0.5+(INDEX('Stat Boosts'!$D$2:$D$192,G$1-9)-10)*$C36,10.22)</f>
        <v>0.83432835820895523</v>
      </c>
      <c r="H36" s="16">
        <f>MIN(0.5+(INDEX('Stat Boosts'!$D$2:$D$192,H$1-9)-10)*$C36,10.22)</f>
        <v>1.0014925373134327</v>
      </c>
      <c r="I36" s="16">
        <f>MIN(0.5+(INDEX('Stat Boosts'!$D$2:$D$192,I$1-9)-10)*$C36,10.22)</f>
        <v>1.1447761194029851</v>
      </c>
      <c r="J36" s="16">
        <f>MIN(0.5+(INDEX('Stat Boosts'!$D$2:$D$192,J$1-9)-10)*$C36,10.22)</f>
        <v>1.2880597014925375</v>
      </c>
      <c r="K36" s="16">
        <f>MIN(0.5+(INDEX('Stat Boosts'!$D$2:$D$192,K$1-9)-10)*$C36,10.22)</f>
        <v>1.6223880597014926</v>
      </c>
      <c r="L36" s="16">
        <f>MIN(0.5+(INDEX('Stat Boosts'!$D$2:$D$192,L$1-9)-10)*$C36,10.22)</f>
        <v>1.7417910447761193</v>
      </c>
      <c r="M36" s="16">
        <f>MIN(0.5+(INDEX('Stat Boosts'!$D$2:$D$192,M$1-9)-10)*$C36,10.22)</f>
        <v>1.9089552238805971</v>
      </c>
      <c r="N36" s="16">
        <f>MIN(0.5+(INDEX('Stat Boosts'!$D$2:$D$192,N$1-9)-10)*$C36,10.22)</f>
        <v>2.1238805970149253</v>
      </c>
      <c r="O36" s="16">
        <f>MIN(0.5+(INDEX('Stat Boosts'!$D$2:$D$192,O$1-9)-10)*$C36,10.22)</f>
        <v>2.2432835820895525</v>
      </c>
      <c r="P36" s="16">
        <f>MIN(0.5+(INDEX('Stat Boosts'!$D$2:$D$192,P$1-9)-10)*$C36,10.22)</f>
        <v>2.4343283582089552</v>
      </c>
      <c r="Q36" s="16">
        <f>MIN(0.5+(INDEX('Stat Boosts'!$D$2:$D$192,Q$1-9)-10)*$C36,10.22)</f>
        <v>2.6253731343283584</v>
      </c>
      <c r="R36" s="16">
        <f>MIN(0.5+(INDEX('Stat Boosts'!$D$2:$D$192,R$1-9)-10)*$C36,10.22)</f>
        <v>2.8164179104477611</v>
      </c>
    </row>
    <row r="37" spans="1:18">
      <c r="A37" s="9">
        <v>36</v>
      </c>
      <c r="B37" s="16">
        <f t="shared" si="0"/>
        <v>27</v>
      </c>
      <c r="C37" s="16">
        <f t="shared" si="1"/>
        <v>2.3529411764705882E-2</v>
      </c>
      <c r="E37" s="16">
        <f>MIN(0.5+(INDEX('Stat Boosts'!$D$2:$D$192,E$1-9)-10)*$C37,10.22)</f>
        <v>0.5</v>
      </c>
      <c r="F37" s="16">
        <f>MIN(0.5+(INDEX('Stat Boosts'!$D$2:$D$192,F$1-9)-10)*$C37,10.22)</f>
        <v>0.66470588235294115</v>
      </c>
      <c r="G37" s="16">
        <f>MIN(0.5+(INDEX('Stat Boosts'!$D$2:$D$192,G$1-9)-10)*$C37,10.22)</f>
        <v>0.82941176470588229</v>
      </c>
      <c r="H37" s="16">
        <f>MIN(0.5+(INDEX('Stat Boosts'!$D$2:$D$192,H$1-9)-10)*$C37,10.22)</f>
        <v>0.99411764705882355</v>
      </c>
      <c r="I37" s="16">
        <f>MIN(0.5+(INDEX('Stat Boosts'!$D$2:$D$192,I$1-9)-10)*$C37,10.22)</f>
        <v>1.1352941176470588</v>
      </c>
      <c r="J37" s="16">
        <f>MIN(0.5+(INDEX('Stat Boosts'!$D$2:$D$192,J$1-9)-10)*$C37,10.22)</f>
        <v>1.276470588235294</v>
      </c>
      <c r="K37" s="16">
        <f>MIN(0.5+(INDEX('Stat Boosts'!$D$2:$D$192,K$1-9)-10)*$C37,10.22)</f>
        <v>1.6058823529411765</v>
      </c>
      <c r="L37" s="16">
        <f>MIN(0.5+(INDEX('Stat Boosts'!$D$2:$D$192,L$1-9)-10)*$C37,10.22)</f>
        <v>1.723529411764706</v>
      </c>
      <c r="M37" s="16">
        <f>MIN(0.5+(INDEX('Stat Boosts'!$D$2:$D$192,M$1-9)-10)*$C37,10.22)</f>
        <v>1.888235294117647</v>
      </c>
      <c r="N37" s="16">
        <f>MIN(0.5+(INDEX('Stat Boosts'!$D$2:$D$192,N$1-9)-10)*$C37,10.22)</f>
        <v>2.1</v>
      </c>
      <c r="O37" s="16">
        <f>MIN(0.5+(INDEX('Stat Boosts'!$D$2:$D$192,O$1-9)-10)*$C37,10.22)</f>
        <v>2.2176470588235295</v>
      </c>
      <c r="P37" s="16">
        <f>MIN(0.5+(INDEX('Stat Boosts'!$D$2:$D$192,P$1-9)-10)*$C37,10.22)</f>
        <v>2.4058823529411764</v>
      </c>
      <c r="Q37" s="16">
        <f>MIN(0.5+(INDEX('Stat Boosts'!$D$2:$D$192,Q$1-9)-10)*$C37,10.22)</f>
        <v>2.5941176470588236</v>
      </c>
      <c r="R37" s="16">
        <f>MIN(0.5+(INDEX('Stat Boosts'!$D$2:$D$192,R$1-9)-10)*$C37,10.22)</f>
        <v>2.7823529411764705</v>
      </c>
    </row>
    <row r="38" spans="1:18">
      <c r="A38" s="9">
        <v>37</v>
      </c>
      <c r="B38" s="16">
        <f t="shared" si="0"/>
        <v>27.25</v>
      </c>
      <c r="C38" s="16">
        <f t="shared" si="1"/>
        <v>2.318840579710145E-2</v>
      </c>
      <c r="E38" s="16">
        <f>MIN(0.5+(INDEX('Stat Boosts'!$D$2:$D$192,E$1-9)-10)*$C38,10.22)</f>
        <v>0.5</v>
      </c>
      <c r="F38" s="16">
        <f>MIN(0.5+(INDEX('Stat Boosts'!$D$2:$D$192,F$1-9)-10)*$C38,10.22)</f>
        <v>0.66231884057971013</v>
      </c>
      <c r="G38" s="16">
        <f>MIN(0.5+(INDEX('Stat Boosts'!$D$2:$D$192,G$1-9)-10)*$C38,10.22)</f>
        <v>0.82463768115942027</v>
      </c>
      <c r="H38" s="16">
        <f>MIN(0.5+(INDEX('Stat Boosts'!$D$2:$D$192,H$1-9)-10)*$C38,10.22)</f>
        <v>0.98695652173913051</v>
      </c>
      <c r="I38" s="16">
        <f>MIN(0.5+(INDEX('Stat Boosts'!$D$2:$D$192,I$1-9)-10)*$C38,10.22)</f>
        <v>1.1260869565217391</v>
      </c>
      <c r="J38" s="16">
        <f>MIN(0.5+(INDEX('Stat Boosts'!$D$2:$D$192,J$1-9)-10)*$C38,10.22)</f>
        <v>1.2652173913043478</v>
      </c>
      <c r="K38" s="16">
        <f>MIN(0.5+(INDEX('Stat Boosts'!$D$2:$D$192,K$1-9)-10)*$C38,10.22)</f>
        <v>1.5898550724637681</v>
      </c>
      <c r="L38" s="16">
        <f>MIN(0.5+(INDEX('Stat Boosts'!$D$2:$D$192,L$1-9)-10)*$C38,10.22)</f>
        <v>1.7057971014492754</v>
      </c>
      <c r="M38" s="16">
        <f>MIN(0.5+(INDEX('Stat Boosts'!$D$2:$D$192,M$1-9)-10)*$C38,10.22)</f>
        <v>1.8681159420289855</v>
      </c>
      <c r="N38" s="16">
        <f>MIN(0.5+(INDEX('Stat Boosts'!$D$2:$D$192,N$1-9)-10)*$C38,10.22)</f>
        <v>2.0768115942028986</v>
      </c>
      <c r="O38" s="16">
        <f>MIN(0.5+(INDEX('Stat Boosts'!$D$2:$D$192,O$1-9)-10)*$C38,10.22)</f>
        <v>2.1927536231884055</v>
      </c>
      <c r="P38" s="16">
        <f>MIN(0.5+(INDEX('Stat Boosts'!$D$2:$D$192,P$1-9)-10)*$C38,10.22)</f>
        <v>2.3782608695652172</v>
      </c>
      <c r="Q38" s="16">
        <f>MIN(0.5+(INDEX('Stat Boosts'!$D$2:$D$192,Q$1-9)-10)*$C38,10.22)</f>
        <v>2.5637681159420289</v>
      </c>
      <c r="R38" s="16">
        <f>MIN(0.5+(INDEX('Stat Boosts'!$D$2:$D$192,R$1-9)-10)*$C38,10.22)</f>
        <v>2.7492753623188406</v>
      </c>
    </row>
    <row r="39" spans="1:18">
      <c r="A39" s="9">
        <v>38</v>
      </c>
      <c r="B39" s="16">
        <f t="shared" si="0"/>
        <v>27.5</v>
      </c>
      <c r="C39" s="16">
        <f t="shared" si="1"/>
        <v>2.2857142857142857E-2</v>
      </c>
      <c r="E39" s="16">
        <f>MIN(0.5+(INDEX('Stat Boosts'!$D$2:$D$192,E$1-9)-10)*$C39,10.22)</f>
        <v>0.5</v>
      </c>
      <c r="F39" s="16">
        <f>MIN(0.5+(INDEX('Stat Boosts'!$D$2:$D$192,F$1-9)-10)*$C39,10.22)</f>
        <v>0.66</v>
      </c>
      <c r="G39" s="16">
        <f>MIN(0.5+(INDEX('Stat Boosts'!$D$2:$D$192,G$1-9)-10)*$C39,10.22)</f>
        <v>0.82000000000000006</v>
      </c>
      <c r="H39" s="16">
        <f>MIN(0.5+(INDEX('Stat Boosts'!$D$2:$D$192,H$1-9)-10)*$C39,10.22)</f>
        <v>0.98</v>
      </c>
      <c r="I39" s="16">
        <f>MIN(0.5+(INDEX('Stat Boosts'!$D$2:$D$192,I$1-9)-10)*$C39,10.22)</f>
        <v>1.117142857142857</v>
      </c>
      <c r="J39" s="16">
        <f>MIN(0.5+(INDEX('Stat Boosts'!$D$2:$D$192,J$1-9)-10)*$C39,10.22)</f>
        <v>1.2542857142857144</v>
      </c>
      <c r="K39" s="16">
        <f>MIN(0.5+(INDEX('Stat Boosts'!$D$2:$D$192,K$1-9)-10)*$C39,10.22)</f>
        <v>1.5742857142857143</v>
      </c>
      <c r="L39" s="16">
        <f>MIN(0.5+(INDEX('Stat Boosts'!$D$2:$D$192,L$1-9)-10)*$C39,10.22)</f>
        <v>1.6885714285714286</v>
      </c>
      <c r="M39" s="16">
        <f>MIN(0.5+(INDEX('Stat Boosts'!$D$2:$D$192,M$1-9)-10)*$C39,10.22)</f>
        <v>1.8485714285714285</v>
      </c>
      <c r="N39" s="16">
        <f>MIN(0.5+(INDEX('Stat Boosts'!$D$2:$D$192,N$1-9)-10)*$C39,10.22)</f>
        <v>2.0542857142857143</v>
      </c>
      <c r="O39" s="16">
        <f>MIN(0.5+(INDEX('Stat Boosts'!$D$2:$D$192,O$1-9)-10)*$C39,10.22)</f>
        <v>2.1685714285714286</v>
      </c>
      <c r="P39" s="16">
        <f>MIN(0.5+(INDEX('Stat Boosts'!$D$2:$D$192,P$1-9)-10)*$C39,10.22)</f>
        <v>2.3514285714285714</v>
      </c>
      <c r="Q39" s="16">
        <f>MIN(0.5+(INDEX('Stat Boosts'!$D$2:$D$192,Q$1-9)-10)*$C39,10.22)</f>
        <v>2.5342857142857143</v>
      </c>
      <c r="R39" s="16">
        <f>MIN(0.5+(INDEX('Stat Boosts'!$D$2:$D$192,R$1-9)-10)*$C39,10.22)</f>
        <v>2.7171428571428571</v>
      </c>
    </row>
    <row r="40" spans="1:18">
      <c r="A40" s="9">
        <v>39</v>
      </c>
      <c r="B40" s="16">
        <f t="shared" si="0"/>
        <v>27.75</v>
      </c>
      <c r="C40" s="16">
        <f t="shared" si="1"/>
        <v>2.2535211267605635E-2</v>
      </c>
      <c r="E40" s="16">
        <f>MIN(0.5+(INDEX('Stat Boosts'!$D$2:$D$192,E$1-9)-10)*$C40,10.22)</f>
        <v>0.5</v>
      </c>
      <c r="F40" s="16">
        <f>MIN(0.5+(INDEX('Stat Boosts'!$D$2:$D$192,F$1-9)-10)*$C40,10.22)</f>
        <v>0.65774647887323945</v>
      </c>
      <c r="G40" s="16">
        <f>MIN(0.5+(INDEX('Stat Boosts'!$D$2:$D$192,G$1-9)-10)*$C40,10.22)</f>
        <v>0.8154929577464789</v>
      </c>
      <c r="H40" s="16">
        <f>MIN(0.5+(INDEX('Stat Boosts'!$D$2:$D$192,H$1-9)-10)*$C40,10.22)</f>
        <v>0.97323943661971835</v>
      </c>
      <c r="I40" s="16">
        <f>MIN(0.5+(INDEX('Stat Boosts'!$D$2:$D$192,I$1-9)-10)*$C40,10.22)</f>
        <v>1.1084507042253522</v>
      </c>
      <c r="J40" s="16">
        <f>MIN(0.5+(INDEX('Stat Boosts'!$D$2:$D$192,J$1-9)-10)*$C40,10.22)</f>
        <v>1.2436619718309858</v>
      </c>
      <c r="K40" s="16">
        <f>MIN(0.5+(INDEX('Stat Boosts'!$D$2:$D$192,K$1-9)-10)*$C40,10.22)</f>
        <v>1.5591549295774649</v>
      </c>
      <c r="L40" s="16">
        <f>MIN(0.5+(INDEX('Stat Boosts'!$D$2:$D$192,L$1-9)-10)*$C40,10.22)</f>
        <v>1.671830985915493</v>
      </c>
      <c r="M40" s="16">
        <f>MIN(0.5+(INDEX('Stat Boosts'!$D$2:$D$192,M$1-9)-10)*$C40,10.22)</f>
        <v>1.8295774647887324</v>
      </c>
      <c r="N40" s="16">
        <f>MIN(0.5+(INDEX('Stat Boosts'!$D$2:$D$192,N$1-9)-10)*$C40,10.22)</f>
        <v>2.0323943661971833</v>
      </c>
      <c r="O40" s="16">
        <f>MIN(0.5+(INDEX('Stat Boosts'!$D$2:$D$192,O$1-9)-10)*$C40,10.22)</f>
        <v>2.1450704225352113</v>
      </c>
      <c r="P40" s="16">
        <f>MIN(0.5+(INDEX('Stat Boosts'!$D$2:$D$192,P$1-9)-10)*$C40,10.22)</f>
        <v>2.3253521126760566</v>
      </c>
      <c r="Q40" s="16">
        <f>MIN(0.5+(INDEX('Stat Boosts'!$D$2:$D$192,Q$1-9)-10)*$C40,10.22)</f>
        <v>2.5056338028169014</v>
      </c>
      <c r="R40" s="16">
        <f>MIN(0.5+(INDEX('Stat Boosts'!$D$2:$D$192,R$1-9)-10)*$C40,10.22)</f>
        <v>2.6859154929577467</v>
      </c>
    </row>
    <row r="41" spans="1:18">
      <c r="A41" s="9">
        <v>40</v>
      </c>
      <c r="B41" s="16">
        <f t="shared" si="0"/>
        <v>28</v>
      </c>
      <c r="C41" s="16">
        <f t="shared" si="1"/>
        <v>2.2222222222222223E-2</v>
      </c>
      <c r="E41" s="16">
        <f>MIN(0.5+(INDEX('Stat Boosts'!$D$2:$D$192,E$1-9)-10)*$C41,10.22)</f>
        <v>0.5</v>
      </c>
      <c r="F41" s="16">
        <f>MIN(0.5+(INDEX('Stat Boosts'!$D$2:$D$192,F$1-9)-10)*$C41,10.22)</f>
        <v>0.65555555555555556</v>
      </c>
      <c r="G41" s="16">
        <f>MIN(0.5+(INDEX('Stat Boosts'!$D$2:$D$192,G$1-9)-10)*$C41,10.22)</f>
        <v>0.81111111111111112</v>
      </c>
      <c r="H41" s="16">
        <f>MIN(0.5+(INDEX('Stat Boosts'!$D$2:$D$192,H$1-9)-10)*$C41,10.22)</f>
        <v>0.96666666666666667</v>
      </c>
      <c r="I41" s="16">
        <f>MIN(0.5+(INDEX('Stat Boosts'!$D$2:$D$192,I$1-9)-10)*$C41,10.22)</f>
        <v>1.1000000000000001</v>
      </c>
      <c r="J41" s="16">
        <f>MIN(0.5+(INDEX('Stat Boosts'!$D$2:$D$192,J$1-9)-10)*$C41,10.22)</f>
        <v>1.2333333333333334</v>
      </c>
      <c r="K41" s="16">
        <f>MIN(0.5+(INDEX('Stat Boosts'!$D$2:$D$192,K$1-9)-10)*$C41,10.22)</f>
        <v>1.5444444444444445</v>
      </c>
      <c r="L41" s="16">
        <f>MIN(0.5+(INDEX('Stat Boosts'!$D$2:$D$192,L$1-9)-10)*$C41,10.22)</f>
        <v>1.6555555555555557</v>
      </c>
      <c r="M41" s="16">
        <f>MIN(0.5+(INDEX('Stat Boosts'!$D$2:$D$192,M$1-9)-10)*$C41,10.22)</f>
        <v>1.8111111111111111</v>
      </c>
      <c r="N41" s="16">
        <f>MIN(0.5+(INDEX('Stat Boosts'!$D$2:$D$192,N$1-9)-10)*$C41,10.22)</f>
        <v>2.0111111111111111</v>
      </c>
      <c r="O41" s="16">
        <f>MIN(0.5+(INDEX('Stat Boosts'!$D$2:$D$192,O$1-9)-10)*$C41,10.22)</f>
        <v>2.1222222222222222</v>
      </c>
      <c r="P41" s="16">
        <f>MIN(0.5+(INDEX('Stat Boosts'!$D$2:$D$192,P$1-9)-10)*$C41,10.22)</f>
        <v>2.2999999999999998</v>
      </c>
      <c r="Q41" s="16">
        <f>MIN(0.5+(INDEX('Stat Boosts'!$D$2:$D$192,Q$1-9)-10)*$C41,10.22)</f>
        <v>2.4777777777777779</v>
      </c>
      <c r="R41" s="16">
        <f>MIN(0.5+(INDEX('Stat Boosts'!$D$2:$D$192,R$1-9)-10)*$C41,10.22)</f>
        <v>2.6555555555555554</v>
      </c>
    </row>
    <row r="42" spans="1:18">
      <c r="A42" s="9">
        <v>41</v>
      </c>
      <c r="B42" s="16">
        <f t="shared" si="0"/>
        <v>28.25</v>
      </c>
      <c r="C42" s="16">
        <f t="shared" si="1"/>
        <v>2.1917808219178082E-2</v>
      </c>
      <c r="E42" s="16">
        <f>MIN(0.5+(INDEX('Stat Boosts'!$D$2:$D$192,E$1-9)-10)*$C42,10.22)</f>
        <v>0.5</v>
      </c>
      <c r="F42" s="16">
        <f>MIN(0.5+(INDEX('Stat Boosts'!$D$2:$D$192,F$1-9)-10)*$C42,10.22)</f>
        <v>0.65342465753424661</v>
      </c>
      <c r="G42" s="16">
        <f>MIN(0.5+(INDEX('Stat Boosts'!$D$2:$D$192,G$1-9)-10)*$C42,10.22)</f>
        <v>0.80684931506849322</v>
      </c>
      <c r="H42" s="16">
        <f>MIN(0.5+(INDEX('Stat Boosts'!$D$2:$D$192,H$1-9)-10)*$C42,10.22)</f>
        <v>0.96027397260273972</v>
      </c>
      <c r="I42" s="16">
        <f>MIN(0.5+(INDEX('Stat Boosts'!$D$2:$D$192,I$1-9)-10)*$C42,10.22)</f>
        <v>1.0917808219178082</v>
      </c>
      <c r="J42" s="16">
        <f>MIN(0.5+(INDEX('Stat Boosts'!$D$2:$D$192,J$1-9)-10)*$C42,10.22)</f>
        <v>1.2232876712328768</v>
      </c>
      <c r="K42" s="16">
        <f>MIN(0.5+(INDEX('Stat Boosts'!$D$2:$D$192,K$1-9)-10)*$C42,10.22)</f>
        <v>1.5301369863013699</v>
      </c>
      <c r="L42" s="16">
        <f>MIN(0.5+(INDEX('Stat Boosts'!$D$2:$D$192,L$1-9)-10)*$C42,10.22)</f>
        <v>1.6397260273972603</v>
      </c>
      <c r="M42" s="16">
        <f>MIN(0.5+(INDEX('Stat Boosts'!$D$2:$D$192,M$1-9)-10)*$C42,10.22)</f>
        <v>1.7931506849315069</v>
      </c>
      <c r="N42" s="16">
        <f>MIN(0.5+(INDEX('Stat Boosts'!$D$2:$D$192,N$1-9)-10)*$C42,10.22)</f>
        <v>1.9904109589041097</v>
      </c>
      <c r="O42" s="16">
        <f>MIN(0.5+(INDEX('Stat Boosts'!$D$2:$D$192,O$1-9)-10)*$C42,10.22)</f>
        <v>2.1</v>
      </c>
      <c r="P42" s="16">
        <f>MIN(0.5+(INDEX('Stat Boosts'!$D$2:$D$192,P$1-9)-10)*$C42,10.22)</f>
        <v>2.2753424657534245</v>
      </c>
      <c r="Q42" s="16">
        <f>MIN(0.5+(INDEX('Stat Boosts'!$D$2:$D$192,Q$1-9)-10)*$C42,10.22)</f>
        <v>2.4506849315068493</v>
      </c>
      <c r="R42" s="16">
        <f>MIN(0.5+(INDEX('Stat Boosts'!$D$2:$D$192,R$1-9)-10)*$C42,10.22)</f>
        <v>2.6260273972602741</v>
      </c>
    </row>
    <row r="43" spans="1:18">
      <c r="A43" s="9">
        <v>42</v>
      </c>
      <c r="B43" s="16">
        <f t="shared" si="0"/>
        <v>28.5</v>
      </c>
      <c r="C43" s="16">
        <f t="shared" si="1"/>
        <v>2.1621621621621623E-2</v>
      </c>
      <c r="E43" s="16">
        <f>MIN(0.5+(INDEX('Stat Boosts'!$D$2:$D$192,E$1-9)-10)*$C43,10.22)</f>
        <v>0.5</v>
      </c>
      <c r="F43" s="16">
        <f>MIN(0.5+(INDEX('Stat Boosts'!$D$2:$D$192,F$1-9)-10)*$C43,10.22)</f>
        <v>0.65135135135135136</v>
      </c>
      <c r="G43" s="16">
        <f>MIN(0.5+(INDEX('Stat Boosts'!$D$2:$D$192,G$1-9)-10)*$C43,10.22)</f>
        <v>0.80270270270270272</v>
      </c>
      <c r="H43" s="16">
        <f>MIN(0.5+(INDEX('Stat Boosts'!$D$2:$D$192,H$1-9)-10)*$C43,10.22)</f>
        <v>0.95405405405405408</v>
      </c>
      <c r="I43" s="16">
        <f>MIN(0.5+(INDEX('Stat Boosts'!$D$2:$D$192,I$1-9)-10)*$C43,10.22)</f>
        <v>1.0837837837837838</v>
      </c>
      <c r="J43" s="16">
        <f>MIN(0.5+(INDEX('Stat Boosts'!$D$2:$D$192,J$1-9)-10)*$C43,10.22)</f>
        <v>1.2135135135135136</v>
      </c>
      <c r="K43" s="16">
        <f>MIN(0.5+(INDEX('Stat Boosts'!$D$2:$D$192,K$1-9)-10)*$C43,10.22)</f>
        <v>1.5162162162162163</v>
      </c>
      <c r="L43" s="16">
        <f>MIN(0.5+(INDEX('Stat Boosts'!$D$2:$D$192,L$1-9)-10)*$C43,10.22)</f>
        <v>1.6243243243243244</v>
      </c>
      <c r="M43" s="16">
        <f>MIN(0.5+(INDEX('Stat Boosts'!$D$2:$D$192,M$1-9)-10)*$C43,10.22)</f>
        <v>1.7756756756756757</v>
      </c>
      <c r="N43" s="16">
        <f>MIN(0.5+(INDEX('Stat Boosts'!$D$2:$D$192,N$1-9)-10)*$C43,10.22)</f>
        <v>1.9702702702702704</v>
      </c>
      <c r="O43" s="16">
        <f>MIN(0.5+(INDEX('Stat Boosts'!$D$2:$D$192,O$1-9)-10)*$C43,10.22)</f>
        <v>2.0783783783783782</v>
      </c>
      <c r="P43" s="16">
        <f>MIN(0.5+(INDEX('Stat Boosts'!$D$2:$D$192,P$1-9)-10)*$C43,10.22)</f>
        <v>2.2513513513513512</v>
      </c>
      <c r="Q43" s="16">
        <f>MIN(0.5+(INDEX('Stat Boosts'!$D$2:$D$192,Q$1-9)-10)*$C43,10.22)</f>
        <v>2.4243243243243242</v>
      </c>
      <c r="R43" s="16">
        <f>MIN(0.5+(INDEX('Stat Boosts'!$D$2:$D$192,R$1-9)-10)*$C43,10.22)</f>
        <v>2.5972972972972972</v>
      </c>
    </row>
    <row r="44" spans="1:18">
      <c r="A44" s="9">
        <v>43</v>
      </c>
      <c r="B44" s="16">
        <f t="shared" si="0"/>
        <v>28.75</v>
      </c>
      <c r="C44" s="16">
        <f t="shared" si="1"/>
        <v>2.1333333333333336E-2</v>
      </c>
      <c r="E44" s="16">
        <f>MIN(0.5+(INDEX('Stat Boosts'!$D$2:$D$192,E$1-9)-10)*$C44,10.22)</f>
        <v>0.5</v>
      </c>
      <c r="F44" s="16">
        <f>MIN(0.5+(INDEX('Stat Boosts'!$D$2:$D$192,F$1-9)-10)*$C44,10.22)</f>
        <v>0.64933333333333332</v>
      </c>
      <c r="G44" s="16">
        <f>MIN(0.5+(INDEX('Stat Boosts'!$D$2:$D$192,G$1-9)-10)*$C44,10.22)</f>
        <v>0.79866666666666664</v>
      </c>
      <c r="H44" s="16">
        <f>MIN(0.5+(INDEX('Stat Boosts'!$D$2:$D$192,H$1-9)-10)*$C44,10.22)</f>
        <v>0.94800000000000006</v>
      </c>
      <c r="I44" s="16">
        <f>MIN(0.5+(INDEX('Stat Boosts'!$D$2:$D$192,I$1-9)-10)*$C44,10.22)</f>
        <v>1.0760000000000001</v>
      </c>
      <c r="J44" s="16">
        <f>MIN(0.5+(INDEX('Stat Boosts'!$D$2:$D$192,J$1-9)-10)*$C44,10.22)</f>
        <v>1.2040000000000002</v>
      </c>
      <c r="K44" s="16">
        <f>MIN(0.5+(INDEX('Stat Boosts'!$D$2:$D$192,K$1-9)-10)*$C44,10.22)</f>
        <v>1.5026666666666668</v>
      </c>
      <c r="L44" s="16">
        <f>MIN(0.5+(INDEX('Stat Boosts'!$D$2:$D$192,L$1-9)-10)*$C44,10.22)</f>
        <v>1.6093333333333335</v>
      </c>
      <c r="M44" s="16">
        <f>MIN(0.5+(INDEX('Stat Boosts'!$D$2:$D$192,M$1-9)-10)*$C44,10.22)</f>
        <v>1.7586666666666668</v>
      </c>
      <c r="N44" s="16">
        <f>MIN(0.5+(INDEX('Stat Boosts'!$D$2:$D$192,N$1-9)-10)*$C44,10.22)</f>
        <v>1.9506666666666668</v>
      </c>
      <c r="O44" s="16">
        <f>MIN(0.5+(INDEX('Stat Boosts'!$D$2:$D$192,O$1-9)-10)*$C44,10.22)</f>
        <v>2.0573333333333332</v>
      </c>
      <c r="P44" s="16">
        <f>MIN(0.5+(INDEX('Stat Boosts'!$D$2:$D$192,P$1-9)-10)*$C44,10.22)</f>
        <v>2.2280000000000002</v>
      </c>
      <c r="Q44" s="16">
        <f>MIN(0.5+(INDEX('Stat Boosts'!$D$2:$D$192,Q$1-9)-10)*$C44,10.22)</f>
        <v>2.3986666666666672</v>
      </c>
      <c r="R44" s="16">
        <f>MIN(0.5+(INDEX('Stat Boosts'!$D$2:$D$192,R$1-9)-10)*$C44,10.22)</f>
        <v>2.5693333333333337</v>
      </c>
    </row>
    <row r="45" spans="1:18">
      <c r="A45" s="9">
        <v>44</v>
      </c>
      <c r="B45" s="16">
        <f t="shared" si="0"/>
        <v>29</v>
      </c>
      <c r="C45" s="16">
        <f t="shared" si="1"/>
        <v>2.1052631578947368E-2</v>
      </c>
      <c r="E45" s="16">
        <f>MIN(0.5+(INDEX('Stat Boosts'!$D$2:$D$192,E$1-9)-10)*$C45,10.22)</f>
        <v>0.5</v>
      </c>
      <c r="F45" s="16">
        <f>MIN(0.5+(INDEX('Stat Boosts'!$D$2:$D$192,F$1-9)-10)*$C45,10.22)</f>
        <v>0.64736842105263159</v>
      </c>
      <c r="G45" s="16">
        <f>MIN(0.5+(INDEX('Stat Boosts'!$D$2:$D$192,G$1-9)-10)*$C45,10.22)</f>
        <v>0.79473684210526319</v>
      </c>
      <c r="H45" s="16">
        <f>MIN(0.5+(INDEX('Stat Boosts'!$D$2:$D$192,H$1-9)-10)*$C45,10.22)</f>
        <v>0.94210526315789478</v>
      </c>
      <c r="I45" s="16">
        <f>MIN(0.5+(INDEX('Stat Boosts'!$D$2:$D$192,I$1-9)-10)*$C45,10.22)</f>
        <v>1.0684210526315789</v>
      </c>
      <c r="J45" s="16">
        <f>MIN(0.5+(INDEX('Stat Boosts'!$D$2:$D$192,J$1-9)-10)*$C45,10.22)</f>
        <v>1.1947368421052631</v>
      </c>
      <c r="K45" s="16">
        <f>MIN(0.5+(INDEX('Stat Boosts'!$D$2:$D$192,K$1-9)-10)*$C45,10.22)</f>
        <v>1.4894736842105263</v>
      </c>
      <c r="L45" s="16">
        <f>MIN(0.5+(INDEX('Stat Boosts'!$D$2:$D$192,L$1-9)-10)*$C45,10.22)</f>
        <v>1.5947368421052632</v>
      </c>
      <c r="M45" s="16">
        <f>MIN(0.5+(INDEX('Stat Boosts'!$D$2:$D$192,M$1-9)-10)*$C45,10.22)</f>
        <v>1.7421052631578946</v>
      </c>
      <c r="N45" s="16">
        <f>MIN(0.5+(INDEX('Stat Boosts'!$D$2:$D$192,N$1-9)-10)*$C45,10.22)</f>
        <v>1.9315789473684211</v>
      </c>
      <c r="O45" s="16">
        <f>MIN(0.5+(INDEX('Stat Boosts'!$D$2:$D$192,O$1-9)-10)*$C45,10.22)</f>
        <v>2.0368421052631578</v>
      </c>
      <c r="P45" s="16">
        <f>MIN(0.5+(INDEX('Stat Boosts'!$D$2:$D$192,P$1-9)-10)*$C45,10.22)</f>
        <v>2.2052631578947368</v>
      </c>
      <c r="Q45" s="16">
        <f>MIN(0.5+(INDEX('Stat Boosts'!$D$2:$D$192,Q$1-9)-10)*$C45,10.22)</f>
        <v>2.3736842105263158</v>
      </c>
      <c r="R45" s="16">
        <f>MIN(0.5+(INDEX('Stat Boosts'!$D$2:$D$192,R$1-9)-10)*$C45,10.22)</f>
        <v>2.5421052631578949</v>
      </c>
    </row>
    <row r="46" spans="1:18">
      <c r="A46" s="9">
        <v>45</v>
      </c>
      <c r="B46" s="16">
        <f t="shared" si="0"/>
        <v>29.25</v>
      </c>
      <c r="C46" s="16">
        <f t="shared" si="1"/>
        <v>2.0779220779220779E-2</v>
      </c>
      <c r="E46" s="16">
        <f>MIN(0.5+(INDEX('Stat Boosts'!$D$2:$D$192,E$1-9)-10)*$C46,10.22)</f>
        <v>0.5</v>
      </c>
      <c r="F46" s="16">
        <f>MIN(0.5+(INDEX('Stat Boosts'!$D$2:$D$192,F$1-9)-10)*$C46,10.22)</f>
        <v>0.6454545454545455</v>
      </c>
      <c r="G46" s="16">
        <f>MIN(0.5+(INDEX('Stat Boosts'!$D$2:$D$192,G$1-9)-10)*$C46,10.22)</f>
        <v>0.79090909090909089</v>
      </c>
      <c r="H46" s="16">
        <f>MIN(0.5+(INDEX('Stat Boosts'!$D$2:$D$192,H$1-9)-10)*$C46,10.22)</f>
        <v>0.93636363636363629</v>
      </c>
      <c r="I46" s="16">
        <f>MIN(0.5+(INDEX('Stat Boosts'!$D$2:$D$192,I$1-9)-10)*$C46,10.22)</f>
        <v>1.061038961038961</v>
      </c>
      <c r="J46" s="16">
        <f>MIN(0.5+(INDEX('Stat Boosts'!$D$2:$D$192,J$1-9)-10)*$C46,10.22)</f>
        <v>1.1857142857142857</v>
      </c>
      <c r="K46" s="16">
        <f>MIN(0.5+(INDEX('Stat Boosts'!$D$2:$D$192,K$1-9)-10)*$C46,10.22)</f>
        <v>1.4766233766233765</v>
      </c>
      <c r="L46" s="16">
        <f>MIN(0.5+(INDEX('Stat Boosts'!$D$2:$D$192,L$1-9)-10)*$C46,10.22)</f>
        <v>1.5805194805194804</v>
      </c>
      <c r="M46" s="16">
        <f>MIN(0.5+(INDEX('Stat Boosts'!$D$2:$D$192,M$1-9)-10)*$C46,10.22)</f>
        <v>1.7259740259740259</v>
      </c>
      <c r="N46" s="16">
        <f>MIN(0.5+(INDEX('Stat Boosts'!$D$2:$D$192,N$1-9)-10)*$C46,10.22)</f>
        <v>1.912987012987013</v>
      </c>
      <c r="O46" s="16">
        <f>MIN(0.5+(INDEX('Stat Boosts'!$D$2:$D$192,O$1-9)-10)*$C46,10.22)</f>
        <v>2.0168831168831169</v>
      </c>
      <c r="P46" s="16">
        <f>MIN(0.5+(INDEX('Stat Boosts'!$D$2:$D$192,P$1-9)-10)*$C46,10.22)</f>
        <v>2.1831168831168828</v>
      </c>
      <c r="Q46" s="16">
        <f>MIN(0.5+(INDEX('Stat Boosts'!$D$2:$D$192,Q$1-9)-10)*$C46,10.22)</f>
        <v>2.3493506493506491</v>
      </c>
      <c r="R46" s="16">
        <f>MIN(0.5+(INDEX('Stat Boosts'!$D$2:$D$192,R$1-9)-10)*$C46,10.22)</f>
        <v>2.5155844155844154</v>
      </c>
    </row>
    <row r="47" spans="1:18">
      <c r="A47" s="9">
        <v>46</v>
      </c>
      <c r="B47" s="16">
        <f t="shared" si="0"/>
        <v>29.5</v>
      </c>
      <c r="C47" s="16">
        <f t="shared" si="1"/>
        <v>2.0512820512820513E-2</v>
      </c>
      <c r="E47" s="16">
        <f>MIN(0.5+(INDEX('Stat Boosts'!$D$2:$D$192,E$1-9)-10)*$C47,10.22)</f>
        <v>0.5</v>
      </c>
      <c r="F47" s="16">
        <f>MIN(0.5+(INDEX('Stat Boosts'!$D$2:$D$192,F$1-9)-10)*$C47,10.22)</f>
        <v>0.64358974358974352</v>
      </c>
      <c r="G47" s="16">
        <f>MIN(0.5+(INDEX('Stat Boosts'!$D$2:$D$192,G$1-9)-10)*$C47,10.22)</f>
        <v>0.78717948717948716</v>
      </c>
      <c r="H47" s="16">
        <f>MIN(0.5+(INDEX('Stat Boosts'!$D$2:$D$192,H$1-9)-10)*$C47,10.22)</f>
        <v>0.93076923076923079</v>
      </c>
      <c r="I47" s="16">
        <f>MIN(0.5+(INDEX('Stat Boosts'!$D$2:$D$192,I$1-9)-10)*$C47,10.22)</f>
        <v>1.0538461538461539</v>
      </c>
      <c r="J47" s="16">
        <f>MIN(0.5+(INDEX('Stat Boosts'!$D$2:$D$192,J$1-9)-10)*$C47,10.22)</f>
        <v>1.176923076923077</v>
      </c>
      <c r="K47" s="16">
        <f>MIN(0.5+(INDEX('Stat Boosts'!$D$2:$D$192,K$1-9)-10)*$C47,10.22)</f>
        <v>1.4641025641025642</v>
      </c>
      <c r="L47" s="16">
        <f>MIN(0.5+(INDEX('Stat Boosts'!$D$2:$D$192,L$1-9)-10)*$C47,10.22)</f>
        <v>1.5666666666666667</v>
      </c>
      <c r="M47" s="16">
        <f>MIN(0.5+(INDEX('Stat Boosts'!$D$2:$D$192,M$1-9)-10)*$C47,10.22)</f>
        <v>1.7102564102564102</v>
      </c>
      <c r="N47" s="16">
        <f>MIN(0.5+(INDEX('Stat Boosts'!$D$2:$D$192,N$1-9)-10)*$C47,10.22)</f>
        <v>1.8948717948717948</v>
      </c>
      <c r="O47" s="16">
        <f>MIN(0.5+(INDEX('Stat Boosts'!$D$2:$D$192,O$1-9)-10)*$C47,10.22)</f>
        <v>1.9974358974358974</v>
      </c>
      <c r="P47" s="16">
        <f>MIN(0.5+(INDEX('Stat Boosts'!$D$2:$D$192,P$1-9)-10)*$C47,10.22)</f>
        <v>2.1615384615384619</v>
      </c>
      <c r="Q47" s="16">
        <f>MIN(0.5+(INDEX('Stat Boosts'!$D$2:$D$192,Q$1-9)-10)*$C47,10.22)</f>
        <v>2.3256410256410254</v>
      </c>
      <c r="R47" s="16">
        <f>MIN(0.5+(INDEX('Stat Boosts'!$D$2:$D$192,R$1-9)-10)*$C47,10.22)</f>
        <v>2.4897435897435898</v>
      </c>
    </row>
    <row r="48" spans="1:18">
      <c r="A48" s="9">
        <v>47</v>
      </c>
      <c r="B48" s="16">
        <f t="shared" si="0"/>
        <v>29.75</v>
      </c>
      <c r="C48" s="16">
        <f t="shared" si="1"/>
        <v>2.0253164556962026E-2</v>
      </c>
      <c r="E48" s="16">
        <f>MIN(0.5+(INDEX('Stat Boosts'!$D$2:$D$192,E$1-9)-10)*$C48,10.22)</f>
        <v>0.5</v>
      </c>
      <c r="F48" s="16">
        <f>MIN(0.5+(INDEX('Stat Boosts'!$D$2:$D$192,F$1-9)-10)*$C48,10.22)</f>
        <v>0.64177215189873416</v>
      </c>
      <c r="G48" s="16">
        <f>MIN(0.5+(INDEX('Stat Boosts'!$D$2:$D$192,G$1-9)-10)*$C48,10.22)</f>
        <v>0.78354430379746831</v>
      </c>
      <c r="H48" s="16">
        <f>MIN(0.5+(INDEX('Stat Boosts'!$D$2:$D$192,H$1-9)-10)*$C48,10.22)</f>
        <v>0.92531645569620258</v>
      </c>
      <c r="I48" s="16">
        <f>MIN(0.5+(INDEX('Stat Boosts'!$D$2:$D$192,I$1-9)-10)*$C48,10.22)</f>
        <v>1.0468354430379747</v>
      </c>
      <c r="J48" s="16">
        <f>MIN(0.5+(INDEX('Stat Boosts'!$D$2:$D$192,J$1-9)-10)*$C48,10.22)</f>
        <v>1.1683544303797468</v>
      </c>
      <c r="K48" s="16">
        <f>MIN(0.5+(INDEX('Stat Boosts'!$D$2:$D$192,K$1-9)-10)*$C48,10.22)</f>
        <v>1.4518987341772152</v>
      </c>
      <c r="L48" s="16">
        <f>MIN(0.5+(INDEX('Stat Boosts'!$D$2:$D$192,L$1-9)-10)*$C48,10.22)</f>
        <v>1.5531645569620254</v>
      </c>
      <c r="M48" s="16">
        <f>MIN(0.5+(INDEX('Stat Boosts'!$D$2:$D$192,M$1-9)-10)*$C48,10.22)</f>
        <v>1.6949367088607594</v>
      </c>
      <c r="N48" s="16">
        <f>MIN(0.5+(INDEX('Stat Boosts'!$D$2:$D$192,N$1-9)-10)*$C48,10.22)</f>
        <v>1.8772151898734177</v>
      </c>
      <c r="O48" s="16">
        <f>MIN(0.5+(INDEX('Stat Boosts'!$D$2:$D$192,O$1-9)-10)*$C48,10.22)</f>
        <v>1.978481012658228</v>
      </c>
      <c r="P48" s="16">
        <f>MIN(0.5+(INDEX('Stat Boosts'!$D$2:$D$192,P$1-9)-10)*$C48,10.22)</f>
        <v>2.1405063291139239</v>
      </c>
      <c r="Q48" s="16">
        <f>MIN(0.5+(INDEX('Stat Boosts'!$D$2:$D$192,Q$1-9)-10)*$C48,10.22)</f>
        <v>2.3025316455696201</v>
      </c>
      <c r="R48" s="16">
        <f>MIN(0.5+(INDEX('Stat Boosts'!$D$2:$D$192,R$1-9)-10)*$C48,10.22)</f>
        <v>2.4645569620253163</v>
      </c>
    </row>
    <row r="49" spans="1:18">
      <c r="A49" s="9">
        <v>48</v>
      </c>
      <c r="B49" s="16">
        <f t="shared" si="0"/>
        <v>30</v>
      </c>
      <c r="C49" s="16">
        <f t="shared" si="1"/>
        <v>0.02</v>
      </c>
      <c r="E49" s="16">
        <f>MIN(0.5+(INDEX('Stat Boosts'!$D$2:$D$192,E$1-9)-10)*$C49,10.22)</f>
        <v>0.5</v>
      </c>
      <c r="F49" s="16">
        <f>MIN(0.5+(INDEX('Stat Boosts'!$D$2:$D$192,F$1-9)-10)*$C49,10.22)</f>
        <v>0.64</v>
      </c>
      <c r="G49" s="16">
        <f>MIN(0.5+(INDEX('Stat Boosts'!$D$2:$D$192,G$1-9)-10)*$C49,10.22)</f>
        <v>0.78</v>
      </c>
      <c r="H49" s="16">
        <f>MIN(0.5+(INDEX('Stat Boosts'!$D$2:$D$192,H$1-9)-10)*$C49,10.22)</f>
        <v>0.91999999999999993</v>
      </c>
      <c r="I49" s="16">
        <f>MIN(0.5+(INDEX('Stat Boosts'!$D$2:$D$192,I$1-9)-10)*$C49,10.22)</f>
        <v>1.04</v>
      </c>
      <c r="J49" s="16">
        <f>MIN(0.5+(INDEX('Stat Boosts'!$D$2:$D$192,J$1-9)-10)*$C49,10.22)</f>
        <v>1.1600000000000001</v>
      </c>
      <c r="K49" s="16">
        <f>MIN(0.5+(INDEX('Stat Boosts'!$D$2:$D$192,K$1-9)-10)*$C49,10.22)</f>
        <v>1.44</v>
      </c>
      <c r="L49" s="16">
        <f>MIN(0.5+(INDEX('Stat Boosts'!$D$2:$D$192,L$1-9)-10)*$C49,10.22)</f>
        <v>1.54</v>
      </c>
      <c r="M49" s="16">
        <f>MIN(0.5+(INDEX('Stat Boosts'!$D$2:$D$192,M$1-9)-10)*$C49,10.22)</f>
        <v>1.68</v>
      </c>
      <c r="N49" s="16">
        <f>MIN(0.5+(INDEX('Stat Boosts'!$D$2:$D$192,N$1-9)-10)*$C49,10.22)</f>
        <v>1.86</v>
      </c>
      <c r="O49" s="16">
        <f>MIN(0.5+(INDEX('Stat Boosts'!$D$2:$D$192,O$1-9)-10)*$C49,10.22)</f>
        <v>1.96</v>
      </c>
      <c r="P49" s="16">
        <f>MIN(0.5+(INDEX('Stat Boosts'!$D$2:$D$192,P$1-9)-10)*$C49,10.22)</f>
        <v>2.12</v>
      </c>
      <c r="Q49" s="16">
        <f>MIN(0.5+(INDEX('Stat Boosts'!$D$2:$D$192,Q$1-9)-10)*$C49,10.22)</f>
        <v>2.2800000000000002</v>
      </c>
      <c r="R49" s="16">
        <f>MIN(0.5+(INDEX('Stat Boosts'!$D$2:$D$192,R$1-9)-10)*$C49,10.22)</f>
        <v>2.44</v>
      </c>
    </row>
    <row r="50" spans="1:18">
      <c r="A50" s="9">
        <v>49</v>
      </c>
      <c r="B50" s="16">
        <f t="shared" si="0"/>
        <v>30.25</v>
      </c>
      <c r="C50" s="16">
        <f t="shared" si="1"/>
        <v>1.9753086419753086E-2</v>
      </c>
      <c r="E50" s="16">
        <f>MIN(0.5+(INDEX('Stat Boosts'!$D$2:$D$192,E$1-9)-10)*$C50,10.22)</f>
        <v>0.5</v>
      </c>
      <c r="F50" s="16">
        <f>MIN(0.5+(INDEX('Stat Boosts'!$D$2:$D$192,F$1-9)-10)*$C50,10.22)</f>
        <v>0.63827160493827162</v>
      </c>
      <c r="G50" s="16">
        <f>MIN(0.5+(INDEX('Stat Boosts'!$D$2:$D$192,G$1-9)-10)*$C50,10.22)</f>
        <v>0.77654320987654324</v>
      </c>
      <c r="H50" s="16">
        <f>MIN(0.5+(INDEX('Stat Boosts'!$D$2:$D$192,H$1-9)-10)*$C50,10.22)</f>
        <v>0.91481481481481475</v>
      </c>
      <c r="I50" s="16">
        <f>MIN(0.5+(INDEX('Stat Boosts'!$D$2:$D$192,I$1-9)-10)*$C50,10.22)</f>
        <v>1.0333333333333332</v>
      </c>
      <c r="J50" s="16">
        <f>MIN(0.5+(INDEX('Stat Boosts'!$D$2:$D$192,J$1-9)-10)*$C50,10.22)</f>
        <v>1.1518518518518519</v>
      </c>
      <c r="K50" s="16">
        <f>MIN(0.5+(INDEX('Stat Boosts'!$D$2:$D$192,K$1-9)-10)*$C50,10.22)</f>
        <v>1.4283950617283949</v>
      </c>
      <c r="L50" s="16">
        <f>MIN(0.5+(INDEX('Stat Boosts'!$D$2:$D$192,L$1-9)-10)*$C50,10.22)</f>
        <v>1.5271604938271606</v>
      </c>
      <c r="M50" s="16">
        <f>MIN(0.5+(INDEX('Stat Boosts'!$D$2:$D$192,M$1-9)-10)*$C50,10.22)</f>
        <v>1.6654320987654321</v>
      </c>
      <c r="N50" s="16">
        <f>MIN(0.5+(INDEX('Stat Boosts'!$D$2:$D$192,N$1-9)-10)*$C50,10.22)</f>
        <v>1.8432098765432099</v>
      </c>
      <c r="O50" s="16">
        <f>MIN(0.5+(INDEX('Stat Boosts'!$D$2:$D$192,O$1-9)-10)*$C50,10.22)</f>
        <v>1.9419753086419753</v>
      </c>
      <c r="P50" s="16">
        <f>MIN(0.5+(INDEX('Stat Boosts'!$D$2:$D$192,P$1-9)-10)*$C50,10.22)</f>
        <v>2.0999999999999996</v>
      </c>
      <c r="Q50" s="16">
        <f>MIN(0.5+(INDEX('Stat Boosts'!$D$2:$D$192,Q$1-9)-10)*$C50,10.22)</f>
        <v>2.2580246913580249</v>
      </c>
      <c r="R50" s="16">
        <f>MIN(0.5+(INDEX('Stat Boosts'!$D$2:$D$192,R$1-9)-10)*$C50,10.22)</f>
        <v>2.4160493827160492</v>
      </c>
    </row>
    <row r="51" spans="1:18">
      <c r="A51" s="9">
        <v>50</v>
      </c>
      <c r="B51" s="16">
        <f t="shared" si="0"/>
        <v>30.5</v>
      </c>
      <c r="C51" s="16">
        <f t="shared" si="1"/>
        <v>1.9512195121951219E-2</v>
      </c>
      <c r="E51" s="16">
        <f>MIN(0.5+(INDEX('Stat Boosts'!$D$2:$D$192,E$1-9)-10)*$C51,10.22)</f>
        <v>0.5</v>
      </c>
      <c r="F51" s="16">
        <f>MIN(0.5+(INDEX('Stat Boosts'!$D$2:$D$192,F$1-9)-10)*$C51,10.22)</f>
        <v>0.63658536585365855</v>
      </c>
      <c r="G51" s="16">
        <f>MIN(0.5+(INDEX('Stat Boosts'!$D$2:$D$192,G$1-9)-10)*$C51,10.22)</f>
        <v>0.77317073170731709</v>
      </c>
      <c r="H51" s="16">
        <f>MIN(0.5+(INDEX('Stat Boosts'!$D$2:$D$192,H$1-9)-10)*$C51,10.22)</f>
        <v>0.90975609756097553</v>
      </c>
      <c r="I51" s="16">
        <f>MIN(0.5+(INDEX('Stat Boosts'!$D$2:$D$192,I$1-9)-10)*$C51,10.22)</f>
        <v>1.026829268292683</v>
      </c>
      <c r="J51" s="16">
        <f>MIN(0.5+(INDEX('Stat Boosts'!$D$2:$D$192,J$1-9)-10)*$C51,10.22)</f>
        <v>1.1439024390243904</v>
      </c>
      <c r="K51" s="16">
        <f>MIN(0.5+(INDEX('Stat Boosts'!$D$2:$D$192,K$1-9)-10)*$C51,10.22)</f>
        <v>1.4170731707317072</v>
      </c>
      <c r="L51" s="16">
        <f>MIN(0.5+(INDEX('Stat Boosts'!$D$2:$D$192,L$1-9)-10)*$C51,10.22)</f>
        <v>1.5146341463414634</v>
      </c>
      <c r="M51" s="16">
        <f>MIN(0.5+(INDEX('Stat Boosts'!$D$2:$D$192,M$1-9)-10)*$C51,10.22)</f>
        <v>1.6512195121951219</v>
      </c>
      <c r="N51" s="16">
        <f>MIN(0.5+(INDEX('Stat Boosts'!$D$2:$D$192,N$1-9)-10)*$C51,10.22)</f>
        <v>1.826829268292683</v>
      </c>
      <c r="O51" s="16">
        <f>MIN(0.5+(INDEX('Stat Boosts'!$D$2:$D$192,O$1-9)-10)*$C51,10.22)</f>
        <v>1.924390243902439</v>
      </c>
      <c r="P51" s="16">
        <f>MIN(0.5+(INDEX('Stat Boosts'!$D$2:$D$192,P$1-9)-10)*$C51,10.22)</f>
        <v>2.0804878048780489</v>
      </c>
      <c r="Q51" s="16">
        <f>MIN(0.5+(INDEX('Stat Boosts'!$D$2:$D$192,Q$1-9)-10)*$C51,10.22)</f>
        <v>2.2365853658536583</v>
      </c>
      <c r="R51" s="16">
        <f>MIN(0.5+(INDEX('Stat Boosts'!$D$2:$D$192,R$1-9)-10)*$C51,10.22)</f>
        <v>2.3926829268292682</v>
      </c>
    </row>
    <row r="52" spans="1:18">
      <c r="A52" s="9">
        <v>51</v>
      </c>
      <c r="B52" s="16">
        <f t="shared" si="0"/>
        <v>30.75</v>
      </c>
      <c r="C52" s="16">
        <f t="shared" si="1"/>
        <v>1.9277108433734941E-2</v>
      </c>
      <c r="E52" s="16">
        <f>MIN(0.5+(INDEX('Stat Boosts'!$D$2:$D$192,E$1-9)-10)*$C52,10.22)</f>
        <v>0.5</v>
      </c>
      <c r="F52" s="16">
        <f>MIN(0.5+(INDEX('Stat Boosts'!$D$2:$D$192,F$1-9)-10)*$C52,10.22)</f>
        <v>0.63493975903614452</v>
      </c>
      <c r="G52" s="16">
        <f>MIN(0.5+(INDEX('Stat Boosts'!$D$2:$D$192,G$1-9)-10)*$C52,10.22)</f>
        <v>0.76987951807228916</v>
      </c>
      <c r="H52" s="16">
        <f>MIN(0.5+(INDEX('Stat Boosts'!$D$2:$D$192,H$1-9)-10)*$C52,10.22)</f>
        <v>0.90481927710843379</v>
      </c>
      <c r="I52" s="16">
        <f>MIN(0.5+(INDEX('Stat Boosts'!$D$2:$D$192,I$1-9)-10)*$C52,10.22)</f>
        <v>1.0204819277108435</v>
      </c>
      <c r="J52" s="16">
        <f>MIN(0.5+(INDEX('Stat Boosts'!$D$2:$D$192,J$1-9)-10)*$C52,10.22)</f>
        <v>1.1361445783132531</v>
      </c>
      <c r="K52" s="16">
        <f>MIN(0.5+(INDEX('Stat Boosts'!$D$2:$D$192,K$1-9)-10)*$C52,10.22)</f>
        <v>1.4060240963855422</v>
      </c>
      <c r="L52" s="16">
        <f>MIN(0.5+(INDEX('Stat Boosts'!$D$2:$D$192,L$1-9)-10)*$C52,10.22)</f>
        <v>1.5024096385542169</v>
      </c>
      <c r="M52" s="16">
        <f>MIN(0.5+(INDEX('Stat Boosts'!$D$2:$D$192,M$1-9)-10)*$C52,10.22)</f>
        <v>1.6373493975903615</v>
      </c>
      <c r="N52" s="16">
        <f>MIN(0.5+(INDEX('Stat Boosts'!$D$2:$D$192,N$1-9)-10)*$C52,10.22)</f>
        <v>1.8108433734939759</v>
      </c>
      <c r="O52" s="16">
        <f>MIN(0.5+(INDEX('Stat Boosts'!$D$2:$D$192,O$1-9)-10)*$C52,10.22)</f>
        <v>1.9072289156626507</v>
      </c>
      <c r="P52" s="16">
        <f>MIN(0.5+(INDEX('Stat Boosts'!$D$2:$D$192,P$1-9)-10)*$C52,10.22)</f>
        <v>2.0614457831325304</v>
      </c>
      <c r="Q52" s="16">
        <f>MIN(0.5+(INDEX('Stat Boosts'!$D$2:$D$192,Q$1-9)-10)*$C52,10.22)</f>
        <v>2.2156626506024097</v>
      </c>
      <c r="R52" s="16">
        <f>MIN(0.5+(INDEX('Stat Boosts'!$D$2:$D$192,R$1-9)-10)*$C52,10.22)</f>
        <v>2.3698795180722891</v>
      </c>
    </row>
    <row r="53" spans="1:18">
      <c r="A53" s="9">
        <v>52</v>
      </c>
      <c r="B53" s="16">
        <f t="shared" si="0"/>
        <v>31</v>
      </c>
      <c r="C53" s="16">
        <f t="shared" si="1"/>
        <v>1.9047619047619049E-2</v>
      </c>
      <c r="E53" s="16">
        <f>MIN(0.5+(INDEX('Stat Boosts'!$D$2:$D$192,E$1-9)-10)*$C53,10.22)</f>
        <v>0.5</v>
      </c>
      <c r="F53" s="16">
        <f>MIN(0.5+(INDEX('Stat Boosts'!$D$2:$D$192,F$1-9)-10)*$C53,10.22)</f>
        <v>0.6333333333333333</v>
      </c>
      <c r="G53" s="16">
        <f>MIN(0.5+(INDEX('Stat Boosts'!$D$2:$D$192,G$1-9)-10)*$C53,10.22)</f>
        <v>0.76666666666666672</v>
      </c>
      <c r="H53" s="16">
        <f>MIN(0.5+(INDEX('Stat Boosts'!$D$2:$D$192,H$1-9)-10)*$C53,10.22)</f>
        <v>0.9</v>
      </c>
      <c r="I53" s="16">
        <f>MIN(0.5+(INDEX('Stat Boosts'!$D$2:$D$192,I$1-9)-10)*$C53,10.22)</f>
        <v>1.0142857142857142</v>
      </c>
      <c r="J53" s="16">
        <f>MIN(0.5+(INDEX('Stat Boosts'!$D$2:$D$192,J$1-9)-10)*$C53,10.22)</f>
        <v>1.1285714285714286</v>
      </c>
      <c r="K53" s="16">
        <f>MIN(0.5+(INDEX('Stat Boosts'!$D$2:$D$192,K$1-9)-10)*$C53,10.22)</f>
        <v>1.3952380952380952</v>
      </c>
      <c r="L53" s="16">
        <f>MIN(0.5+(INDEX('Stat Boosts'!$D$2:$D$192,L$1-9)-10)*$C53,10.22)</f>
        <v>1.4904761904761905</v>
      </c>
      <c r="M53" s="16">
        <f>MIN(0.5+(INDEX('Stat Boosts'!$D$2:$D$192,M$1-9)-10)*$C53,10.22)</f>
        <v>1.6238095238095238</v>
      </c>
      <c r="N53" s="16">
        <f>MIN(0.5+(INDEX('Stat Boosts'!$D$2:$D$192,N$1-9)-10)*$C53,10.22)</f>
        <v>1.7952380952380953</v>
      </c>
      <c r="O53" s="16">
        <f>MIN(0.5+(INDEX('Stat Boosts'!$D$2:$D$192,O$1-9)-10)*$C53,10.22)</f>
        <v>1.8904761904761906</v>
      </c>
      <c r="P53" s="16">
        <f>MIN(0.5+(INDEX('Stat Boosts'!$D$2:$D$192,P$1-9)-10)*$C53,10.22)</f>
        <v>2.0428571428571427</v>
      </c>
      <c r="Q53" s="16">
        <f>MIN(0.5+(INDEX('Stat Boosts'!$D$2:$D$192,Q$1-9)-10)*$C53,10.22)</f>
        <v>2.1952380952380954</v>
      </c>
      <c r="R53" s="16">
        <f>MIN(0.5+(INDEX('Stat Boosts'!$D$2:$D$192,R$1-9)-10)*$C53,10.22)</f>
        <v>2.3476190476190477</v>
      </c>
    </row>
    <row r="54" spans="1:18">
      <c r="A54" s="9">
        <v>53</v>
      </c>
      <c r="B54" s="16">
        <f t="shared" si="0"/>
        <v>31.25</v>
      </c>
      <c r="C54" s="16">
        <f t="shared" si="1"/>
        <v>1.8823529411764708E-2</v>
      </c>
      <c r="E54" s="16">
        <f>MIN(0.5+(INDEX('Stat Boosts'!$D$2:$D$192,E$1-9)-10)*$C54,10.22)</f>
        <v>0.5</v>
      </c>
      <c r="F54" s="16">
        <f>MIN(0.5+(INDEX('Stat Boosts'!$D$2:$D$192,F$1-9)-10)*$C54,10.22)</f>
        <v>0.63176470588235301</v>
      </c>
      <c r="G54" s="16">
        <f>MIN(0.5+(INDEX('Stat Boosts'!$D$2:$D$192,G$1-9)-10)*$C54,10.22)</f>
        <v>0.7635294117647059</v>
      </c>
      <c r="H54" s="16">
        <f>MIN(0.5+(INDEX('Stat Boosts'!$D$2:$D$192,H$1-9)-10)*$C54,10.22)</f>
        <v>0.8952941176470588</v>
      </c>
      <c r="I54" s="16">
        <f>MIN(0.5+(INDEX('Stat Boosts'!$D$2:$D$192,I$1-9)-10)*$C54,10.22)</f>
        <v>1.0082352941176471</v>
      </c>
      <c r="J54" s="16">
        <f>MIN(0.5+(INDEX('Stat Boosts'!$D$2:$D$192,J$1-9)-10)*$C54,10.22)</f>
        <v>1.1211764705882352</v>
      </c>
      <c r="K54" s="16">
        <f>MIN(0.5+(INDEX('Stat Boosts'!$D$2:$D$192,K$1-9)-10)*$C54,10.22)</f>
        <v>1.3847058823529412</v>
      </c>
      <c r="L54" s="16">
        <f>MIN(0.5+(INDEX('Stat Boosts'!$D$2:$D$192,L$1-9)-10)*$C54,10.22)</f>
        <v>1.4788235294117649</v>
      </c>
      <c r="M54" s="16">
        <f>MIN(0.5+(INDEX('Stat Boosts'!$D$2:$D$192,M$1-9)-10)*$C54,10.22)</f>
        <v>1.6105882352941177</v>
      </c>
      <c r="N54" s="16">
        <f>MIN(0.5+(INDEX('Stat Boosts'!$D$2:$D$192,N$1-9)-10)*$C54,10.22)</f>
        <v>1.78</v>
      </c>
      <c r="O54" s="16">
        <f>MIN(0.5+(INDEX('Stat Boosts'!$D$2:$D$192,O$1-9)-10)*$C54,10.22)</f>
        <v>1.8741176470588237</v>
      </c>
      <c r="P54" s="16">
        <f>MIN(0.5+(INDEX('Stat Boosts'!$D$2:$D$192,P$1-9)-10)*$C54,10.22)</f>
        <v>2.0247058823529414</v>
      </c>
      <c r="Q54" s="16">
        <f>MIN(0.5+(INDEX('Stat Boosts'!$D$2:$D$192,Q$1-9)-10)*$C54,10.22)</f>
        <v>2.1752941176470593</v>
      </c>
      <c r="R54" s="16">
        <f>MIN(0.5+(INDEX('Stat Boosts'!$D$2:$D$192,R$1-9)-10)*$C54,10.22)</f>
        <v>2.3258823529411767</v>
      </c>
    </row>
    <row r="55" spans="1:18">
      <c r="A55" s="9">
        <v>54</v>
      </c>
      <c r="B55" s="16">
        <f t="shared" si="0"/>
        <v>31.5</v>
      </c>
      <c r="C55" s="16">
        <f t="shared" si="1"/>
        <v>1.8604651162790697E-2</v>
      </c>
      <c r="E55" s="16">
        <f>MIN(0.5+(INDEX('Stat Boosts'!$D$2:$D$192,E$1-9)-10)*$C55,10.22)</f>
        <v>0.5</v>
      </c>
      <c r="F55" s="16">
        <f>MIN(0.5+(INDEX('Stat Boosts'!$D$2:$D$192,F$1-9)-10)*$C55,10.22)</f>
        <v>0.63023255813953494</v>
      </c>
      <c r="G55" s="16">
        <f>MIN(0.5+(INDEX('Stat Boosts'!$D$2:$D$192,G$1-9)-10)*$C55,10.22)</f>
        <v>0.76046511627906976</v>
      </c>
      <c r="H55" s="16">
        <f>MIN(0.5+(INDEX('Stat Boosts'!$D$2:$D$192,H$1-9)-10)*$C55,10.22)</f>
        <v>0.89069767441860459</v>
      </c>
      <c r="I55" s="16">
        <f>MIN(0.5+(INDEX('Stat Boosts'!$D$2:$D$192,I$1-9)-10)*$C55,10.22)</f>
        <v>1.0023255813953489</v>
      </c>
      <c r="J55" s="16">
        <f>MIN(0.5+(INDEX('Stat Boosts'!$D$2:$D$192,J$1-9)-10)*$C55,10.22)</f>
        <v>1.113953488372093</v>
      </c>
      <c r="K55" s="16">
        <f>MIN(0.5+(INDEX('Stat Boosts'!$D$2:$D$192,K$1-9)-10)*$C55,10.22)</f>
        <v>1.3744186046511628</v>
      </c>
      <c r="L55" s="16">
        <f>MIN(0.5+(INDEX('Stat Boosts'!$D$2:$D$192,L$1-9)-10)*$C55,10.22)</f>
        <v>1.4674418604651163</v>
      </c>
      <c r="M55" s="16">
        <f>MIN(0.5+(INDEX('Stat Boosts'!$D$2:$D$192,M$1-9)-10)*$C55,10.22)</f>
        <v>1.5976744186046512</v>
      </c>
      <c r="N55" s="16">
        <f>MIN(0.5+(INDEX('Stat Boosts'!$D$2:$D$192,N$1-9)-10)*$C55,10.22)</f>
        <v>1.7651162790697674</v>
      </c>
      <c r="O55" s="16">
        <f>MIN(0.5+(INDEX('Stat Boosts'!$D$2:$D$192,O$1-9)-10)*$C55,10.22)</f>
        <v>1.8581395348837209</v>
      </c>
      <c r="P55" s="16">
        <f>MIN(0.5+(INDEX('Stat Boosts'!$D$2:$D$192,P$1-9)-10)*$C55,10.22)</f>
        <v>2.0069767441860464</v>
      </c>
      <c r="Q55" s="16">
        <f>MIN(0.5+(INDEX('Stat Boosts'!$D$2:$D$192,Q$1-9)-10)*$C55,10.22)</f>
        <v>2.155813953488372</v>
      </c>
      <c r="R55" s="16">
        <f>MIN(0.5+(INDEX('Stat Boosts'!$D$2:$D$192,R$1-9)-10)*$C55,10.22)</f>
        <v>2.3046511627906976</v>
      </c>
    </row>
    <row r="56" spans="1:18">
      <c r="A56" s="9">
        <v>55</v>
      </c>
      <c r="B56" s="16">
        <f t="shared" si="0"/>
        <v>31.75</v>
      </c>
      <c r="C56" s="16">
        <f t="shared" si="1"/>
        <v>1.8390804597701149E-2</v>
      </c>
      <c r="E56" s="16">
        <f>MIN(0.5+(INDEX('Stat Boosts'!$D$2:$D$192,E$1-9)-10)*$C56,10.22)</f>
        <v>0.5</v>
      </c>
      <c r="F56" s="16">
        <f>MIN(0.5+(INDEX('Stat Boosts'!$D$2:$D$192,F$1-9)-10)*$C56,10.22)</f>
        <v>0.62873563218390804</v>
      </c>
      <c r="G56" s="16">
        <f>MIN(0.5+(INDEX('Stat Boosts'!$D$2:$D$192,G$1-9)-10)*$C56,10.22)</f>
        <v>0.75747126436781609</v>
      </c>
      <c r="H56" s="16">
        <f>MIN(0.5+(INDEX('Stat Boosts'!$D$2:$D$192,H$1-9)-10)*$C56,10.22)</f>
        <v>0.88620689655172413</v>
      </c>
      <c r="I56" s="16">
        <f>MIN(0.5+(INDEX('Stat Boosts'!$D$2:$D$192,I$1-9)-10)*$C56,10.22)</f>
        <v>0.99655172413793103</v>
      </c>
      <c r="J56" s="16">
        <f>MIN(0.5+(INDEX('Stat Boosts'!$D$2:$D$192,J$1-9)-10)*$C56,10.22)</f>
        <v>1.1068965517241378</v>
      </c>
      <c r="K56" s="16">
        <f>MIN(0.5+(INDEX('Stat Boosts'!$D$2:$D$192,K$1-9)-10)*$C56,10.22)</f>
        <v>1.3643678160919541</v>
      </c>
      <c r="L56" s="16">
        <f>MIN(0.5+(INDEX('Stat Boosts'!$D$2:$D$192,L$1-9)-10)*$C56,10.22)</f>
        <v>1.4563218390804598</v>
      </c>
      <c r="M56" s="16">
        <f>MIN(0.5+(INDEX('Stat Boosts'!$D$2:$D$192,M$1-9)-10)*$C56,10.22)</f>
        <v>1.5850574712643679</v>
      </c>
      <c r="N56" s="16">
        <f>MIN(0.5+(INDEX('Stat Boosts'!$D$2:$D$192,N$1-9)-10)*$C56,10.22)</f>
        <v>1.7505747126436781</v>
      </c>
      <c r="O56" s="16">
        <f>MIN(0.5+(INDEX('Stat Boosts'!$D$2:$D$192,O$1-9)-10)*$C56,10.22)</f>
        <v>1.8425287356321838</v>
      </c>
      <c r="P56" s="16">
        <f>MIN(0.5+(INDEX('Stat Boosts'!$D$2:$D$192,P$1-9)-10)*$C56,10.22)</f>
        <v>1.989655172413793</v>
      </c>
      <c r="Q56" s="16">
        <f>MIN(0.5+(INDEX('Stat Boosts'!$D$2:$D$192,Q$1-9)-10)*$C56,10.22)</f>
        <v>2.1367816091954022</v>
      </c>
      <c r="R56" s="16">
        <f>MIN(0.5+(INDEX('Stat Boosts'!$D$2:$D$192,R$1-9)-10)*$C56,10.22)</f>
        <v>2.2839080459770114</v>
      </c>
    </row>
    <row r="57" spans="1:18">
      <c r="A57" s="9">
        <v>56</v>
      </c>
      <c r="B57" s="16">
        <f t="shared" si="0"/>
        <v>32</v>
      </c>
      <c r="C57" s="16">
        <f t="shared" si="1"/>
        <v>1.8181818181818184E-2</v>
      </c>
      <c r="E57" s="16">
        <f>MIN(0.5+(INDEX('Stat Boosts'!$D$2:$D$192,E$1-9)-10)*$C57,10.22)</f>
        <v>0.5</v>
      </c>
      <c r="F57" s="16">
        <f>MIN(0.5+(INDEX('Stat Boosts'!$D$2:$D$192,F$1-9)-10)*$C57,10.22)</f>
        <v>0.62727272727272732</v>
      </c>
      <c r="G57" s="16">
        <f>MIN(0.5+(INDEX('Stat Boosts'!$D$2:$D$192,G$1-9)-10)*$C57,10.22)</f>
        <v>0.75454545454545463</v>
      </c>
      <c r="H57" s="16">
        <f>MIN(0.5+(INDEX('Stat Boosts'!$D$2:$D$192,H$1-9)-10)*$C57,10.22)</f>
        <v>0.88181818181818183</v>
      </c>
      <c r="I57" s="16">
        <f>MIN(0.5+(INDEX('Stat Boosts'!$D$2:$D$192,I$1-9)-10)*$C57,10.22)</f>
        <v>0.99090909090909096</v>
      </c>
      <c r="J57" s="16">
        <f>MIN(0.5+(INDEX('Stat Boosts'!$D$2:$D$192,J$1-9)-10)*$C57,10.22)</f>
        <v>1.1000000000000001</v>
      </c>
      <c r="K57" s="16">
        <f>MIN(0.5+(INDEX('Stat Boosts'!$D$2:$D$192,K$1-9)-10)*$C57,10.22)</f>
        <v>1.3545454545454547</v>
      </c>
      <c r="L57" s="16">
        <f>MIN(0.5+(INDEX('Stat Boosts'!$D$2:$D$192,L$1-9)-10)*$C57,10.22)</f>
        <v>1.4454545454545455</v>
      </c>
      <c r="M57" s="16">
        <f>MIN(0.5+(INDEX('Stat Boosts'!$D$2:$D$192,M$1-9)-10)*$C57,10.22)</f>
        <v>1.572727272727273</v>
      </c>
      <c r="N57" s="16">
        <f>MIN(0.5+(INDEX('Stat Boosts'!$D$2:$D$192,N$1-9)-10)*$C57,10.22)</f>
        <v>1.7363636363636366</v>
      </c>
      <c r="O57" s="16">
        <f>MIN(0.5+(INDEX('Stat Boosts'!$D$2:$D$192,O$1-9)-10)*$C57,10.22)</f>
        <v>1.8272727272727274</v>
      </c>
      <c r="P57" s="16">
        <f>MIN(0.5+(INDEX('Stat Boosts'!$D$2:$D$192,P$1-9)-10)*$C57,10.22)</f>
        <v>1.9727272727272729</v>
      </c>
      <c r="Q57" s="16">
        <f>MIN(0.5+(INDEX('Stat Boosts'!$D$2:$D$192,Q$1-9)-10)*$C57,10.22)</f>
        <v>2.1181818181818182</v>
      </c>
      <c r="R57" s="16">
        <f>MIN(0.5+(INDEX('Stat Boosts'!$D$2:$D$192,R$1-9)-10)*$C57,10.22)</f>
        <v>2.2636363636363637</v>
      </c>
    </row>
    <row r="58" spans="1:18">
      <c r="A58" s="9">
        <v>57</v>
      </c>
      <c r="B58" s="16">
        <f t="shared" si="0"/>
        <v>32.25</v>
      </c>
      <c r="C58" s="16">
        <f t="shared" si="1"/>
        <v>1.7977528089887642E-2</v>
      </c>
      <c r="E58" s="16">
        <f>MIN(0.5+(INDEX('Stat Boosts'!$D$2:$D$192,E$1-9)-10)*$C58,10.22)</f>
        <v>0.5</v>
      </c>
      <c r="F58" s="16">
        <f>MIN(0.5+(INDEX('Stat Boosts'!$D$2:$D$192,F$1-9)-10)*$C58,10.22)</f>
        <v>0.62584269662921344</v>
      </c>
      <c r="G58" s="16">
        <f>MIN(0.5+(INDEX('Stat Boosts'!$D$2:$D$192,G$1-9)-10)*$C58,10.22)</f>
        <v>0.75168539325842698</v>
      </c>
      <c r="H58" s="16">
        <f>MIN(0.5+(INDEX('Stat Boosts'!$D$2:$D$192,H$1-9)-10)*$C58,10.22)</f>
        <v>0.87752808988764053</v>
      </c>
      <c r="I58" s="16">
        <f>MIN(0.5+(INDEX('Stat Boosts'!$D$2:$D$192,I$1-9)-10)*$C58,10.22)</f>
        <v>0.98539325842696635</v>
      </c>
      <c r="J58" s="16">
        <f>MIN(0.5+(INDEX('Stat Boosts'!$D$2:$D$192,J$1-9)-10)*$C58,10.22)</f>
        <v>1.0932584269662922</v>
      </c>
      <c r="K58" s="16">
        <f>MIN(0.5+(INDEX('Stat Boosts'!$D$2:$D$192,K$1-9)-10)*$C58,10.22)</f>
        <v>1.344943820224719</v>
      </c>
      <c r="L58" s="16">
        <f>MIN(0.5+(INDEX('Stat Boosts'!$D$2:$D$192,L$1-9)-10)*$C58,10.22)</f>
        <v>1.4348314606741575</v>
      </c>
      <c r="M58" s="16">
        <f>MIN(0.5+(INDEX('Stat Boosts'!$D$2:$D$192,M$1-9)-10)*$C58,10.22)</f>
        <v>1.5606741573033709</v>
      </c>
      <c r="N58" s="16">
        <f>MIN(0.5+(INDEX('Stat Boosts'!$D$2:$D$192,N$1-9)-10)*$C58,10.22)</f>
        <v>1.7224719101123596</v>
      </c>
      <c r="O58" s="16">
        <f>MIN(0.5+(INDEX('Stat Boosts'!$D$2:$D$192,O$1-9)-10)*$C58,10.22)</f>
        <v>1.8123595505617978</v>
      </c>
      <c r="P58" s="16">
        <f>MIN(0.5+(INDEX('Stat Boosts'!$D$2:$D$192,P$1-9)-10)*$C58,10.22)</f>
        <v>1.9561797752808989</v>
      </c>
      <c r="Q58" s="16">
        <f>MIN(0.5+(INDEX('Stat Boosts'!$D$2:$D$192,Q$1-9)-10)*$C58,10.22)</f>
        <v>2.1</v>
      </c>
      <c r="R58" s="16">
        <f>MIN(0.5+(INDEX('Stat Boosts'!$D$2:$D$192,R$1-9)-10)*$C58,10.22)</f>
        <v>2.2438202247191015</v>
      </c>
    </row>
    <row r="59" spans="1:18">
      <c r="A59" s="9">
        <v>58</v>
      </c>
      <c r="B59" s="16">
        <f t="shared" si="0"/>
        <v>32.5</v>
      </c>
      <c r="C59" s="16">
        <f t="shared" si="1"/>
        <v>1.7777777777777778E-2</v>
      </c>
      <c r="E59" s="16">
        <f>MIN(0.5+(INDEX('Stat Boosts'!$D$2:$D$192,E$1-9)-10)*$C59,10.22)</f>
        <v>0.5</v>
      </c>
      <c r="F59" s="16">
        <f>MIN(0.5+(INDEX('Stat Boosts'!$D$2:$D$192,F$1-9)-10)*$C59,10.22)</f>
        <v>0.62444444444444447</v>
      </c>
      <c r="G59" s="16">
        <f>MIN(0.5+(INDEX('Stat Boosts'!$D$2:$D$192,G$1-9)-10)*$C59,10.22)</f>
        <v>0.74888888888888894</v>
      </c>
      <c r="H59" s="16">
        <f>MIN(0.5+(INDEX('Stat Boosts'!$D$2:$D$192,H$1-9)-10)*$C59,10.22)</f>
        <v>0.87333333333333329</v>
      </c>
      <c r="I59" s="16">
        <f>MIN(0.5+(INDEX('Stat Boosts'!$D$2:$D$192,I$1-9)-10)*$C59,10.22)</f>
        <v>0.98</v>
      </c>
      <c r="J59" s="16">
        <f>MIN(0.5+(INDEX('Stat Boosts'!$D$2:$D$192,J$1-9)-10)*$C59,10.22)</f>
        <v>1.0866666666666667</v>
      </c>
      <c r="K59" s="16">
        <f>MIN(0.5+(INDEX('Stat Boosts'!$D$2:$D$192,K$1-9)-10)*$C59,10.22)</f>
        <v>1.3355555555555556</v>
      </c>
      <c r="L59" s="16">
        <f>MIN(0.5+(INDEX('Stat Boosts'!$D$2:$D$192,L$1-9)-10)*$C59,10.22)</f>
        <v>1.4244444444444444</v>
      </c>
      <c r="M59" s="16">
        <f>MIN(0.5+(INDEX('Stat Boosts'!$D$2:$D$192,M$1-9)-10)*$C59,10.22)</f>
        <v>1.548888888888889</v>
      </c>
      <c r="N59" s="16">
        <f>MIN(0.5+(INDEX('Stat Boosts'!$D$2:$D$192,N$1-9)-10)*$C59,10.22)</f>
        <v>1.7088888888888889</v>
      </c>
      <c r="O59" s="16">
        <f>MIN(0.5+(INDEX('Stat Boosts'!$D$2:$D$192,O$1-9)-10)*$C59,10.22)</f>
        <v>1.7977777777777777</v>
      </c>
      <c r="P59" s="16">
        <f>MIN(0.5+(INDEX('Stat Boosts'!$D$2:$D$192,P$1-9)-10)*$C59,10.22)</f>
        <v>1.94</v>
      </c>
      <c r="Q59" s="16">
        <f>MIN(0.5+(INDEX('Stat Boosts'!$D$2:$D$192,Q$1-9)-10)*$C59,10.22)</f>
        <v>2.0822222222222222</v>
      </c>
      <c r="R59" s="16">
        <f>MIN(0.5+(INDEX('Stat Boosts'!$D$2:$D$192,R$1-9)-10)*$C59,10.22)</f>
        <v>2.2244444444444444</v>
      </c>
    </row>
    <row r="60" spans="1:18">
      <c r="A60" s="9">
        <v>59</v>
      </c>
      <c r="B60" s="16">
        <f t="shared" si="0"/>
        <v>32.75</v>
      </c>
      <c r="C60" s="16">
        <f t="shared" si="1"/>
        <v>1.7582417582417582E-2</v>
      </c>
      <c r="E60" s="16">
        <f>MIN(0.5+(INDEX('Stat Boosts'!$D$2:$D$192,E$1-9)-10)*$C60,10.22)</f>
        <v>0.5</v>
      </c>
      <c r="F60" s="16">
        <f>MIN(0.5+(INDEX('Stat Boosts'!$D$2:$D$192,F$1-9)-10)*$C60,10.22)</f>
        <v>0.62307692307692308</v>
      </c>
      <c r="G60" s="16">
        <f>MIN(0.5+(INDEX('Stat Boosts'!$D$2:$D$192,G$1-9)-10)*$C60,10.22)</f>
        <v>0.74615384615384617</v>
      </c>
      <c r="H60" s="16">
        <f>MIN(0.5+(INDEX('Stat Boosts'!$D$2:$D$192,H$1-9)-10)*$C60,10.22)</f>
        <v>0.86923076923076925</v>
      </c>
      <c r="I60" s="16">
        <f>MIN(0.5+(INDEX('Stat Boosts'!$D$2:$D$192,I$1-9)-10)*$C60,10.22)</f>
        <v>0.9747252747252747</v>
      </c>
      <c r="J60" s="16">
        <f>MIN(0.5+(INDEX('Stat Boosts'!$D$2:$D$192,J$1-9)-10)*$C60,10.22)</f>
        <v>1.0802197802197804</v>
      </c>
      <c r="K60" s="16">
        <f>MIN(0.5+(INDEX('Stat Boosts'!$D$2:$D$192,K$1-9)-10)*$C60,10.22)</f>
        <v>1.3263736263736263</v>
      </c>
      <c r="L60" s="16">
        <f>MIN(0.5+(INDEX('Stat Boosts'!$D$2:$D$192,L$1-9)-10)*$C60,10.22)</f>
        <v>1.4142857142857141</v>
      </c>
      <c r="M60" s="16">
        <f>MIN(0.5+(INDEX('Stat Boosts'!$D$2:$D$192,M$1-9)-10)*$C60,10.22)</f>
        <v>1.5373626373626375</v>
      </c>
      <c r="N60" s="16">
        <f>MIN(0.5+(INDEX('Stat Boosts'!$D$2:$D$192,N$1-9)-10)*$C60,10.22)</f>
        <v>1.6956043956043956</v>
      </c>
      <c r="O60" s="16">
        <f>MIN(0.5+(INDEX('Stat Boosts'!$D$2:$D$192,O$1-9)-10)*$C60,10.22)</f>
        <v>1.7835164835164836</v>
      </c>
      <c r="P60" s="16">
        <f>MIN(0.5+(INDEX('Stat Boosts'!$D$2:$D$192,P$1-9)-10)*$C60,10.22)</f>
        <v>1.9241758241758242</v>
      </c>
      <c r="Q60" s="16">
        <f>MIN(0.5+(INDEX('Stat Boosts'!$D$2:$D$192,Q$1-9)-10)*$C60,10.22)</f>
        <v>2.0648351648351646</v>
      </c>
      <c r="R60" s="16">
        <f>MIN(0.5+(INDEX('Stat Boosts'!$D$2:$D$192,R$1-9)-10)*$C60,10.22)</f>
        <v>2.2054945054945057</v>
      </c>
    </row>
    <row r="61" spans="1:18">
      <c r="A61" s="9">
        <v>60</v>
      </c>
      <c r="B61" s="16">
        <f t="shared" si="0"/>
        <v>33</v>
      </c>
      <c r="C61" s="16">
        <f t="shared" si="1"/>
        <v>1.7391304347826087E-2</v>
      </c>
      <c r="E61" s="16">
        <f>MIN(0.5+(INDEX('Stat Boosts'!$D$2:$D$192,E$1-9)-10)*$C61,10.22)</f>
        <v>0.5</v>
      </c>
      <c r="F61" s="16">
        <f>MIN(0.5+(INDEX('Stat Boosts'!$D$2:$D$192,F$1-9)-10)*$C61,10.22)</f>
        <v>0.62173913043478257</v>
      </c>
      <c r="G61" s="16">
        <f>MIN(0.5+(INDEX('Stat Boosts'!$D$2:$D$192,G$1-9)-10)*$C61,10.22)</f>
        <v>0.74347826086956526</v>
      </c>
      <c r="H61" s="16">
        <f>MIN(0.5+(INDEX('Stat Boosts'!$D$2:$D$192,H$1-9)-10)*$C61,10.22)</f>
        <v>0.86521739130434783</v>
      </c>
      <c r="I61" s="16">
        <f>MIN(0.5+(INDEX('Stat Boosts'!$D$2:$D$192,I$1-9)-10)*$C61,10.22)</f>
        <v>0.9695652173913043</v>
      </c>
      <c r="J61" s="16">
        <f>MIN(0.5+(INDEX('Stat Boosts'!$D$2:$D$192,J$1-9)-10)*$C61,10.22)</f>
        <v>1.0739130434782609</v>
      </c>
      <c r="K61" s="16">
        <f>MIN(0.5+(INDEX('Stat Boosts'!$D$2:$D$192,K$1-9)-10)*$C61,10.22)</f>
        <v>1.3173913043478263</v>
      </c>
      <c r="L61" s="16">
        <f>MIN(0.5+(INDEX('Stat Boosts'!$D$2:$D$192,L$1-9)-10)*$C61,10.22)</f>
        <v>1.4043478260869566</v>
      </c>
      <c r="M61" s="16">
        <f>MIN(0.5+(INDEX('Stat Boosts'!$D$2:$D$192,M$1-9)-10)*$C61,10.22)</f>
        <v>1.5260869565217392</v>
      </c>
      <c r="N61" s="16">
        <f>MIN(0.5+(INDEX('Stat Boosts'!$D$2:$D$192,N$1-9)-10)*$C61,10.22)</f>
        <v>1.682608695652174</v>
      </c>
      <c r="O61" s="16">
        <f>MIN(0.5+(INDEX('Stat Boosts'!$D$2:$D$192,O$1-9)-10)*$C61,10.22)</f>
        <v>1.7695652173913043</v>
      </c>
      <c r="P61" s="16">
        <f>MIN(0.5+(INDEX('Stat Boosts'!$D$2:$D$192,P$1-9)-10)*$C61,10.22)</f>
        <v>1.9086956521739131</v>
      </c>
      <c r="Q61" s="16">
        <f>MIN(0.5+(INDEX('Stat Boosts'!$D$2:$D$192,Q$1-9)-10)*$C61,10.22)</f>
        <v>2.0478260869565217</v>
      </c>
      <c r="R61" s="16">
        <f>MIN(0.5+(INDEX('Stat Boosts'!$D$2:$D$192,R$1-9)-10)*$C61,10.22)</f>
        <v>2.1869565217391305</v>
      </c>
    </row>
    <row r="62" spans="1:18">
      <c r="A62" s="9">
        <v>61</v>
      </c>
      <c r="B62" s="16">
        <f t="shared" si="0"/>
        <v>33.25</v>
      </c>
      <c r="C62" s="16">
        <f t="shared" si="1"/>
        <v>1.7204301075268817E-2</v>
      </c>
      <c r="E62" s="16">
        <f>MIN(0.5+(INDEX('Stat Boosts'!$D$2:$D$192,E$1-9)-10)*$C62,10.22)</f>
        <v>0.5</v>
      </c>
      <c r="F62" s="16">
        <f>MIN(0.5+(INDEX('Stat Boosts'!$D$2:$D$192,F$1-9)-10)*$C62,10.22)</f>
        <v>0.62043010752688166</v>
      </c>
      <c r="G62" s="16">
        <f>MIN(0.5+(INDEX('Stat Boosts'!$D$2:$D$192,G$1-9)-10)*$C62,10.22)</f>
        <v>0.74086021505376343</v>
      </c>
      <c r="H62" s="16">
        <f>MIN(0.5+(INDEX('Stat Boosts'!$D$2:$D$192,H$1-9)-10)*$C62,10.22)</f>
        <v>0.8612903225806452</v>
      </c>
      <c r="I62" s="16">
        <f>MIN(0.5+(INDEX('Stat Boosts'!$D$2:$D$192,I$1-9)-10)*$C62,10.22)</f>
        <v>0.96451612903225814</v>
      </c>
      <c r="J62" s="16">
        <f>MIN(0.5+(INDEX('Stat Boosts'!$D$2:$D$192,J$1-9)-10)*$C62,10.22)</f>
        <v>1.0677419354838711</v>
      </c>
      <c r="K62" s="16">
        <f>MIN(0.5+(INDEX('Stat Boosts'!$D$2:$D$192,K$1-9)-10)*$C62,10.22)</f>
        <v>1.3086021505376344</v>
      </c>
      <c r="L62" s="16">
        <f>MIN(0.5+(INDEX('Stat Boosts'!$D$2:$D$192,L$1-9)-10)*$C62,10.22)</f>
        <v>1.3946236559139784</v>
      </c>
      <c r="M62" s="16">
        <f>MIN(0.5+(INDEX('Stat Boosts'!$D$2:$D$192,M$1-9)-10)*$C62,10.22)</f>
        <v>1.5150537634408603</v>
      </c>
      <c r="N62" s="16">
        <f>MIN(0.5+(INDEX('Stat Boosts'!$D$2:$D$192,N$1-9)-10)*$C62,10.22)</f>
        <v>1.6698924731182796</v>
      </c>
      <c r="O62" s="16">
        <f>MIN(0.5+(INDEX('Stat Boosts'!$D$2:$D$192,O$1-9)-10)*$C62,10.22)</f>
        <v>1.7559139784946236</v>
      </c>
      <c r="P62" s="16">
        <f>MIN(0.5+(INDEX('Stat Boosts'!$D$2:$D$192,P$1-9)-10)*$C62,10.22)</f>
        <v>1.8935483870967742</v>
      </c>
      <c r="Q62" s="16">
        <f>MIN(0.5+(INDEX('Stat Boosts'!$D$2:$D$192,Q$1-9)-10)*$C62,10.22)</f>
        <v>2.0311827956989248</v>
      </c>
      <c r="R62" s="16">
        <f>MIN(0.5+(INDEX('Stat Boosts'!$D$2:$D$192,R$1-9)-10)*$C62,10.22)</f>
        <v>2.1688172043010754</v>
      </c>
    </row>
    <row r="63" spans="1:18">
      <c r="A63" s="9">
        <v>62</v>
      </c>
      <c r="B63" s="16">
        <f t="shared" si="0"/>
        <v>33.5</v>
      </c>
      <c r="C63" s="16">
        <f t="shared" si="1"/>
        <v>1.7021276595744681E-2</v>
      </c>
      <c r="E63" s="16">
        <f>MIN(0.5+(INDEX('Stat Boosts'!$D$2:$D$192,E$1-9)-10)*$C63,10.22)</f>
        <v>0.5</v>
      </c>
      <c r="F63" s="16">
        <f>MIN(0.5+(INDEX('Stat Boosts'!$D$2:$D$192,F$1-9)-10)*$C63,10.22)</f>
        <v>0.61914893617021272</v>
      </c>
      <c r="G63" s="16">
        <f>MIN(0.5+(INDEX('Stat Boosts'!$D$2:$D$192,G$1-9)-10)*$C63,10.22)</f>
        <v>0.73829787234042554</v>
      </c>
      <c r="H63" s="16">
        <f>MIN(0.5+(INDEX('Stat Boosts'!$D$2:$D$192,H$1-9)-10)*$C63,10.22)</f>
        <v>0.85744680851063837</v>
      </c>
      <c r="I63" s="16">
        <f>MIN(0.5+(INDEX('Stat Boosts'!$D$2:$D$192,I$1-9)-10)*$C63,10.22)</f>
        <v>0.95957446808510638</v>
      </c>
      <c r="J63" s="16">
        <f>MIN(0.5+(INDEX('Stat Boosts'!$D$2:$D$192,J$1-9)-10)*$C63,10.22)</f>
        <v>1.0617021276595744</v>
      </c>
      <c r="K63" s="16">
        <f>MIN(0.5+(INDEX('Stat Boosts'!$D$2:$D$192,K$1-9)-10)*$C63,10.22)</f>
        <v>1.3</v>
      </c>
      <c r="L63" s="16">
        <f>MIN(0.5+(INDEX('Stat Boosts'!$D$2:$D$192,L$1-9)-10)*$C63,10.22)</f>
        <v>1.3851063829787233</v>
      </c>
      <c r="M63" s="16">
        <f>MIN(0.5+(INDEX('Stat Boosts'!$D$2:$D$192,M$1-9)-10)*$C63,10.22)</f>
        <v>1.5042553191489363</v>
      </c>
      <c r="N63" s="16">
        <f>MIN(0.5+(INDEX('Stat Boosts'!$D$2:$D$192,N$1-9)-10)*$C63,10.22)</f>
        <v>1.6574468085106384</v>
      </c>
      <c r="O63" s="16">
        <f>MIN(0.5+(INDEX('Stat Boosts'!$D$2:$D$192,O$1-9)-10)*$C63,10.22)</f>
        <v>1.7425531914893617</v>
      </c>
      <c r="P63" s="16">
        <f>MIN(0.5+(INDEX('Stat Boosts'!$D$2:$D$192,P$1-9)-10)*$C63,10.22)</f>
        <v>1.8787234042553191</v>
      </c>
      <c r="Q63" s="16">
        <f>MIN(0.5+(INDEX('Stat Boosts'!$D$2:$D$192,Q$1-9)-10)*$C63,10.22)</f>
        <v>2.0148936170212766</v>
      </c>
      <c r="R63" s="16">
        <f>MIN(0.5+(INDEX('Stat Boosts'!$D$2:$D$192,R$1-9)-10)*$C63,10.22)</f>
        <v>2.1510638297872342</v>
      </c>
    </row>
    <row r="64" spans="1:18">
      <c r="A64" s="9">
        <v>63</v>
      </c>
      <c r="B64" s="16">
        <f t="shared" si="0"/>
        <v>33.75</v>
      </c>
      <c r="C64" s="16">
        <f t="shared" si="1"/>
        <v>1.6842105263157894E-2</v>
      </c>
      <c r="E64" s="16">
        <f>MIN(0.5+(INDEX('Stat Boosts'!$D$2:$D$192,E$1-9)-10)*$C64,10.22)</f>
        <v>0.5</v>
      </c>
      <c r="F64" s="16">
        <f>MIN(0.5+(INDEX('Stat Boosts'!$D$2:$D$192,F$1-9)-10)*$C64,10.22)</f>
        <v>0.61789473684210527</v>
      </c>
      <c r="G64" s="16">
        <f>MIN(0.5+(INDEX('Stat Boosts'!$D$2:$D$192,G$1-9)-10)*$C64,10.22)</f>
        <v>0.73578947368421055</v>
      </c>
      <c r="H64" s="16">
        <f>MIN(0.5+(INDEX('Stat Boosts'!$D$2:$D$192,H$1-9)-10)*$C64,10.22)</f>
        <v>0.85368421052631582</v>
      </c>
      <c r="I64" s="16">
        <f>MIN(0.5+(INDEX('Stat Boosts'!$D$2:$D$192,I$1-9)-10)*$C64,10.22)</f>
        <v>0.95473684210526311</v>
      </c>
      <c r="J64" s="16">
        <f>MIN(0.5+(INDEX('Stat Boosts'!$D$2:$D$192,J$1-9)-10)*$C64,10.22)</f>
        <v>1.0557894736842104</v>
      </c>
      <c r="K64" s="16">
        <f>MIN(0.5+(INDEX('Stat Boosts'!$D$2:$D$192,K$1-9)-10)*$C64,10.22)</f>
        <v>1.2915789473684209</v>
      </c>
      <c r="L64" s="16">
        <f>MIN(0.5+(INDEX('Stat Boosts'!$D$2:$D$192,L$1-9)-10)*$C64,10.22)</f>
        <v>1.3757894736842105</v>
      </c>
      <c r="M64" s="16">
        <f>MIN(0.5+(INDEX('Stat Boosts'!$D$2:$D$192,M$1-9)-10)*$C64,10.22)</f>
        <v>1.4936842105263157</v>
      </c>
      <c r="N64" s="16">
        <f>MIN(0.5+(INDEX('Stat Boosts'!$D$2:$D$192,N$1-9)-10)*$C64,10.22)</f>
        <v>1.6452631578947368</v>
      </c>
      <c r="O64" s="16">
        <f>MIN(0.5+(INDEX('Stat Boosts'!$D$2:$D$192,O$1-9)-10)*$C64,10.22)</f>
        <v>1.7294736842105263</v>
      </c>
      <c r="P64" s="16">
        <f>MIN(0.5+(INDEX('Stat Boosts'!$D$2:$D$192,P$1-9)-10)*$C64,10.22)</f>
        <v>1.8642105263157895</v>
      </c>
      <c r="Q64" s="16">
        <f>MIN(0.5+(INDEX('Stat Boosts'!$D$2:$D$192,Q$1-9)-10)*$C64,10.22)</f>
        <v>1.9989473684210526</v>
      </c>
      <c r="R64" s="16">
        <f>MIN(0.5+(INDEX('Stat Boosts'!$D$2:$D$192,R$1-9)-10)*$C64,10.22)</f>
        <v>2.1336842105263161</v>
      </c>
    </row>
    <row r="65" spans="1:18">
      <c r="A65" s="9">
        <v>64</v>
      </c>
      <c r="B65" s="16">
        <f t="shared" si="0"/>
        <v>34</v>
      </c>
      <c r="C65" s="16">
        <f t="shared" si="1"/>
        <v>1.6666666666666666E-2</v>
      </c>
      <c r="E65" s="16">
        <f>MIN(0.5+(INDEX('Stat Boosts'!$D$2:$D$192,E$1-9)-10)*$C65,10.22)</f>
        <v>0.5</v>
      </c>
      <c r="F65" s="16">
        <f>MIN(0.5+(INDEX('Stat Boosts'!$D$2:$D$192,F$1-9)-10)*$C65,10.22)</f>
        <v>0.6166666666666667</v>
      </c>
      <c r="G65" s="16">
        <f>MIN(0.5+(INDEX('Stat Boosts'!$D$2:$D$192,G$1-9)-10)*$C65,10.22)</f>
        <v>0.73333333333333339</v>
      </c>
      <c r="H65" s="16">
        <f>MIN(0.5+(INDEX('Stat Boosts'!$D$2:$D$192,H$1-9)-10)*$C65,10.22)</f>
        <v>0.85</v>
      </c>
      <c r="I65" s="16">
        <f>MIN(0.5+(INDEX('Stat Boosts'!$D$2:$D$192,I$1-9)-10)*$C65,10.22)</f>
        <v>0.95</v>
      </c>
      <c r="J65" s="16">
        <f>MIN(0.5+(INDEX('Stat Boosts'!$D$2:$D$192,J$1-9)-10)*$C65,10.22)</f>
        <v>1.05</v>
      </c>
      <c r="K65" s="16">
        <f>MIN(0.5+(INDEX('Stat Boosts'!$D$2:$D$192,K$1-9)-10)*$C65,10.22)</f>
        <v>1.2833333333333332</v>
      </c>
      <c r="L65" s="16">
        <f>MIN(0.5+(INDEX('Stat Boosts'!$D$2:$D$192,L$1-9)-10)*$C65,10.22)</f>
        <v>1.3666666666666667</v>
      </c>
      <c r="M65" s="16">
        <f>MIN(0.5+(INDEX('Stat Boosts'!$D$2:$D$192,M$1-9)-10)*$C65,10.22)</f>
        <v>1.4833333333333334</v>
      </c>
      <c r="N65" s="16">
        <f>MIN(0.5+(INDEX('Stat Boosts'!$D$2:$D$192,N$1-9)-10)*$C65,10.22)</f>
        <v>1.6333333333333333</v>
      </c>
      <c r="O65" s="16">
        <f>MIN(0.5+(INDEX('Stat Boosts'!$D$2:$D$192,O$1-9)-10)*$C65,10.22)</f>
        <v>1.7166666666666666</v>
      </c>
      <c r="P65" s="16">
        <f>MIN(0.5+(INDEX('Stat Boosts'!$D$2:$D$192,P$1-9)-10)*$C65,10.22)</f>
        <v>1.85</v>
      </c>
      <c r="Q65" s="16">
        <f>MIN(0.5+(INDEX('Stat Boosts'!$D$2:$D$192,Q$1-9)-10)*$C65,10.22)</f>
        <v>1.9833333333333334</v>
      </c>
      <c r="R65" s="16">
        <f>MIN(0.5+(INDEX('Stat Boosts'!$D$2:$D$192,R$1-9)-10)*$C65,10.22)</f>
        <v>2.1166666666666667</v>
      </c>
    </row>
    <row r="66" spans="1:18">
      <c r="A66" s="9">
        <v>65</v>
      </c>
      <c r="B66" s="16">
        <f t="shared" si="0"/>
        <v>34.25</v>
      </c>
      <c r="C66" s="16">
        <f t="shared" si="1"/>
        <v>1.6494845360824743E-2</v>
      </c>
      <c r="E66" s="16">
        <f>MIN(0.5+(INDEX('Stat Boosts'!$D$2:$D$192,E$1-9)-10)*$C66,10.22)</f>
        <v>0.5</v>
      </c>
      <c r="F66" s="16">
        <f>MIN(0.5+(INDEX('Stat Boosts'!$D$2:$D$192,F$1-9)-10)*$C66,10.22)</f>
        <v>0.61546391752577323</v>
      </c>
      <c r="G66" s="16">
        <f>MIN(0.5+(INDEX('Stat Boosts'!$D$2:$D$192,G$1-9)-10)*$C66,10.22)</f>
        <v>0.73092783505154646</v>
      </c>
      <c r="H66" s="16">
        <f>MIN(0.5+(INDEX('Stat Boosts'!$D$2:$D$192,H$1-9)-10)*$C66,10.22)</f>
        <v>0.84639175257731958</v>
      </c>
      <c r="I66" s="16">
        <f>MIN(0.5+(INDEX('Stat Boosts'!$D$2:$D$192,I$1-9)-10)*$C66,10.22)</f>
        <v>0.94536082474226801</v>
      </c>
      <c r="J66" s="16">
        <f>MIN(0.5+(INDEX('Stat Boosts'!$D$2:$D$192,J$1-9)-10)*$C66,10.22)</f>
        <v>1.0443298969072166</v>
      </c>
      <c r="K66" s="16">
        <f>MIN(0.5+(INDEX('Stat Boosts'!$D$2:$D$192,K$1-9)-10)*$C66,10.22)</f>
        <v>1.2752577319587628</v>
      </c>
      <c r="L66" s="16">
        <f>MIN(0.5+(INDEX('Stat Boosts'!$D$2:$D$192,L$1-9)-10)*$C66,10.22)</f>
        <v>1.3577319587628867</v>
      </c>
      <c r="M66" s="16">
        <f>MIN(0.5+(INDEX('Stat Boosts'!$D$2:$D$192,M$1-9)-10)*$C66,10.22)</f>
        <v>1.4731958762886599</v>
      </c>
      <c r="N66" s="16">
        <f>MIN(0.5+(INDEX('Stat Boosts'!$D$2:$D$192,N$1-9)-10)*$C66,10.22)</f>
        <v>1.6216494845360825</v>
      </c>
      <c r="O66" s="16">
        <f>MIN(0.5+(INDEX('Stat Boosts'!$D$2:$D$192,O$1-9)-10)*$C66,10.22)</f>
        <v>1.7041237113402061</v>
      </c>
      <c r="P66" s="16">
        <f>MIN(0.5+(INDEX('Stat Boosts'!$D$2:$D$192,P$1-9)-10)*$C66,10.22)</f>
        <v>1.8360824742268043</v>
      </c>
      <c r="Q66" s="16">
        <f>MIN(0.5+(INDEX('Stat Boosts'!$D$2:$D$192,Q$1-9)-10)*$C66,10.22)</f>
        <v>1.9680412371134022</v>
      </c>
      <c r="R66" s="16">
        <f>MIN(0.5+(INDEX('Stat Boosts'!$D$2:$D$192,R$1-9)-10)*$C66,10.22)</f>
        <v>2.1</v>
      </c>
    </row>
    <row r="67" spans="1:18">
      <c r="A67" s="9">
        <v>66</v>
      </c>
      <c r="B67" s="16">
        <f t="shared" ref="B67:B130" si="2">18+A67/4</f>
        <v>34.5</v>
      </c>
      <c r="C67" s="16">
        <f t="shared" ref="C67:C130" si="3">0.4/(B67-10)</f>
        <v>1.6326530612244899E-2</v>
      </c>
      <c r="E67" s="16">
        <f>MIN(0.5+(INDEX('Stat Boosts'!$D$2:$D$192,E$1-9)-10)*$C67,10.22)</f>
        <v>0.5</v>
      </c>
      <c r="F67" s="16">
        <f>MIN(0.5+(INDEX('Stat Boosts'!$D$2:$D$192,F$1-9)-10)*$C67,10.22)</f>
        <v>0.61428571428571432</v>
      </c>
      <c r="G67" s="16">
        <f>MIN(0.5+(INDEX('Stat Boosts'!$D$2:$D$192,G$1-9)-10)*$C67,10.22)</f>
        <v>0.72857142857142865</v>
      </c>
      <c r="H67" s="16">
        <f>MIN(0.5+(INDEX('Stat Boosts'!$D$2:$D$192,H$1-9)-10)*$C67,10.22)</f>
        <v>0.84285714285714286</v>
      </c>
      <c r="I67" s="16">
        <f>MIN(0.5+(INDEX('Stat Boosts'!$D$2:$D$192,I$1-9)-10)*$C67,10.22)</f>
        <v>0.94081632653061231</v>
      </c>
      <c r="J67" s="16">
        <f>MIN(0.5+(INDEX('Stat Boosts'!$D$2:$D$192,J$1-9)-10)*$C67,10.22)</f>
        <v>1.0387755102040817</v>
      </c>
      <c r="K67" s="16">
        <f>MIN(0.5+(INDEX('Stat Boosts'!$D$2:$D$192,K$1-9)-10)*$C67,10.22)</f>
        <v>1.2673469387755103</v>
      </c>
      <c r="L67" s="16">
        <f>MIN(0.5+(INDEX('Stat Boosts'!$D$2:$D$192,L$1-9)-10)*$C67,10.22)</f>
        <v>1.3489795918367347</v>
      </c>
      <c r="M67" s="16">
        <f>MIN(0.5+(INDEX('Stat Boosts'!$D$2:$D$192,M$1-9)-10)*$C67,10.22)</f>
        <v>1.463265306122449</v>
      </c>
      <c r="N67" s="16">
        <f>MIN(0.5+(INDEX('Stat Boosts'!$D$2:$D$192,N$1-9)-10)*$C67,10.22)</f>
        <v>1.6102040816326531</v>
      </c>
      <c r="O67" s="16">
        <f>MIN(0.5+(INDEX('Stat Boosts'!$D$2:$D$192,O$1-9)-10)*$C67,10.22)</f>
        <v>1.6918367346938776</v>
      </c>
      <c r="P67" s="16">
        <f>MIN(0.5+(INDEX('Stat Boosts'!$D$2:$D$192,P$1-9)-10)*$C67,10.22)</f>
        <v>1.8224489795918368</v>
      </c>
      <c r="Q67" s="16">
        <f>MIN(0.5+(INDEX('Stat Boosts'!$D$2:$D$192,Q$1-9)-10)*$C67,10.22)</f>
        <v>1.953061224489796</v>
      </c>
      <c r="R67" s="16">
        <f>MIN(0.5+(INDEX('Stat Boosts'!$D$2:$D$192,R$1-9)-10)*$C67,10.22)</f>
        <v>2.0836734693877554</v>
      </c>
    </row>
    <row r="68" spans="1:18">
      <c r="A68" s="9">
        <v>67</v>
      </c>
      <c r="B68" s="16">
        <f t="shared" si="2"/>
        <v>34.75</v>
      </c>
      <c r="C68" s="16">
        <f t="shared" si="3"/>
        <v>1.6161616161616162E-2</v>
      </c>
      <c r="E68" s="16">
        <f>MIN(0.5+(INDEX('Stat Boosts'!$D$2:$D$192,E$1-9)-10)*$C68,10.22)</f>
        <v>0.5</v>
      </c>
      <c r="F68" s="16">
        <f>MIN(0.5+(INDEX('Stat Boosts'!$D$2:$D$192,F$1-9)-10)*$C68,10.22)</f>
        <v>0.61313131313131319</v>
      </c>
      <c r="G68" s="16">
        <f>MIN(0.5+(INDEX('Stat Boosts'!$D$2:$D$192,G$1-9)-10)*$C68,10.22)</f>
        <v>0.72626262626262628</v>
      </c>
      <c r="H68" s="16">
        <f>MIN(0.5+(INDEX('Stat Boosts'!$D$2:$D$192,H$1-9)-10)*$C68,10.22)</f>
        <v>0.83939393939393936</v>
      </c>
      <c r="I68" s="16">
        <f>MIN(0.5+(INDEX('Stat Boosts'!$D$2:$D$192,I$1-9)-10)*$C68,10.22)</f>
        <v>0.93636363636363629</v>
      </c>
      <c r="J68" s="16">
        <f>MIN(0.5+(INDEX('Stat Boosts'!$D$2:$D$192,J$1-9)-10)*$C68,10.22)</f>
        <v>1.0333333333333332</v>
      </c>
      <c r="K68" s="16">
        <f>MIN(0.5+(INDEX('Stat Boosts'!$D$2:$D$192,K$1-9)-10)*$C68,10.22)</f>
        <v>1.2595959595959596</v>
      </c>
      <c r="L68" s="16">
        <f>MIN(0.5+(INDEX('Stat Boosts'!$D$2:$D$192,L$1-9)-10)*$C68,10.22)</f>
        <v>1.3404040404040405</v>
      </c>
      <c r="M68" s="16">
        <f>MIN(0.5+(INDEX('Stat Boosts'!$D$2:$D$192,M$1-9)-10)*$C68,10.22)</f>
        <v>1.4535353535353535</v>
      </c>
      <c r="N68" s="16">
        <f>MIN(0.5+(INDEX('Stat Boosts'!$D$2:$D$192,N$1-9)-10)*$C68,10.22)</f>
        <v>1.598989898989899</v>
      </c>
      <c r="O68" s="16">
        <f>MIN(0.5+(INDEX('Stat Boosts'!$D$2:$D$192,O$1-9)-10)*$C68,10.22)</f>
        <v>1.6797979797979798</v>
      </c>
      <c r="P68" s="16">
        <f>MIN(0.5+(INDEX('Stat Boosts'!$D$2:$D$192,P$1-9)-10)*$C68,10.22)</f>
        <v>1.8090909090909091</v>
      </c>
      <c r="Q68" s="16">
        <f>MIN(0.5+(INDEX('Stat Boosts'!$D$2:$D$192,Q$1-9)-10)*$C68,10.22)</f>
        <v>1.9383838383838383</v>
      </c>
      <c r="R68" s="16">
        <f>MIN(0.5+(INDEX('Stat Boosts'!$D$2:$D$192,R$1-9)-10)*$C68,10.22)</f>
        <v>2.067676767676768</v>
      </c>
    </row>
    <row r="69" spans="1:18">
      <c r="A69" s="9">
        <v>68</v>
      </c>
      <c r="B69" s="16">
        <f t="shared" si="2"/>
        <v>35</v>
      </c>
      <c r="C69" s="16">
        <f t="shared" si="3"/>
        <v>1.6E-2</v>
      </c>
      <c r="E69" s="16">
        <f>MIN(0.5+(INDEX('Stat Boosts'!$D$2:$D$192,E$1-9)-10)*$C69,10.22)</f>
        <v>0.5</v>
      </c>
      <c r="F69" s="16">
        <f>MIN(0.5+(INDEX('Stat Boosts'!$D$2:$D$192,F$1-9)-10)*$C69,10.22)</f>
        <v>0.61199999999999999</v>
      </c>
      <c r="G69" s="16">
        <f>MIN(0.5+(INDEX('Stat Boosts'!$D$2:$D$192,G$1-9)-10)*$C69,10.22)</f>
        <v>0.72399999999999998</v>
      </c>
      <c r="H69" s="16">
        <f>MIN(0.5+(INDEX('Stat Boosts'!$D$2:$D$192,H$1-9)-10)*$C69,10.22)</f>
        <v>0.83600000000000008</v>
      </c>
      <c r="I69" s="16">
        <f>MIN(0.5+(INDEX('Stat Boosts'!$D$2:$D$192,I$1-9)-10)*$C69,10.22)</f>
        <v>0.93199999999999994</v>
      </c>
      <c r="J69" s="16">
        <f>MIN(0.5+(INDEX('Stat Boosts'!$D$2:$D$192,J$1-9)-10)*$C69,10.22)</f>
        <v>1.028</v>
      </c>
      <c r="K69" s="16">
        <f>MIN(0.5+(INDEX('Stat Boosts'!$D$2:$D$192,K$1-9)-10)*$C69,10.22)</f>
        <v>1.252</v>
      </c>
      <c r="L69" s="16">
        <f>MIN(0.5+(INDEX('Stat Boosts'!$D$2:$D$192,L$1-9)-10)*$C69,10.22)</f>
        <v>1.3320000000000001</v>
      </c>
      <c r="M69" s="16">
        <f>MIN(0.5+(INDEX('Stat Boosts'!$D$2:$D$192,M$1-9)-10)*$C69,10.22)</f>
        <v>1.444</v>
      </c>
      <c r="N69" s="16">
        <f>MIN(0.5+(INDEX('Stat Boosts'!$D$2:$D$192,N$1-9)-10)*$C69,10.22)</f>
        <v>1.5880000000000001</v>
      </c>
      <c r="O69" s="16">
        <f>MIN(0.5+(INDEX('Stat Boosts'!$D$2:$D$192,O$1-9)-10)*$C69,10.22)</f>
        <v>1.6679999999999999</v>
      </c>
      <c r="P69" s="16">
        <f>MIN(0.5+(INDEX('Stat Boosts'!$D$2:$D$192,P$1-9)-10)*$C69,10.22)</f>
        <v>1.796</v>
      </c>
      <c r="Q69" s="16">
        <f>MIN(0.5+(INDEX('Stat Boosts'!$D$2:$D$192,Q$1-9)-10)*$C69,10.22)</f>
        <v>1.9239999999999999</v>
      </c>
      <c r="R69" s="16">
        <f>MIN(0.5+(INDEX('Stat Boosts'!$D$2:$D$192,R$1-9)-10)*$C69,10.22)</f>
        <v>2.052</v>
      </c>
    </row>
    <row r="70" spans="1:18">
      <c r="A70" s="9">
        <v>69</v>
      </c>
      <c r="B70" s="16">
        <f t="shared" si="2"/>
        <v>35.25</v>
      </c>
      <c r="C70" s="16">
        <f t="shared" si="3"/>
        <v>1.5841584158415842E-2</v>
      </c>
      <c r="E70" s="16">
        <f>MIN(0.5+(INDEX('Stat Boosts'!$D$2:$D$192,E$1-9)-10)*$C70,10.22)</f>
        <v>0.5</v>
      </c>
      <c r="F70" s="16">
        <f>MIN(0.5+(INDEX('Stat Boosts'!$D$2:$D$192,F$1-9)-10)*$C70,10.22)</f>
        <v>0.61089108910891088</v>
      </c>
      <c r="G70" s="16">
        <f>MIN(0.5+(INDEX('Stat Boosts'!$D$2:$D$192,G$1-9)-10)*$C70,10.22)</f>
        <v>0.72178217821782176</v>
      </c>
      <c r="H70" s="16">
        <f>MIN(0.5+(INDEX('Stat Boosts'!$D$2:$D$192,H$1-9)-10)*$C70,10.22)</f>
        <v>0.83267326732673275</v>
      </c>
      <c r="I70" s="16">
        <f>MIN(0.5+(INDEX('Stat Boosts'!$D$2:$D$192,I$1-9)-10)*$C70,10.22)</f>
        <v>0.92772277227722766</v>
      </c>
      <c r="J70" s="16">
        <f>MIN(0.5+(INDEX('Stat Boosts'!$D$2:$D$192,J$1-9)-10)*$C70,10.22)</f>
        <v>1.0227722772277228</v>
      </c>
      <c r="K70" s="16">
        <f>MIN(0.5+(INDEX('Stat Boosts'!$D$2:$D$192,K$1-9)-10)*$C70,10.22)</f>
        <v>1.2445544554455445</v>
      </c>
      <c r="L70" s="16">
        <f>MIN(0.5+(INDEX('Stat Boosts'!$D$2:$D$192,L$1-9)-10)*$C70,10.22)</f>
        <v>1.3237623762376238</v>
      </c>
      <c r="M70" s="16">
        <f>MIN(0.5+(INDEX('Stat Boosts'!$D$2:$D$192,M$1-9)-10)*$C70,10.22)</f>
        <v>1.4346534653465346</v>
      </c>
      <c r="N70" s="16">
        <f>MIN(0.5+(INDEX('Stat Boosts'!$D$2:$D$192,N$1-9)-10)*$C70,10.22)</f>
        <v>1.5772277227722773</v>
      </c>
      <c r="O70" s="16">
        <f>MIN(0.5+(INDEX('Stat Boosts'!$D$2:$D$192,O$1-9)-10)*$C70,10.22)</f>
        <v>1.6564356435643564</v>
      </c>
      <c r="P70" s="16">
        <f>MIN(0.5+(INDEX('Stat Boosts'!$D$2:$D$192,P$1-9)-10)*$C70,10.22)</f>
        <v>1.7831683168316832</v>
      </c>
      <c r="Q70" s="16">
        <f>MIN(0.5+(INDEX('Stat Boosts'!$D$2:$D$192,Q$1-9)-10)*$C70,10.22)</f>
        <v>1.9099009900990098</v>
      </c>
      <c r="R70" s="16">
        <f>MIN(0.5+(INDEX('Stat Boosts'!$D$2:$D$192,R$1-9)-10)*$C70,10.22)</f>
        <v>2.0366336633663367</v>
      </c>
    </row>
    <row r="71" spans="1:18">
      <c r="A71" s="9">
        <v>70</v>
      </c>
      <c r="B71" s="16">
        <f t="shared" si="2"/>
        <v>35.5</v>
      </c>
      <c r="C71" s="16">
        <f t="shared" si="3"/>
        <v>1.5686274509803921E-2</v>
      </c>
      <c r="E71" s="16">
        <f>MIN(0.5+(INDEX('Stat Boosts'!$D$2:$D$192,E$1-9)-10)*$C71,10.22)</f>
        <v>0.5</v>
      </c>
      <c r="F71" s="16">
        <f>MIN(0.5+(INDEX('Stat Boosts'!$D$2:$D$192,F$1-9)-10)*$C71,10.22)</f>
        <v>0.6098039215686275</v>
      </c>
      <c r="G71" s="16">
        <f>MIN(0.5+(INDEX('Stat Boosts'!$D$2:$D$192,G$1-9)-10)*$C71,10.22)</f>
        <v>0.7196078431372549</v>
      </c>
      <c r="H71" s="16">
        <f>MIN(0.5+(INDEX('Stat Boosts'!$D$2:$D$192,H$1-9)-10)*$C71,10.22)</f>
        <v>0.82941176470588229</v>
      </c>
      <c r="I71" s="16">
        <f>MIN(0.5+(INDEX('Stat Boosts'!$D$2:$D$192,I$1-9)-10)*$C71,10.22)</f>
        <v>0.92352941176470593</v>
      </c>
      <c r="J71" s="16">
        <f>MIN(0.5+(INDEX('Stat Boosts'!$D$2:$D$192,J$1-9)-10)*$C71,10.22)</f>
        <v>1.0176470588235293</v>
      </c>
      <c r="K71" s="16">
        <f>MIN(0.5+(INDEX('Stat Boosts'!$D$2:$D$192,K$1-9)-10)*$C71,10.22)</f>
        <v>1.2372549019607844</v>
      </c>
      <c r="L71" s="16">
        <f>MIN(0.5+(INDEX('Stat Boosts'!$D$2:$D$192,L$1-9)-10)*$C71,10.22)</f>
        <v>1.3156862745098039</v>
      </c>
      <c r="M71" s="16">
        <f>MIN(0.5+(INDEX('Stat Boosts'!$D$2:$D$192,M$1-9)-10)*$C71,10.22)</f>
        <v>1.4254901960784314</v>
      </c>
      <c r="N71" s="16">
        <f>MIN(0.5+(INDEX('Stat Boosts'!$D$2:$D$192,N$1-9)-10)*$C71,10.22)</f>
        <v>1.5666666666666667</v>
      </c>
      <c r="O71" s="16">
        <f>MIN(0.5+(INDEX('Stat Boosts'!$D$2:$D$192,O$1-9)-10)*$C71,10.22)</f>
        <v>1.6450980392156862</v>
      </c>
      <c r="P71" s="16">
        <f>MIN(0.5+(INDEX('Stat Boosts'!$D$2:$D$192,P$1-9)-10)*$C71,10.22)</f>
        <v>1.7705882352941176</v>
      </c>
      <c r="Q71" s="16">
        <f>MIN(0.5+(INDEX('Stat Boosts'!$D$2:$D$192,Q$1-9)-10)*$C71,10.22)</f>
        <v>1.8960784313725489</v>
      </c>
      <c r="R71" s="16">
        <f>MIN(0.5+(INDEX('Stat Boosts'!$D$2:$D$192,R$1-9)-10)*$C71,10.22)</f>
        <v>2.0215686274509803</v>
      </c>
    </row>
    <row r="72" spans="1:18">
      <c r="A72" s="9">
        <v>71</v>
      </c>
      <c r="B72" s="16">
        <f t="shared" si="2"/>
        <v>35.75</v>
      </c>
      <c r="C72" s="16">
        <f t="shared" si="3"/>
        <v>1.5533980582524273E-2</v>
      </c>
      <c r="E72" s="16">
        <f>MIN(0.5+(INDEX('Stat Boosts'!$D$2:$D$192,E$1-9)-10)*$C72,10.22)</f>
        <v>0.5</v>
      </c>
      <c r="F72" s="16">
        <f>MIN(0.5+(INDEX('Stat Boosts'!$D$2:$D$192,F$1-9)-10)*$C72,10.22)</f>
        <v>0.60873786407766994</v>
      </c>
      <c r="G72" s="16">
        <f>MIN(0.5+(INDEX('Stat Boosts'!$D$2:$D$192,G$1-9)-10)*$C72,10.22)</f>
        <v>0.71747572815533989</v>
      </c>
      <c r="H72" s="16">
        <f>MIN(0.5+(INDEX('Stat Boosts'!$D$2:$D$192,H$1-9)-10)*$C72,10.22)</f>
        <v>0.82621359223300972</v>
      </c>
      <c r="I72" s="16">
        <f>MIN(0.5+(INDEX('Stat Boosts'!$D$2:$D$192,I$1-9)-10)*$C72,10.22)</f>
        <v>0.91941747572815535</v>
      </c>
      <c r="J72" s="16">
        <f>MIN(0.5+(INDEX('Stat Boosts'!$D$2:$D$192,J$1-9)-10)*$C72,10.22)</f>
        <v>1.0126213592233011</v>
      </c>
      <c r="K72" s="16">
        <f>MIN(0.5+(INDEX('Stat Boosts'!$D$2:$D$192,K$1-9)-10)*$C72,10.22)</f>
        <v>1.230097087378641</v>
      </c>
      <c r="L72" s="16">
        <f>MIN(0.5+(INDEX('Stat Boosts'!$D$2:$D$192,L$1-9)-10)*$C72,10.22)</f>
        <v>1.3077669902912623</v>
      </c>
      <c r="M72" s="16">
        <f>MIN(0.5+(INDEX('Stat Boosts'!$D$2:$D$192,M$1-9)-10)*$C72,10.22)</f>
        <v>1.4165048543689323</v>
      </c>
      <c r="N72" s="16">
        <f>MIN(0.5+(INDEX('Stat Boosts'!$D$2:$D$192,N$1-9)-10)*$C72,10.22)</f>
        <v>1.5563106796116506</v>
      </c>
      <c r="O72" s="16">
        <f>MIN(0.5+(INDEX('Stat Boosts'!$D$2:$D$192,O$1-9)-10)*$C72,10.22)</f>
        <v>1.6339805825242719</v>
      </c>
      <c r="P72" s="16">
        <f>MIN(0.5+(INDEX('Stat Boosts'!$D$2:$D$192,P$1-9)-10)*$C72,10.22)</f>
        <v>1.7582524271844662</v>
      </c>
      <c r="Q72" s="16">
        <f>MIN(0.5+(INDEX('Stat Boosts'!$D$2:$D$192,Q$1-9)-10)*$C72,10.22)</f>
        <v>1.8825242718446602</v>
      </c>
      <c r="R72" s="16">
        <f>MIN(0.5+(INDEX('Stat Boosts'!$D$2:$D$192,R$1-9)-10)*$C72,10.22)</f>
        <v>2.0067961165048542</v>
      </c>
    </row>
    <row r="73" spans="1:18">
      <c r="A73" s="9">
        <v>72</v>
      </c>
      <c r="B73" s="16">
        <f t="shared" si="2"/>
        <v>36</v>
      </c>
      <c r="C73" s="16">
        <f t="shared" si="3"/>
        <v>1.5384615384615385E-2</v>
      </c>
      <c r="E73" s="16">
        <f>MIN(0.5+(INDEX('Stat Boosts'!$D$2:$D$192,E$1-9)-10)*$C73,10.22)</f>
        <v>0.5</v>
      </c>
      <c r="F73" s="16">
        <f>MIN(0.5+(INDEX('Stat Boosts'!$D$2:$D$192,F$1-9)-10)*$C73,10.22)</f>
        <v>0.60769230769230775</v>
      </c>
      <c r="G73" s="16">
        <f>MIN(0.5+(INDEX('Stat Boosts'!$D$2:$D$192,G$1-9)-10)*$C73,10.22)</f>
        <v>0.7153846153846154</v>
      </c>
      <c r="H73" s="16">
        <f>MIN(0.5+(INDEX('Stat Boosts'!$D$2:$D$192,H$1-9)-10)*$C73,10.22)</f>
        <v>0.82307692307692304</v>
      </c>
      <c r="I73" s="16">
        <f>MIN(0.5+(INDEX('Stat Boosts'!$D$2:$D$192,I$1-9)-10)*$C73,10.22)</f>
        <v>0.91538461538461546</v>
      </c>
      <c r="J73" s="16">
        <f>MIN(0.5+(INDEX('Stat Boosts'!$D$2:$D$192,J$1-9)-10)*$C73,10.22)</f>
        <v>1.0076923076923077</v>
      </c>
      <c r="K73" s="16">
        <f>MIN(0.5+(INDEX('Stat Boosts'!$D$2:$D$192,K$1-9)-10)*$C73,10.22)</f>
        <v>1.2230769230769232</v>
      </c>
      <c r="L73" s="16">
        <f>MIN(0.5+(INDEX('Stat Boosts'!$D$2:$D$192,L$1-9)-10)*$C73,10.22)</f>
        <v>1.3</v>
      </c>
      <c r="M73" s="16">
        <f>MIN(0.5+(INDEX('Stat Boosts'!$D$2:$D$192,M$1-9)-10)*$C73,10.22)</f>
        <v>1.4076923076923078</v>
      </c>
      <c r="N73" s="16">
        <f>MIN(0.5+(INDEX('Stat Boosts'!$D$2:$D$192,N$1-9)-10)*$C73,10.22)</f>
        <v>1.5461538461538462</v>
      </c>
      <c r="O73" s="16">
        <f>MIN(0.5+(INDEX('Stat Boosts'!$D$2:$D$192,O$1-9)-10)*$C73,10.22)</f>
        <v>1.6230769230769231</v>
      </c>
      <c r="P73" s="16">
        <f>MIN(0.5+(INDEX('Stat Boosts'!$D$2:$D$192,P$1-9)-10)*$C73,10.22)</f>
        <v>1.7461538461538462</v>
      </c>
      <c r="Q73" s="16">
        <f>MIN(0.5+(INDEX('Stat Boosts'!$D$2:$D$192,Q$1-9)-10)*$C73,10.22)</f>
        <v>1.8692307692307693</v>
      </c>
      <c r="R73" s="16">
        <f>MIN(0.5+(INDEX('Stat Boosts'!$D$2:$D$192,R$1-9)-10)*$C73,10.22)</f>
        <v>1.9923076923076923</v>
      </c>
    </row>
    <row r="74" spans="1:18">
      <c r="A74" s="9">
        <v>73</v>
      </c>
      <c r="B74" s="16">
        <f t="shared" si="2"/>
        <v>36.25</v>
      </c>
      <c r="C74" s="16">
        <f t="shared" si="3"/>
        <v>1.5238095238095238E-2</v>
      </c>
      <c r="E74" s="16">
        <f>MIN(0.5+(INDEX('Stat Boosts'!$D$2:$D$192,E$1-9)-10)*$C74,10.22)</f>
        <v>0.5</v>
      </c>
      <c r="F74" s="16">
        <f>MIN(0.5+(INDEX('Stat Boosts'!$D$2:$D$192,F$1-9)-10)*$C74,10.22)</f>
        <v>0.60666666666666669</v>
      </c>
      <c r="G74" s="16">
        <f>MIN(0.5+(INDEX('Stat Boosts'!$D$2:$D$192,G$1-9)-10)*$C74,10.22)</f>
        <v>0.71333333333333337</v>
      </c>
      <c r="H74" s="16">
        <f>MIN(0.5+(INDEX('Stat Boosts'!$D$2:$D$192,H$1-9)-10)*$C74,10.22)</f>
        <v>0.82000000000000006</v>
      </c>
      <c r="I74" s="16">
        <f>MIN(0.5+(INDEX('Stat Boosts'!$D$2:$D$192,I$1-9)-10)*$C74,10.22)</f>
        <v>0.91142857142857148</v>
      </c>
      <c r="J74" s="16">
        <f>MIN(0.5+(INDEX('Stat Boosts'!$D$2:$D$192,J$1-9)-10)*$C74,10.22)</f>
        <v>1.0028571428571429</v>
      </c>
      <c r="K74" s="16">
        <f>MIN(0.5+(INDEX('Stat Boosts'!$D$2:$D$192,K$1-9)-10)*$C74,10.22)</f>
        <v>1.216190476190476</v>
      </c>
      <c r="L74" s="16">
        <f>MIN(0.5+(INDEX('Stat Boosts'!$D$2:$D$192,L$1-9)-10)*$C74,10.22)</f>
        <v>1.2923809523809524</v>
      </c>
      <c r="M74" s="16">
        <f>MIN(0.5+(INDEX('Stat Boosts'!$D$2:$D$192,M$1-9)-10)*$C74,10.22)</f>
        <v>1.3990476190476191</v>
      </c>
      <c r="N74" s="16">
        <f>MIN(0.5+(INDEX('Stat Boosts'!$D$2:$D$192,N$1-9)-10)*$C74,10.22)</f>
        <v>1.5361904761904761</v>
      </c>
      <c r="O74" s="16">
        <f>MIN(0.5+(INDEX('Stat Boosts'!$D$2:$D$192,O$1-9)-10)*$C74,10.22)</f>
        <v>1.6123809523809525</v>
      </c>
      <c r="P74" s="16">
        <f>MIN(0.5+(INDEX('Stat Boosts'!$D$2:$D$192,P$1-9)-10)*$C74,10.22)</f>
        <v>1.7342857142857142</v>
      </c>
      <c r="Q74" s="16">
        <f>MIN(0.5+(INDEX('Stat Boosts'!$D$2:$D$192,Q$1-9)-10)*$C74,10.22)</f>
        <v>1.8561904761904762</v>
      </c>
      <c r="R74" s="16">
        <f>MIN(0.5+(INDEX('Stat Boosts'!$D$2:$D$192,R$1-9)-10)*$C74,10.22)</f>
        <v>1.9780952380952381</v>
      </c>
    </row>
    <row r="75" spans="1:18">
      <c r="A75" s="9">
        <v>74</v>
      </c>
      <c r="B75" s="16">
        <f t="shared" si="2"/>
        <v>36.5</v>
      </c>
      <c r="C75" s="16">
        <f t="shared" si="3"/>
        <v>1.509433962264151E-2</v>
      </c>
      <c r="E75" s="16">
        <f>MIN(0.5+(INDEX('Stat Boosts'!$D$2:$D$192,E$1-9)-10)*$C75,10.22)</f>
        <v>0.5</v>
      </c>
      <c r="F75" s="16">
        <f>MIN(0.5+(INDEX('Stat Boosts'!$D$2:$D$192,F$1-9)-10)*$C75,10.22)</f>
        <v>0.60566037735849054</v>
      </c>
      <c r="G75" s="16">
        <f>MIN(0.5+(INDEX('Stat Boosts'!$D$2:$D$192,G$1-9)-10)*$C75,10.22)</f>
        <v>0.71132075471698109</v>
      </c>
      <c r="H75" s="16">
        <f>MIN(0.5+(INDEX('Stat Boosts'!$D$2:$D$192,H$1-9)-10)*$C75,10.22)</f>
        <v>0.81698113207547163</v>
      </c>
      <c r="I75" s="16">
        <f>MIN(0.5+(INDEX('Stat Boosts'!$D$2:$D$192,I$1-9)-10)*$C75,10.22)</f>
        <v>0.90754716981132078</v>
      </c>
      <c r="J75" s="16">
        <f>MIN(0.5+(INDEX('Stat Boosts'!$D$2:$D$192,J$1-9)-10)*$C75,10.22)</f>
        <v>0.99811320754716981</v>
      </c>
      <c r="K75" s="16">
        <f>MIN(0.5+(INDEX('Stat Boosts'!$D$2:$D$192,K$1-9)-10)*$C75,10.22)</f>
        <v>1.2094339622641508</v>
      </c>
      <c r="L75" s="16">
        <f>MIN(0.5+(INDEX('Stat Boosts'!$D$2:$D$192,L$1-9)-10)*$C75,10.22)</f>
        <v>1.2849056603773585</v>
      </c>
      <c r="M75" s="16">
        <f>MIN(0.5+(INDEX('Stat Boosts'!$D$2:$D$192,M$1-9)-10)*$C75,10.22)</f>
        <v>1.3905660377358491</v>
      </c>
      <c r="N75" s="16">
        <f>MIN(0.5+(INDEX('Stat Boosts'!$D$2:$D$192,N$1-9)-10)*$C75,10.22)</f>
        <v>1.5264150943396226</v>
      </c>
      <c r="O75" s="16">
        <f>MIN(0.5+(INDEX('Stat Boosts'!$D$2:$D$192,O$1-9)-10)*$C75,10.22)</f>
        <v>1.6018867924528302</v>
      </c>
      <c r="P75" s="16">
        <f>MIN(0.5+(INDEX('Stat Boosts'!$D$2:$D$192,P$1-9)-10)*$C75,10.22)</f>
        <v>1.7226415094339622</v>
      </c>
      <c r="Q75" s="16">
        <f>MIN(0.5+(INDEX('Stat Boosts'!$D$2:$D$192,Q$1-9)-10)*$C75,10.22)</f>
        <v>1.8433962264150943</v>
      </c>
      <c r="R75" s="16">
        <f>MIN(0.5+(INDEX('Stat Boosts'!$D$2:$D$192,R$1-9)-10)*$C75,10.22)</f>
        <v>1.9641509433962265</v>
      </c>
    </row>
    <row r="76" spans="1:18">
      <c r="A76" s="9">
        <v>75</v>
      </c>
      <c r="B76" s="16">
        <f t="shared" si="2"/>
        <v>36.75</v>
      </c>
      <c r="C76" s="16">
        <f t="shared" si="3"/>
        <v>1.4953271028037384E-2</v>
      </c>
      <c r="E76" s="16">
        <f>MIN(0.5+(INDEX('Stat Boosts'!$D$2:$D$192,E$1-9)-10)*$C76,10.22)</f>
        <v>0.5</v>
      </c>
      <c r="F76" s="16">
        <f>MIN(0.5+(INDEX('Stat Boosts'!$D$2:$D$192,F$1-9)-10)*$C76,10.22)</f>
        <v>0.60467289719626172</v>
      </c>
      <c r="G76" s="16">
        <f>MIN(0.5+(INDEX('Stat Boosts'!$D$2:$D$192,G$1-9)-10)*$C76,10.22)</f>
        <v>0.70934579439252343</v>
      </c>
      <c r="H76" s="16">
        <f>MIN(0.5+(INDEX('Stat Boosts'!$D$2:$D$192,H$1-9)-10)*$C76,10.22)</f>
        <v>0.81401869158878504</v>
      </c>
      <c r="I76" s="16">
        <f>MIN(0.5+(INDEX('Stat Boosts'!$D$2:$D$192,I$1-9)-10)*$C76,10.22)</f>
        <v>0.9037383177570093</v>
      </c>
      <c r="J76" s="16">
        <f>MIN(0.5+(INDEX('Stat Boosts'!$D$2:$D$192,J$1-9)-10)*$C76,10.22)</f>
        <v>0.99345794392523368</v>
      </c>
      <c r="K76" s="16">
        <f>MIN(0.5+(INDEX('Stat Boosts'!$D$2:$D$192,K$1-9)-10)*$C76,10.22)</f>
        <v>1.202803738317757</v>
      </c>
      <c r="L76" s="16">
        <f>MIN(0.5+(INDEX('Stat Boosts'!$D$2:$D$192,L$1-9)-10)*$C76,10.22)</f>
        <v>1.2775700934579439</v>
      </c>
      <c r="M76" s="16">
        <f>MIN(0.5+(INDEX('Stat Boosts'!$D$2:$D$192,M$1-9)-10)*$C76,10.22)</f>
        <v>1.3822429906542055</v>
      </c>
      <c r="N76" s="16">
        <f>MIN(0.5+(INDEX('Stat Boosts'!$D$2:$D$192,N$1-9)-10)*$C76,10.22)</f>
        <v>1.516822429906542</v>
      </c>
      <c r="O76" s="16">
        <f>MIN(0.5+(INDEX('Stat Boosts'!$D$2:$D$192,O$1-9)-10)*$C76,10.22)</f>
        <v>1.591588785046729</v>
      </c>
      <c r="P76" s="16">
        <f>MIN(0.5+(INDEX('Stat Boosts'!$D$2:$D$192,P$1-9)-10)*$C76,10.22)</f>
        <v>1.7112149532710281</v>
      </c>
      <c r="Q76" s="16">
        <f>MIN(0.5+(INDEX('Stat Boosts'!$D$2:$D$192,Q$1-9)-10)*$C76,10.22)</f>
        <v>1.8308411214953271</v>
      </c>
      <c r="R76" s="16">
        <f>MIN(0.5+(INDEX('Stat Boosts'!$D$2:$D$192,R$1-9)-10)*$C76,10.22)</f>
        <v>1.9504672897196262</v>
      </c>
    </row>
    <row r="77" spans="1:18">
      <c r="A77" s="9">
        <v>76</v>
      </c>
      <c r="B77" s="16">
        <f t="shared" si="2"/>
        <v>37</v>
      </c>
      <c r="C77" s="16">
        <f t="shared" si="3"/>
        <v>1.4814814814814815E-2</v>
      </c>
      <c r="E77" s="16">
        <f>MIN(0.5+(INDEX('Stat Boosts'!$D$2:$D$192,E$1-9)-10)*$C77,10.22)</f>
        <v>0.5</v>
      </c>
      <c r="F77" s="16">
        <f>MIN(0.5+(INDEX('Stat Boosts'!$D$2:$D$192,F$1-9)-10)*$C77,10.22)</f>
        <v>0.60370370370370374</v>
      </c>
      <c r="G77" s="16">
        <f>MIN(0.5+(INDEX('Stat Boosts'!$D$2:$D$192,G$1-9)-10)*$C77,10.22)</f>
        <v>0.70740740740740748</v>
      </c>
      <c r="H77" s="16">
        <f>MIN(0.5+(INDEX('Stat Boosts'!$D$2:$D$192,H$1-9)-10)*$C77,10.22)</f>
        <v>0.81111111111111112</v>
      </c>
      <c r="I77" s="16">
        <f>MIN(0.5+(INDEX('Stat Boosts'!$D$2:$D$192,I$1-9)-10)*$C77,10.22)</f>
        <v>0.9</v>
      </c>
      <c r="J77" s="16">
        <f>MIN(0.5+(INDEX('Stat Boosts'!$D$2:$D$192,J$1-9)-10)*$C77,10.22)</f>
        <v>0.98888888888888893</v>
      </c>
      <c r="K77" s="16">
        <f>MIN(0.5+(INDEX('Stat Boosts'!$D$2:$D$192,K$1-9)-10)*$C77,10.22)</f>
        <v>1.1962962962962962</v>
      </c>
      <c r="L77" s="16">
        <f>MIN(0.5+(INDEX('Stat Boosts'!$D$2:$D$192,L$1-9)-10)*$C77,10.22)</f>
        <v>1.2703703703703704</v>
      </c>
      <c r="M77" s="16">
        <f>MIN(0.5+(INDEX('Stat Boosts'!$D$2:$D$192,M$1-9)-10)*$C77,10.22)</f>
        <v>1.3740740740740742</v>
      </c>
      <c r="N77" s="16">
        <f>MIN(0.5+(INDEX('Stat Boosts'!$D$2:$D$192,N$1-9)-10)*$C77,10.22)</f>
        <v>1.5074074074074075</v>
      </c>
      <c r="O77" s="16">
        <f>MIN(0.5+(INDEX('Stat Boosts'!$D$2:$D$192,O$1-9)-10)*$C77,10.22)</f>
        <v>1.5814814814814815</v>
      </c>
      <c r="P77" s="16">
        <f>MIN(0.5+(INDEX('Stat Boosts'!$D$2:$D$192,P$1-9)-10)*$C77,10.22)</f>
        <v>1.7</v>
      </c>
      <c r="Q77" s="16">
        <f>MIN(0.5+(INDEX('Stat Boosts'!$D$2:$D$192,Q$1-9)-10)*$C77,10.22)</f>
        <v>1.8185185185185186</v>
      </c>
      <c r="R77" s="16">
        <f>MIN(0.5+(INDEX('Stat Boosts'!$D$2:$D$192,R$1-9)-10)*$C77,10.22)</f>
        <v>1.9370370370370371</v>
      </c>
    </row>
    <row r="78" spans="1:18">
      <c r="A78" s="9">
        <v>77</v>
      </c>
      <c r="B78" s="16">
        <f t="shared" si="2"/>
        <v>37.25</v>
      </c>
      <c r="C78" s="16">
        <f t="shared" si="3"/>
        <v>1.4678899082568808E-2</v>
      </c>
      <c r="E78" s="16">
        <f>MIN(0.5+(INDEX('Stat Boosts'!$D$2:$D$192,E$1-9)-10)*$C78,10.22)</f>
        <v>0.5</v>
      </c>
      <c r="F78" s="16">
        <f>MIN(0.5+(INDEX('Stat Boosts'!$D$2:$D$192,F$1-9)-10)*$C78,10.22)</f>
        <v>0.60275229357798166</v>
      </c>
      <c r="G78" s="16">
        <f>MIN(0.5+(INDEX('Stat Boosts'!$D$2:$D$192,G$1-9)-10)*$C78,10.22)</f>
        <v>0.70550458715596331</v>
      </c>
      <c r="H78" s="16">
        <f>MIN(0.5+(INDEX('Stat Boosts'!$D$2:$D$192,H$1-9)-10)*$C78,10.22)</f>
        <v>0.80825688073394497</v>
      </c>
      <c r="I78" s="16">
        <f>MIN(0.5+(INDEX('Stat Boosts'!$D$2:$D$192,I$1-9)-10)*$C78,10.22)</f>
        <v>0.89633027522935782</v>
      </c>
      <c r="J78" s="16">
        <f>MIN(0.5+(INDEX('Stat Boosts'!$D$2:$D$192,J$1-9)-10)*$C78,10.22)</f>
        <v>0.98440366972477067</v>
      </c>
      <c r="K78" s="16">
        <f>MIN(0.5+(INDEX('Stat Boosts'!$D$2:$D$192,K$1-9)-10)*$C78,10.22)</f>
        <v>1.189908256880734</v>
      </c>
      <c r="L78" s="16">
        <f>MIN(0.5+(INDEX('Stat Boosts'!$D$2:$D$192,L$1-9)-10)*$C78,10.22)</f>
        <v>1.263302752293578</v>
      </c>
      <c r="M78" s="16">
        <f>MIN(0.5+(INDEX('Stat Boosts'!$D$2:$D$192,M$1-9)-10)*$C78,10.22)</f>
        <v>1.3660550458715597</v>
      </c>
      <c r="N78" s="16">
        <f>MIN(0.5+(INDEX('Stat Boosts'!$D$2:$D$192,N$1-9)-10)*$C78,10.22)</f>
        <v>1.498165137614679</v>
      </c>
      <c r="O78" s="16">
        <f>MIN(0.5+(INDEX('Stat Boosts'!$D$2:$D$192,O$1-9)-10)*$C78,10.22)</f>
        <v>1.571559633027523</v>
      </c>
      <c r="P78" s="16">
        <f>MIN(0.5+(INDEX('Stat Boosts'!$D$2:$D$192,P$1-9)-10)*$C78,10.22)</f>
        <v>1.6889908256880735</v>
      </c>
      <c r="Q78" s="16">
        <f>MIN(0.5+(INDEX('Stat Boosts'!$D$2:$D$192,Q$1-9)-10)*$C78,10.22)</f>
        <v>1.8064220183486239</v>
      </c>
      <c r="R78" s="16">
        <f>MIN(0.5+(INDEX('Stat Boosts'!$D$2:$D$192,R$1-9)-10)*$C78,10.22)</f>
        <v>1.9238532110091744</v>
      </c>
    </row>
    <row r="79" spans="1:18">
      <c r="A79" s="9">
        <v>78</v>
      </c>
      <c r="B79" s="16">
        <f t="shared" si="2"/>
        <v>37.5</v>
      </c>
      <c r="C79" s="16">
        <f t="shared" si="3"/>
        <v>1.4545454545454545E-2</v>
      </c>
      <c r="E79" s="16">
        <f>MIN(0.5+(INDEX('Stat Boosts'!$D$2:$D$192,E$1-9)-10)*$C79,10.22)</f>
        <v>0.5</v>
      </c>
      <c r="F79" s="16">
        <f>MIN(0.5+(INDEX('Stat Boosts'!$D$2:$D$192,F$1-9)-10)*$C79,10.22)</f>
        <v>0.60181818181818181</v>
      </c>
      <c r="G79" s="16">
        <f>MIN(0.5+(INDEX('Stat Boosts'!$D$2:$D$192,G$1-9)-10)*$C79,10.22)</f>
        <v>0.70363636363636362</v>
      </c>
      <c r="H79" s="16">
        <f>MIN(0.5+(INDEX('Stat Boosts'!$D$2:$D$192,H$1-9)-10)*$C79,10.22)</f>
        <v>0.80545454545454542</v>
      </c>
      <c r="I79" s="16">
        <f>MIN(0.5+(INDEX('Stat Boosts'!$D$2:$D$192,I$1-9)-10)*$C79,10.22)</f>
        <v>0.8927272727272727</v>
      </c>
      <c r="J79" s="16">
        <f>MIN(0.5+(INDEX('Stat Boosts'!$D$2:$D$192,J$1-9)-10)*$C79,10.22)</f>
        <v>0.98</v>
      </c>
      <c r="K79" s="16">
        <f>MIN(0.5+(INDEX('Stat Boosts'!$D$2:$D$192,K$1-9)-10)*$C79,10.22)</f>
        <v>1.1836363636363636</v>
      </c>
      <c r="L79" s="16">
        <f>MIN(0.5+(INDEX('Stat Boosts'!$D$2:$D$192,L$1-9)-10)*$C79,10.22)</f>
        <v>1.2563636363636363</v>
      </c>
      <c r="M79" s="16">
        <f>MIN(0.5+(INDEX('Stat Boosts'!$D$2:$D$192,M$1-9)-10)*$C79,10.22)</f>
        <v>1.3581818181818182</v>
      </c>
      <c r="N79" s="16">
        <f>MIN(0.5+(INDEX('Stat Boosts'!$D$2:$D$192,N$1-9)-10)*$C79,10.22)</f>
        <v>1.4890909090909092</v>
      </c>
      <c r="O79" s="16">
        <f>MIN(0.5+(INDEX('Stat Boosts'!$D$2:$D$192,O$1-9)-10)*$C79,10.22)</f>
        <v>1.5618181818181818</v>
      </c>
      <c r="P79" s="16">
        <f>MIN(0.5+(INDEX('Stat Boosts'!$D$2:$D$192,P$1-9)-10)*$C79,10.22)</f>
        <v>1.6781818181818182</v>
      </c>
      <c r="Q79" s="16">
        <f>MIN(0.5+(INDEX('Stat Boosts'!$D$2:$D$192,Q$1-9)-10)*$C79,10.22)</f>
        <v>1.7945454545454544</v>
      </c>
      <c r="R79" s="16">
        <f>MIN(0.5+(INDEX('Stat Boosts'!$D$2:$D$192,R$1-9)-10)*$C79,10.22)</f>
        <v>1.9109090909090909</v>
      </c>
    </row>
    <row r="80" spans="1:18">
      <c r="A80" s="9">
        <v>79</v>
      </c>
      <c r="B80" s="16">
        <f t="shared" si="2"/>
        <v>37.75</v>
      </c>
      <c r="C80" s="16">
        <f t="shared" si="3"/>
        <v>1.4414414414414415E-2</v>
      </c>
      <c r="E80" s="16">
        <f>MIN(0.5+(INDEX('Stat Boosts'!$D$2:$D$192,E$1-9)-10)*$C80,10.22)</f>
        <v>0.5</v>
      </c>
      <c r="F80" s="16">
        <f>MIN(0.5+(INDEX('Stat Boosts'!$D$2:$D$192,F$1-9)-10)*$C80,10.22)</f>
        <v>0.60090090090090087</v>
      </c>
      <c r="G80" s="16">
        <f>MIN(0.5+(INDEX('Stat Boosts'!$D$2:$D$192,G$1-9)-10)*$C80,10.22)</f>
        <v>0.70180180180180174</v>
      </c>
      <c r="H80" s="16">
        <f>MIN(0.5+(INDEX('Stat Boosts'!$D$2:$D$192,H$1-9)-10)*$C80,10.22)</f>
        <v>0.80270270270270272</v>
      </c>
      <c r="I80" s="16">
        <f>MIN(0.5+(INDEX('Stat Boosts'!$D$2:$D$192,I$1-9)-10)*$C80,10.22)</f>
        <v>0.88918918918918921</v>
      </c>
      <c r="J80" s="16">
        <f>MIN(0.5+(INDEX('Stat Boosts'!$D$2:$D$192,J$1-9)-10)*$C80,10.22)</f>
        <v>0.9756756756756757</v>
      </c>
      <c r="K80" s="16">
        <f>MIN(0.5+(INDEX('Stat Boosts'!$D$2:$D$192,K$1-9)-10)*$C80,10.22)</f>
        <v>1.1774774774774774</v>
      </c>
      <c r="L80" s="16">
        <f>MIN(0.5+(INDEX('Stat Boosts'!$D$2:$D$192,L$1-9)-10)*$C80,10.22)</f>
        <v>1.2495495495495494</v>
      </c>
      <c r="M80" s="16">
        <f>MIN(0.5+(INDEX('Stat Boosts'!$D$2:$D$192,M$1-9)-10)*$C80,10.22)</f>
        <v>1.3504504504504504</v>
      </c>
      <c r="N80" s="16">
        <f>MIN(0.5+(INDEX('Stat Boosts'!$D$2:$D$192,N$1-9)-10)*$C80,10.22)</f>
        <v>1.4801801801801802</v>
      </c>
      <c r="O80" s="16">
        <f>MIN(0.5+(INDEX('Stat Boosts'!$D$2:$D$192,O$1-9)-10)*$C80,10.22)</f>
        <v>1.5522522522522522</v>
      </c>
      <c r="P80" s="16">
        <f>MIN(0.5+(INDEX('Stat Boosts'!$D$2:$D$192,P$1-9)-10)*$C80,10.22)</f>
        <v>1.6675675675675676</v>
      </c>
      <c r="Q80" s="16">
        <f>MIN(0.5+(INDEX('Stat Boosts'!$D$2:$D$192,Q$1-9)-10)*$C80,10.22)</f>
        <v>1.7828828828828829</v>
      </c>
      <c r="R80" s="16">
        <f>MIN(0.5+(INDEX('Stat Boosts'!$D$2:$D$192,R$1-9)-10)*$C80,10.22)</f>
        <v>1.8981981981981981</v>
      </c>
    </row>
    <row r="81" spans="1:18">
      <c r="A81" s="9">
        <v>80</v>
      </c>
      <c r="B81" s="16">
        <f t="shared" si="2"/>
        <v>38</v>
      </c>
      <c r="C81" s="16">
        <f t="shared" si="3"/>
        <v>1.4285714285714287E-2</v>
      </c>
      <c r="E81" s="16">
        <f>MIN(0.5+(INDEX('Stat Boosts'!$D$2:$D$192,E$1-9)-10)*$C81,10.22)</f>
        <v>0.5</v>
      </c>
      <c r="F81" s="16">
        <f>MIN(0.5+(INDEX('Stat Boosts'!$D$2:$D$192,F$1-9)-10)*$C81,10.22)</f>
        <v>0.6</v>
      </c>
      <c r="G81" s="16">
        <f>MIN(0.5+(INDEX('Stat Boosts'!$D$2:$D$192,G$1-9)-10)*$C81,10.22)</f>
        <v>0.7</v>
      </c>
      <c r="H81" s="16">
        <f>MIN(0.5+(INDEX('Stat Boosts'!$D$2:$D$192,H$1-9)-10)*$C81,10.22)</f>
        <v>0.8</v>
      </c>
      <c r="I81" s="16">
        <f>MIN(0.5+(INDEX('Stat Boosts'!$D$2:$D$192,I$1-9)-10)*$C81,10.22)</f>
        <v>0.88571428571428568</v>
      </c>
      <c r="J81" s="16">
        <f>MIN(0.5+(INDEX('Stat Boosts'!$D$2:$D$192,J$1-9)-10)*$C81,10.22)</f>
        <v>0.97142857142857153</v>
      </c>
      <c r="K81" s="16">
        <f>MIN(0.5+(INDEX('Stat Boosts'!$D$2:$D$192,K$1-9)-10)*$C81,10.22)</f>
        <v>1.1714285714285715</v>
      </c>
      <c r="L81" s="16">
        <f>MIN(0.5+(INDEX('Stat Boosts'!$D$2:$D$192,L$1-9)-10)*$C81,10.22)</f>
        <v>1.2428571428571429</v>
      </c>
      <c r="M81" s="16">
        <f>MIN(0.5+(INDEX('Stat Boosts'!$D$2:$D$192,M$1-9)-10)*$C81,10.22)</f>
        <v>1.342857142857143</v>
      </c>
      <c r="N81" s="16">
        <f>MIN(0.5+(INDEX('Stat Boosts'!$D$2:$D$192,N$1-9)-10)*$C81,10.22)</f>
        <v>1.4714285714285715</v>
      </c>
      <c r="O81" s="16">
        <f>MIN(0.5+(INDEX('Stat Boosts'!$D$2:$D$192,O$1-9)-10)*$C81,10.22)</f>
        <v>1.5428571428571429</v>
      </c>
      <c r="P81" s="16">
        <f>MIN(0.5+(INDEX('Stat Boosts'!$D$2:$D$192,P$1-9)-10)*$C81,10.22)</f>
        <v>1.6571428571428573</v>
      </c>
      <c r="Q81" s="16">
        <f>MIN(0.5+(INDEX('Stat Boosts'!$D$2:$D$192,Q$1-9)-10)*$C81,10.22)</f>
        <v>1.7714285714285716</v>
      </c>
      <c r="R81" s="16">
        <f>MIN(0.5+(INDEX('Stat Boosts'!$D$2:$D$192,R$1-9)-10)*$C81,10.22)</f>
        <v>1.8857142857142859</v>
      </c>
    </row>
    <row r="82" spans="1:18">
      <c r="A82" s="9">
        <v>81</v>
      </c>
      <c r="B82" s="16">
        <f t="shared" si="2"/>
        <v>38.25</v>
      </c>
      <c r="C82" s="16">
        <f t="shared" si="3"/>
        <v>1.4159292035398232E-2</v>
      </c>
      <c r="E82" s="16">
        <f>MIN(0.5+(INDEX('Stat Boosts'!$D$2:$D$192,E$1-9)-10)*$C82,10.22)</f>
        <v>0.5</v>
      </c>
      <c r="F82" s="16">
        <f>MIN(0.5+(INDEX('Stat Boosts'!$D$2:$D$192,F$1-9)-10)*$C82,10.22)</f>
        <v>0.59911504424778761</v>
      </c>
      <c r="G82" s="16">
        <f>MIN(0.5+(INDEX('Stat Boosts'!$D$2:$D$192,G$1-9)-10)*$C82,10.22)</f>
        <v>0.69823008849557522</v>
      </c>
      <c r="H82" s="16">
        <f>MIN(0.5+(INDEX('Stat Boosts'!$D$2:$D$192,H$1-9)-10)*$C82,10.22)</f>
        <v>0.79734513274336294</v>
      </c>
      <c r="I82" s="16">
        <f>MIN(0.5+(INDEX('Stat Boosts'!$D$2:$D$192,I$1-9)-10)*$C82,10.22)</f>
        <v>0.88230088495575232</v>
      </c>
      <c r="J82" s="16">
        <f>MIN(0.5+(INDEX('Stat Boosts'!$D$2:$D$192,J$1-9)-10)*$C82,10.22)</f>
        <v>0.9672566371681417</v>
      </c>
      <c r="K82" s="16">
        <f>MIN(0.5+(INDEX('Stat Boosts'!$D$2:$D$192,K$1-9)-10)*$C82,10.22)</f>
        <v>1.1654867256637169</v>
      </c>
      <c r="L82" s="16">
        <f>MIN(0.5+(INDEX('Stat Boosts'!$D$2:$D$192,L$1-9)-10)*$C82,10.22)</f>
        <v>1.236283185840708</v>
      </c>
      <c r="M82" s="16">
        <f>MIN(0.5+(INDEX('Stat Boosts'!$D$2:$D$192,M$1-9)-10)*$C82,10.22)</f>
        <v>1.3353982300884957</v>
      </c>
      <c r="N82" s="16">
        <f>MIN(0.5+(INDEX('Stat Boosts'!$D$2:$D$192,N$1-9)-10)*$C82,10.22)</f>
        <v>1.4628318584070796</v>
      </c>
      <c r="O82" s="16">
        <f>MIN(0.5+(INDEX('Stat Boosts'!$D$2:$D$192,O$1-9)-10)*$C82,10.22)</f>
        <v>1.5336283185840709</v>
      </c>
      <c r="P82" s="16">
        <f>MIN(0.5+(INDEX('Stat Boosts'!$D$2:$D$192,P$1-9)-10)*$C82,10.22)</f>
        <v>1.6469026548672567</v>
      </c>
      <c r="Q82" s="16">
        <f>MIN(0.5+(INDEX('Stat Boosts'!$D$2:$D$192,Q$1-9)-10)*$C82,10.22)</f>
        <v>1.7601769911504426</v>
      </c>
      <c r="R82" s="16">
        <f>MIN(0.5+(INDEX('Stat Boosts'!$D$2:$D$192,R$1-9)-10)*$C82,10.22)</f>
        <v>1.8734513274336284</v>
      </c>
    </row>
    <row r="83" spans="1:18">
      <c r="A83" s="9">
        <v>82</v>
      </c>
      <c r="B83" s="16">
        <f t="shared" si="2"/>
        <v>38.5</v>
      </c>
      <c r="C83" s="16">
        <f t="shared" si="3"/>
        <v>1.4035087719298246E-2</v>
      </c>
      <c r="E83" s="16">
        <f>MIN(0.5+(INDEX('Stat Boosts'!$D$2:$D$192,E$1-9)-10)*$C83,10.22)</f>
        <v>0.5</v>
      </c>
      <c r="F83" s="16">
        <f>MIN(0.5+(INDEX('Stat Boosts'!$D$2:$D$192,F$1-9)-10)*$C83,10.22)</f>
        <v>0.59824561403508769</v>
      </c>
      <c r="G83" s="16">
        <f>MIN(0.5+(INDEX('Stat Boosts'!$D$2:$D$192,G$1-9)-10)*$C83,10.22)</f>
        <v>0.69649122807017538</v>
      </c>
      <c r="H83" s="16">
        <f>MIN(0.5+(INDEX('Stat Boosts'!$D$2:$D$192,H$1-9)-10)*$C83,10.22)</f>
        <v>0.79473684210526319</v>
      </c>
      <c r="I83" s="16">
        <f>MIN(0.5+(INDEX('Stat Boosts'!$D$2:$D$192,I$1-9)-10)*$C83,10.22)</f>
        <v>0.8789473684210527</v>
      </c>
      <c r="J83" s="16">
        <f>MIN(0.5+(INDEX('Stat Boosts'!$D$2:$D$192,J$1-9)-10)*$C83,10.22)</f>
        <v>0.9631578947368421</v>
      </c>
      <c r="K83" s="16">
        <f>MIN(0.5+(INDEX('Stat Boosts'!$D$2:$D$192,K$1-9)-10)*$C83,10.22)</f>
        <v>1.1596491228070176</v>
      </c>
      <c r="L83" s="16">
        <f>MIN(0.5+(INDEX('Stat Boosts'!$D$2:$D$192,L$1-9)-10)*$C83,10.22)</f>
        <v>1.2298245614035088</v>
      </c>
      <c r="M83" s="16">
        <f>MIN(0.5+(INDEX('Stat Boosts'!$D$2:$D$192,M$1-9)-10)*$C83,10.22)</f>
        <v>1.3280701754385964</v>
      </c>
      <c r="N83" s="16">
        <f>MIN(0.5+(INDEX('Stat Boosts'!$D$2:$D$192,N$1-9)-10)*$C83,10.22)</f>
        <v>1.4543859649122806</v>
      </c>
      <c r="O83" s="16">
        <f>MIN(0.5+(INDEX('Stat Boosts'!$D$2:$D$192,O$1-9)-10)*$C83,10.22)</f>
        <v>1.524561403508772</v>
      </c>
      <c r="P83" s="16">
        <f>MIN(0.5+(INDEX('Stat Boosts'!$D$2:$D$192,P$1-9)-10)*$C83,10.22)</f>
        <v>1.6368421052631579</v>
      </c>
      <c r="Q83" s="16">
        <f>MIN(0.5+(INDEX('Stat Boosts'!$D$2:$D$192,Q$1-9)-10)*$C83,10.22)</f>
        <v>1.749122807017544</v>
      </c>
      <c r="R83" s="16">
        <f>MIN(0.5+(INDEX('Stat Boosts'!$D$2:$D$192,R$1-9)-10)*$C83,10.22)</f>
        <v>1.8614035087719298</v>
      </c>
    </row>
    <row r="84" spans="1:18">
      <c r="A84" s="9">
        <v>83</v>
      </c>
      <c r="B84" s="16">
        <f t="shared" si="2"/>
        <v>38.75</v>
      </c>
      <c r="C84" s="16">
        <f t="shared" si="3"/>
        <v>1.391304347826087E-2</v>
      </c>
      <c r="E84" s="16">
        <f>MIN(0.5+(INDEX('Stat Boosts'!$D$2:$D$192,E$1-9)-10)*$C84,10.22)</f>
        <v>0.5</v>
      </c>
      <c r="F84" s="16">
        <f>MIN(0.5+(INDEX('Stat Boosts'!$D$2:$D$192,F$1-9)-10)*$C84,10.22)</f>
        <v>0.59739130434782606</v>
      </c>
      <c r="G84" s="16">
        <f>MIN(0.5+(INDEX('Stat Boosts'!$D$2:$D$192,G$1-9)-10)*$C84,10.22)</f>
        <v>0.69478260869565212</v>
      </c>
      <c r="H84" s="16">
        <f>MIN(0.5+(INDEX('Stat Boosts'!$D$2:$D$192,H$1-9)-10)*$C84,10.22)</f>
        <v>0.79217391304347828</v>
      </c>
      <c r="I84" s="16">
        <f>MIN(0.5+(INDEX('Stat Boosts'!$D$2:$D$192,I$1-9)-10)*$C84,10.22)</f>
        <v>0.87565217391304351</v>
      </c>
      <c r="J84" s="16">
        <f>MIN(0.5+(INDEX('Stat Boosts'!$D$2:$D$192,J$1-9)-10)*$C84,10.22)</f>
        <v>0.95913043478260873</v>
      </c>
      <c r="K84" s="16">
        <f>MIN(0.5+(INDEX('Stat Boosts'!$D$2:$D$192,K$1-9)-10)*$C84,10.22)</f>
        <v>1.1539130434782607</v>
      </c>
      <c r="L84" s="16">
        <f>MIN(0.5+(INDEX('Stat Boosts'!$D$2:$D$192,L$1-9)-10)*$C84,10.22)</f>
        <v>1.2234782608695651</v>
      </c>
      <c r="M84" s="16">
        <f>MIN(0.5+(INDEX('Stat Boosts'!$D$2:$D$192,M$1-9)-10)*$C84,10.22)</f>
        <v>1.3208695652173912</v>
      </c>
      <c r="N84" s="16">
        <f>MIN(0.5+(INDEX('Stat Boosts'!$D$2:$D$192,N$1-9)-10)*$C84,10.22)</f>
        <v>1.4460869565217391</v>
      </c>
      <c r="O84" s="16">
        <f>MIN(0.5+(INDEX('Stat Boosts'!$D$2:$D$192,O$1-9)-10)*$C84,10.22)</f>
        <v>1.5156521739130435</v>
      </c>
      <c r="P84" s="16">
        <f>MIN(0.5+(INDEX('Stat Boosts'!$D$2:$D$192,P$1-9)-10)*$C84,10.22)</f>
        <v>1.6269565217391304</v>
      </c>
      <c r="Q84" s="16">
        <f>MIN(0.5+(INDEX('Stat Boosts'!$D$2:$D$192,Q$1-9)-10)*$C84,10.22)</f>
        <v>1.7382608695652175</v>
      </c>
      <c r="R84" s="16">
        <f>MIN(0.5+(INDEX('Stat Boosts'!$D$2:$D$192,R$1-9)-10)*$C84,10.22)</f>
        <v>1.8495652173913044</v>
      </c>
    </row>
    <row r="85" spans="1:18">
      <c r="A85" s="9">
        <v>84</v>
      </c>
      <c r="B85" s="16">
        <f t="shared" si="2"/>
        <v>39</v>
      </c>
      <c r="C85" s="16">
        <f t="shared" si="3"/>
        <v>1.3793103448275864E-2</v>
      </c>
      <c r="E85" s="16">
        <f>MIN(0.5+(INDEX('Stat Boosts'!$D$2:$D$192,E$1-9)-10)*$C85,10.22)</f>
        <v>0.5</v>
      </c>
      <c r="F85" s="16">
        <f>MIN(0.5+(INDEX('Stat Boosts'!$D$2:$D$192,F$1-9)-10)*$C85,10.22)</f>
        <v>0.59655172413793101</v>
      </c>
      <c r="G85" s="16">
        <f>MIN(0.5+(INDEX('Stat Boosts'!$D$2:$D$192,G$1-9)-10)*$C85,10.22)</f>
        <v>0.69310344827586212</v>
      </c>
      <c r="H85" s="16">
        <f>MIN(0.5+(INDEX('Stat Boosts'!$D$2:$D$192,H$1-9)-10)*$C85,10.22)</f>
        <v>0.78965517241379313</v>
      </c>
      <c r="I85" s="16">
        <f>MIN(0.5+(INDEX('Stat Boosts'!$D$2:$D$192,I$1-9)-10)*$C85,10.22)</f>
        <v>0.87241379310344835</v>
      </c>
      <c r="J85" s="16">
        <f>MIN(0.5+(INDEX('Stat Boosts'!$D$2:$D$192,J$1-9)-10)*$C85,10.22)</f>
        <v>0.95517241379310347</v>
      </c>
      <c r="K85" s="16">
        <f>MIN(0.5+(INDEX('Stat Boosts'!$D$2:$D$192,K$1-9)-10)*$C85,10.22)</f>
        <v>1.1482758620689655</v>
      </c>
      <c r="L85" s="16">
        <f>MIN(0.5+(INDEX('Stat Boosts'!$D$2:$D$192,L$1-9)-10)*$C85,10.22)</f>
        <v>1.2172413793103449</v>
      </c>
      <c r="M85" s="16">
        <f>MIN(0.5+(INDEX('Stat Boosts'!$D$2:$D$192,M$1-9)-10)*$C85,10.22)</f>
        <v>1.3137931034482759</v>
      </c>
      <c r="N85" s="16">
        <f>MIN(0.5+(INDEX('Stat Boosts'!$D$2:$D$192,N$1-9)-10)*$C85,10.22)</f>
        <v>1.4379310344827587</v>
      </c>
      <c r="O85" s="16">
        <f>MIN(0.5+(INDEX('Stat Boosts'!$D$2:$D$192,O$1-9)-10)*$C85,10.22)</f>
        <v>1.5068965517241379</v>
      </c>
      <c r="P85" s="16">
        <f>MIN(0.5+(INDEX('Stat Boosts'!$D$2:$D$192,P$1-9)-10)*$C85,10.22)</f>
        <v>1.6172413793103451</v>
      </c>
      <c r="Q85" s="16">
        <f>MIN(0.5+(INDEX('Stat Boosts'!$D$2:$D$192,Q$1-9)-10)*$C85,10.22)</f>
        <v>1.727586206896552</v>
      </c>
      <c r="R85" s="16">
        <f>MIN(0.5+(INDEX('Stat Boosts'!$D$2:$D$192,R$1-9)-10)*$C85,10.22)</f>
        <v>1.8379310344827589</v>
      </c>
    </row>
    <row r="86" spans="1:18">
      <c r="A86" s="9">
        <v>85</v>
      </c>
      <c r="B86" s="16">
        <f t="shared" si="2"/>
        <v>39.25</v>
      </c>
      <c r="C86" s="16">
        <f t="shared" si="3"/>
        <v>1.3675213675213675E-2</v>
      </c>
      <c r="E86" s="16">
        <f>MIN(0.5+(INDEX('Stat Boosts'!$D$2:$D$192,E$1-9)-10)*$C86,10.22)</f>
        <v>0.5</v>
      </c>
      <c r="F86" s="16">
        <f>MIN(0.5+(INDEX('Stat Boosts'!$D$2:$D$192,F$1-9)-10)*$C86,10.22)</f>
        <v>0.59572649572649572</v>
      </c>
      <c r="G86" s="16">
        <f>MIN(0.5+(INDEX('Stat Boosts'!$D$2:$D$192,G$1-9)-10)*$C86,10.22)</f>
        <v>0.69145299145299144</v>
      </c>
      <c r="H86" s="16">
        <f>MIN(0.5+(INDEX('Stat Boosts'!$D$2:$D$192,H$1-9)-10)*$C86,10.22)</f>
        <v>0.78717948717948716</v>
      </c>
      <c r="I86" s="16">
        <f>MIN(0.5+(INDEX('Stat Boosts'!$D$2:$D$192,I$1-9)-10)*$C86,10.22)</f>
        <v>0.86923076923076925</v>
      </c>
      <c r="J86" s="16">
        <f>MIN(0.5+(INDEX('Stat Boosts'!$D$2:$D$192,J$1-9)-10)*$C86,10.22)</f>
        <v>0.95128205128205123</v>
      </c>
      <c r="K86" s="16">
        <f>MIN(0.5+(INDEX('Stat Boosts'!$D$2:$D$192,K$1-9)-10)*$C86,10.22)</f>
        <v>1.1427350427350427</v>
      </c>
      <c r="L86" s="16">
        <f>MIN(0.5+(INDEX('Stat Boosts'!$D$2:$D$192,L$1-9)-10)*$C86,10.22)</f>
        <v>1.2111111111111112</v>
      </c>
      <c r="M86" s="16">
        <f>MIN(0.5+(INDEX('Stat Boosts'!$D$2:$D$192,M$1-9)-10)*$C86,10.22)</f>
        <v>1.3068376068376069</v>
      </c>
      <c r="N86" s="16">
        <f>MIN(0.5+(INDEX('Stat Boosts'!$D$2:$D$192,N$1-9)-10)*$C86,10.22)</f>
        <v>1.4299145299145299</v>
      </c>
      <c r="O86" s="16">
        <f>MIN(0.5+(INDEX('Stat Boosts'!$D$2:$D$192,O$1-9)-10)*$C86,10.22)</f>
        <v>1.4982905982905983</v>
      </c>
      <c r="P86" s="16">
        <f>MIN(0.5+(INDEX('Stat Boosts'!$D$2:$D$192,P$1-9)-10)*$C86,10.22)</f>
        <v>1.6076923076923078</v>
      </c>
      <c r="Q86" s="16">
        <f>MIN(0.5+(INDEX('Stat Boosts'!$D$2:$D$192,Q$1-9)-10)*$C86,10.22)</f>
        <v>1.717094017094017</v>
      </c>
      <c r="R86" s="16">
        <f>MIN(0.5+(INDEX('Stat Boosts'!$D$2:$D$192,R$1-9)-10)*$C86,10.22)</f>
        <v>1.8264957264957264</v>
      </c>
    </row>
    <row r="87" spans="1:18">
      <c r="A87" s="9">
        <v>86</v>
      </c>
      <c r="B87" s="16">
        <f t="shared" si="2"/>
        <v>39.5</v>
      </c>
      <c r="C87" s="16">
        <f t="shared" si="3"/>
        <v>1.3559322033898306E-2</v>
      </c>
      <c r="E87" s="16">
        <f>MIN(0.5+(INDEX('Stat Boosts'!$D$2:$D$192,E$1-9)-10)*$C87,10.22)</f>
        <v>0.5</v>
      </c>
      <c r="F87" s="16">
        <f>MIN(0.5+(INDEX('Stat Boosts'!$D$2:$D$192,F$1-9)-10)*$C87,10.22)</f>
        <v>0.59491525423728819</v>
      </c>
      <c r="G87" s="16">
        <f>MIN(0.5+(INDEX('Stat Boosts'!$D$2:$D$192,G$1-9)-10)*$C87,10.22)</f>
        <v>0.68983050847457628</v>
      </c>
      <c r="H87" s="16">
        <f>MIN(0.5+(INDEX('Stat Boosts'!$D$2:$D$192,H$1-9)-10)*$C87,10.22)</f>
        <v>0.78474576271186436</v>
      </c>
      <c r="I87" s="16">
        <f>MIN(0.5+(INDEX('Stat Boosts'!$D$2:$D$192,I$1-9)-10)*$C87,10.22)</f>
        <v>0.86610169491525424</v>
      </c>
      <c r="J87" s="16">
        <f>MIN(0.5+(INDEX('Stat Boosts'!$D$2:$D$192,J$1-9)-10)*$C87,10.22)</f>
        <v>0.94745762711864412</v>
      </c>
      <c r="K87" s="16">
        <f>MIN(0.5+(INDEX('Stat Boosts'!$D$2:$D$192,K$1-9)-10)*$C87,10.22)</f>
        <v>1.1372881355932205</v>
      </c>
      <c r="L87" s="16">
        <f>MIN(0.5+(INDEX('Stat Boosts'!$D$2:$D$192,L$1-9)-10)*$C87,10.22)</f>
        <v>1.2050847457627119</v>
      </c>
      <c r="M87" s="16">
        <f>MIN(0.5+(INDEX('Stat Boosts'!$D$2:$D$192,M$1-9)-10)*$C87,10.22)</f>
        <v>1.3</v>
      </c>
      <c r="N87" s="16">
        <f>MIN(0.5+(INDEX('Stat Boosts'!$D$2:$D$192,N$1-9)-10)*$C87,10.22)</f>
        <v>1.4220338983050849</v>
      </c>
      <c r="O87" s="16">
        <f>MIN(0.5+(INDEX('Stat Boosts'!$D$2:$D$192,O$1-9)-10)*$C87,10.22)</f>
        <v>1.4898305084745762</v>
      </c>
      <c r="P87" s="16">
        <f>MIN(0.5+(INDEX('Stat Boosts'!$D$2:$D$192,P$1-9)-10)*$C87,10.22)</f>
        <v>1.5983050847457627</v>
      </c>
      <c r="Q87" s="16">
        <f>MIN(0.5+(INDEX('Stat Boosts'!$D$2:$D$192,Q$1-9)-10)*$C87,10.22)</f>
        <v>1.7067796610169492</v>
      </c>
      <c r="R87" s="16">
        <f>MIN(0.5+(INDEX('Stat Boosts'!$D$2:$D$192,R$1-9)-10)*$C87,10.22)</f>
        <v>1.8152542372881357</v>
      </c>
    </row>
    <row r="88" spans="1:18">
      <c r="A88" s="9">
        <v>87</v>
      </c>
      <c r="B88" s="16">
        <f t="shared" si="2"/>
        <v>39.75</v>
      </c>
      <c r="C88" s="16">
        <f t="shared" si="3"/>
        <v>1.3445378151260505E-2</v>
      </c>
      <c r="E88" s="16">
        <f>MIN(0.5+(INDEX('Stat Boosts'!$D$2:$D$192,E$1-9)-10)*$C88,10.22)</f>
        <v>0.5</v>
      </c>
      <c r="F88" s="16">
        <f>MIN(0.5+(INDEX('Stat Boosts'!$D$2:$D$192,F$1-9)-10)*$C88,10.22)</f>
        <v>0.59411764705882353</v>
      </c>
      <c r="G88" s="16">
        <f>MIN(0.5+(INDEX('Stat Boosts'!$D$2:$D$192,G$1-9)-10)*$C88,10.22)</f>
        <v>0.68823529411764706</v>
      </c>
      <c r="H88" s="16">
        <f>MIN(0.5+(INDEX('Stat Boosts'!$D$2:$D$192,H$1-9)-10)*$C88,10.22)</f>
        <v>0.78235294117647058</v>
      </c>
      <c r="I88" s="16">
        <f>MIN(0.5+(INDEX('Stat Boosts'!$D$2:$D$192,I$1-9)-10)*$C88,10.22)</f>
        <v>0.86302521008403366</v>
      </c>
      <c r="J88" s="16">
        <f>MIN(0.5+(INDEX('Stat Boosts'!$D$2:$D$192,J$1-9)-10)*$C88,10.22)</f>
        <v>0.94369747899159662</v>
      </c>
      <c r="K88" s="16">
        <f>MIN(0.5+(INDEX('Stat Boosts'!$D$2:$D$192,K$1-9)-10)*$C88,10.22)</f>
        <v>1.1319327731092437</v>
      </c>
      <c r="L88" s="16">
        <f>MIN(0.5+(INDEX('Stat Boosts'!$D$2:$D$192,L$1-9)-10)*$C88,10.22)</f>
        <v>1.1991596638655464</v>
      </c>
      <c r="M88" s="16">
        <f>MIN(0.5+(INDEX('Stat Boosts'!$D$2:$D$192,M$1-9)-10)*$C88,10.22)</f>
        <v>1.2932773109243698</v>
      </c>
      <c r="N88" s="16">
        <f>MIN(0.5+(INDEX('Stat Boosts'!$D$2:$D$192,N$1-9)-10)*$C88,10.22)</f>
        <v>1.4142857142857144</v>
      </c>
      <c r="O88" s="16">
        <f>MIN(0.5+(INDEX('Stat Boosts'!$D$2:$D$192,O$1-9)-10)*$C88,10.22)</f>
        <v>1.4815126050420169</v>
      </c>
      <c r="P88" s="16">
        <f>MIN(0.5+(INDEX('Stat Boosts'!$D$2:$D$192,P$1-9)-10)*$C88,10.22)</f>
        <v>1.589075630252101</v>
      </c>
      <c r="Q88" s="16">
        <f>MIN(0.5+(INDEX('Stat Boosts'!$D$2:$D$192,Q$1-9)-10)*$C88,10.22)</f>
        <v>1.6966386554621848</v>
      </c>
      <c r="R88" s="16">
        <f>MIN(0.5+(INDEX('Stat Boosts'!$D$2:$D$192,R$1-9)-10)*$C88,10.22)</f>
        <v>1.8042016806722689</v>
      </c>
    </row>
    <row r="89" spans="1:18">
      <c r="A89" s="9">
        <v>88</v>
      </c>
      <c r="B89" s="16">
        <f t="shared" si="2"/>
        <v>40</v>
      </c>
      <c r="C89" s="16">
        <f t="shared" si="3"/>
        <v>1.3333333333333334E-2</v>
      </c>
      <c r="E89" s="16">
        <f>MIN(0.5+(INDEX('Stat Boosts'!$D$2:$D$192,E$1-9)-10)*$C89,10.22)</f>
        <v>0.5</v>
      </c>
      <c r="F89" s="16">
        <f>MIN(0.5+(INDEX('Stat Boosts'!$D$2:$D$192,F$1-9)-10)*$C89,10.22)</f>
        <v>0.59333333333333338</v>
      </c>
      <c r="G89" s="16">
        <f>MIN(0.5+(INDEX('Stat Boosts'!$D$2:$D$192,G$1-9)-10)*$C89,10.22)</f>
        <v>0.68666666666666665</v>
      </c>
      <c r="H89" s="16">
        <f>MIN(0.5+(INDEX('Stat Boosts'!$D$2:$D$192,H$1-9)-10)*$C89,10.22)</f>
        <v>0.78</v>
      </c>
      <c r="I89" s="16">
        <f>MIN(0.5+(INDEX('Stat Boosts'!$D$2:$D$192,I$1-9)-10)*$C89,10.22)</f>
        <v>0.8600000000000001</v>
      </c>
      <c r="J89" s="16">
        <f>MIN(0.5+(INDEX('Stat Boosts'!$D$2:$D$192,J$1-9)-10)*$C89,10.22)</f>
        <v>0.94</v>
      </c>
      <c r="K89" s="16">
        <f>MIN(0.5+(INDEX('Stat Boosts'!$D$2:$D$192,K$1-9)-10)*$C89,10.22)</f>
        <v>1.1266666666666667</v>
      </c>
      <c r="L89" s="16">
        <f>MIN(0.5+(INDEX('Stat Boosts'!$D$2:$D$192,L$1-9)-10)*$C89,10.22)</f>
        <v>1.1933333333333334</v>
      </c>
      <c r="M89" s="16">
        <f>MIN(0.5+(INDEX('Stat Boosts'!$D$2:$D$192,M$1-9)-10)*$C89,10.22)</f>
        <v>1.2866666666666666</v>
      </c>
      <c r="N89" s="16">
        <f>MIN(0.5+(INDEX('Stat Boosts'!$D$2:$D$192,N$1-9)-10)*$C89,10.22)</f>
        <v>1.4066666666666667</v>
      </c>
      <c r="O89" s="16">
        <f>MIN(0.5+(INDEX('Stat Boosts'!$D$2:$D$192,O$1-9)-10)*$C89,10.22)</f>
        <v>1.4733333333333334</v>
      </c>
      <c r="P89" s="16">
        <f>MIN(0.5+(INDEX('Stat Boosts'!$D$2:$D$192,P$1-9)-10)*$C89,10.22)</f>
        <v>1.58</v>
      </c>
      <c r="Q89" s="16">
        <f>MIN(0.5+(INDEX('Stat Boosts'!$D$2:$D$192,Q$1-9)-10)*$C89,10.22)</f>
        <v>1.6866666666666668</v>
      </c>
      <c r="R89" s="16">
        <f>MIN(0.5+(INDEX('Stat Boosts'!$D$2:$D$192,R$1-9)-10)*$C89,10.22)</f>
        <v>1.7933333333333334</v>
      </c>
    </row>
    <row r="90" spans="1:18">
      <c r="A90" s="9">
        <v>89</v>
      </c>
      <c r="B90" s="16">
        <f t="shared" si="2"/>
        <v>40.25</v>
      </c>
      <c r="C90" s="16">
        <f t="shared" si="3"/>
        <v>1.322314049586777E-2</v>
      </c>
      <c r="E90" s="16">
        <f>MIN(0.5+(INDEX('Stat Boosts'!$D$2:$D$192,E$1-9)-10)*$C90,10.22)</f>
        <v>0.5</v>
      </c>
      <c r="F90" s="16">
        <f>MIN(0.5+(INDEX('Stat Boosts'!$D$2:$D$192,F$1-9)-10)*$C90,10.22)</f>
        <v>0.59256198347107436</v>
      </c>
      <c r="G90" s="16">
        <f>MIN(0.5+(INDEX('Stat Boosts'!$D$2:$D$192,G$1-9)-10)*$C90,10.22)</f>
        <v>0.68512396694214872</v>
      </c>
      <c r="H90" s="16">
        <f>MIN(0.5+(INDEX('Stat Boosts'!$D$2:$D$192,H$1-9)-10)*$C90,10.22)</f>
        <v>0.77768595041322319</v>
      </c>
      <c r="I90" s="16">
        <f>MIN(0.5+(INDEX('Stat Boosts'!$D$2:$D$192,I$1-9)-10)*$C90,10.22)</f>
        <v>0.85702479338842985</v>
      </c>
      <c r="J90" s="16">
        <f>MIN(0.5+(INDEX('Stat Boosts'!$D$2:$D$192,J$1-9)-10)*$C90,10.22)</f>
        <v>0.9363636363636364</v>
      </c>
      <c r="K90" s="16">
        <f>MIN(0.5+(INDEX('Stat Boosts'!$D$2:$D$192,K$1-9)-10)*$C90,10.22)</f>
        <v>1.1214876033057852</v>
      </c>
      <c r="L90" s="16">
        <f>MIN(0.5+(INDEX('Stat Boosts'!$D$2:$D$192,L$1-9)-10)*$C90,10.22)</f>
        <v>1.1876033057851241</v>
      </c>
      <c r="M90" s="16">
        <f>MIN(0.5+(INDEX('Stat Boosts'!$D$2:$D$192,M$1-9)-10)*$C90,10.22)</f>
        <v>1.2801652892561983</v>
      </c>
      <c r="N90" s="16">
        <f>MIN(0.5+(INDEX('Stat Boosts'!$D$2:$D$192,N$1-9)-10)*$C90,10.22)</f>
        <v>1.3991735537190082</v>
      </c>
      <c r="O90" s="16">
        <f>MIN(0.5+(INDEX('Stat Boosts'!$D$2:$D$192,O$1-9)-10)*$C90,10.22)</f>
        <v>1.4652892561983473</v>
      </c>
      <c r="P90" s="16">
        <f>MIN(0.5+(INDEX('Stat Boosts'!$D$2:$D$192,P$1-9)-10)*$C90,10.22)</f>
        <v>1.5710743801652893</v>
      </c>
      <c r="Q90" s="16">
        <f>MIN(0.5+(INDEX('Stat Boosts'!$D$2:$D$192,Q$1-9)-10)*$C90,10.22)</f>
        <v>1.6768595041322316</v>
      </c>
      <c r="R90" s="16">
        <f>MIN(0.5+(INDEX('Stat Boosts'!$D$2:$D$192,R$1-9)-10)*$C90,10.22)</f>
        <v>1.7826446280991737</v>
      </c>
    </row>
    <row r="91" spans="1:18">
      <c r="A91" s="9">
        <v>90</v>
      </c>
      <c r="B91" s="16">
        <f t="shared" si="2"/>
        <v>40.5</v>
      </c>
      <c r="C91" s="16">
        <f t="shared" si="3"/>
        <v>1.3114754098360656E-2</v>
      </c>
      <c r="E91" s="16">
        <f>MIN(0.5+(INDEX('Stat Boosts'!$D$2:$D$192,E$1-9)-10)*$C91,10.22)</f>
        <v>0.5</v>
      </c>
      <c r="F91" s="16">
        <f>MIN(0.5+(INDEX('Stat Boosts'!$D$2:$D$192,F$1-9)-10)*$C91,10.22)</f>
        <v>0.59180327868852456</v>
      </c>
      <c r="G91" s="16">
        <f>MIN(0.5+(INDEX('Stat Boosts'!$D$2:$D$192,G$1-9)-10)*$C91,10.22)</f>
        <v>0.68360655737704912</v>
      </c>
      <c r="H91" s="16">
        <f>MIN(0.5+(INDEX('Stat Boosts'!$D$2:$D$192,H$1-9)-10)*$C91,10.22)</f>
        <v>0.77540983606557379</v>
      </c>
      <c r="I91" s="16">
        <f>MIN(0.5+(INDEX('Stat Boosts'!$D$2:$D$192,I$1-9)-10)*$C91,10.22)</f>
        <v>0.85409836065573774</v>
      </c>
      <c r="J91" s="16">
        <f>MIN(0.5+(INDEX('Stat Boosts'!$D$2:$D$192,J$1-9)-10)*$C91,10.22)</f>
        <v>0.93278688524590159</v>
      </c>
      <c r="K91" s="16">
        <f>MIN(0.5+(INDEX('Stat Boosts'!$D$2:$D$192,K$1-9)-10)*$C91,10.22)</f>
        <v>1.1163934426229507</v>
      </c>
      <c r="L91" s="16">
        <f>MIN(0.5+(INDEX('Stat Boosts'!$D$2:$D$192,L$1-9)-10)*$C91,10.22)</f>
        <v>1.1819672131147541</v>
      </c>
      <c r="M91" s="16">
        <f>MIN(0.5+(INDEX('Stat Boosts'!$D$2:$D$192,M$1-9)-10)*$C91,10.22)</f>
        <v>1.2737704918032788</v>
      </c>
      <c r="N91" s="16">
        <f>MIN(0.5+(INDEX('Stat Boosts'!$D$2:$D$192,N$1-9)-10)*$C91,10.22)</f>
        <v>1.3918032786885246</v>
      </c>
      <c r="O91" s="16">
        <f>MIN(0.5+(INDEX('Stat Boosts'!$D$2:$D$192,O$1-9)-10)*$C91,10.22)</f>
        <v>1.457377049180328</v>
      </c>
      <c r="P91" s="16">
        <f>MIN(0.5+(INDEX('Stat Boosts'!$D$2:$D$192,P$1-9)-10)*$C91,10.22)</f>
        <v>1.562295081967213</v>
      </c>
      <c r="Q91" s="16">
        <f>MIN(0.5+(INDEX('Stat Boosts'!$D$2:$D$192,Q$1-9)-10)*$C91,10.22)</f>
        <v>1.6672131147540983</v>
      </c>
      <c r="R91" s="16">
        <f>MIN(0.5+(INDEX('Stat Boosts'!$D$2:$D$192,R$1-9)-10)*$C91,10.22)</f>
        <v>1.7721311475409836</v>
      </c>
    </row>
    <row r="92" spans="1:18">
      <c r="A92" s="9">
        <v>91</v>
      </c>
      <c r="B92" s="16">
        <f t="shared" si="2"/>
        <v>40.75</v>
      </c>
      <c r="C92" s="16">
        <f t="shared" si="3"/>
        <v>1.3008130081300813E-2</v>
      </c>
      <c r="E92" s="16">
        <f>MIN(0.5+(INDEX('Stat Boosts'!$D$2:$D$192,E$1-9)-10)*$C92,10.22)</f>
        <v>0.5</v>
      </c>
      <c r="F92" s="16">
        <f>MIN(0.5+(INDEX('Stat Boosts'!$D$2:$D$192,F$1-9)-10)*$C92,10.22)</f>
        <v>0.5910569105691057</v>
      </c>
      <c r="G92" s="16">
        <f>MIN(0.5+(INDEX('Stat Boosts'!$D$2:$D$192,G$1-9)-10)*$C92,10.22)</f>
        <v>0.6821138211382114</v>
      </c>
      <c r="H92" s="16">
        <f>MIN(0.5+(INDEX('Stat Boosts'!$D$2:$D$192,H$1-9)-10)*$C92,10.22)</f>
        <v>0.77317073170731709</v>
      </c>
      <c r="I92" s="16">
        <f>MIN(0.5+(INDEX('Stat Boosts'!$D$2:$D$192,I$1-9)-10)*$C92,10.22)</f>
        <v>0.85121951219512193</v>
      </c>
      <c r="J92" s="16">
        <f>MIN(0.5+(INDEX('Stat Boosts'!$D$2:$D$192,J$1-9)-10)*$C92,10.22)</f>
        <v>0.92926829268292677</v>
      </c>
      <c r="K92" s="16">
        <f>MIN(0.5+(INDEX('Stat Boosts'!$D$2:$D$192,K$1-9)-10)*$C92,10.22)</f>
        <v>1.1113821138211382</v>
      </c>
      <c r="L92" s="16">
        <f>MIN(0.5+(INDEX('Stat Boosts'!$D$2:$D$192,L$1-9)-10)*$C92,10.22)</f>
        <v>1.1764227642276421</v>
      </c>
      <c r="M92" s="16">
        <f>MIN(0.5+(INDEX('Stat Boosts'!$D$2:$D$192,M$1-9)-10)*$C92,10.22)</f>
        <v>1.2674796747967481</v>
      </c>
      <c r="N92" s="16">
        <f>MIN(0.5+(INDEX('Stat Boosts'!$D$2:$D$192,N$1-9)-10)*$C92,10.22)</f>
        <v>1.3845528455284553</v>
      </c>
      <c r="O92" s="16">
        <f>MIN(0.5+(INDEX('Stat Boosts'!$D$2:$D$192,O$1-9)-10)*$C92,10.22)</f>
        <v>1.4495934959349595</v>
      </c>
      <c r="P92" s="16">
        <f>MIN(0.5+(INDEX('Stat Boosts'!$D$2:$D$192,P$1-9)-10)*$C92,10.22)</f>
        <v>1.5536585365853659</v>
      </c>
      <c r="Q92" s="16">
        <f>MIN(0.5+(INDEX('Stat Boosts'!$D$2:$D$192,Q$1-9)-10)*$C92,10.22)</f>
        <v>1.6577235772357723</v>
      </c>
      <c r="R92" s="16">
        <f>MIN(0.5+(INDEX('Stat Boosts'!$D$2:$D$192,R$1-9)-10)*$C92,10.22)</f>
        <v>1.7617886178861788</v>
      </c>
    </row>
    <row r="93" spans="1:18">
      <c r="A93" s="9">
        <v>92</v>
      </c>
      <c r="B93" s="16">
        <f t="shared" si="2"/>
        <v>41</v>
      </c>
      <c r="C93" s="16">
        <f t="shared" si="3"/>
        <v>1.2903225806451613E-2</v>
      </c>
      <c r="E93" s="16">
        <f>MIN(0.5+(INDEX('Stat Boosts'!$D$2:$D$192,E$1-9)-10)*$C93,10.22)</f>
        <v>0.5</v>
      </c>
      <c r="F93" s="16">
        <f>MIN(0.5+(INDEX('Stat Boosts'!$D$2:$D$192,F$1-9)-10)*$C93,10.22)</f>
        <v>0.5903225806451613</v>
      </c>
      <c r="G93" s="16">
        <f>MIN(0.5+(INDEX('Stat Boosts'!$D$2:$D$192,G$1-9)-10)*$C93,10.22)</f>
        <v>0.6806451612903226</v>
      </c>
      <c r="H93" s="16">
        <f>MIN(0.5+(INDEX('Stat Boosts'!$D$2:$D$192,H$1-9)-10)*$C93,10.22)</f>
        <v>0.7709677419354839</v>
      </c>
      <c r="I93" s="16">
        <f>MIN(0.5+(INDEX('Stat Boosts'!$D$2:$D$192,I$1-9)-10)*$C93,10.22)</f>
        <v>0.84838709677419355</v>
      </c>
      <c r="J93" s="16">
        <f>MIN(0.5+(INDEX('Stat Boosts'!$D$2:$D$192,J$1-9)-10)*$C93,10.22)</f>
        <v>0.9258064516129032</v>
      </c>
      <c r="K93" s="16">
        <f>MIN(0.5+(INDEX('Stat Boosts'!$D$2:$D$192,K$1-9)-10)*$C93,10.22)</f>
        <v>1.1064516129032258</v>
      </c>
      <c r="L93" s="16">
        <f>MIN(0.5+(INDEX('Stat Boosts'!$D$2:$D$192,L$1-9)-10)*$C93,10.22)</f>
        <v>1.1709677419354838</v>
      </c>
      <c r="M93" s="16">
        <f>MIN(0.5+(INDEX('Stat Boosts'!$D$2:$D$192,M$1-9)-10)*$C93,10.22)</f>
        <v>1.2612903225806451</v>
      </c>
      <c r="N93" s="16">
        <f>MIN(0.5+(INDEX('Stat Boosts'!$D$2:$D$192,N$1-9)-10)*$C93,10.22)</f>
        <v>1.3774193548387097</v>
      </c>
      <c r="O93" s="16">
        <f>MIN(0.5+(INDEX('Stat Boosts'!$D$2:$D$192,O$1-9)-10)*$C93,10.22)</f>
        <v>1.4419354838709677</v>
      </c>
      <c r="P93" s="16">
        <f>MIN(0.5+(INDEX('Stat Boosts'!$D$2:$D$192,P$1-9)-10)*$C93,10.22)</f>
        <v>1.5451612903225806</v>
      </c>
      <c r="Q93" s="16">
        <f>MIN(0.5+(INDEX('Stat Boosts'!$D$2:$D$192,Q$1-9)-10)*$C93,10.22)</f>
        <v>1.6483870967741936</v>
      </c>
      <c r="R93" s="16">
        <f>MIN(0.5+(INDEX('Stat Boosts'!$D$2:$D$192,R$1-9)-10)*$C93,10.22)</f>
        <v>1.7516129032258065</v>
      </c>
    </row>
    <row r="94" spans="1:18">
      <c r="A94" s="9">
        <v>93</v>
      </c>
      <c r="B94" s="16">
        <f t="shared" si="2"/>
        <v>41.25</v>
      </c>
      <c r="C94" s="16">
        <f t="shared" si="3"/>
        <v>1.2800000000000001E-2</v>
      </c>
      <c r="E94" s="16">
        <f>MIN(0.5+(INDEX('Stat Boosts'!$D$2:$D$192,E$1-9)-10)*$C94,10.22)</f>
        <v>0.5</v>
      </c>
      <c r="F94" s="16">
        <f>MIN(0.5+(INDEX('Stat Boosts'!$D$2:$D$192,F$1-9)-10)*$C94,10.22)</f>
        <v>0.58960000000000001</v>
      </c>
      <c r="G94" s="16">
        <f>MIN(0.5+(INDEX('Stat Boosts'!$D$2:$D$192,G$1-9)-10)*$C94,10.22)</f>
        <v>0.67920000000000003</v>
      </c>
      <c r="H94" s="16">
        <f>MIN(0.5+(INDEX('Stat Boosts'!$D$2:$D$192,H$1-9)-10)*$C94,10.22)</f>
        <v>0.76880000000000004</v>
      </c>
      <c r="I94" s="16">
        <f>MIN(0.5+(INDEX('Stat Boosts'!$D$2:$D$192,I$1-9)-10)*$C94,10.22)</f>
        <v>0.84560000000000002</v>
      </c>
      <c r="J94" s="16">
        <f>MIN(0.5+(INDEX('Stat Boosts'!$D$2:$D$192,J$1-9)-10)*$C94,10.22)</f>
        <v>0.9224</v>
      </c>
      <c r="K94" s="16">
        <f>MIN(0.5+(INDEX('Stat Boosts'!$D$2:$D$192,K$1-9)-10)*$C94,10.22)</f>
        <v>1.1015999999999999</v>
      </c>
      <c r="L94" s="16">
        <f>MIN(0.5+(INDEX('Stat Boosts'!$D$2:$D$192,L$1-9)-10)*$C94,10.22)</f>
        <v>1.1656</v>
      </c>
      <c r="M94" s="16">
        <f>MIN(0.5+(INDEX('Stat Boosts'!$D$2:$D$192,M$1-9)-10)*$C94,10.22)</f>
        <v>1.2551999999999999</v>
      </c>
      <c r="N94" s="16">
        <f>MIN(0.5+(INDEX('Stat Boosts'!$D$2:$D$192,N$1-9)-10)*$C94,10.22)</f>
        <v>1.3704000000000001</v>
      </c>
      <c r="O94" s="16">
        <f>MIN(0.5+(INDEX('Stat Boosts'!$D$2:$D$192,O$1-9)-10)*$C94,10.22)</f>
        <v>1.4344000000000001</v>
      </c>
      <c r="P94" s="16">
        <f>MIN(0.5+(INDEX('Stat Boosts'!$D$2:$D$192,P$1-9)-10)*$C94,10.22)</f>
        <v>1.5367999999999999</v>
      </c>
      <c r="Q94" s="16">
        <f>MIN(0.5+(INDEX('Stat Boosts'!$D$2:$D$192,Q$1-9)-10)*$C94,10.22)</f>
        <v>1.6392</v>
      </c>
      <c r="R94" s="16">
        <f>MIN(0.5+(INDEX('Stat Boosts'!$D$2:$D$192,R$1-9)-10)*$C94,10.22)</f>
        <v>1.7416</v>
      </c>
    </row>
    <row r="95" spans="1:18">
      <c r="A95" s="9">
        <v>94</v>
      </c>
      <c r="B95" s="16">
        <f t="shared" si="2"/>
        <v>41.5</v>
      </c>
      <c r="C95" s="16">
        <f t="shared" si="3"/>
        <v>1.2698412698412698E-2</v>
      </c>
      <c r="E95" s="16">
        <f>MIN(0.5+(INDEX('Stat Boosts'!$D$2:$D$192,E$1-9)-10)*$C95,10.22)</f>
        <v>0.5</v>
      </c>
      <c r="F95" s="16">
        <f>MIN(0.5+(INDEX('Stat Boosts'!$D$2:$D$192,F$1-9)-10)*$C95,10.22)</f>
        <v>0.58888888888888891</v>
      </c>
      <c r="G95" s="16">
        <f>MIN(0.5+(INDEX('Stat Boosts'!$D$2:$D$192,G$1-9)-10)*$C95,10.22)</f>
        <v>0.67777777777777781</v>
      </c>
      <c r="H95" s="16">
        <f>MIN(0.5+(INDEX('Stat Boosts'!$D$2:$D$192,H$1-9)-10)*$C95,10.22)</f>
        <v>0.76666666666666661</v>
      </c>
      <c r="I95" s="16">
        <f>MIN(0.5+(INDEX('Stat Boosts'!$D$2:$D$192,I$1-9)-10)*$C95,10.22)</f>
        <v>0.84285714285714286</v>
      </c>
      <c r="J95" s="16">
        <f>MIN(0.5+(INDEX('Stat Boosts'!$D$2:$D$192,J$1-9)-10)*$C95,10.22)</f>
        <v>0.91904761904761911</v>
      </c>
      <c r="K95" s="16">
        <f>MIN(0.5+(INDEX('Stat Boosts'!$D$2:$D$192,K$1-9)-10)*$C95,10.22)</f>
        <v>1.0968253968253969</v>
      </c>
      <c r="L95" s="16">
        <f>MIN(0.5+(INDEX('Stat Boosts'!$D$2:$D$192,L$1-9)-10)*$C95,10.22)</f>
        <v>1.1603174603174602</v>
      </c>
      <c r="M95" s="16">
        <f>MIN(0.5+(INDEX('Stat Boosts'!$D$2:$D$192,M$1-9)-10)*$C95,10.22)</f>
        <v>1.2492063492063492</v>
      </c>
      <c r="N95" s="16">
        <f>MIN(0.5+(INDEX('Stat Boosts'!$D$2:$D$192,N$1-9)-10)*$C95,10.22)</f>
        <v>1.3634920634920635</v>
      </c>
      <c r="O95" s="16">
        <f>MIN(0.5+(INDEX('Stat Boosts'!$D$2:$D$192,O$1-9)-10)*$C95,10.22)</f>
        <v>1.426984126984127</v>
      </c>
      <c r="P95" s="16">
        <f>MIN(0.5+(INDEX('Stat Boosts'!$D$2:$D$192,P$1-9)-10)*$C95,10.22)</f>
        <v>1.5285714285714285</v>
      </c>
      <c r="Q95" s="16">
        <f>MIN(0.5+(INDEX('Stat Boosts'!$D$2:$D$192,Q$1-9)-10)*$C95,10.22)</f>
        <v>1.6301587301587301</v>
      </c>
      <c r="R95" s="16">
        <f>MIN(0.5+(INDEX('Stat Boosts'!$D$2:$D$192,R$1-9)-10)*$C95,10.22)</f>
        <v>1.7317460317460318</v>
      </c>
    </row>
    <row r="96" spans="1:18">
      <c r="A96" s="9">
        <v>95</v>
      </c>
      <c r="B96" s="16">
        <f t="shared" si="2"/>
        <v>41.75</v>
      </c>
      <c r="C96" s="16">
        <f t="shared" si="3"/>
        <v>1.2598425196850395E-2</v>
      </c>
      <c r="E96" s="16">
        <f>MIN(0.5+(INDEX('Stat Boosts'!$D$2:$D$192,E$1-9)-10)*$C96,10.22)</f>
        <v>0.5</v>
      </c>
      <c r="F96" s="16">
        <f>MIN(0.5+(INDEX('Stat Boosts'!$D$2:$D$192,F$1-9)-10)*$C96,10.22)</f>
        <v>0.58818897637795275</v>
      </c>
      <c r="G96" s="16">
        <f>MIN(0.5+(INDEX('Stat Boosts'!$D$2:$D$192,G$1-9)-10)*$C96,10.22)</f>
        <v>0.67637795275590551</v>
      </c>
      <c r="H96" s="16">
        <f>MIN(0.5+(INDEX('Stat Boosts'!$D$2:$D$192,H$1-9)-10)*$C96,10.22)</f>
        <v>0.76456692913385838</v>
      </c>
      <c r="I96" s="16">
        <f>MIN(0.5+(INDEX('Stat Boosts'!$D$2:$D$192,I$1-9)-10)*$C96,10.22)</f>
        <v>0.84015748031496074</v>
      </c>
      <c r="J96" s="16">
        <f>MIN(0.5+(INDEX('Stat Boosts'!$D$2:$D$192,J$1-9)-10)*$C96,10.22)</f>
        <v>0.9157480314960631</v>
      </c>
      <c r="K96" s="16">
        <f>MIN(0.5+(INDEX('Stat Boosts'!$D$2:$D$192,K$1-9)-10)*$C96,10.22)</f>
        <v>1.0921259842519686</v>
      </c>
      <c r="L96" s="16">
        <f>MIN(0.5+(INDEX('Stat Boosts'!$D$2:$D$192,L$1-9)-10)*$C96,10.22)</f>
        <v>1.1551181102362205</v>
      </c>
      <c r="M96" s="16">
        <f>MIN(0.5+(INDEX('Stat Boosts'!$D$2:$D$192,M$1-9)-10)*$C96,10.22)</f>
        <v>1.2433070866141733</v>
      </c>
      <c r="N96" s="16">
        <f>MIN(0.5+(INDEX('Stat Boosts'!$D$2:$D$192,N$1-9)-10)*$C96,10.22)</f>
        <v>1.3566929133858268</v>
      </c>
      <c r="O96" s="16">
        <f>MIN(0.5+(INDEX('Stat Boosts'!$D$2:$D$192,O$1-9)-10)*$C96,10.22)</f>
        <v>1.4196850393700788</v>
      </c>
      <c r="P96" s="16">
        <f>MIN(0.5+(INDEX('Stat Boosts'!$D$2:$D$192,P$1-9)-10)*$C96,10.22)</f>
        <v>1.520472440944882</v>
      </c>
      <c r="Q96" s="16">
        <f>MIN(0.5+(INDEX('Stat Boosts'!$D$2:$D$192,Q$1-9)-10)*$C96,10.22)</f>
        <v>1.6212598425196851</v>
      </c>
      <c r="R96" s="16">
        <f>MIN(0.5+(INDEX('Stat Boosts'!$D$2:$D$192,R$1-9)-10)*$C96,10.22)</f>
        <v>1.7220472440944883</v>
      </c>
    </row>
    <row r="97" spans="1:18">
      <c r="A97" s="9">
        <v>96</v>
      </c>
      <c r="B97" s="16">
        <f t="shared" si="2"/>
        <v>42</v>
      </c>
      <c r="C97" s="16">
        <f t="shared" si="3"/>
        <v>1.2500000000000001E-2</v>
      </c>
      <c r="E97" s="16">
        <f>MIN(0.5+(INDEX('Stat Boosts'!$D$2:$D$192,E$1-9)-10)*$C97,10.22)</f>
        <v>0.5</v>
      </c>
      <c r="F97" s="16">
        <f>MIN(0.5+(INDEX('Stat Boosts'!$D$2:$D$192,F$1-9)-10)*$C97,10.22)</f>
        <v>0.58750000000000002</v>
      </c>
      <c r="G97" s="16">
        <f>MIN(0.5+(INDEX('Stat Boosts'!$D$2:$D$192,G$1-9)-10)*$C97,10.22)</f>
        <v>0.67500000000000004</v>
      </c>
      <c r="H97" s="16">
        <f>MIN(0.5+(INDEX('Stat Boosts'!$D$2:$D$192,H$1-9)-10)*$C97,10.22)</f>
        <v>0.76249999999999996</v>
      </c>
      <c r="I97" s="16">
        <f>MIN(0.5+(INDEX('Stat Boosts'!$D$2:$D$192,I$1-9)-10)*$C97,10.22)</f>
        <v>0.83750000000000002</v>
      </c>
      <c r="J97" s="16">
        <f>MIN(0.5+(INDEX('Stat Boosts'!$D$2:$D$192,J$1-9)-10)*$C97,10.22)</f>
        <v>0.91250000000000009</v>
      </c>
      <c r="K97" s="16">
        <f>MIN(0.5+(INDEX('Stat Boosts'!$D$2:$D$192,K$1-9)-10)*$C97,10.22)</f>
        <v>1.0874999999999999</v>
      </c>
      <c r="L97" s="16">
        <f>MIN(0.5+(INDEX('Stat Boosts'!$D$2:$D$192,L$1-9)-10)*$C97,10.22)</f>
        <v>1.1499999999999999</v>
      </c>
      <c r="M97" s="16">
        <f>MIN(0.5+(INDEX('Stat Boosts'!$D$2:$D$192,M$1-9)-10)*$C97,10.22)</f>
        <v>1.2375</v>
      </c>
      <c r="N97" s="16">
        <f>MIN(0.5+(INDEX('Stat Boosts'!$D$2:$D$192,N$1-9)-10)*$C97,10.22)</f>
        <v>1.35</v>
      </c>
      <c r="O97" s="16">
        <f>MIN(0.5+(INDEX('Stat Boosts'!$D$2:$D$192,O$1-9)-10)*$C97,10.22)</f>
        <v>1.4125000000000001</v>
      </c>
      <c r="P97" s="16">
        <f>MIN(0.5+(INDEX('Stat Boosts'!$D$2:$D$192,P$1-9)-10)*$C97,10.22)</f>
        <v>1.5125</v>
      </c>
      <c r="Q97" s="16">
        <f>MIN(0.5+(INDEX('Stat Boosts'!$D$2:$D$192,Q$1-9)-10)*$C97,10.22)</f>
        <v>1.6125</v>
      </c>
      <c r="R97" s="16">
        <f>MIN(0.5+(INDEX('Stat Boosts'!$D$2:$D$192,R$1-9)-10)*$C97,10.22)</f>
        <v>1.7125000000000001</v>
      </c>
    </row>
    <row r="98" spans="1:18">
      <c r="A98" s="9">
        <v>97</v>
      </c>
      <c r="B98" s="16">
        <f t="shared" si="2"/>
        <v>42.25</v>
      </c>
      <c r="C98" s="16">
        <f t="shared" si="3"/>
        <v>1.2403100775193798E-2</v>
      </c>
      <c r="E98" s="16">
        <f>MIN(0.5+(INDEX('Stat Boosts'!$D$2:$D$192,E$1-9)-10)*$C98,10.22)</f>
        <v>0.5</v>
      </c>
      <c r="F98" s="16">
        <f>MIN(0.5+(INDEX('Stat Boosts'!$D$2:$D$192,F$1-9)-10)*$C98,10.22)</f>
        <v>0.58682170542635659</v>
      </c>
      <c r="G98" s="16">
        <f>MIN(0.5+(INDEX('Stat Boosts'!$D$2:$D$192,G$1-9)-10)*$C98,10.22)</f>
        <v>0.67364341085271318</v>
      </c>
      <c r="H98" s="16">
        <f>MIN(0.5+(INDEX('Stat Boosts'!$D$2:$D$192,H$1-9)-10)*$C98,10.22)</f>
        <v>0.76046511627906976</v>
      </c>
      <c r="I98" s="16">
        <f>MIN(0.5+(INDEX('Stat Boosts'!$D$2:$D$192,I$1-9)-10)*$C98,10.22)</f>
        <v>0.83488372093023255</v>
      </c>
      <c r="J98" s="16">
        <f>MIN(0.5+(INDEX('Stat Boosts'!$D$2:$D$192,J$1-9)-10)*$C98,10.22)</f>
        <v>0.90930232558139534</v>
      </c>
      <c r="K98" s="16">
        <f>MIN(0.5+(INDEX('Stat Boosts'!$D$2:$D$192,K$1-9)-10)*$C98,10.22)</f>
        <v>1.0829457364341084</v>
      </c>
      <c r="L98" s="16">
        <f>MIN(0.5+(INDEX('Stat Boosts'!$D$2:$D$192,L$1-9)-10)*$C98,10.22)</f>
        <v>1.1449612403100775</v>
      </c>
      <c r="M98" s="16">
        <f>MIN(0.5+(INDEX('Stat Boosts'!$D$2:$D$192,M$1-9)-10)*$C98,10.22)</f>
        <v>1.231782945736434</v>
      </c>
      <c r="N98" s="16">
        <f>MIN(0.5+(INDEX('Stat Boosts'!$D$2:$D$192,N$1-9)-10)*$C98,10.22)</f>
        <v>1.3434108527131783</v>
      </c>
      <c r="O98" s="16">
        <f>MIN(0.5+(INDEX('Stat Boosts'!$D$2:$D$192,O$1-9)-10)*$C98,10.22)</f>
        <v>1.4054263565891474</v>
      </c>
      <c r="P98" s="16">
        <f>MIN(0.5+(INDEX('Stat Boosts'!$D$2:$D$192,P$1-9)-10)*$C98,10.22)</f>
        <v>1.5046511627906978</v>
      </c>
      <c r="Q98" s="16">
        <f>MIN(0.5+(INDEX('Stat Boosts'!$D$2:$D$192,Q$1-9)-10)*$C98,10.22)</f>
        <v>1.6038759689922482</v>
      </c>
      <c r="R98" s="16">
        <f>MIN(0.5+(INDEX('Stat Boosts'!$D$2:$D$192,R$1-9)-10)*$C98,10.22)</f>
        <v>1.7031007751937985</v>
      </c>
    </row>
    <row r="99" spans="1:18">
      <c r="A99" s="9">
        <v>98</v>
      </c>
      <c r="B99" s="16">
        <f t="shared" si="2"/>
        <v>42.5</v>
      </c>
      <c r="C99" s="16">
        <f t="shared" si="3"/>
        <v>1.2307692307692308E-2</v>
      </c>
      <c r="E99" s="16">
        <f>MIN(0.5+(INDEX('Stat Boosts'!$D$2:$D$192,E$1-9)-10)*$C99,10.22)</f>
        <v>0.5</v>
      </c>
      <c r="F99" s="16">
        <f>MIN(0.5+(INDEX('Stat Boosts'!$D$2:$D$192,F$1-9)-10)*$C99,10.22)</f>
        <v>0.58615384615384614</v>
      </c>
      <c r="G99" s="16">
        <f>MIN(0.5+(INDEX('Stat Boosts'!$D$2:$D$192,G$1-9)-10)*$C99,10.22)</f>
        <v>0.67230769230769227</v>
      </c>
      <c r="H99" s="16">
        <f>MIN(0.5+(INDEX('Stat Boosts'!$D$2:$D$192,H$1-9)-10)*$C99,10.22)</f>
        <v>0.75846153846153852</v>
      </c>
      <c r="I99" s="16">
        <f>MIN(0.5+(INDEX('Stat Boosts'!$D$2:$D$192,I$1-9)-10)*$C99,10.22)</f>
        <v>0.8323076923076923</v>
      </c>
      <c r="J99" s="16">
        <f>MIN(0.5+(INDEX('Stat Boosts'!$D$2:$D$192,J$1-9)-10)*$C99,10.22)</f>
        <v>0.90615384615384609</v>
      </c>
      <c r="K99" s="16">
        <f>MIN(0.5+(INDEX('Stat Boosts'!$D$2:$D$192,K$1-9)-10)*$C99,10.22)</f>
        <v>1.0784615384615384</v>
      </c>
      <c r="L99" s="16">
        <f>MIN(0.5+(INDEX('Stat Boosts'!$D$2:$D$192,L$1-9)-10)*$C99,10.22)</f>
        <v>1.1400000000000001</v>
      </c>
      <c r="M99" s="16">
        <f>MIN(0.5+(INDEX('Stat Boosts'!$D$2:$D$192,M$1-9)-10)*$C99,10.22)</f>
        <v>1.2261538461538461</v>
      </c>
      <c r="N99" s="16">
        <f>MIN(0.5+(INDEX('Stat Boosts'!$D$2:$D$192,N$1-9)-10)*$C99,10.22)</f>
        <v>1.3369230769230769</v>
      </c>
      <c r="O99" s="16">
        <f>MIN(0.5+(INDEX('Stat Boosts'!$D$2:$D$192,O$1-9)-10)*$C99,10.22)</f>
        <v>1.3984615384615384</v>
      </c>
      <c r="P99" s="16">
        <f>MIN(0.5+(INDEX('Stat Boosts'!$D$2:$D$192,P$1-9)-10)*$C99,10.22)</f>
        <v>1.496923076923077</v>
      </c>
      <c r="Q99" s="16">
        <f>MIN(0.5+(INDEX('Stat Boosts'!$D$2:$D$192,Q$1-9)-10)*$C99,10.22)</f>
        <v>1.5953846153846154</v>
      </c>
      <c r="R99" s="16">
        <f>MIN(0.5+(INDEX('Stat Boosts'!$D$2:$D$192,R$1-9)-10)*$C99,10.22)</f>
        <v>1.6938461538461538</v>
      </c>
    </row>
    <row r="100" spans="1:18">
      <c r="A100" s="9">
        <v>99</v>
      </c>
      <c r="B100" s="16">
        <f t="shared" si="2"/>
        <v>42.75</v>
      </c>
      <c r="C100" s="16">
        <f t="shared" si="3"/>
        <v>1.2213740458015267E-2</v>
      </c>
      <c r="E100" s="16">
        <f>MIN(0.5+(INDEX('Stat Boosts'!$D$2:$D$192,E$1-9)-10)*$C100,10.22)</f>
        <v>0.5</v>
      </c>
      <c r="F100" s="16">
        <f>MIN(0.5+(INDEX('Stat Boosts'!$D$2:$D$192,F$1-9)-10)*$C100,10.22)</f>
        <v>0.58549618320610686</v>
      </c>
      <c r="G100" s="16">
        <f>MIN(0.5+(INDEX('Stat Boosts'!$D$2:$D$192,G$1-9)-10)*$C100,10.22)</f>
        <v>0.67099236641221371</v>
      </c>
      <c r="H100" s="16">
        <f>MIN(0.5+(INDEX('Stat Boosts'!$D$2:$D$192,H$1-9)-10)*$C100,10.22)</f>
        <v>0.75648854961832068</v>
      </c>
      <c r="I100" s="16">
        <f>MIN(0.5+(INDEX('Stat Boosts'!$D$2:$D$192,I$1-9)-10)*$C100,10.22)</f>
        <v>0.82977099236641227</v>
      </c>
      <c r="J100" s="16">
        <f>MIN(0.5+(INDEX('Stat Boosts'!$D$2:$D$192,J$1-9)-10)*$C100,10.22)</f>
        <v>0.90305343511450387</v>
      </c>
      <c r="K100" s="16">
        <f>MIN(0.5+(INDEX('Stat Boosts'!$D$2:$D$192,K$1-9)-10)*$C100,10.22)</f>
        <v>1.0740458015267176</v>
      </c>
      <c r="L100" s="16">
        <f>MIN(0.5+(INDEX('Stat Boosts'!$D$2:$D$192,L$1-9)-10)*$C100,10.22)</f>
        <v>1.1351145038167938</v>
      </c>
      <c r="M100" s="16">
        <f>MIN(0.5+(INDEX('Stat Boosts'!$D$2:$D$192,M$1-9)-10)*$C100,10.22)</f>
        <v>1.2206106870229008</v>
      </c>
      <c r="N100" s="16">
        <f>MIN(0.5+(INDEX('Stat Boosts'!$D$2:$D$192,N$1-9)-10)*$C100,10.22)</f>
        <v>1.330534351145038</v>
      </c>
      <c r="O100" s="16">
        <f>MIN(0.5+(INDEX('Stat Boosts'!$D$2:$D$192,O$1-9)-10)*$C100,10.22)</f>
        <v>1.3916030534351145</v>
      </c>
      <c r="P100" s="16">
        <f>MIN(0.5+(INDEX('Stat Boosts'!$D$2:$D$192,P$1-9)-10)*$C100,10.22)</f>
        <v>1.4893129770992366</v>
      </c>
      <c r="Q100" s="16">
        <f>MIN(0.5+(INDEX('Stat Boosts'!$D$2:$D$192,Q$1-9)-10)*$C100,10.22)</f>
        <v>1.5870229007633587</v>
      </c>
      <c r="R100" s="16">
        <f>MIN(0.5+(INDEX('Stat Boosts'!$D$2:$D$192,R$1-9)-10)*$C100,10.22)</f>
        <v>1.6847328244274808</v>
      </c>
    </row>
    <row r="101" spans="1:18">
      <c r="A101" s="9">
        <v>100</v>
      </c>
      <c r="B101" s="16">
        <f t="shared" si="2"/>
        <v>43</v>
      </c>
      <c r="C101" s="16">
        <f t="shared" si="3"/>
        <v>1.2121212121212121E-2</v>
      </c>
      <c r="E101" s="16">
        <f>MIN(0.5+(INDEX('Stat Boosts'!$D$2:$D$192,E$1-9)-10)*$C101,10.22)</f>
        <v>0.5</v>
      </c>
      <c r="F101" s="16">
        <f>MIN(0.5+(INDEX('Stat Boosts'!$D$2:$D$192,F$1-9)-10)*$C101,10.22)</f>
        <v>0.58484848484848484</v>
      </c>
      <c r="G101" s="16">
        <f>MIN(0.5+(INDEX('Stat Boosts'!$D$2:$D$192,G$1-9)-10)*$C101,10.22)</f>
        <v>0.66969696969696968</v>
      </c>
      <c r="H101" s="16">
        <f>MIN(0.5+(INDEX('Stat Boosts'!$D$2:$D$192,H$1-9)-10)*$C101,10.22)</f>
        <v>0.75454545454545452</v>
      </c>
      <c r="I101" s="16">
        <f>MIN(0.5+(INDEX('Stat Boosts'!$D$2:$D$192,I$1-9)-10)*$C101,10.22)</f>
        <v>0.82727272727272727</v>
      </c>
      <c r="J101" s="16">
        <f>MIN(0.5+(INDEX('Stat Boosts'!$D$2:$D$192,J$1-9)-10)*$C101,10.22)</f>
        <v>0.9</v>
      </c>
      <c r="K101" s="16">
        <f>MIN(0.5+(INDEX('Stat Boosts'!$D$2:$D$192,K$1-9)-10)*$C101,10.22)</f>
        <v>1.0696969696969698</v>
      </c>
      <c r="L101" s="16">
        <f>MIN(0.5+(INDEX('Stat Boosts'!$D$2:$D$192,L$1-9)-10)*$C101,10.22)</f>
        <v>1.1303030303030304</v>
      </c>
      <c r="M101" s="16">
        <f>MIN(0.5+(INDEX('Stat Boosts'!$D$2:$D$192,M$1-9)-10)*$C101,10.22)</f>
        <v>1.2151515151515153</v>
      </c>
      <c r="N101" s="16">
        <f>MIN(0.5+(INDEX('Stat Boosts'!$D$2:$D$192,N$1-9)-10)*$C101,10.22)</f>
        <v>1.3242424242424242</v>
      </c>
      <c r="O101" s="16">
        <f>MIN(0.5+(INDEX('Stat Boosts'!$D$2:$D$192,O$1-9)-10)*$C101,10.22)</f>
        <v>1.3848484848484848</v>
      </c>
      <c r="P101" s="16">
        <f>MIN(0.5+(INDEX('Stat Boosts'!$D$2:$D$192,P$1-9)-10)*$C101,10.22)</f>
        <v>1.4818181818181819</v>
      </c>
      <c r="Q101" s="16">
        <f>MIN(0.5+(INDEX('Stat Boosts'!$D$2:$D$192,Q$1-9)-10)*$C101,10.22)</f>
        <v>1.5787878787878789</v>
      </c>
      <c r="R101" s="16">
        <f>MIN(0.5+(INDEX('Stat Boosts'!$D$2:$D$192,R$1-9)-10)*$C101,10.22)</f>
        <v>1.6757575757575758</v>
      </c>
    </row>
    <row r="102" spans="1:18">
      <c r="A102" s="9">
        <v>101</v>
      </c>
      <c r="B102" s="16">
        <f t="shared" si="2"/>
        <v>43.25</v>
      </c>
      <c r="C102" s="16">
        <f t="shared" si="3"/>
        <v>1.2030075187969926E-2</v>
      </c>
      <c r="E102" s="16">
        <f>MIN(0.5+(INDEX('Stat Boosts'!$D$2:$D$192,E$1-9)-10)*$C102,10.22)</f>
        <v>0.5</v>
      </c>
      <c r="F102" s="16">
        <f>MIN(0.5+(INDEX('Stat Boosts'!$D$2:$D$192,F$1-9)-10)*$C102,10.22)</f>
        <v>0.58421052631578951</v>
      </c>
      <c r="G102" s="16">
        <f>MIN(0.5+(INDEX('Stat Boosts'!$D$2:$D$192,G$1-9)-10)*$C102,10.22)</f>
        <v>0.66842105263157903</v>
      </c>
      <c r="H102" s="16">
        <f>MIN(0.5+(INDEX('Stat Boosts'!$D$2:$D$192,H$1-9)-10)*$C102,10.22)</f>
        <v>0.75263157894736843</v>
      </c>
      <c r="I102" s="16">
        <f>MIN(0.5+(INDEX('Stat Boosts'!$D$2:$D$192,I$1-9)-10)*$C102,10.22)</f>
        <v>0.824812030075188</v>
      </c>
      <c r="J102" s="16">
        <f>MIN(0.5+(INDEX('Stat Boosts'!$D$2:$D$192,J$1-9)-10)*$C102,10.22)</f>
        <v>0.89699248120300756</v>
      </c>
      <c r="K102" s="16">
        <f>MIN(0.5+(INDEX('Stat Boosts'!$D$2:$D$192,K$1-9)-10)*$C102,10.22)</f>
        <v>1.0654135338345865</v>
      </c>
      <c r="L102" s="16">
        <f>MIN(0.5+(INDEX('Stat Boosts'!$D$2:$D$192,L$1-9)-10)*$C102,10.22)</f>
        <v>1.1255639097744361</v>
      </c>
      <c r="M102" s="16">
        <f>MIN(0.5+(INDEX('Stat Boosts'!$D$2:$D$192,M$1-9)-10)*$C102,10.22)</f>
        <v>1.2097744360902256</v>
      </c>
      <c r="N102" s="16">
        <f>MIN(0.5+(INDEX('Stat Boosts'!$D$2:$D$192,N$1-9)-10)*$C102,10.22)</f>
        <v>1.318045112781955</v>
      </c>
      <c r="O102" s="16">
        <f>MIN(0.5+(INDEX('Stat Boosts'!$D$2:$D$192,O$1-9)-10)*$C102,10.22)</f>
        <v>1.3781954887218046</v>
      </c>
      <c r="P102" s="16">
        <f>MIN(0.5+(INDEX('Stat Boosts'!$D$2:$D$192,P$1-9)-10)*$C102,10.22)</f>
        <v>1.474436090225564</v>
      </c>
      <c r="Q102" s="16">
        <f>MIN(0.5+(INDEX('Stat Boosts'!$D$2:$D$192,Q$1-9)-10)*$C102,10.22)</f>
        <v>1.5706766917293233</v>
      </c>
      <c r="R102" s="16">
        <f>MIN(0.5+(INDEX('Stat Boosts'!$D$2:$D$192,R$1-9)-10)*$C102,10.22)</f>
        <v>1.6669172932330827</v>
      </c>
    </row>
    <row r="103" spans="1:18">
      <c r="A103" s="9">
        <v>102</v>
      </c>
      <c r="B103" s="16">
        <f t="shared" si="2"/>
        <v>43.5</v>
      </c>
      <c r="C103" s="16">
        <f t="shared" si="3"/>
        <v>1.1940298507462687E-2</v>
      </c>
      <c r="E103" s="16">
        <f>MIN(0.5+(INDEX('Stat Boosts'!$D$2:$D$192,E$1-9)-10)*$C103,10.22)</f>
        <v>0.5</v>
      </c>
      <c r="F103" s="16">
        <f>MIN(0.5+(INDEX('Stat Boosts'!$D$2:$D$192,F$1-9)-10)*$C103,10.22)</f>
        <v>0.58358208955223878</v>
      </c>
      <c r="G103" s="16">
        <f>MIN(0.5+(INDEX('Stat Boosts'!$D$2:$D$192,G$1-9)-10)*$C103,10.22)</f>
        <v>0.66716417910447756</v>
      </c>
      <c r="H103" s="16">
        <f>MIN(0.5+(INDEX('Stat Boosts'!$D$2:$D$192,H$1-9)-10)*$C103,10.22)</f>
        <v>0.75074626865671634</v>
      </c>
      <c r="I103" s="16">
        <f>MIN(0.5+(INDEX('Stat Boosts'!$D$2:$D$192,I$1-9)-10)*$C103,10.22)</f>
        <v>0.82238805970149254</v>
      </c>
      <c r="J103" s="16">
        <f>MIN(0.5+(INDEX('Stat Boosts'!$D$2:$D$192,J$1-9)-10)*$C103,10.22)</f>
        <v>0.89402985074626873</v>
      </c>
      <c r="K103" s="16">
        <f>MIN(0.5+(INDEX('Stat Boosts'!$D$2:$D$192,K$1-9)-10)*$C103,10.22)</f>
        <v>1.0611940298507463</v>
      </c>
      <c r="L103" s="16">
        <f>MIN(0.5+(INDEX('Stat Boosts'!$D$2:$D$192,L$1-9)-10)*$C103,10.22)</f>
        <v>1.1208955223880597</v>
      </c>
      <c r="M103" s="16">
        <f>MIN(0.5+(INDEX('Stat Boosts'!$D$2:$D$192,M$1-9)-10)*$C103,10.22)</f>
        <v>1.2044776119402987</v>
      </c>
      <c r="N103" s="16">
        <f>MIN(0.5+(INDEX('Stat Boosts'!$D$2:$D$192,N$1-9)-10)*$C103,10.22)</f>
        <v>1.3119402985074626</v>
      </c>
      <c r="O103" s="16">
        <f>MIN(0.5+(INDEX('Stat Boosts'!$D$2:$D$192,O$1-9)-10)*$C103,10.22)</f>
        <v>1.3716417910447762</v>
      </c>
      <c r="P103" s="16">
        <f>MIN(0.5+(INDEX('Stat Boosts'!$D$2:$D$192,P$1-9)-10)*$C103,10.22)</f>
        <v>1.4671641791044776</v>
      </c>
      <c r="Q103" s="16">
        <f>MIN(0.5+(INDEX('Stat Boosts'!$D$2:$D$192,Q$1-9)-10)*$C103,10.22)</f>
        <v>1.5626865671641792</v>
      </c>
      <c r="R103" s="16">
        <f>MIN(0.5+(INDEX('Stat Boosts'!$D$2:$D$192,R$1-9)-10)*$C103,10.22)</f>
        <v>1.6582089552238806</v>
      </c>
    </row>
    <row r="104" spans="1:18">
      <c r="A104" s="9">
        <v>103</v>
      </c>
      <c r="B104" s="16">
        <f t="shared" si="2"/>
        <v>43.75</v>
      </c>
      <c r="C104" s="16">
        <f t="shared" si="3"/>
        <v>1.1851851851851853E-2</v>
      </c>
      <c r="E104" s="16">
        <f>MIN(0.5+(INDEX('Stat Boosts'!$D$2:$D$192,E$1-9)-10)*$C104,10.22)</f>
        <v>0.5</v>
      </c>
      <c r="F104" s="16">
        <f>MIN(0.5+(INDEX('Stat Boosts'!$D$2:$D$192,F$1-9)-10)*$C104,10.22)</f>
        <v>0.58296296296296302</v>
      </c>
      <c r="G104" s="16">
        <f>MIN(0.5+(INDEX('Stat Boosts'!$D$2:$D$192,G$1-9)-10)*$C104,10.22)</f>
        <v>0.66592592592592592</v>
      </c>
      <c r="H104" s="16">
        <f>MIN(0.5+(INDEX('Stat Boosts'!$D$2:$D$192,H$1-9)-10)*$C104,10.22)</f>
        <v>0.74888888888888894</v>
      </c>
      <c r="I104" s="16">
        <f>MIN(0.5+(INDEX('Stat Boosts'!$D$2:$D$192,I$1-9)-10)*$C104,10.22)</f>
        <v>0.82000000000000006</v>
      </c>
      <c r="J104" s="16">
        <f>MIN(0.5+(INDEX('Stat Boosts'!$D$2:$D$192,J$1-9)-10)*$C104,10.22)</f>
        <v>0.89111111111111119</v>
      </c>
      <c r="K104" s="16">
        <f>MIN(0.5+(INDEX('Stat Boosts'!$D$2:$D$192,K$1-9)-10)*$C104,10.22)</f>
        <v>1.0570370370370372</v>
      </c>
      <c r="L104" s="16">
        <f>MIN(0.5+(INDEX('Stat Boosts'!$D$2:$D$192,L$1-9)-10)*$C104,10.22)</f>
        <v>1.1162962962962963</v>
      </c>
      <c r="M104" s="16">
        <f>MIN(0.5+(INDEX('Stat Boosts'!$D$2:$D$192,M$1-9)-10)*$C104,10.22)</f>
        <v>1.1992592592592595</v>
      </c>
      <c r="N104" s="16">
        <f>MIN(0.5+(INDEX('Stat Boosts'!$D$2:$D$192,N$1-9)-10)*$C104,10.22)</f>
        <v>1.3059259259259259</v>
      </c>
      <c r="O104" s="16">
        <f>MIN(0.5+(INDEX('Stat Boosts'!$D$2:$D$192,O$1-9)-10)*$C104,10.22)</f>
        <v>1.3651851851851853</v>
      </c>
      <c r="P104" s="16">
        <f>MIN(0.5+(INDEX('Stat Boosts'!$D$2:$D$192,P$1-9)-10)*$C104,10.22)</f>
        <v>1.46</v>
      </c>
      <c r="Q104" s="16">
        <f>MIN(0.5+(INDEX('Stat Boosts'!$D$2:$D$192,Q$1-9)-10)*$C104,10.22)</f>
        <v>1.5548148148148149</v>
      </c>
      <c r="R104" s="16">
        <f>MIN(0.5+(INDEX('Stat Boosts'!$D$2:$D$192,R$1-9)-10)*$C104,10.22)</f>
        <v>1.6496296296296298</v>
      </c>
    </row>
    <row r="105" spans="1:18">
      <c r="A105" s="9">
        <v>104</v>
      </c>
      <c r="B105" s="16">
        <f t="shared" si="2"/>
        <v>44</v>
      </c>
      <c r="C105" s="16">
        <f t="shared" si="3"/>
        <v>1.1764705882352941E-2</v>
      </c>
      <c r="E105" s="16">
        <f>MIN(0.5+(INDEX('Stat Boosts'!$D$2:$D$192,E$1-9)-10)*$C105,10.22)</f>
        <v>0.5</v>
      </c>
      <c r="F105" s="16">
        <f>MIN(0.5+(INDEX('Stat Boosts'!$D$2:$D$192,F$1-9)-10)*$C105,10.22)</f>
        <v>0.58235294117647063</v>
      </c>
      <c r="G105" s="16">
        <f>MIN(0.5+(INDEX('Stat Boosts'!$D$2:$D$192,G$1-9)-10)*$C105,10.22)</f>
        <v>0.66470588235294115</v>
      </c>
      <c r="H105" s="16">
        <f>MIN(0.5+(INDEX('Stat Boosts'!$D$2:$D$192,H$1-9)-10)*$C105,10.22)</f>
        <v>0.74705882352941178</v>
      </c>
      <c r="I105" s="16">
        <f>MIN(0.5+(INDEX('Stat Boosts'!$D$2:$D$192,I$1-9)-10)*$C105,10.22)</f>
        <v>0.81764705882352939</v>
      </c>
      <c r="J105" s="16">
        <f>MIN(0.5+(INDEX('Stat Boosts'!$D$2:$D$192,J$1-9)-10)*$C105,10.22)</f>
        <v>0.88823529411764701</v>
      </c>
      <c r="K105" s="16">
        <f>MIN(0.5+(INDEX('Stat Boosts'!$D$2:$D$192,K$1-9)-10)*$C105,10.22)</f>
        <v>1.0529411764705883</v>
      </c>
      <c r="L105" s="16">
        <f>MIN(0.5+(INDEX('Stat Boosts'!$D$2:$D$192,L$1-9)-10)*$C105,10.22)</f>
        <v>1.111764705882353</v>
      </c>
      <c r="M105" s="16">
        <f>MIN(0.5+(INDEX('Stat Boosts'!$D$2:$D$192,M$1-9)-10)*$C105,10.22)</f>
        <v>1.1941176470588235</v>
      </c>
      <c r="N105" s="16">
        <f>MIN(0.5+(INDEX('Stat Boosts'!$D$2:$D$192,N$1-9)-10)*$C105,10.22)</f>
        <v>1.3</v>
      </c>
      <c r="O105" s="16">
        <f>MIN(0.5+(INDEX('Stat Boosts'!$D$2:$D$192,O$1-9)-10)*$C105,10.22)</f>
        <v>1.3588235294117648</v>
      </c>
      <c r="P105" s="16">
        <f>MIN(0.5+(INDEX('Stat Boosts'!$D$2:$D$192,P$1-9)-10)*$C105,10.22)</f>
        <v>1.4529411764705882</v>
      </c>
      <c r="Q105" s="16">
        <f>MIN(0.5+(INDEX('Stat Boosts'!$D$2:$D$192,Q$1-9)-10)*$C105,10.22)</f>
        <v>1.5470588235294118</v>
      </c>
      <c r="R105" s="16">
        <f>MIN(0.5+(INDEX('Stat Boosts'!$D$2:$D$192,R$1-9)-10)*$C105,10.22)</f>
        <v>1.6411764705882352</v>
      </c>
    </row>
    <row r="106" spans="1:18">
      <c r="A106" s="9">
        <v>105</v>
      </c>
      <c r="B106" s="16">
        <f t="shared" si="2"/>
        <v>44.25</v>
      </c>
      <c r="C106" s="16">
        <f t="shared" si="3"/>
        <v>1.1678832116788322E-2</v>
      </c>
      <c r="E106" s="16">
        <f>MIN(0.5+(INDEX('Stat Boosts'!$D$2:$D$192,E$1-9)-10)*$C106,10.22)</f>
        <v>0.5</v>
      </c>
      <c r="F106" s="16">
        <f>MIN(0.5+(INDEX('Stat Boosts'!$D$2:$D$192,F$1-9)-10)*$C106,10.22)</f>
        <v>0.58175182481751819</v>
      </c>
      <c r="G106" s="16">
        <f>MIN(0.5+(INDEX('Stat Boosts'!$D$2:$D$192,G$1-9)-10)*$C106,10.22)</f>
        <v>0.6635036496350365</v>
      </c>
      <c r="H106" s="16">
        <f>MIN(0.5+(INDEX('Stat Boosts'!$D$2:$D$192,H$1-9)-10)*$C106,10.22)</f>
        <v>0.7452554744525548</v>
      </c>
      <c r="I106" s="16">
        <f>MIN(0.5+(INDEX('Stat Boosts'!$D$2:$D$192,I$1-9)-10)*$C106,10.22)</f>
        <v>0.81532846715328477</v>
      </c>
      <c r="J106" s="16">
        <f>MIN(0.5+(INDEX('Stat Boosts'!$D$2:$D$192,J$1-9)-10)*$C106,10.22)</f>
        <v>0.88540145985401464</v>
      </c>
      <c r="K106" s="16">
        <f>MIN(0.5+(INDEX('Stat Boosts'!$D$2:$D$192,K$1-9)-10)*$C106,10.22)</f>
        <v>1.0489051094890511</v>
      </c>
      <c r="L106" s="16">
        <f>MIN(0.5+(INDEX('Stat Boosts'!$D$2:$D$192,L$1-9)-10)*$C106,10.22)</f>
        <v>1.1072992700729927</v>
      </c>
      <c r="M106" s="16">
        <f>MIN(0.5+(INDEX('Stat Boosts'!$D$2:$D$192,M$1-9)-10)*$C106,10.22)</f>
        <v>1.1890510948905111</v>
      </c>
      <c r="N106" s="16">
        <f>MIN(0.5+(INDEX('Stat Boosts'!$D$2:$D$192,N$1-9)-10)*$C106,10.22)</f>
        <v>1.2941605839416059</v>
      </c>
      <c r="O106" s="16">
        <f>MIN(0.5+(INDEX('Stat Boosts'!$D$2:$D$192,O$1-9)-10)*$C106,10.22)</f>
        <v>1.3525547445255475</v>
      </c>
      <c r="P106" s="16">
        <f>MIN(0.5+(INDEX('Stat Boosts'!$D$2:$D$192,P$1-9)-10)*$C106,10.22)</f>
        <v>1.4459854014598541</v>
      </c>
      <c r="Q106" s="16">
        <f>MIN(0.5+(INDEX('Stat Boosts'!$D$2:$D$192,Q$1-9)-10)*$C106,10.22)</f>
        <v>1.5394160583941607</v>
      </c>
      <c r="R106" s="16">
        <f>MIN(0.5+(INDEX('Stat Boosts'!$D$2:$D$192,R$1-9)-10)*$C106,10.22)</f>
        <v>1.6328467153284671</v>
      </c>
    </row>
    <row r="107" spans="1:18">
      <c r="A107" s="9">
        <v>106</v>
      </c>
      <c r="B107" s="16">
        <f t="shared" si="2"/>
        <v>44.5</v>
      </c>
      <c r="C107" s="16">
        <f t="shared" si="3"/>
        <v>1.1594202898550725E-2</v>
      </c>
      <c r="E107" s="16">
        <f>MIN(0.5+(INDEX('Stat Boosts'!$D$2:$D$192,E$1-9)-10)*$C107,10.22)</f>
        <v>0.5</v>
      </c>
      <c r="F107" s="16">
        <f>MIN(0.5+(INDEX('Stat Boosts'!$D$2:$D$192,F$1-9)-10)*$C107,10.22)</f>
        <v>0.58115942028985512</v>
      </c>
      <c r="G107" s="16">
        <f>MIN(0.5+(INDEX('Stat Boosts'!$D$2:$D$192,G$1-9)-10)*$C107,10.22)</f>
        <v>0.66231884057971013</v>
      </c>
      <c r="H107" s="16">
        <f>MIN(0.5+(INDEX('Stat Boosts'!$D$2:$D$192,H$1-9)-10)*$C107,10.22)</f>
        <v>0.74347826086956526</v>
      </c>
      <c r="I107" s="16">
        <f>MIN(0.5+(INDEX('Stat Boosts'!$D$2:$D$192,I$1-9)-10)*$C107,10.22)</f>
        <v>0.81304347826086953</v>
      </c>
      <c r="J107" s="16">
        <f>MIN(0.5+(INDEX('Stat Boosts'!$D$2:$D$192,J$1-9)-10)*$C107,10.22)</f>
        <v>0.88260869565217392</v>
      </c>
      <c r="K107" s="16">
        <f>MIN(0.5+(INDEX('Stat Boosts'!$D$2:$D$192,K$1-9)-10)*$C107,10.22)</f>
        <v>1.0449275362318842</v>
      </c>
      <c r="L107" s="16">
        <f>MIN(0.5+(INDEX('Stat Boosts'!$D$2:$D$192,L$1-9)-10)*$C107,10.22)</f>
        <v>1.1028985507246376</v>
      </c>
      <c r="M107" s="16">
        <f>MIN(0.5+(INDEX('Stat Boosts'!$D$2:$D$192,M$1-9)-10)*$C107,10.22)</f>
        <v>1.1840579710144927</v>
      </c>
      <c r="N107" s="16">
        <f>MIN(0.5+(INDEX('Stat Boosts'!$D$2:$D$192,N$1-9)-10)*$C107,10.22)</f>
        <v>1.2884057971014493</v>
      </c>
      <c r="O107" s="16">
        <f>MIN(0.5+(INDEX('Stat Boosts'!$D$2:$D$192,O$1-9)-10)*$C107,10.22)</f>
        <v>1.3463768115942027</v>
      </c>
      <c r="P107" s="16">
        <f>MIN(0.5+(INDEX('Stat Boosts'!$D$2:$D$192,P$1-9)-10)*$C107,10.22)</f>
        <v>1.4391304347826086</v>
      </c>
      <c r="Q107" s="16">
        <f>MIN(0.5+(INDEX('Stat Boosts'!$D$2:$D$192,Q$1-9)-10)*$C107,10.22)</f>
        <v>1.5318840579710145</v>
      </c>
      <c r="R107" s="16">
        <f>MIN(0.5+(INDEX('Stat Boosts'!$D$2:$D$192,R$1-9)-10)*$C107,10.22)</f>
        <v>1.6246376811594203</v>
      </c>
    </row>
    <row r="108" spans="1:18">
      <c r="A108" s="9">
        <v>107</v>
      </c>
      <c r="B108" s="16">
        <f t="shared" si="2"/>
        <v>44.75</v>
      </c>
      <c r="C108" s="16">
        <f t="shared" si="3"/>
        <v>1.1510791366906475E-2</v>
      </c>
      <c r="E108" s="16">
        <f>MIN(0.5+(INDEX('Stat Boosts'!$D$2:$D$192,E$1-9)-10)*$C108,10.22)</f>
        <v>0.5</v>
      </c>
      <c r="F108" s="16">
        <f>MIN(0.5+(INDEX('Stat Boosts'!$D$2:$D$192,F$1-9)-10)*$C108,10.22)</f>
        <v>0.58057553956834529</v>
      </c>
      <c r="G108" s="16">
        <f>MIN(0.5+(INDEX('Stat Boosts'!$D$2:$D$192,G$1-9)-10)*$C108,10.22)</f>
        <v>0.66115107913669069</v>
      </c>
      <c r="H108" s="16">
        <f>MIN(0.5+(INDEX('Stat Boosts'!$D$2:$D$192,H$1-9)-10)*$C108,10.22)</f>
        <v>0.74172661870503598</v>
      </c>
      <c r="I108" s="16">
        <f>MIN(0.5+(INDEX('Stat Boosts'!$D$2:$D$192,I$1-9)-10)*$C108,10.22)</f>
        <v>0.8107913669064748</v>
      </c>
      <c r="J108" s="16">
        <f>MIN(0.5+(INDEX('Stat Boosts'!$D$2:$D$192,J$1-9)-10)*$C108,10.22)</f>
        <v>0.87985611510791362</v>
      </c>
      <c r="K108" s="16">
        <f>MIN(0.5+(INDEX('Stat Boosts'!$D$2:$D$192,K$1-9)-10)*$C108,10.22)</f>
        <v>1.0410071942446044</v>
      </c>
      <c r="L108" s="16">
        <f>MIN(0.5+(INDEX('Stat Boosts'!$D$2:$D$192,L$1-9)-10)*$C108,10.22)</f>
        <v>1.0985611510791367</v>
      </c>
      <c r="M108" s="16">
        <f>MIN(0.5+(INDEX('Stat Boosts'!$D$2:$D$192,M$1-9)-10)*$C108,10.22)</f>
        <v>1.1791366906474821</v>
      </c>
      <c r="N108" s="16">
        <f>MIN(0.5+(INDEX('Stat Boosts'!$D$2:$D$192,N$1-9)-10)*$C108,10.22)</f>
        <v>1.2827338129496404</v>
      </c>
      <c r="O108" s="16">
        <f>MIN(0.5+(INDEX('Stat Boosts'!$D$2:$D$192,O$1-9)-10)*$C108,10.22)</f>
        <v>1.3402877697841726</v>
      </c>
      <c r="P108" s="16">
        <f>MIN(0.5+(INDEX('Stat Boosts'!$D$2:$D$192,P$1-9)-10)*$C108,10.22)</f>
        <v>1.4323741007194246</v>
      </c>
      <c r="Q108" s="16">
        <f>MIN(0.5+(INDEX('Stat Boosts'!$D$2:$D$192,Q$1-9)-10)*$C108,10.22)</f>
        <v>1.5244604316546764</v>
      </c>
      <c r="R108" s="16">
        <f>MIN(0.5+(INDEX('Stat Boosts'!$D$2:$D$192,R$1-9)-10)*$C108,10.22)</f>
        <v>1.6165467625899281</v>
      </c>
    </row>
    <row r="109" spans="1:18">
      <c r="A109" s="9">
        <v>108</v>
      </c>
      <c r="B109" s="16">
        <f t="shared" si="2"/>
        <v>45</v>
      </c>
      <c r="C109" s="16">
        <f t="shared" si="3"/>
        <v>1.1428571428571429E-2</v>
      </c>
      <c r="E109" s="16">
        <f>MIN(0.5+(INDEX('Stat Boosts'!$D$2:$D$192,E$1-9)-10)*$C109,10.22)</f>
        <v>0.5</v>
      </c>
      <c r="F109" s="16">
        <f>MIN(0.5+(INDEX('Stat Boosts'!$D$2:$D$192,F$1-9)-10)*$C109,10.22)</f>
        <v>0.57999999999999996</v>
      </c>
      <c r="G109" s="16">
        <f>MIN(0.5+(INDEX('Stat Boosts'!$D$2:$D$192,G$1-9)-10)*$C109,10.22)</f>
        <v>0.66</v>
      </c>
      <c r="H109" s="16">
        <f>MIN(0.5+(INDEX('Stat Boosts'!$D$2:$D$192,H$1-9)-10)*$C109,10.22)</f>
        <v>0.74</v>
      </c>
      <c r="I109" s="16">
        <f>MIN(0.5+(INDEX('Stat Boosts'!$D$2:$D$192,I$1-9)-10)*$C109,10.22)</f>
        <v>0.8085714285714285</v>
      </c>
      <c r="J109" s="16">
        <f>MIN(0.5+(INDEX('Stat Boosts'!$D$2:$D$192,J$1-9)-10)*$C109,10.22)</f>
        <v>0.87714285714285722</v>
      </c>
      <c r="K109" s="16">
        <f>MIN(0.5+(INDEX('Stat Boosts'!$D$2:$D$192,K$1-9)-10)*$C109,10.22)</f>
        <v>1.0371428571428571</v>
      </c>
      <c r="L109" s="16">
        <f>MIN(0.5+(INDEX('Stat Boosts'!$D$2:$D$192,L$1-9)-10)*$C109,10.22)</f>
        <v>1.0942857142857143</v>
      </c>
      <c r="M109" s="16">
        <f>MIN(0.5+(INDEX('Stat Boosts'!$D$2:$D$192,M$1-9)-10)*$C109,10.22)</f>
        <v>1.1742857142857144</v>
      </c>
      <c r="N109" s="16">
        <f>MIN(0.5+(INDEX('Stat Boosts'!$D$2:$D$192,N$1-9)-10)*$C109,10.22)</f>
        <v>1.2771428571428571</v>
      </c>
      <c r="O109" s="16">
        <f>MIN(0.5+(INDEX('Stat Boosts'!$D$2:$D$192,O$1-9)-10)*$C109,10.22)</f>
        <v>1.3342857142857143</v>
      </c>
      <c r="P109" s="16">
        <f>MIN(0.5+(INDEX('Stat Boosts'!$D$2:$D$192,P$1-9)-10)*$C109,10.22)</f>
        <v>1.4257142857142857</v>
      </c>
      <c r="Q109" s="16">
        <f>MIN(0.5+(INDEX('Stat Boosts'!$D$2:$D$192,Q$1-9)-10)*$C109,10.22)</f>
        <v>1.5171428571428571</v>
      </c>
      <c r="R109" s="16">
        <f>MIN(0.5+(INDEX('Stat Boosts'!$D$2:$D$192,R$1-9)-10)*$C109,10.22)</f>
        <v>1.6085714285714285</v>
      </c>
    </row>
    <row r="110" spans="1:18">
      <c r="A110" s="9">
        <v>109</v>
      </c>
      <c r="B110" s="16">
        <f t="shared" si="2"/>
        <v>45.25</v>
      </c>
      <c r="C110" s="16">
        <f t="shared" si="3"/>
        <v>1.1347517730496455E-2</v>
      </c>
      <c r="E110" s="16">
        <f>MIN(0.5+(INDEX('Stat Boosts'!$D$2:$D$192,E$1-9)-10)*$C110,10.22)</f>
        <v>0.5</v>
      </c>
      <c r="F110" s="16">
        <f>MIN(0.5+(INDEX('Stat Boosts'!$D$2:$D$192,F$1-9)-10)*$C110,10.22)</f>
        <v>0.57943262411347518</v>
      </c>
      <c r="G110" s="16">
        <f>MIN(0.5+(INDEX('Stat Boosts'!$D$2:$D$192,G$1-9)-10)*$C110,10.22)</f>
        <v>0.65886524822695036</v>
      </c>
      <c r="H110" s="16">
        <f>MIN(0.5+(INDEX('Stat Boosts'!$D$2:$D$192,H$1-9)-10)*$C110,10.22)</f>
        <v>0.73829787234042554</v>
      </c>
      <c r="I110" s="16">
        <f>MIN(0.5+(INDEX('Stat Boosts'!$D$2:$D$192,I$1-9)-10)*$C110,10.22)</f>
        <v>0.80638297872340425</v>
      </c>
      <c r="J110" s="16">
        <f>MIN(0.5+(INDEX('Stat Boosts'!$D$2:$D$192,J$1-9)-10)*$C110,10.22)</f>
        <v>0.87446808510638308</v>
      </c>
      <c r="K110" s="16">
        <f>MIN(0.5+(INDEX('Stat Boosts'!$D$2:$D$192,K$1-9)-10)*$C110,10.22)</f>
        <v>1.0333333333333332</v>
      </c>
      <c r="L110" s="16">
        <f>MIN(0.5+(INDEX('Stat Boosts'!$D$2:$D$192,L$1-9)-10)*$C110,10.22)</f>
        <v>1.0900709219858156</v>
      </c>
      <c r="M110" s="16">
        <f>MIN(0.5+(INDEX('Stat Boosts'!$D$2:$D$192,M$1-9)-10)*$C110,10.22)</f>
        <v>1.1695035460992909</v>
      </c>
      <c r="N110" s="16">
        <f>MIN(0.5+(INDEX('Stat Boosts'!$D$2:$D$192,N$1-9)-10)*$C110,10.22)</f>
        <v>1.2716312056737589</v>
      </c>
      <c r="O110" s="16">
        <f>MIN(0.5+(INDEX('Stat Boosts'!$D$2:$D$192,O$1-9)-10)*$C110,10.22)</f>
        <v>1.3283687943262412</v>
      </c>
      <c r="P110" s="16">
        <f>MIN(0.5+(INDEX('Stat Boosts'!$D$2:$D$192,P$1-9)-10)*$C110,10.22)</f>
        <v>1.4191489361702128</v>
      </c>
      <c r="Q110" s="16">
        <f>MIN(0.5+(INDEX('Stat Boosts'!$D$2:$D$192,Q$1-9)-10)*$C110,10.22)</f>
        <v>1.5099290780141845</v>
      </c>
      <c r="R110" s="16">
        <f>MIN(0.5+(INDEX('Stat Boosts'!$D$2:$D$192,R$1-9)-10)*$C110,10.22)</f>
        <v>1.6007092198581561</v>
      </c>
    </row>
    <row r="111" spans="1:18">
      <c r="A111" s="9">
        <v>110</v>
      </c>
      <c r="B111" s="16">
        <f t="shared" si="2"/>
        <v>45.5</v>
      </c>
      <c r="C111" s="16">
        <f t="shared" si="3"/>
        <v>1.1267605633802818E-2</v>
      </c>
      <c r="E111" s="16">
        <f>MIN(0.5+(INDEX('Stat Boosts'!$D$2:$D$192,E$1-9)-10)*$C111,10.22)</f>
        <v>0.5</v>
      </c>
      <c r="F111" s="16">
        <f>MIN(0.5+(INDEX('Stat Boosts'!$D$2:$D$192,F$1-9)-10)*$C111,10.22)</f>
        <v>0.57887323943661972</v>
      </c>
      <c r="G111" s="16">
        <f>MIN(0.5+(INDEX('Stat Boosts'!$D$2:$D$192,G$1-9)-10)*$C111,10.22)</f>
        <v>0.65774647887323945</v>
      </c>
      <c r="H111" s="16">
        <f>MIN(0.5+(INDEX('Stat Boosts'!$D$2:$D$192,H$1-9)-10)*$C111,10.22)</f>
        <v>0.73661971830985917</v>
      </c>
      <c r="I111" s="16">
        <f>MIN(0.5+(INDEX('Stat Boosts'!$D$2:$D$192,I$1-9)-10)*$C111,10.22)</f>
        <v>0.8042253521126761</v>
      </c>
      <c r="J111" s="16">
        <f>MIN(0.5+(INDEX('Stat Boosts'!$D$2:$D$192,J$1-9)-10)*$C111,10.22)</f>
        <v>0.87183098591549291</v>
      </c>
      <c r="K111" s="16">
        <f>MIN(0.5+(INDEX('Stat Boosts'!$D$2:$D$192,K$1-9)-10)*$C111,10.22)</f>
        <v>1.0295774647887326</v>
      </c>
      <c r="L111" s="16">
        <f>MIN(0.5+(INDEX('Stat Boosts'!$D$2:$D$192,L$1-9)-10)*$C111,10.22)</f>
        <v>1.0859154929577466</v>
      </c>
      <c r="M111" s="16">
        <f>MIN(0.5+(INDEX('Stat Boosts'!$D$2:$D$192,M$1-9)-10)*$C111,10.22)</f>
        <v>1.1647887323943662</v>
      </c>
      <c r="N111" s="16">
        <f>MIN(0.5+(INDEX('Stat Boosts'!$D$2:$D$192,N$1-9)-10)*$C111,10.22)</f>
        <v>1.2661971830985916</v>
      </c>
      <c r="O111" s="16">
        <f>MIN(0.5+(INDEX('Stat Boosts'!$D$2:$D$192,O$1-9)-10)*$C111,10.22)</f>
        <v>1.3225352112676056</v>
      </c>
      <c r="P111" s="16">
        <f>MIN(0.5+(INDEX('Stat Boosts'!$D$2:$D$192,P$1-9)-10)*$C111,10.22)</f>
        <v>1.4126760563380283</v>
      </c>
      <c r="Q111" s="16">
        <f>MIN(0.5+(INDEX('Stat Boosts'!$D$2:$D$192,Q$1-9)-10)*$C111,10.22)</f>
        <v>1.5028169014084507</v>
      </c>
      <c r="R111" s="16">
        <f>MIN(0.5+(INDEX('Stat Boosts'!$D$2:$D$192,R$1-9)-10)*$C111,10.22)</f>
        <v>1.5929577464788733</v>
      </c>
    </row>
    <row r="112" spans="1:18">
      <c r="A112" s="9">
        <v>111</v>
      </c>
      <c r="B112" s="16">
        <f t="shared" si="2"/>
        <v>45.75</v>
      </c>
      <c r="C112" s="16">
        <f t="shared" si="3"/>
        <v>1.1188811188811189E-2</v>
      </c>
      <c r="E112" s="16">
        <f>MIN(0.5+(INDEX('Stat Boosts'!$D$2:$D$192,E$1-9)-10)*$C112,10.22)</f>
        <v>0.5</v>
      </c>
      <c r="F112" s="16">
        <f>MIN(0.5+(INDEX('Stat Boosts'!$D$2:$D$192,F$1-9)-10)*$C112,10.22)</f>
        <v>0.57832167832167836</v>
      </c>
      <c r="G112" s="16">
        <f>MIN(0.5+(INDEX('Stat Boosts'!$D$2:$D$192,G$1-9)-10)*$C112,10.22)</f>
        <v>0.65664335664335671</v>
      </c>
      <c r="H112" s="16">
        <f>MIN(0.5+(INDEX('Stat Boosts'!$D$2:$D$192,H$1-9)-10)*$C112,10.22)</f>
        <v>0.73496503496503496</v>
      </c>
      <c r="I112" s="16">
        <f>MIN(0.5+(INDEX('Stat Boosts'!$D$2:$D$192,I$1-9)-10)*$C112,10.22)</f>
        <v>0.8020979020979021</v>
      </c>
      <c r="J112" s="16">
        <f>MIN(0.5+(INDEX('Stat Boosts'!$D$2:$D$192,J$1-9)-10)*$C112,10.22)</f>
        <v>0.86923076923076925</v>
      </c>
      <c r="K112" s="16">
        <f>MIN(0.5+(INDEX('Stat Boosts'!$D$2:$D$192,K$1-9)-10)*$C112,10.22)</f>
        <v>1.0258741258741257</v>
      </c>
      <c r="L112" s="16">
        <f>MIN(0.5+(INDEX('Stat Boosts'!$D$2:$D$192,L$1-9)-10)*$C112,10.22)</f>
        <v>1.0818181818181818</v>
      </c>
      <c r="M112" s="16">
        <f>MIN(0.5+(INDEX('Stat Boosts'!$D$2:$D$192,M$1-9)-10)*$C112,10.22)</f>
        <v>1.1601398601398603</v>
      </c>
      <c r="N112" s="16">
        <f>MIN(0.5+(INDEX('Stat Boosts'!$D$2:$D$192,N$1-9)-10)*$C112,10.22)</f>
        <v>1.2608391608391609</v>
      </c>
      <c r="O112" s="16">
        <f>MIN(0.5+(INDEX('Stat Boosts'!$D$2:$D$192,O$1-9)-10)*$C112,10.22)</f>
        <v>1.3167832167832167</v>
      </c>
      <c r="P112" s="16">
        <f>MIN(0.5+(INDEX('Stat Boosts'!$D$2:$D$192,P$1-9)-10)*$C112,10.22)</f>
        <v>1.4062937062937064</v>
      </c>
      <c r="Q112" s="16">
        <f>MIN(0.5+(INDEX('Stat Boosts'!$D$2:$D$192,Q$1-9)-10)*$C112,10.22)</f>
        <v>1.4958041958041957</v>
      </c>
      <c r="R112" s="16">
        <f>MIN(0.5+(INDEX('Stat Boosts'!$D$2:$D$192,R$1-9)-10)*$C112,10.22)</f>
        <v>1.5853146853146853</v>
      </c>
    </row>
    <row r="113" spans="1:18">
      <c r="A113" s="9">
        <v>112</v>
      </c>
      <c r="B113" s="16">
        <f t="shared" si="2"/>
        <v>46</v>
      </c>
      <c r="C113" s="16">
        <f t="shared" si="3"/>
        <v>1.1111111111111112E-2</v>
      </c>
      <c r="E113" s="16">
        <f>MIN(0.5+(INDEX('Stat Boosts'!$D$2:$D$192,E$1-9)-10)*$C113,10.22)</f>
        <v>0.5</v>
      </c>
      <c r="F113" s="16">
        <f>MIN(0.5+(INDEX('Stat Boosts'!$D$2:$D$192,F$1-9)-10)*$C113,10.22)</f>
        <v>0.57777777777777772</v>
      </c>
      <c r="G113" s="16">
        <f>MIN(0.5+(INDEX('Stat Boosts'!$D$2:$D$192,G$1-9)-10)*$C113,10.22)</f>
        <v>0.65555555555555556</v>
      </c>
      <c r="H113" s="16">
        <f>MIN(0.5+(INDEX('Stat Boosts'!$D$2:$D$192,H$1-9)-10)*$C113,10.22)</f>
        <v>0.73333333333333339</v>
      </c>
      <c r="I113" s="16">
        <f>MIN(0.5+(INDEX('Stat Boosts'!$D$2:$D$192,I$1-9)-10)*$C113,10.22)</f>
        <v>0.8</v>
      </c>
      <c r="J113" s="16">
        <f>MIN(0.5+(INDEX('Stat Boosts'!$D$2:$D$192,J$1-9)-10)*$C113,10.22)</f>
        <v>0.8666666666666667</v>
      </c>
      <c r="K113" s="16">
        <f>MIN(0.5+(INDEX('Stat Boosts'!$D$2:$D$192,K$1-9)-10)*$C113,10.22)</f>
        <v>1.0222222222222221</v>
      </c>
      <c r="L113" s="16">
        <f>MIN(0.5+(INDEX('Stat Boosts'!$D$2:$D$192,L$1-9)-10)*$C113,10.22)</f>
        <v>1.0777777777777779</v>
      </c>
      <c r="M113" s="16">
        <f>MIN(0.5+(INDEX('Stat Boosts'!$D$2:$D$192,M$1-9)-10)*$C113,10.22)</f>
        <v>1.1555555555555554</v>
      </c>
      <c r="N113" s="16">
        <f>MIN(0.5+(INDEX('Stat Boosts'!$D$2:$D$192,N$1-9)-10)*$C113,10.22)</f>
        <v>1.2555555555555555</v>
      </c>
      <c r="O113" s="16">
        <f>MIN(0.5+(INDEX('Stat Boosts'!$D$2:$D$192,O$1-9)-10)*$C113,10.22)</f>
        <v>1.3111111111111111</v>
      </c>
      <c r="P113" s="16">
        <f>MIN(0.5+(INDEX('Stat Boosts'!$D$2:$D$192,P$1-9)-10)*$C113,10.22)</f>
        <v>1.4</v>
      </c>
      <c r="Q113" s="16">
        <f>MIN(0.5+(INDEX('Stat Boosts'!$D$2:$D$192,Q$1-9)-10)*$C113,10.22)</f>
        <v>1.4888888888888889</v>
      </c>
      <c r="R113" s="16">
        <f>MIN(0.5+(INDEX('Stat Boosts'!$D$2:$D$192,R$1-9)-10)*$C113,10.22)</f>
        <v>1.5777777777777777</v>
      </c>
    </row>
    <row r="114" spans="1:18">
      <c r="A114" s="9">
        <v>113</v>
      </c>
      <c r="B114" s="16">
        <f t="shared" si="2"/>
        <v>46.25</v>
      </c>
      <c r="C114" s="16">
        <f t="shared" si="3"/>
        <v>1.1034482758620691E-2</v>
      </c>
      <c r="E114" s="16">
        <f>MIN(0.5+(INDEX('Stat Boosts'!$D$2:$D$192,E$1-9)-10)*$C114,10.22)</f>
        <v>0.5</v>
      </c>
      <c r="F114" s="16">
        <f>MIN(0.5+(INDEX('Stat Boosts'!$D$2:$D$192,F$1-9)-10)*$C114,10.22)</f>
        <v>0.5772413793103448</v>
      </c>
      <c r="G114" s="16">
        <f>MIN(0.5+(INDEX('Stat Boosts'!$D$2:$D$192,G$1-9)-10)*$C114,10.22)</f>
        <v>0.65448275862068961</v>
      </c>
      <c r="H114" s="16">
        <f>MIN(0.5+(INDEX('Stat Boosts'!$D$2:$D$192,H$1-9)-10)*$C114,10.22)</f>
        <v>0.73172413793103452</v>
      </c>
      <c r="I114" s="16">
        <f>MIN(0.5+(INDEX('Stat Boosts'!$D$2:$D$192,I$1-9)-10)*$C114,10.22)</f>
        <v>0.79793103448275859</v>
      </c>
      <c r="J114" s="16">
        <f>MIN(0.5+(INDEX('Stat Boosts'!$D$2:$D$192,J$1-9)-10)*$C114,10.22)</f>
        <v>0.86413793103448278</v>
      </c>
      <c r="K114" s="16">
        <f>MIN(0.5+(INDEX('Stat Boosts'!$D$2:$D$192,K$1-9)-10)*$C114,10.22)</f>
        <v>1.0186206896551724</v>
      </c>
      <c r="L114" s="16">
        <f>MIN(0.5+(INDEX('Stat Boosts'!$D$2:$D$192,L$1-9)-10)*$C114,10.22)</f>
        <v>1.0737931034482759</v>
      </c>
      <c r="M114" s="16">
        <f>MIN(0.5+(INDEX('Stat Boosts'!$D$2:$D$192,M$1-9)-10)*$C114,10.22)</f>
        <v>1.1510344827586207</v>
      </c>
      <c r="N114" s="16">
        <f>MIN(0.5+(INDEX('Stat Boosts'!$D$2:$D$192,N$1-9)-10)*$C114,10.22)</f>
        <v>1.2503448275862068</v>
      </c>
      <c r="O114" s="16">
        <f>MIN(0.5+(INDEX('Stat Boosts'!$D$2:$D$192,O$1-9)-10)*$C114,10.22)</f>
        <v>1.3055172413793104</v>
      </c>
      <c r="P114" s="16">
        <f>MIN(0.5+(INDEX('Stat Boosts'!$D$2:$D$192,P$1-9)-10)*$C114,10.22)</f>
        <v>1.3937931034482758</v>
      </c>
      <c r="Q114" s="16">
        <f>MIN(0.5+(INDEX('Stat Boosts'!$D$2:$D$192,Q$1-9)-10)*$C114,10.22)</f>
        <v>1.4820689655172414</v>
      </c>
      <c r="R114" s="16">
        <f>MIN(0.5+(INDEX('Stat Boosts'!$D$2:$D$192,R$1-9)-10)*$C114,10.22)</f>
        <v>1.5703448275862071</v>
      </c>
    </row>
    <row r="115" spans="1:18">
      <c r="A115" s="9">
        <v>114</v>
      </c>
      <c r="B115" s="16">
        <f t="shared" si="2"/>
        <v>46.5</v>
      </c>
      <c r="C115" s="16">
        <f t="shared" si="3"/>
        <v>1.0958904109589041E-2</v>
      </c>
      <c r="E115" s="16">
        <f>MIN(0.5+(INDEX('Stat Boosts'!$D$2:$D$192,E$1-9)-10)*$C115,10.22)</f>
        <v>0.5</v>
      </c>
      <c r="F115" s="16">
        <f>MIN(0.5+(INDEX('Stat Boosts'!$D$2:$D$192,F$1-9)-10)*$C115,10.22)</f>
        <v>0.57671232876712331</v>
      </c>
      <c r="G115" s="16">
        <f>MIN(0.5+(INDEX('Stat Boosts'!$D$2:$D$192,G$1-9)-10)*$C115,10.22)</f>
        <v>0.65342465753424661</v>
      </c>
      <c r="H115" s="16">
        <f>MIN(0.5+(INDEX('Stat Boosts'!$D$2:$D$192,H$1-9)-10)*$C115,10.22)</f>
        <v>0.73013698630136981</v>
      </c>
      <c r="I115" s="16">
        <f>MIN(0.5+(INDEX('Stat Boosts'!$D$2:$D$192,I$1-9)-10)*$C115,10.22)</f>
        <v>0.79589041095890412</v>
      </c>
      <c r="J115" s="16">
        <f>MIN(0.5+(INDEX('Stat Boosts'!$D$2:$D$192,J$1-9)-10)*$C115,10.22)</f>
        <v>0.86164383561643842</v>
      </c>
      <c r="K115" s="16">
        <f>MIN(0.5+(INDEX('Stat Boosts'!$D$2:$D$192,K$1-9)-10)*$C115,10.22)</f>
        <v>1.015068493150685</v>
      </c>
      <c r="L115" s="16">
        <f>MIN(0.5+(INDEX('Stat Boosts'!$D$2:$D$192,L$1-9)-10)*$C115,10.22)</f>
        <v>1.06986301369863</v>
      </c>
      <c r="M115" s="16">
        <f>MIN(0.5+(INDEX('Stat Boosts'!$D$2:$D$192,M$1-9)-10)*$C115,10.22)</f>
        <v>1.1465753424657534</v>
      </c>
      <c r="N115" s="16">
        <f>MIN(0.5+(INDEX('Stat Boosts'!$D$2:$D$192,N$1-9)-10)*$C115,10.22)</f>
        <v>1.2452054794520548</v>
      </c>
      <c r="O115" s="16">
        <f>MIN(0.5+(INDEX('Stat Boosts'!$D$2:$D$192,O$1-9)-10)*$C115,10.22)</f>
        <v>1.3</v>
      </c>
      <c r="P115" s="16">
        <f>MIN(0.5+(INDEX('Stat Boosts'!$D$2:$D$192,P$1-9)-10)*$C115,10.22)</f>
        <v>1.3876712328767122</v>
      </c>
      <c r="Q115" s="16">
        <f>MIN(0.5+(INDEX('Stat Boosts'!$D$2:$D$192,Q$1-9)-10)*$C115,10.22)</f>
        <v>1.4753424657534246</v>
      </c>
      <c r="R115" s="16">
        <f>MIN(0.5+(INDEX('Stat Boosts'!$D$2:$D$192,R$1-9)-10)*$C115,10.22)</f>
        <v>1.5630136986301371</v>
      </c>
    </row>
    <row r="116" spans="1:18">
      <c r="A116" s="9">
        <v>115</v>
      </c>
      <c r="B116" s="16">
        <f t="shared" si="2"/>
        <v>46.75</v>
      </c>
      <c r="C116" s="16">
        <f t="shared" si="3"/>
        <v>1.08843537414966E-2</v>
      </c>
      <c r="E116" s="16">
        <f>MIN(0.5+(INDEX('Stat Boosts'!$D$2:$D$192,E$1-9)-10)*$C116,10.22)</f>
        <v>0.5</v>
      </c>
      <c r="F116" s="16">
        <f>MIN(0.5+(INDEX('Stat Boosts'!$D$2:$D$192,F$1-9)-10)*$C116,10.22)</f>
        <v>0.57619047619047614</v>
      </c>
      <c r="G116" s="16">
        <f>MIN(0.5+(INDEX('Stat Boosts'!$D$2:$D$192,G$1-9)-10)*$C116,10.22)</f>
        <v>0.65238095238095239</v>
      </c>
      <c r="H116" s="16">
        <f>MIN(0.5+(INDEX('Stat Boosts'!$D$2:$D$192,H$1-9)-10)*$C116,10.22)</f>
        <v>0.72857142857142865</v>
      </c>
      <c r="I116" s="16">
        <f>MIN(0.5+(INDEX('Stat Boosts'!$D$2:$D$192,I$1-9)-10)*$C116,10.22)</f>
        <v>0.79387755102040813</v>
      </c>
      <c r="J116" s="16">
        <f>MIN(0.5+(INDEX('Stat Boosts'!$D$2:$D$192,J$1-9)-10)*$C116,10.22)</f>
        <v>0.85918367346938784</v>
      </c>
      <c r="K116" s="16">
        <f>MIN(0.5+(INDEX('Stat Boosts'!$D$2:$D$192,K$1-9)-10)*$C116,10.22)</f>
        <v>1.0115646258503401</v>
      </c>
      <c r="L116" s="16">
        <f>MIN(0.5+(INDEX('Stat Boosts'!$D$2:$D$192,L$1-9)-10)*$C116,10.22)</f>
        <v>1.0659863945578232</v>
      </c>
      <c r="M116" s="16">
        <f>MIN(0.5+(INDEX('Stat Boosts'!$D$2:$D$192,M$1-9)-10)*$C116,10.22)</f>
        <v>1.1421768707482993</v>
      </c>
      <c r="N116" s="16">
        <f>MIN(0.5+(INDEX('Stat Boosts'!$D$2:$D$192,N$1-9)-10)*$C116,10.22)</f>
        <v>1.2401360544217688</v>
      </c>
      <c r="O116" s="16">
        <f>MIN(0.5+(INDEX('Stat Boosts'!$D$2:$D$192,O$1-9)-10)*$C116,10.22)</f>
        <v>1.2945578231292518</v>
      </c>
      <c r="P116" s="16">
        <f>MIN(0.5+(INDEX('Stat Boosts'!$D$2:$D$192,P$1-9)-10)*$C116,10.22)</f>
        <v>1.3816326530612246</v>
      </c>
      <c r="Q116" s="16">
        <f>MIN(0.5+(INDEX('Stat Boosts'!$D$2:$D$192,Q$1-9)-10)*$C116,10.22)</f>
        <v>1.4687074829931974</v>
      </c>
      <c r="R116" s="16">
        <f>MIN(0.5+(INDEX('Stat Boosts'!$D$2:$D$192,R$1-9)-10)*$C116,10.22)</f>
        <v>1.5557823129251702</v>
      </c>
    </row>
    <row r="117" spans="1:18">
      <c r="A117" s="9">
        <v>116</v>
      </c>
      <c r="B117" s="16">
        <f t="shared" si="2"/>
        <v>47</v>
      </c>
      <c r="C117" s="16">
        <f t="shared" si="3"/>
        <v>1.0810810810810811E-2</v>
      </c>
      <c r="E117" s="16">
        <f>MIN(0.5+(INDEX('Stat Boosts'!$D$2:$D$192,E$1-9)-10)*$C117,10.22)</f>
        <v>0.5</v>
      </c>
      <c r="F117" s="16">
        <f>MIN(0.5+(INDEX('Stat Boosts'!$D$2:$D$192,F$1-9)-10)*$C117,10.22)</f>
        <v>0.57567567567567568</v>
      </c>
      <c r="G117" s="16">
        <f>MIN(0.5+(INDEX('Stat Boosts'!$D$2:$D$192,G$1-9)-10)*$C117,10.22)</f>
        <v>0.65135135135135136</v>
      </c>
      <c r="H117" s="16">
        <f>MIN(0.5+(INDEX('Stat Boosts'!$D$2:$D$192,H$1-9)-10)*$C117,10.22)</f>
        <v>0.72702702702702704</v>
      </c>
      <c r="I117" s="16">
        <f>MIN(0.5+(INDEX('Stat Boosts'!$D$2:$D$192,I$1-9)-10)*$C117,10.22)</f>
        <v>0.79189189189189191</v>
      </c>
      <c r="J117" s="16">
        <f>MIN(0.5+(INDEX('Stat Boosts'!$D$2:$D$192,J$1-9)-10)*$C117,10.22)</f>
        <v>0.85675675675675678</v>
      </c>
      <c r="K117" s="16">
        <f>MIN(0.5+(INDEX('Stat Boosts'!$D$2:$D$192,K$1-9)-10)*$C117,10.22)</f>
        <v>1.0081081081081082</v>
      </c>
      <c r="L117" s="16">
        <f>MIN(0.5+(INDEX('Stat Boosts'!$D$2:$D$192,L$1-9)-10)*$C117,10.22)</f>
        <v>1.0621621621621622</v>
      </c>
      <c r="M117" s="16">
        <f>MIN(0.5+(INDEX('Stat Boosts'!$D$2:$D$192,M$1-9)-10)*$C117,10.22)</f>
        <v>1.137837837837838</v>
      </c>
      <c r="N117" s="16">
        <f>MIN(0.5+(INDEX('Stat Boosts'!$D$2:$D$192,N$1-9)-10)*$C117,10.22)</f>
        <v>1.2351351351351352</v>
      </c>
      <c r="O117" s="16">
        <f>MIN(0.5+(INDEX('Stat Boosts'!$D$2:$D$192,O$1-9)-10)*$C117,10.22)</f>
        <v>1.2891891891891891</v>
      </c>
      <c r="P117" s="16">
        <f>MIN(0.5+(INDEX('Stat Boosts'!$D$2:$D$192,P$1-9)-10)*$C117,10.22)</f>
        <v>1.3756756756756756</v>
      </c>
      <c r="Q117" s="16">
        <f>MIN(0.5+(INDEX('Stat Boosts'!$D$2:$D$192,Q$1-9)-10)*$C117,10.22)</f>
        <v>1.4621621621621621</v>
      </c>
      <c r="R117" s="16">
        <f>MIN(0.5+(INDEX('Stat Boosts'!$D$2:$D$192,R$1-9)-10)*$C117,10.22)</f>
        <v>1.5486486486486486</v>
      </c>
    </row>
    <row r="118" spans="1:18">
      <c r="A118" s="9">
        <v>117</v>
      </c>
      <c r="B118" s="16">
        <f t="shared" si="2"/>
        <v>47.25</v>
      </c>
      <c r="C118" s="16">
        <f t="shared" si="3"/>
        <v>1.0738255033557048E-2</v>
      </c>
      <c r="E118" s="16">
        <f>MIN(0.5+(INDEX('Stat Boosts'!$D$2:$D$192,E$1-9)-10)*$C118,10.22)</f>
        <v>0.5</v>
      </c>
      <c r="F118" s="16">
        <f>MIN(0.5+(INDEX('Stat Boosts'!$D$2:$D$192,F$1-9)-10)*$C118,10.22)</f>
        <v>0.57516778523489931</v>
      </c>
      <c r="G118" s="16">
        <f>MIN(0.5+(INDEX('Stat Boosts'!$D$2:$D$192,G$1-9)-10)*$C118,10.22)</f>
        <v>0.65033557046979862</v>
      </c>
      <c r="H118" s="16">
        <f>MIN(0.5+(INDEX('Stat Boosts'!$D$2:$D$192,H$1-9)-10)*$C118,10.22)</f>
        <v>0.72550335570469804</v>
      </c>
      <c r="I118" s="16">
        <f>MIN(0.5+(INDEX('Stat Boosts'!$D$2:$D$192,I$1-9)-10)*$C118,10.22)</f>
        <v>0.78993288590604027</v>
      </c>
      <c r="J118" s="16">
        <f>MIN(0.5+(INDEX('Stat Boosts'!$D$2:$D$192,J$1-9)-10)*$C118,10.22)</f>
        <v>0.85436241610738262</v>
      </c>
      <c r="K118" s="16">
        <f>MIN(0.5+(INDEX('Stat Boosts'!$D$2:$D$192,K$1-9)-10)*$C118,10.22)</f>
        <v>1.0046979865771812</v>
      </c>
      <c r="L118" s="16">
        <f>MIN(0.5+(INDEX('Stat Boosts'!$D$2:$D$192,L$1-9)-10)*$C118,10.22)</f>
        <v>1.0583892617449666</v>
      </c>
      <c r="M118" s="16">
        <f>MIN(0.5+(INDEX('Stat Boosts'!$D$2:$D$192,M$1-9)-10)*$C118,10.22)</f>
        <v>1.1335570469798659</v>
      </c>
      <c r="N118" s="16">
        <f>MIN(0.5+(INDEX('Stat Boosts'!$D$2:$D$192,N$1-9)-10)*$C118,10.22)</f>
        <v>1.2302013422818794</v>
      </c>
      <c r="O118" s="16">
        <f>MIN(0.5+(INDEX('Stat Boosts'!$D$2:$D$192,O$1-9)-10)*$C118,10.22)</f>
        <v>1.2838926174496645</v>
      </c>
      <c r="P118" s="16">
        <f>MIN(0.5+(INDEX('Stat Boosts'!$D$2:$D$192,P$1-9)-10)*$C118,10.22)</f>
        <v>1.3697986577181209</v>
      </c>
      <c r="Q118" s="16">
        <f>MIN(0.5+(INDEX('Stat Boosts'!$D$2:$D$192,Q$1-9)-10)*$C118,10.22)</f>
        <v>1.4557046979865773</v>
      </c>
      <c r="R118" s="16">
        <f>MIN(0.5+(INDEX('Stat Boosts'!$D$2:$D$192,R$1-9)-10)*$C118,10.22)</f>
        <v>1.5416107382550337</v>
      </c>
    </row>
    <row r="119" spans="1:18">
      <c r="A119" s="9">
        <v>118</v>
      </c>
      <c r="B119" s="16">
        <f t="shared" si="2"/>
        <v>47.5</v>
      </c>
      <c r="C119" s="16">
        <f t="shared" si="3"/>
        <v>1.0666666666666668E-2</v>
      </c>
      <c r="E119" s="16">
        <f>MIN(0.5+(INDEX('Stat Boosts'!$D$2:$D$192,E$1-9)-10)*$C119,10.22)</f>
        <v>0.5</v>
      </c>
      <c r="F119" s="16">
        <f>MIN(0.5+(INDEX('Stat Boosts'!$D$2:$D$192,F$1-9)-10)*$C119,10.22)</f>
        <v>0.57466666666666666</v>
      </c>
      <c r="G119" s="16">
        <f>MIN(0.5+(INDEX('Stat Boosts'!$D$2:$D$192,G$1-9)-10)*$C119,10.22)</f>
        <v>0.64933333333333332</v>
      </c>
      <c r="H119" s="16">
        <f>MIN(0.5+(INDEX('Stat Boosts'!$D$2:$D$192,H$1-9)-10)*$C119,10.22)</f>
        <v>0.72399999999999998</v>
      </c>
      <c r="I119" s="16">
        <f>MIN(0.5+(INDEX('Stat Boosts'!$D$2:$D$192,I$1-9)-10)*$C119,10.22)</f>
        <v>0.78800000000000003</v>
      </c>
      <c r="J119" s="16">
        <f>MIN(0.5+(INDEX('Stat Boosts'!$D$2:$D$192,J$1-9)-10)*$C119,10.22)</f>
        <v>0.85200000000000009</v>
      </c>
      <c r="K119" s="16">
        <f>MIN(0.5+(INDEX('Stat Boosts'!$D$2:$D$192,K$1-9)-10)*$C119,10.22)</f>
        <v>1.0013333333333334</v>
      </c>
      <c r="L119" s="16">
        <f>MIN(0.5+(INDEX('Stat Boosts'!$D$2:$D$192,L$1-9)-10)*$C119,10.22)</f>
        <v>1.0546666666666669</v>
      </c>
      <c r="M119" s="16">
        <f>MIN(0.5+(INDEX('Stat Boosts'!$D$2:$D$192,M$1-9)-10)*$C119,10.22)</f>
        <v>1.1293333333333333</v>
      </c>
      <c r="N119" s="16">
        <f>MIN(0.5+(INDEX('Stat Boosts'!$D$2:$D$192,N$1-9)-10)*$C119,10.22)</f>
        <v>1.2253333333333334</v>
      </c>
      <c r="O119" s="16">
        <f>MIN(0.5+(INDEX('Stat Boosts'!$D$2:$D$192,O$1-9)-10)*$C119,10.22)</f>
        <v>1.2786666666666666</v>
      </c>
      <c r="P119" s="16">
        <f>MIN(0.5+(INDEX('Stat Boosts'!$D$2:$D$192,P$1-9)-10)*$C119,10.22)</f>
        <v>1.3640000000000001</v>
      </c>
      <c r="Q119" s="16">
        <f>MIN(0.5+(INDEX('Stat Boosts'!$D$2:$D$192,Q$1-9)-10)*$C119,10.22)</f>
        <v>1.4493333333333336</v>
      </c>
      <c r="R119" s="16">
        <f>MIN(0.5+(INDEX('Stat Boosts'!$D$2:$D$192,R$1-9)-10)*$C119,10.22)</f>
        <v>1.5346666666666668</v>
      </c>
    </row>
    <row r="120" spans="1:18">
      <c r="A120" s="9">
        <v>119</v>
      </c>
      <c r="B120" s="16">
        <f t="shared" si="2"/>
        <v>47.75</v>
      </c>
      <c r="C120" s="16">
        <f t="shared" si="3"/>
        <v>1.0596026490066225E-2</v>
      </c>
      <c r="E120" s="16">
        <f>MIN(0.5+(INDEX('Stat Boosts'!$D$2:$D$192,E$1-9)-10)*$C120,10.22)</f>
        <v>0.5</v>
      </c>
      <c r="F120" s="16">
        <f>MIN(0.5+(INDEX('Stat Boosts'!$D$2:$D$192,F$1-9)-10)*$C120,10.22)</f>
        <v>0.57417218543046356</v>
      </c>
      <c r="G120" s="16">
        <f>MIN(0.5+(INDEX('Stat Boosts'!$D$2:$D$192,G$1-9)-10)*$C120,10.22)</f>
        <v>0.64834437086092711</v>
      </c>
      <c r="H120" s="16">
        <f>MIN(0.5+(INDEX('Stat Boosts'!$D$2:$D$192,H$1-9)-10)*$C120,10.22)</f>
        <v>0.72251655629139067</v>
      </c>
      <c r="I120" s="16">
        <f>MIN(0.5+(INDEX('Stat Boosts'!$D$2:$D$192,I$1-9)-10)*$C120,10.22)</f>
        <v>0.78609271523178803</v>
      </c>
      <c r="J120" s="16">
        <f>MIN(0.5+(INDEX('Stat Boosts'!$D$2:$D$192,J$1-9)-10)*$C120,10.22)</f>
        <v>0.8496688741721854</v>
      </c>
      <c r="K120" s="16">
        <f>MIN(0.5+(INDEX('Stat Boosts'!$D$2:$D$192,K$1-9)-10)*$C120,10.22)</f>
        <v>0.99801324503311251</v>
      </c>
      <c r="L120" s="16">
        <f>MIN(0.5+(INDEX('Stat Boosts'!$D$2:$D$192,L$1-9)-10)*$C120,10.22)</f>
        <v>1.0509933774834437</v>
      </c>
      <c r="M120" s="16">
        <f>MIN(0.5+(INDEX('Stat Boosts'!$D$2:$D$192,M$1-9)-10)*$C120,10.22)</f>
        <v>1.1251655629139072</v>
      </c>
      <c r="N120" s="16">
        <f>MIN(0.5+(INDEX('Stat Boosts'!$D$2:$D$192,N$1-9)-10)*$C120,10.22)</f>
        <v>1.2205298013245032</v>
      </c>
      <c r="O120" s="16">
        <f>MIN(0.5+(INDEX('Stat Boosts'!$D$2:$D$192,O$1-9)-10)*$C120,10.22)</f>
        <v>1.2735099337748346</v>
      </c>
      <c r="P120" s="16">
        <f>MIN(0.5+(INDEX('Stat Boosts'!$D$2:$D$192,P$1-9)-10)*$C120,10.22)</f>
        <v>1.3582781456953641</v>
      </c>
      <c r="Q120" s="16">
        <f>MIN(0.5+(INDEX('Stat Boosts'!$D$2:$D$192,Q$1-9)-10)*$C120,10.22)</f>
        <v>1.4430463576158941</v>
      </c>
      <c r="R120" s="16">
        <f>MIN(0.5+(INDEX('Stat Boosts'!$D$2:$D$192,R$1-9)-10)*$C120,10.22)</f>
        <v>1.5278145695364238</v>
      </c>
    </row>
    <row r="121" spans="1:18">
      <c r="A121" s="9">
        <v>120</v>
      </c>
      <c r="B121" s="16">
        <f t="shared" si="2"/>
        <v>48</v>
      </c>
      <c r="C121" s="16">
        <f t="shared" si="3"/>
        <v>1.0526315789473684E-2</v>
      </c>
      <c r="E121" s="16">
        <f>MIN(0.5+(INDEX('Stat Boosts'!$D$2:$D$192,E$1-9)-10)*$C121,10.22)</f>
        <v>0.5</v>
      </c>
      <c r="F121" s="16">
        <f>MIN(0.5+(INDEX('Stat Boosts'!$D$2:$D$192,F$1-9)-10)*$C121,10.22)</f>
        <v>0.5736842105263158</v>
      </c>
      <c r="G121" s="16">
        <f>MIN(0.5+(INDEX('Stat Boosts'!$D$2:$D$192,G$1-9)-10)*$C121,10.22)</f>
        <v>0.64736842105263159</v>
      </c>
      <c r="H121" s="16">
        <f>MIN(0.5+(INDEX('Stat Boosts'!$D$2:$D$192,H$1-9)-10)*$C121,10.22)</f>
        <v>0.72105263157894739</v>
      </c>
      <c r="I121" s="16">
        <f>MIN(0.5+(INDEX('Stat Boosts'!$D$2:$D$192,I$1-9)-10)*$C121,10.22)</f>
        <v>0.78421052631578947</v>
      </c>
      <c r="J121" s="16">
        <f>MIN(0.5+(INDEX('Stat Boosts'!$D$2:$D$192,J$1-9)-10)*$C121,10.22)</f>
        <v>0.84736842105263155</v>
      </c>
      <c r="K121" s="16">
        <f>MIN(0.5+(INDEX('Stat Boosts'!$D$2:$D$192,K$1-9)-10)*$C121,10.22)</f>
        <v>0.99473684210526314</v>
      </c>
      <c r="L121" s="16">
        <f>MIN(0.5+(INDEX('Stat Boosts'!$D$2:$D$192,L$1-9)-10)*$C121,10.22)</f>
        <v>1.0473684210526315</v>
      </c>
      <c r="M121" s="16">
        <f>MIN(0.5+(INDEX('Stat Boosts'!$D$2:$D$192,M$1-9)-10)*$C121,10.22)</f>
        <v>1.1210526315789473</v>
      </c>
      <c r="N121" s="16">
        <f>MIN(0.5+(INDEX('Stat Boosts'!$D$2:$D$192,N$1-9)-10)*$C121,10.22)</f>
        <v>1.2157894736842105</v>
      </c>
      <c r="O121" s="16">
        <f>MIN(0.5+(INDEX('Stat Boosts'!$D$2:$D$192,O$1-9)-10)*$C121,10.22)</f>
        <v>1.2684210526315789</v>
      </c>
      <c r="P121" s="16">
        <f>MIN(0.5+(INDEX('Stat Boosts'!$D$2:$D$192,P$1-9)-10)*$C121,10.22)</f>
        <v>1.3526315789473684</v>
      </c>
      <c r="Q121" s="16">
        <f>MIN(0.5+(INDEX('Stat Boosts'!$D$2:$D$192,Q$1-9)-10)*$C121,10.22)</f>
        <v>1.4368421052631579</v>
      </c>
      <c r="R121" s="16">
        <f>MIN(0.5+(INDEX('Stat Boosts'!$D$2:$D$192,R$1-9)-10)*$C121,10.22)</f>
        <v>1.5210526315789474</v>
      </c>
    </row>
    <row r="122" spans="1:18">
      <c r="A122" s="9">
        <v>121</v>
      </c>
      <c r="B122" s="16">
        <f t="shared" si="2"/>
        <v>48.25</v>
      </c>
      <c r="C122" s="16">
        <f t="shared" si="3"/>
        <v>1.0457516339869282E-2</v>
      </c>
      <c r="E122" s="16">
        <f>MIN(0.5+(INDEX('Stat Boosts'!$D$2:$D$192,E$1-9)-10)*$C122,10.22)</f>
        <v>0.5</v>
      </c>
      <c r="F122" s="16">
        <f>MIN(0.5+(INDEX('Stat Boosts'!$D$2:$D$192,F$1-9)-10)*$C122,10.22)</f>
        <v>0.57320261437908493</v>
      </c>
      <c r="G122" s="16">
        <f>MIN(0.5+(INDEX('Stat Boosts'!$D$2:$D$192,G$1-9)-10)*$C122,10.22)</f>
        <v>0.64640522875816997</v>
      </c>
      <c r="H122" s="16">
        <f>MIN(0.5+(INDEX('Stat Boosts'!$D$2:$D$192,H$1-9)-10)*$C122,10.22)</f>
        <v>0.7196078431372549</v>
      </c>
      <c r="I122" s="16">
        <f>MIN(0.5+(INDEX('Stat Boosts'!$D$2:$D$192,I$1-9)-10)*$C122,10.22)</f>
        <v>0.7823529411764707</v>
      </c>
      <c r="J122" s="16">
        <f>MIN(0.5+(INDEX('Stat Boosts'!$D$2:$D$192,J$1-9)-10)*$C122,10.22)</f>
        <v>0.84509803921568638</v>
      </c>
      <c r="K122" s="16">
        <f>MIN(0.5+(INDEX('Stat Boosts'!$D$2:$D$192,K$1-9)-10)*$C122,10.22)</f>
        <v>0.99150326797385624</v>
      </c>
      <c r="L122" s="16">
        <f>MIN(0.5+(INDEX('Stat Boosts'!$D$2:$D$192,L$1-9)-10)*$C122,10.22)</f>
        <v>1.0437908496732027</v>
      </c>
      <c r="M122" s="16">
        <f>MIN(0.5+(INDEX('Stat Boosts'!$D$2:$D$192,M$1-9)-10)*$C122,10.22)</f>
        <v>1.1169934640522876</v>
      </c>
      <c r="N122" s="16">
        <f>MIN(0.5+(INDEX('Stat Boosts'!$D$2:$D$192,N$1-9)-10)*$C122,10.22)</f>
        <v>1.2111111111111112</v>
      </c>
      <c r="O122" s="16">
        <f>MIN(0.5+(INDEX('Stat Boosts'!$D$2:$D$192,O$1-9)-10)*$C122,10.22)</f>
        <v>1.2633986928104575</v>
      </c>
      <c r="P122" s="16">
        <f>MIN(0.5+(INDEX('Stat Boosts'!$D$2:$D$192,P$1-9)-10)*$C122,10.22)</f>
        <v>1.3470588235294119</v>
      </c>
      <c r="Q122" s="16">
        <f>MIN(0.5+(INDEX('Stat Boosts'!$D$2:$D$192,Q$1-9)-10)*$C122,10.22)</f>
        <v>1.4307189542483663</v>
      </c>
      <c r="R122" s="16">
        <f>MIN(0.5+(INDEX('Stat Boosts'!$D$2:$D$192,R$1-9)-10)*$C122,10.22)</f>
        <v>1.5143790849673204</v>
      </c>
    </row>
    <row r="123" spans="1:18">
      <c r="A123" s="9">
        <v>122</v>
      </c>
      <c r="B123" s="16">
        <f t="shared" si="2"/>
        <v>48.5</v>
      </c>
      <c r="C123" s="16">
        <f t="shared" si="3"/>
        <v>1.038961038961039E-2</v>
      </c>
      <c r="E123" s="16">
        <f>MIN(0.5+(INDEX('Stat Boosts'!$D$2:$D$192,E$1-9)-10)*$C123,10.22)</f>
        <v>0.5</v>
      </c>
      <c r="F123" s="16">
        <f>MIN(0.5+(INDEX('Stat Boosts'!$D$2:$D$192,F$1-9)-10)*$C123,10.22)</f>
        <v>0.57272727272727275</v>
      </c>
      <c r="G123" s="16">
        <f>MIN(0.5+(INDEX('Stat Boosts'!$D$2:$D$192,G$1-9)-10)*$C123,10.22)</f>
        <v>0.6454545454545455</v>
      </c>
      <c r="H123" s="16">
        <f>MIN(0.5+(INDEX('Stat Boosts'!$D$2:$D$192,H$1-9)-10)*$C123,10.22)</f>
        <v>0.71818181818181814</v>
      </c>
      <c r="I123" s="16">
        <f>MIN(0.5+(INDEX('Stat Boosts'!$D$2:$D$192,I$1-9)-10)*$C123,10.22)</f>
        <v>0.7805194805194805</v>
      </c>
      <c r="J123" s="16">
        <f>MIN(0.5+(INDEX('Stat Boosts'!$D$2:$D$192,J$1-9)-10)*$C123,10.22)</f>
        <v>0.84285714285714286</v>
      </c>
      <c r="K123" s="16">
        <f>MIN(0.5+(INDEX('Stat Boosts'!$D$2:$D$192,K$1-9)-10)*$C123,10.22)</f>
        <v>0.98831168831168825</v>
      </c>
      <c r="L123" s="16">
        <f>MIN(0.5+(INDEX('Stat Boosts'!$D$2:$D$192,L$1-9)-10)*$C123,10.22)</f>
        <v>1.0402597402597402</v>
      </c>
      <c r="M123" s="16">
        <f>MIN(0.5+(INDEX('Stat Boosts'!$D$2:$D$192,M$1-9)-10)*$C123,10.22)</f>
        <v>1.112987012987013</v>
      </c>
      <c r="N123" s="16">
        <f>MIN(0.5+(INDEX('Stat Boosts'!$D$2:$D$192,N$1-9)-10)*$C123,10.22)</f>
        <v>1.2064935064935065</v>
      </c>
      <c r="O123" s="16">
        <f>MIN(0.5+(INDEX('Stat Boosts'!$D$2:$D$192,O$1-9)-10)*$C123,10.22)</f>
        <v>1.2584415584415585</v>
      </c>
      <c r="P123" s="16">
        <f>MIN(0.5+(INDEX('Stat Boosts'!$D$2:$D$192,P$1-9)-10)*$C123,10.22)</f>
        <v>1.3415584415584414</v>
      </c>
      <c r="Q123" s="16">
        <f>MIN(0.5+(INDEX('Stat Boosts'!$D$2:$D$192,Q$1-9)-10)*$C123,10.22)</f>
        <v>1.4246753246753245</v>
      </c>
      <c r="R123" s="16">
        <f>MIN(0.5+(INDEX('Stat Boosts'!$D$2:$D$192,R$1-9)-10)*$C123,10.22)</f>
        <v>1.5077922077922077</v>
      </c>
    </row>
    <row r="124" spans="1:18">
      <c r="A124" s="9">
        <v>123</v>
      </c>
      <c r="B124" s="16">
        <f t="shared" si="2"/>
        <v>48.75</v>
      </c>
      <c r="C124" s="16">
        <f t="shared" si="3"/>
        <v>1.032258064516129E-2</v>
      </c>
      <c r="E124" s="16">
        <f>MIN(0.5+(INDEX('Stat Boosts'!$D$2:$D$192,E$1-9)-10)*$C124,10.22)</f>
        <v>0.5</v>
      </c>
      <c r="F124" s="16">
        <f>MIN(0.5+(INDEX('Stat Boosts'!$D$2:$D$192,F$1-9)-10)*$C124,10.22)</f>
        <v>0.57225806451612904</v>
      </c>
      <c r="G124" s="16">
        <f>MIN(0.5+(INDEX('Stat Boosts'!$D$2:$D$192,G$1-9)-10)*$C124,10.22)</f>
        <v>0.64451612903225808</v>
      </c>
      <c r="H124" s="16">
        <f>MIN(0.5+(INDEX('Stat Boosts'!$D$2:$D$192,H$1-9)-10)*$C124,10.22)</f>
        <v>0.71677419354838712</v>
      </c>
      <c r="I124" s="16">
        <f>MIN(0.5+(INDEX('Stat Boosts'!$D$2:$D$192,I$1-9)-10)*$C124,10.22)</f>
        <v>0.77870967741935482</v>
      </c>
      <c r="J124" s="16">
        <f>MIN(0.5+(INDEX('Stat Boosts'!$D$2:$D$192,J$1-9)-10)*$C124,10.22)</f>
        <v>0.84064516129032252</v>
      </c>
      <c r="K124" s="16">
        <f>MIN(0.5+(INDEX('Stat Boosts'!$D$2:$D$192,K$1-9)-10)*$C124,10.22)</f>
        <v>0.9851612903225806</v>
      </c>
      <c r="L124" s="16">
        <f>MIN(0.5+(INDEX('Stat Boosts'!$D$2:$D$192,L$1-9)-10)*$C124,10.22)</f>
        <v>1.036774193548387</v>
      </c>
      <c r="M124" s="16">
        <f>MIN(0.5+(INDEX('Stat Boosts'!$D$2:$D$192,M$1-9)-10)*$C124,10.22)</f>
        <v>1.109032258064516</v>
      </c>
      <c r="N124" s="16">
        <f>MIN(0.5+(INDEX('Stat Boosts'!$D$2:$D$192,N$1-9)-10)*$C124,10.22)</f>
        <v>1.2019354838709677</v>
      </c>
      <c r="O124" s="16">
        <f>MIN(0.5+(INDEX('Stat Boosts'!$D$2:$D$192,O$1-9)-10)*$C124,10.22)</f>
        <v>1.2535483870967741</v>
      </c>
      <c r="P124" s="16">
        <f>MIN(0.5+(INDEX('Stat Boosts'!$D$2:$D$192,P$1-9)-10)*$C124,10.22)</f>
        <v>1.3361290322580646</v>
      </c>
      <c r="Q124" s="16">
        <f>MIN(0.5+(INDEX('Stat Boosts'!$D$2:$D$192,Q$1-9)-10)*$C124,10.22)</f>
        <v>1.4187096774193548</v>
      </c>
      <c r="R124" s="16">
        <f>MIN(0.5+(INDEX('Stat Boosts'!$D$2:$D$192,R$1-9)-10)*$C124,10.22)</f>
        <v>1.5012903225806451</v>
      </c>
    </row>
    <row r="125" spans="1:18">
      <c r="A125" s="9">
        <v>124</v>
      </c>
      <c r="B125" s="16">
        <f t="shared" si="2"/>
        <v>49</v>
      </c>
      <c r="C125" s="16">
        <f t="shared" si="3"/>
        <v>1.0256410256410256E-2</v>
      </c>
      <c r="E125" s="16">
        <f>MIN(0.5+(INDEX('Stat Boosts'!$D$2:$D$192,E$1-9)-10)*$C125,10.22)</f>
        <v>0.5</v>
      </c>
      <c r="F125" s="16">
        <f>MIN(0.5+(INDEX('Stat Boosts'!$D$2:$D$192,F$1-9)-10)*$C125,10.22)</f>
        <v>0.57179487179487176</v>
      </c>
      <c r="G125" s="16">
        <f>MIN(0.5+(INDEX('Stat Boosts'!$D$2:$D$192,G$1-9)-10)*$C125,10.22)</f>
        <v>0.64358974358974352</v>
      </c>
      <c r="H125" s="16">
        <f>MIN(0.5+(INDEX('Stat Boosts'!$D$2:$D$192,H$1-9)-10)*$C125,10.22)</f>
        <v>0.7153846153846154</v>
      </c>
      <c r="I125" s="16">
        <f>MIN(0.5+(INDEX('Stat Boosts'!$D$2:$D$192,I$1-9)-10)*$C125,10.22)</f>
        <v>0.77692307692307694</v>
      </c>
      <c r="J125" s="16">
        <f>MIN(0.5+(INDEX('Stat Boosts'!$D$2:$D$192,J$1-9)-10)*$C125,10.22)</f>
        <v>0.83846153846153848</v>
      </c>
      <c r="K125" s="16">
        <f>MIN(0.5+(INDEX('Stat Boosts'!$D$2:$D$192,K$1-9)-10)*$C125,10.22)</f>
        <v>0.98205128205128212</v>
      </c>
      <c r="L125" s="16">
        <f>MIN(0.5+(INDEX('Stat Boosts'!$D$2:$D$192,L$1-9)-10)*$C125,10.22)</f>
        <v>1.0333333333333332</v>
      </c>
      <c r="M125" s="16">
        <f>MIN(0.5+(INDEX('Stat Boosts'!$D$2:$D$192,M$1-9)-10)*$C125,10.22)</f>
        <v>1.1051282051282052</v>
      </c>
      <c r="N125" s="16">
        <f>MIN(0.5+(INDEX('Stat Boosts'!$D$2:$D$192,N$1-9)-10)*$C125,10.22)</f>
        <v>1.1974358974358974</v>
      </c>
      <c r="O125" s="16">
        <f>MIN(0.5+(INDEX('Stat Boosts'!$D$2:$D$192,O$1-9)-10)*$C125,10.22)</f>
        <v>1.2487179487179487</v>
      </c>
      <c r="P125" s="16">
        <f>MIN(0.5+(INDEX('Stat Boosts'!$D$2:$D$192,P$1-9)-10)*$C125,10.22)</f>
        <v>1.3307692307692309</v>
      </c>
      <c r="Q125" s="16">
        <f>MIN(0.5+(INDEX('Stat Boosts'!$D$2:$D$192,Q$1-9)-10)*$C125,10.22)</f>
        <v>1.4128205128205127</v>
      </c>
      <c r="R125" s="16">
        <f>MIN(0.5+(INDEX('Stat Boosts'!$D$2:$D$192,R$1-9)-10)*$C125,10.22)</f>
        <v>1.4948717948717949</v>
      </c>
    </row>
    <row r="126" spans="1:18">
      <c r="A126" s="9">
        <v>125</v>
      </c>
      <c r="B126" s="16">
        <f t="shared" si="2"/>
        <v>49.25</v>
      </c>
      <c r="C126" s="16">
        <f t="shared" si="3"/>
        <v>1.0191082802547772E-2</v>
      </c>
      <c r="E126" s="16">
        <f>MIN(0.5+(INDEX('Stat Boosts'!$D$2:$D$192,E$1-9)-10)*$C126,10.22)</f>
        <v>0.5</v>
      </c>
      <c r="F126" s="16">
        <f>MIN(0.5+(INDEX('Stat Boosts'!$D$2:$D$192,F$1-9)-10)*$C126,10.22)</f>
        <v>0.57133757961783438</v>
      </c>
      <c r="G126" s="16">
        <f>MIN(0.5+(INDEX('Stat Boosts'!$D$2:$D$192,G$1-9)-10)*$C126,10.22)</f>
        <v>0.64267515923566876</v>
      </c>
      <c r="H126" s="16">
        <f>MIN(0.5+(INDEX('Stat Boosts'!$D$2:$D$192,H$1-9)-10)*$C126,10.22)</f>
        <v>0.71401273885350325</v>
      </c>
      <c r="I126" s="16">
        <f>MIN(0.5+(INDEX('Stat Boosts'!$D$2:$D$192,I$1-9)-10)*$C126,10.22)</f>
        <v>0.77515923566878986</v>
      </c>
      <c r="J126" s="16">
        <f>MIN(0.5+(INDEX('Stat Boosts'!$D$2:$D$192,J$1-9)-10)*$C126,10.22)</f>
        <v>0.83630573248407647</v>
      </c>
      <c r="K126" s="16">
        <f>MIN(0.5+(INDEX('Stat Boosts'!$D$2:$D$192,K$1-9)-10)*$C126,10.22)</f>
        <v>0.97898089171974534</v>
      </c>
      <c r="L126" s="16">
        <f>MIN(0.5+(INDEX('Stat Boosts'!$D$2:$D$192,L$1-9)-10)*$C126,10.22)</f>
        <v>1.0299363057324842</v>
      </c>
      <c r="M126" s="16">
        <f>MIN(0.5+(INDEX('Stat Boosts'!$D$2:$D$192,M$1-9)-10)*$C126,10.22)</f>
        <v>1.1012738853503186</v>
      </c>
      <c r="N126" s="16">
        <f>MIN(0.5+(INDEX('Stat Boosts'!$D$2:$D$192,N$1-9)-10)*$C126,10.22)</f>
        <v>1.1929936305732485</v>
      </c>
      <c r="O126" s="16">
        <f>MIN(0.5+(INDEX('Stat Boosts'!$D$2:$D$192,O$1-9)-10)*$C126,10.22)</f>
        <v>1.2439490445859873</v>
      </c>
      <c r="P126" s="16">
        <f>MIN(0.5+(INDEX('Stat Boosts'!$D$2:$D$192,P$1-9)-10)*$C126,10.22)</f>
        <v>1.3254777070063697</v>
      </c>
      <c r="Q126" s="16">
        <f>MIN(0.5+(INDEX('Stat Boosts'!$D$2:$D$192,Q$1-9)-10)*$C126,10.22)</f>
        <v>1.4070063694267518</v>
      </c>
      <c r="R126" s="16">
        <f>MIN(0.5+(INDEX('Stat Boosts'!$D$2:$D$192,R$1-9)-10)*$C126,10.22)</f>
        <v>1.488535031847134</v>
      </c>
    </row>
    <row r="127" spans="1:18">
      <c r="A127" s="9">
        <v>126</v>
      </c>
      <c r="B127" s="16">
        <f t="shared" si="2"/>
        <v>49.5</v>
      </c>
      <c r="C127" s="16">
        <f t="shared" si="3"/>
        <v>1.0126582278481013E-2</v>
      </c>
      <c r="E127" s="16">
        <f>MIN(0.5+(INDEX('Stat Boosts'!$D$2:$D$192,E$1-9)-10)*$C127,10.22)</f>
        <v>0.5</v>
      </c>
      <c r="F127" s="16">
        <f>MIN(0.5+(INDEX('Stat Boosts'!$D$2:$D$192,F$1-9)-10)*$C127,10.22)</f>
        <v>0.57088607594936713</v>
      </c>
      <c r="G127" s="16">
        <f>MIN(0.5+(INDEX('Stat Boosts'!$D$2:$D$192,G$1-9)-10)*$C127,10.22)</f>
        <v>0.64177215189873416</v>
      </c>
      <c r="H127" s="16">
        <f>MIN(0.5+(INDEX('Stat Boosts'!$D$2:$D$192,H$1-9)-10)*$C127,10.22)</f>
        <v>0.71265822784810129</v>
      </c>
      <c r="I127" s="16">
        <f>MIN(0.5+(INDEX('Stat Boosts'!$D$2:$D$192,I$1-9)-10)*$C127,10.22)</f>
        <v>0.77341772151898736</v>
      </c>
      <c r="J127" s="16">
        <f>MIN(0.5+(INDEX('Stat Boosts'!$D$2:$D$192,J$1-9)-10)*$C127,10.22)</f>
        <v>0.83417721518987342</v>
      </c>
      <c r="K127" s="16">
        <f>MIN(0.5+(INDEX('Stat Boosts'!$D$2:$D$192,K$1-9)-10)*$C127,10.22)</f>
        <v>0.97594936708860758</v>
      </c>
      <c r="L127" s="16">
        <f>MIN(0.5+(INDEX('Stat Boosts'!$D$2:$D$192,L$1-9)-10)*$C127,10.22)</f>
        <v>1.0265822784810128</v>
      </c>
      <c r="M127" s="16">
        <f>MIN(0.5+(INDEX('Stat Boosts'!$D$2:$D$192,M$1-9)-10)*$C127,10.22)</f>
        <v>1.0974683544303798</v>
      </c>
      <c r="N127" s="16">
        <f>MIN(0.5+(INDEX('Stat Boosts'!$D$2:$D$192,N$1-9)-10)*$C127,10.22)</f>
        <v>1.188607594936709</v>
      </c>
      <c r="O127" s="16">
        <f>MIN(0.5+(INDEX('Stat Boosts'!$D$2:$D$192,O$1-9)-10)*$C127,10.22)</f>
        <v>1.2392405063291139</v>
      </c>
      <c r="P127" s="16">
        <f>MIN(0.5+(INDEX('Stat Boosts'!$D$2:$D$192,P$1-9)-10)*$C127,10.22)</f>
        <v>1.320253164556962</v>
      </c>
      <c r="Q127" s="16">
        <f>MIN(0.5+(INDEX('Stat Boosts'!$D$2:$D$192,Q$1-9)-10)*$C127,10.22)</f>
        <v>1.40126582278481</v>
      </c>
      <c r="R127" s="16">
        <f>MIN(0.5+(INDEX('Stat Boosts'!$D$2:$D$192,R$1-9)-10)*$C127,10.22)</f>
        <v>1.4822784810126581</v>
      </c>
    </row>
    <row r="128" spans="1:18">
      <c r="A128" s="9">
        <v>127</v>
      </c>
      <c r="B128" s="16">
        <f t="shared" si="2"/>
        <v>49.75</v>
      </c>
      <c r="C128" s="16">
        <f t="shared" si="3"/>
        <v>1.0062893081761008E-2</v>
      </c>
      <c r="E128" s="16">
        <f>MIN(0.5+(INDEX('Stat Boosts'!$D$2:$D$192,E$1-9)-10)*$C128,10.22)</f>
        <v>0.5</v>
      </c>
      <c r="F128" s="16">
        <f>MIN(0.5+(INDEX('Stat Boosts'!$D$2:$D$192,F$1-9)-10)*$C128,10.22)</f>
        <v>0.57044025157232703</v>
      </c>
      <c r="G128" s="16">
        <f>MIN(0.5+(INDEX('Stat Boosts'!$D$2:$D$192,G$1-9)-10)*$C128,10.22)</f>
        <v>0.64088050314465406</v>
      </c>
      <c r="H128" s="16">
        <f>MIN(0.5+(INDEX('Stat Boosts'!$D$2:$D$192,H$1-9)-10)*$C128,10.22)</f>
        <v>0.7113207547169812</v>
      </c>
      <c r="I128" s="16">
        <f>MIN(0.5+(INDEX('Stat Boosts'!$D$2:$D$192,I$1-9)-10)*$C128,10.22)</f>
        <v>0.77169811320754722</v>
      </c>
      <c r="J128" s="16">
        <f>MIN(0.5+(INDEX('Stat Boosts'!$D$2:$D$192,J$1-9)-10)*$C128,10.22)</f>
        <v>0.83207547169811324</v>
      </c>
      <c r="K128" s="16">
        <f>MIN(0.5+(INDEX('Stat Boosts'!$D$2:$D$192,K$1-9)-10)*$C128,10.22)</f>
        <v>0.97295597484276741</v>
      </c>
      <c r="L128" s="16">
        <f>MIN(0.5+(INDEX('Stat Boosts'!$D$2:$D$192,L$1-9)-10)*$C128,10.22)</f>
        <v>1.0232704402515724</v>
      </c>
      <c r="M128" s="16">
        <f>MIN(0.5+(INDEX('Stat Boosts'!$D$2:$D$192,M$1-9)-10)*$C128,10.22)</f>
        <v>1.0937106918238995</v>
      </c>
      <c r="N128" s="16">
        <f>MIN(0.5+(INDEX('Stat Boosts'!$D$2:$D$192,N$1-9)-10)*$C128,10.22)</f>
        <v>1.1842767295597485</v>
      </c>
      <c r="O128" s="16">
        <f>MIN(0.5+(INDEX('Stat Boosts'!$D$2:$D$192,O$1-9)-10)*$C128,10.22)</f>
        <v>1.2345911949685535</v>
      </c>
      <c r="P128" s="16">
        <f>MIN(0.5+(INDEX('Stat Boosts'!$D$2:$D$192,P$1-9)-10)*$C128,10.22)</f>
        <v>1.3150943396226418</v>
      </c>
      <c r="Q128" s="16">
        <f>MIN(0.5+(INDEX('Stat Boosts'!$D$2:$D$192,Q$1-9)-10)*$C128,10.22)</f>
        <v>1.3955974842767298</v>
      </c>
      <c r="R128" s="16">
        <f>MIN(0.5+(INDEX('Stat Boosts'!$D$2:$D$192,R$1-9)-10)*$C128,10.22)</f>
        <v>1.4761006289308178</v>
      </c>
    </row>
    <row r="129" spans="1:18">
      <c r="A129" s="9">
        <v>128</v>
      </c>
      <c r="B129" s="16">
        <f t="shared" si="2"/>
        <v>50</v>
      </c>
      <c r="C129" s="16">
        <f t="shared" si="3"/>
        <v>0.01</v>
      </c>
      <c r="E129" s="16">
        <f>MIN(0.5+(INDEX('Stat Boosts'!$D$2:$D$192,E$1-9)-10)*$C129,10.22)</f>
        <v>0.5</v>
      </c>
      <c r="F129" s="16">
        <f>MIN(0.5+(INDEX('Stat Boosts'!$D$2:$D$192,F$1-9)-10)*$C129,10.22)</f>
        <v>0.57000000000000006</v>
      </c>
      <c r="G129" s="16">
        <f>MIN(0.5+(INDEX('Stat Boosts'!$D$2:$D$192,G$1-9)-10)*$C129,10.22)</f>
        <v>0.64</v>
      </c>
      <c r="H129" s="16">
        <f>MIN(0.5+(INDEX('Stat Boosts'!$D$2:$D$192,H$1-9)-10)*$C129,10.22)</f>
        <v>0.71</v>
      </c>
      <c r="I129" s="16">
        <f>MIN(0.5+(INDEX('Stat Boosts'!$D$2:$D$192,I$1-9)-10)*$C129,10.22)</f>
        <v>0.77</v>
      </c>
      <c r="J129" s="16">
        <f>MIN(0.5+(INDEX('Stat Boosts'!$D$2:$D$192,J$1-9)-10)*$C129,10.22)</f>
        <v>0.83000000000000007</v>
      </c>
      <c r="K129" s="16">
        <f>MIN(0.5+(INDEX('Stat Boosts'!$D$2:$D$192,K$1-9)-10)*$C129,10.22)</f>
        <v>0.97</v>
      </c>
      <c r="L129" s="16">
        <f>MIN(0.5+(INDEX('Stat Boosts'!$D$2:$D$192,L$1-9)-10)*$C129,10.22)</f>
        <v>1.02</v>
      </c>
      <c r="M129" s="16">
        <f>MIN(0.5+(INDEX('Stat Boosts'!$D$2:$D$192,M$1-9)-10)*$C129,10.22)</f>
        <v>1.0899999999999999</v>
      </c>
      <c r="N129" s="16">
        <f>MIN(0.5+(INDEX('Stat Boosts'!$D$2:$D$192,N$1-9)-10)*$C129,10.22)</f>
        <v>1.1800000000000002</v>
      </c>
      <c r="O129" s="16">
        <f>MIN(0.5+(INDEX('Stat Boosts'!$D$2:$D$192,O$1-9)-10)*$C129,10.22)</f>
        <v>1.23</v>
      </c>
      <c r="P129" s="16">
        <f>MIN(0.5+(INDEX('Stat Boosts'!$D$2:$D$192,P$1-9)-10)*$C129,10.22)</f>
        <v>1.31</v>
      </c>
      <c r="Q129" s="16">
        <f>MIN(0.5+(INDEX('Stat Boosts'!$D$2:$D$192,Q$1-9)-10)*$C129,10.22)</f>
        <v>1.3900000000000001</v>
      </c>
      <c r="R129" s="16">
        <f>MIN(0.5+(INDEX('Stat Boosts'!$D$2:$D$192,R$1-9)-10)*$C129,10.22)</f>
        <v>1.47</v>
      </c>
    </row>
    <row r="130" spans="1:18">
      <c r="A130" s="9">
        <v>129</v>
      </c>
      <c r="B130" s="16">
        <f t="shared" si="2"/>
        <v>50.25</v>
      </c>
      <c r="C130" s="16">
        <f t="shared" si="3"/>
        <v>9.9378881987577643E-3</v>
      </c>
      <c r="E130" s="16">
        <f>MIN(0.5+(INDEX('Stat Boosts'!$D$2:$D$192,E$1-9)-10)*$C130,10.22)</f>
        <v>0.5</v>
      </c>
      <c r="F130" s="16">
        <f>MIN(0.5+(INDEX('Stat Boosts'!$D$2:$D$192,F$1-9)-10)*$C130,10.22)</f>
        <v>0.56956521739130439</v>
      </c>
      <c r="G130" s="16">
        <f>MIN(0.5+(INDEX('Stat Boosts'!$D$2:$D$192,G$1-9)-10)*$C130,10.22)</f>
        <v>0.63913043478260867</v>
      </c>
      <c r="H130" s="16">
        <f>MIN(0.5+(INDEX('Stat Boosts'!$D$2:$D$192,H$1-9)-10)*$C130,10.22)</f>
        <v>0.70869565217391306</v>
      </c>
      <c r="I130" s="16">
        <f>MIN(0.5+(INDEX('Stat Boosts'!$D$2:$D$192,I$1-9)-10)*$C130,10.22)</f>
        <v>0.7683229813664596</v>
      </c>
      <c r="J130" s="16">
        <f>MIN(0.5+(INDEX('Stat Boosts'!$D$2:$D$192,J$1-9)-10)*$C130,10.22)</f>
        <v>0.82795031055900625</v>
      </c>
      <c r="K130" s="16">
        <f>MIN(0.5+(INDEX('Stat Boosts'!$D$2:$D$192,K$1-9)-10)*$C130,10.22)</f>
        <v>0.96708074534161492</v>
      </c>
      <c r="L130" s="16">
        <f>MIN(0.5+(INDEX('Stat Boosts'!$D$2:$D$192,L$1-9)-10)*$C130,10.22)</f>
        <v>1.0167701863354037</v>
      </c>
      <c r="M130" s="16">
        <f>MIN(0.5+(INDEX('Stat Boosts'!$D$2:$D$192,M$1-9)-10)*$C130,10.22)</f>
        <v>1.0863354037267081</v>
      </c>
      <c r="N130" s="16">
        <f>MIN(0.5+(INDEX('Stat Boosts'!$D$2:$D$192,N$1-9)-10)*$C130,10.22)</f>
        <v>1.175776397515528</v>
      </c>
      <c r="O130" s="16">
        <f>MIN(0.5+(INDEX('Stat Boosts'!$D$2:$D$192,O$1-9)-10)*$C130,10.22)</f>
        <v>1.2254658385093169</v>
      </c>
      <c r="P130" s="16">
        <f>MIN(0.5+(INDEX('Stat Boosts'!$D$2:$D$192,P$1-9)-10)*$C130,10.22)</f>
        <v>1.3049689440993788</v>
      </c>
      <c r="Q130" s="16">
        <f>MIN(0.5+(INDEX('Stat Boosts'!$D$2:$D$192,Q$1-9)-10)*$C130,10.22)</f>
        <v>1.3844720496894412</v>
      </c>
      <c r="R130" s="16">
        <f>MIN(0.5+(INDEX('Stat Boosts'!$D$2:$D$192,R$1-9)-10)*$C130,10.22)</f>
        <v>1.4639751552795031</v>
      </c>
    </row>
    <row r="131" spans="1:18">
      <c r="A131" s="9">
        <v>130</v>
      </c>
      <c r="B131" s="16">
        <f t="shared" ref="B131:B151" si="4">18+A131/4</f>
        <v>50.5</v>
      </c>
      <c r="C131" s="16">
        <f t="shared" ref="C131:C151" si="5">0.4/(B131-10)</f>
        <v>9.876543209876543E-3</v>
      </c>
      <c r="E131" s="16">
        <f>MIN(0.5+(INDEX('Stat Boosts'!$D$2:$D$192,E$1-9)-10)*$C131,10.22)</f>
        <v>0.5</v>
      </c>
      <c r="F131" s="16">
        <f>MIN(0.5+(INDEX('Stat Boosts'!$D$2:$D$192,F$1-9)-10)*$C131,10.22)</f>
        <v>0.56913580246913575</v>
      </c>
      <c r="G131" s="16">
        <f>MIN(0.5+(INDEX('Stat Boosts'!$D$2:$D$192,G$1-9)-10)*$C131,10.22)</f>
        <v>0.63827160493827162</v>
      </c>
      <c r="H131" s="16">
        <f>MIN(0.5+(INDEX('Stat Boosts'!$D$2:$D$192,H$1-9)-10)*$C131,10.22)</f>
        <v>0.70740740740740737</v>
      </c>
      <c r="I131" s="16">
        <f>MIN(0.5+(INDEX('Stat Boosts'!$D$2:$D$192,I$1-9)-10)*$C131,10.22)</f>
        <v>0.76666666666666661</v>
      </c>
      <c r="J131" s="16">
        <f>MIN(0.5+(INDEX('Stat Boosts'!$D$2:$D$192,J$1-9)-10)*$C131,10.22)</f>
        <v>0.82592592592592595</v>
      </c>
      <c r="K131" s="16">
        <f>MIN(0.5+(INDEX('Stat Boosts'!$D$2:$D$192,K$1-9)-10)*$C131,10.22)</f>
        <v>0.96419753086419746</v>
      </c>
      <c r="L131" s="16">
        <f>MIN(0.5+(INDEX('Stat Boosts'!$D$2:$D$192,L$1-9)-10)*$C131,10.22)</f>
        <v>1.0135802469135804</v>
      </c>
      <c r="M131" s="16">
        <f>MIN(0.5+(INDEX('Stat Boosts'!$D$2:$D$192,M$1-9)-10)*$C131,10.22)</f>
        <v>1.0827160493827162</v>
      </c>
      <c r="N131" s="16">
        <f>MIN(0.5+(INDEX('Stat Boosts'!$D$2:$D$192,N$1-9)-10)*$C131,10.22)</f>
        <v>1.1716049382716049</v>
      </c>
      <c r="O131" s="16">
        <f>MIN(0.5+(INDEX('Stat Boosts'!$D$2:$D$192,O$1-9)-10)*$C131,10.22)</f>
        <v>1.2209876543209877</v>
      </c>
      <c r="P131" s="16">
        <f>MIN(0.5+(INDEX('Stat Boosts'!$D$2:$D$192,P$1-9)-10)*$C131,10.22)</f>
        <v>1.2999999999999998</v>
      </c>
      <c r="Q131" s="16">
        <f>MIN(0.5+(INDEX('Stat Boosts'!$D$2:$D$192,Q$1-9)-10)*$C131,10.22)</f>
        <v>1.3790123456790124</v>
      </c>
      <c r="R131" s="16">
        <f>MIN(0.5+(INDEX('Stat Boosts'!$D$2:$D$192,R$1-9)-10)*$C131,10.22)</f>
        <v>1.4580246913580246</v>
      </c>
    </row>
    <row r="132" spans="1:18">
      <c r="A132" s="9">
        <v>131</v>
      </c>
      <c r="B132" s="16">
        <f t="shared" si="4"/>
        <v>50.75</v>
      </c>
      <c r="C132" s="16">
        <f t="shared" si="5"/>
        <v>9.8159509202453993E-3</v>
      </c>
      <c r="E132" s="16">
        <f>MIN(0.5+(INDEX('Stat Boosts'!$D$2:$D$192,E$1-9)-10)*$C132,10.22)</f>
        <v>0.5</v>
      </c>
      <c r="F132" s="16">
        <f>MIN(0.5+(INDEX('Stat Boosts'!$D$2:$D$192,F$1-9)-10)*$C132,10.22)</f>
        <v>0.56871165644171784</v>
      </c>
      <c r="G132" s="16">
        <f>MIN(0.5+(INDEX('Stat Boosts'!$D$2:$D$192,G$1-9)-10)*$C132,10.22)</f>
        <v>0.63742331288343557</v>
      </c>
      <c r="H132" s="16">
        <f>MIN(0.5+(INDEX('Stat Boosts'!$D$2:$D$192,H$1-9)-10)*$C132,10.22)</f>
        <v>0.70613496932515341</v>
      </c>
      <c r="I132" s="16">
        <f>MIN(0.5+(INDEX('Stat Boosts'!$D$2:$D$192,I$1-9)-10)*$C132,10.22)</f>
        <v>0.76503067484662579</v>
      </c>
      <c r="J132" s="16">
        <f>MIN(0.5+(INDEX('Stat Boosts'!$D$2:$D$192,J$1-9)-10)*$C132,10.22)</f>
        <v>0.82392638036809818</v>
      </c>
      <c r="K132" s="16">
        <f>MIN(0.5+(INDEX('Stat Boosts'!$D$2:$D$192,K$1-9)-10)*$C132,10.22)</f>
        <v>0.96134969325153374</v>
      </c>
      <c r="L132" s="16">
        <f>MIN(0.5+(INDEX('Stat Boosts'!$D$2:$D$192,L$1-9)-10)*$C132,10.22)</f>
        <v>1.0104294478527609</v>
      </c>
      <c r="M132" s="16">
        <f>MIN(0.5+(INDEX('Stat Boosts'!$D$2:$D$192,M$1-9)-10)*$C132,10.22)</f>
        <v>1.0791411042944785</v>
      </c>
      <c r="N132" s="16">
        <f>MIN(0.5+(INDEX('Stat Boosts'!$D$2:$D$192,N$1-9)-10)*$C132,10.22)</f>
        <v>1.1674846625766873</v>
      </c>
      <c r="O132" s="16">
        <f>MIN(0.5+(INDEX('Stat Boosts'!$D$2:$D$192,O$1-9)-10)*$C132,10.22)</f>
        <v>1.2165644171779142</v>
      </c>
      <c r="P132" s="16">
        <f>MIN(0.5+(INDEX('Stat Boosts'!$D$2:$D$192,P$1-9)-10)*$C132,10.22)</f>
        <v>1.2950920245398774</v>
      </c>
      <c r="Q132" s="16">
        <f>MIN(0.5+(INDEX('Stat Boosts'!$D$2:$D$192,Q$1-9)-10)*$C132,10.22)</f>
        <v>1.3736196319018406</v>
      </c>
      <c r="R132" s="16">
        <f>MIN(0.5+(INDEX('Stat Boosts'!$D$2:$D$192,R$1-9)-10)*$C132,10.22)</f>
        <v>1.4521472392638037</v>
      </c>
    </row>
    <row r="133" spans="1:18">
      <c r="A133" s="9">
        <v>132</v>
      </c>
      <c r="B133" s="16">
        <f t="shared" si="4"/>
        <v>51</v>
      </c>
      <c r="C133" s="16">
        <f t="shared" si="5"/>
        <v>9.7560975609756097E-3</v>
      </c>
      <c r="E133" s="16">
        <f>MIN(0.5+(INDEX('Stat Boosts'!$D$2:$D$192,E$1-9)-10)*$C133,10.22)</f>
        <v>0.5</v>
      </c>
      <c r="F133" s="16">
        <f>MIN(0.5+(INDEX('Stat Boosts'!$D$2:$D$192,F$1-9)-10)*$C133,10.22)</f>
        <v>0.56829268292682933</v>
      </c>
      <c r="G133" s="16">
        <f>MIN(0.5+(INDEX('Stat Boosts'!$D$2:$D$192,G$1-9)-10)*$C133,10.22)</f>
        <v>0.63658536585365855</v>
      </c>
      <c r="H133" s="16">
        <f>MIN(0.5+(INDEX('Stat Boosts'!$D$2:$D$192,H$1-9)-10)*$C133,10.22)</f>
        <v>0.70487804878048776</v>
      </c>
      <c r="I133" s="16">
        <f>MIN(0.5+(INDEX('Stat Boosts'!$D$2:$D$192,I$1-9)-10)*$C133,10.22)</f>
        <v>0.76341463414634148</v>
      </c>
      <c r="J133" s="16">
        <f>MIN(0.5+(INDEX('Stat Boosts'!$D$2:$D$192,J$1-9)-10)*$C133,10.22)</f>
        <v>0.82195121951219519</v>
      </c>
      <c r="K133" s="16">
        <f>MIN(0.5+(INDEX('Stat Boosts'!$D$2:$D$192,K$1-9)-10)*$C133,10.22)</f>
        <v>0.95853658536585362</v>
      </c>
      <c r="L133" s="16">
        <f>MIN(0.5+(INDEX('Stat Boosts'!$D$2:$D$192,L$1-9)-10)*$C133,10.22)</f>
        <v>1.0073170731707317</v>
      </c>
      <c r="M133" s="16">
        <f>MIN(0.5+(INDEX('Stat Boosts'!$D$2:$D$192,M$1-9)-10)*$C133,10.22)</f>
        <v>1.075609756097561</v>
      </c>
      <c r="N133" s="16">
        <f>MIN(0.5+(INDEX('Stat Boosts'!$D$2:$D$192,N$1-9)-10)*$C133,10.22)</f>
        <v>1.1634146341463416</v>
      </c>
      <c r="O133" s="16">
        <f>MIN(0.5+(INDEX('Stat Boosts'!$D$2:$D$192,O$1-9)-10)*$C133,10.22)</f>
        <v>1.2121951219512195</v>
      </c>
      <c r="P133" s="16">
        <f>MIN(0.5+(INDEX('Stat Boosts'!$D$2:$D$192,P$1-9)-10)*$C133,10.22)</f>
        <v>1.2902439024390244</v>
      </c>
      <c r="Q133" s="16">
        <f>MIN(0.5+(INDEX('Stat Boosts'!$D$2:$D$192,Q$1-9)-10)*$C133,10.22)</f>
        <v>1.3682926829268292</v>
      </c>
      <c r="R133" s="16">
        <f>MIN(0.5+(INDEX('Stat Boosts'!$D$2:$D$192,R$1-9)-10)*$C133,10.22)</f>
        <v>1.4463414634146341</v>
      </c>
    </row>
    <row r="134" spans="1:18">
      <c r="A134" s="9">
        <v>133</v>
      </c>
      <c r="B134" s="16">
        <f t="shared" si="4"/>
        <v>51.25</v>
      </c>
      <c r="C134" s="16">
        <f t="shared" si="5"/>
        <v>9.696969696969697E-3</v>
      </c>
      <c r="E134" s="16">
        <f>MIN(0.5+(INDEX('Stat Boosts'!$D$2:$D$192,E$1-9)-10)*$C134,10.22)</f>
        <v>0.5</v>
      </c>
      <c r="F134" s="16">
        <f>MIN(0.5+(INDEX('Stat Boosts'!$D$2:$D$192,F$1-9)-10)*$C134,10.22)</f>
        <v>0.56787878787878787</v>
      </c>
      <c r="G134" s="16">
        <f>MIN(0.5+(INDEX('Stat Boosts'!$D$2:$D$192,G$1-9)-10)*$C134,10.22)</f>
        <v>0.63575757575757574</v>
      </c>
      <c r="H134" s="16">
        <f>MIN(0.5+(INDEX('Stat Boosts'!$D$2:$D$192,H$1-9)-10)*$C134,10.22)</f>
        <v>0.70363636363636362</v>
      </c>
      <c r="I134" s="16">
        <f>MIN(0.5+(INDEX('Stat Boosts'!$D$2:$D$192,I$1-9)-10)*$C134,10.22)</f>
        <v>0.76181818181818184</v>
      </c>
      <c r="J134" s="16">
        <f>MIN(0.5+(INDEX('Stat Boosts'!$D$2:$D$192,J$1-9)-10)*$C134,10.22)</f>
        <v>0.82000000000000006</v>
      </c>
      <c r="K134" s="16">
        <f>MIN(0.5+(INDEX('Stat Boosts'!$D$2:$D$192,K$1-9)-10)*$C134,10.22)</f>
        <v>0.95575757575757581</v>
      </c>
      <c r="L134" s="16">
        <f>MIN(0.5+(INDEX('Stat Boosts'!$D$2:$D$192,L$1-9)-10)*$C134,10.22)</f>
        <v>1.0042424242424244</v>
      </c>
      <c r="M134" s="16">
        <f>MIN(0.5+(INDEX('Stat Boosts'!$D$2:$D$192,M$1-9)-10)*$C134,10.22)</f>
        <v>1.0721212121212123</v>
      </c>
      <c r="N134" s="16">
        <f>MIN(0.5+(INDEX('Stat Boosts'!$D$2:$D$192,N$1-9)-10)*$C134,10.22)</f>
        <v>1.1593939393939394</v>
      </c>
      <c r="O134" s="16">
        <f>MIN(0.5+(INDEX('Stat Boosts'!$D$2:$D$192,O$1-9)-10)*$C134,10.22)</f>
        <v>1.207878787878788</v>
      </c>
      <c r="P134" s="16">
        <f>MIN(0.5+(INDEX('Stat Boosts'!$D$2:$D$192,P$1-9)-10)*$C134,10.22)</f>
        <v>1.2854545454545454</v>
      </c>
      <c r="Q134" s="16">
        <f>MIN(0.5+(INDEX('Stat Boosts'!$D$2:$D$192,Q$1-9)-10)*$C134,10.22)</f>
        <v>1.363030303030303</v>
      </c>
      <c r="R134" s="16">
        <f>MIN(0.5+(INDEX('Stat Boosts'!$D$2:$D$192,R$1-9)-10)*$C134,10.22)</f>
        <v>1.4406060606060604</v>
      </c>
    </row>
    <row r="135" spans="1:18">
      <c r="A135" s="9">
        <v>134</v>
      </c>
      <c r="B135" s="16">
        <f t="shared" si="4"/>
        <v>51.5</v>
      </c>
      <c r="C135" s="16">
        <f t="shared" si="5"/>
        <v>9.6385542168674707E-3</v>
      </c>
      <c r="E135" s="16">
        <f>MIN(0.5+(INDEX('Stat Boosts'!$D$2:$D$192,E$1-9)-10)*$C135,10.22)</f>
        <v>0.5</v>
      </c>
      <c r="F135" s="16">
        <f>MIN(0.5+(INDEX('Stat Boosts'!$D$2:$D$192,F$1-9)-10)*$C135,10.22)</f>
        <v>0.56746987951807226</v>
      </c>
      <c r="G135" s="16">
        <f>MIN(0.5+(INDEX('Stat Boosts'!$D$2:$D$192,G$1-9)-10)*$C135,10.22)</f>
        <v>0.63493975903614452</v>
      </c>
      <c r="H135" s="16">
        <f>MIN(0.5+(INDEX('Stat Boosts'!$D$2:$D$192,H$1-9)-10)*$C135,10.22)</f>
        <v>0.7024096385542169</v>
      </c>
      <c r="I135" s="16">
        <f>MIN(0.5+(INDEX('Stat Boosts'!$D$2:$D$192,I$1-9)-10)*$C135,10.22)</f>
        <v>0.76024096385542173</v>
      </c>
      <c r="J135" s="16">
        <f>MIN(0.5+(INDEX('Stat Boosts'!$D$2:$D$192,J$1-9)-10)*$C135,10.22)</f>
        <v>0.81807228915662655</v>
      </c>
      <c r="K135" s="16">
        <f>MIN(0.5+(INDEX('Stat Boosts'!$D$2:$D$192,K$1-9)-10)*$C135,10.22)</f>
        <v>0.95301204819277108</v>
      </c>
      <c r="L135" s="16">
        <f>MIN(0.5+(INDEX('Stat Boosts'!$D$2:$D$192,L$1-9)-10)*$C135,10.22)</f>
        <v>1.0012048192771084</v>
      </c>
      <c r="M135" s="16">
        <f>MIN(0.5+(INDEX('Stat Boosts'!$D$2:$D$192,M$1-9)-10)*$C135,10.22)</f>
        <v>1.0686746987951807</v>
      </c>
      <c r="N135" s="16">
        <f>MIN(0.5+(INDEX('Stat Boosts'!$D$2:$D$192,N$1-9)-10)*$C135,10.22)</f>
        <v>1.155421686746988</v>
      </c>
      <c r="O135" s="16">
        <f>MIN(0.5+(INDEX('Stat Boosts'!$D$2:$D$192,O$1-9)-10)*$C135,10.22)</f>
        <v>1.2036144578313253</v>
      </c>
      <c r="P135" s="16">
        <f>MIN(0.5+(INDEX('Stat Boosts'!$D$2:$D$192,P$1-9)-10)*$C135,10.22)</f>
        <v>1.2807228915662652</v>
      </c>
      <c r="Q135" s="16">
        <f>MIN(0.5+(INDEX('Stat Boosts'!$D$2:$D$192,Q$1-9)-10)*$C135,10.22)</f>
        <v>1.3578313253012049</v>
      </c>
      <c r="R135" s="16">
        <f>MIN(0.5+(INDEX('Stat Boosts'!$D$2:$D$192,R$1-9)-10)*$C135,10.22)</f>
        <v>1.4349397590361446</v>
      </c>
    </row>
    <row r="136" spans="1:18">
      <c r="A136" s="9">
        <v>135</v>
      </c>
      <c r="B136" s="16">
        <f t="shared" si="4"/>
        <v>51.75</v>
      </c>
      <c r="C136" s="16">
        <f t="shared" si="5"/>
        <v>9.5808383233532933E-3</v>
      </c>
      <c r="E136" s="16">
        <f>MIN(0.5+(INDEX('Stat Boosts'!$D$2:$D$192,E$1-9)-10)*$C136,10.22)</f>
        <v>0.5</v>
      </c>
      <c r="F136" s="16">
        <f>MIN(0.5+(INDEX('Stat Boosts'!$D$2:$D$192,F$1-9)-10)*$C136,10.22)</f>
        <v>0.56706586826347305</v>
      </c>
      <c r="G136" s="16">
        <f>MIN(0.5+(INDEX('Stat Boosts'!$D$2:$D$192,G$1-9)-10)*$C136,10.22)</f>
        <v>0.6341317365269461</v>
      </c>
      <c r="H136" s="16">
        <f>MIN(0.5+(INDEX('Stat Boosts'!$D$2:$D$192,H$1-9)-10)*$C136,10.22)</f>
        <v>0.70119760479041915</v>
      </c>
      <c r="I136" s="16">
        <f>MIN(0.5+(INDEX('Stat Boosts'!$D$2:$D$192,I$1-9)-10)*$C136,10.22)</f>
        <v>0.75868263473053887</v>
      </c>
      <c r="J136" s="16">
        <f>MIN(0.5+(INDEX('Stat Boosts'!$D$2:$D$192,J$1-9)-10)*$C136,10.22)</f>
        <v>0.8161676646706586</v>
      </c>
      <c r="K136" s="16">
        <f>MIN(0.5+(INDEX('Stat Boosts'!$D$2:$D$192,K$1-9)-10)*$C136,10.22)</f>
        <v>0.95029940119760481</v>
      </c>
      <c r="L136" s="16">
        <f>MIN(0.5+(INDEX('Stat Boosts'!$D$2:$D$192,L$1-9)-10)*$C136,10.22)</f>
        <v>0.99820359281437132</v>
      </c>
      <c r="M136" s="16">
        <f>MIN(0.5+(INDEX('Stat Boosts'!$D$2:$D$192,M$1-9)-10)*$C136,10.22)</f>
        <v>1.0652694610778441</v>
      </c>
      <c r="N136" s="16">
        <f>MIN(0.5+(INDEX('Stat Boosts'!$D$2:$D$192,N$1-9)-10)*$C136,10.22)</f>
        <v>1.1514970059880238</v>
      </c>
      <c r="O136" s="16">
        <f>MIN(0.5+(INDEX('Stat Boosts'!$D$2:$D$192,O$1-9)-10)*$C136,10.22)</f>
        <v>1.1994011976047902</v>
      </c>
      <c r="P136" s="16">
        <f>MIN(0.5+(INDEX('Stat Boosts'!$D$2:$D$192,P$1-9)-10)*$C136,10.22)</f>
        <v>1.2760479041916168</v>
      </c>
      <c r="Q136" s="16">
        <f>MIN(0.5+(INDEX('Stat Boosts'!$D$2:$D$192,Q$1-9)-10)*$C136,10.22)</f>
        <v>1.352694610778443</v>
      </c>
      <c r="R136" s="16">
        <f>MIN(0.5+(INDEX('Stat Boosts'!$D$2:$D$192,R$1-9)-10)*$C136,10.22)</f>
        <v>1.4293413173652696</v>
      </c>
    </row>
    <row r="137" spans="1:18">
      <c r="A137" s="9">
        <v>136</v>
      </c>
      <c r="B137" s="16">
        <f t="shared" si="4"/>
        <v>52</v>
      </c>
      <c r="C137" s="16">
        <f t="shared" si="5"/>
        <v>9.5238095238095247E-3</v>
      </c>
      <c r="E137" s="16">
        <f>MIN(0.5+(INDEX('Stat Boosts'!$D$2:$D$192,E$1-9)-10)*$C137,10.22)</f>
        <v>0.5</v>
      </c>
      <c r="F137" s="16">
        <f>MIN(0.5+(INDEX('Stat Boosts'!$D$2:$D$192,F$1-9)-10)*$C137,10.22)</f>
        <v>0.56666666666666665</v>
      </c>
      <c r="G137" s="16">
        <f>MIN(0.5+(INDEX('Stat Boosts'!$D$2:$D$192,G$1-9)-10)*$C137,10.22)</f>
        <v>0.6333333333333333</v>
      </c>
      <c r="H137" s="16">
        <f>MIN(0.5+(INDEX('Stat Boosts'!$D$2:$D$192,H$1-9)-10)*$C137,10.22)</f>
        <v>0.7</v>
      </c>
      <c r="I137" s="16">
        <f>MIN(0.5+(INDEX('Stat Boosts'!$D$2:$D$192,I$1-9)-10)*$C137,10.22)</f>
        <v>0.75714285714285712</v>
      </c>
      <c r="J137" s="16">
        <f>MIN(0.5+(INDEX('Stat Boosts'!$D$2:$D$192,J$1-9)-10)*$C137,10.22)</f>
        <v>0.81428571428571428</v>
      </c>
      <c r="K137" s="16">
        <f>MIN(0.5+(INDEX('Stat Boosts'!$D$2:$D$192,K$1-9)-10)*$C137,10.22)</f>
        <v>0.94761904761904758</v>
      </c>
      <c r="L137" s="16">
        <f>MIN(0.5+(INDEX('Stat Boosts'!$D$2:$D$192,L$1-9)-10)*$C137,10.22)</f>
        <v>0.99523809523809526</v>
      </c>
      <c r="M137" s="16">
        <f>MIN(0.5+(INDEX('Stat Boosts'!$D$2:$D$192,M$1-9)-10)*$C137,10.22)</f>
        <v>1.0619047619047619</v>
      </c>
      <c r="N137" s="16">
        <f>MIN(0.5+(INDEX('Stat Boosts'!$D$2:$D$192,N$1-9)-10)*$C137,10.22)</f>
        <v>1.1476190476190475</v>
      </c>
      <c r="O137" s="16">
        <f>MIN(0.5+(INDEX('Stat Boosts'!$D$2:$D$192,O$1-9)-10)*$C137,10.22)</f>
        <v>1.1952380952380954</v>
      </c>
      <c r="P137" s="16">
        <f>MIN(0.5+(INDEX('Stat Boosts'!$D$2:$D$192,P$1-9)-10)*$C137,10.22)</f>
        <v>1.2714285714285714</v>
      </c>
      <c r="Q137" s="16">
        <f>MIN(0.5+(INDEX('Stat Boosts'!$D$2:$D$192,Q$1-9)-10)*$C137,10.22)</f>
        <v>1.3476190476190477</v>
      </c>
      <c r="R137" s="16">
        <f>MIN(0.5+(INDEX('Stat Boosts'!$D$2:$D$192,R$1-9)-10)*$C137,10.22)</f>
        <v>1.4238095238095239</v>
      </c>
    </row>
    <row r="138" spans="1:18">
      <c r="A138" s="9">
        <v>137</v>
      </c>
      <c r="B138" s="16">
        <f t="shared" si="4"/>
        <v>52.25</v>
      </c>
      <c r="C138" s="16">
        <f t="shared" si="5"/>
        <v>9.4674556213017753E-3</v>
      </c>
      <c r="E138" s="16">
        <f>MIN(0.5+(INDEX('Stat Boosts'!$D$2:$D$192,E$1-9)-10)*$C138,10.22)</f>
        <v>0.5</v>
      </c>
      <c r="F138" s="16">
        <f>MIN(0.5+(INDEX('Stat Boosts'!$D$2:$D$192,F$1-9)-10)*$C138,10.22)</f>
        <v>0.56627218934911239</v>
      </c>
      <c r="G138" s="16">
        <f>MIN(0.5+(INDEX('Stat Boosts'!$D$2:$D$192,G$1-9)-10)*$C138,10.22)</f>
        <v>0.63254437869822489</v>
      </c>
      <c r="H138" s="16">
        <f>MIN(0.5+(INDEX('Stat Boosts'!$D$2:$D$192,H$1-9)-10)*$C138,10.22)</f>
        <v>0.69881656804733727</v>
      </c>
      <c r="I138" s="16">
        <f>MIN(0.5+(INDEX('Stat Boosts'!$D$2:$D$192,I$1-9)-10)*$C138,10.22)</f>
        <v>0.75562130177514786</v>
      </c>
      <c r="J138" s="16">
        <f>MIN(0.5+(INDEX('Stat Boosts'!$D$2:$D$192,J$1-9)-10)*$C138,10.22)</f>
        <v>0.81242603550295867</v>
      </c>
      <c r="K138" s="16">
        <f>MIN(0.5+(INDEX('Stat Boosts'!$D$2:$D$192,K$1-9)-10)*$C138,10.22)</f>
        <v>0.94497041420118344</v>
      </c>
      <c r="L138" s="16">
        <f>MIN(0.5+(INDEX('Stat Boosts'!$D$2:$D$192,L$1-9)-10)*$C138,10.22)</f>
        <v>0.99230769230769234</v>
      </c>
      <c r="M138" s="16">
        <f>MIN(0.5+(INDEX('Stat Boosts'!$D$2:$D$192,M$1-9)-10)*$C138,10.22)</f>
        <v>1.0585798816568048</v>
      </c>
      <c r="N138" s="16">
        <f>MIN(0.5+(INDEX('Stat Boosts'!$D$2:$D$192,N$1-9)-10)*$C138,10.22)</f>
        <v>1.1437869822485207</v>
      </c>
      <c r="O138" s="16">
        <f>MIN(0.5+(INDEX('Stat Boosts'!$D$2:$D$192,O$1-9)-10)*$C138,10.22)</f>
        <v>1.1911242603550296</v>
      </c>
      <c r="P138" s="16">
        <f>MIN(0.5+(INDEX('Stat Boosts'!$D$2:$D$192,P$1-9)-10)*$C138,10.22)</f>
        <v>1.2668639053254438</v>
      </c>
      <c r="Q138" s="16">
        <f>MIN(0.5+(INDEX('Stat Boosts'!$D$2:$D$192,Q$1-9)-10)*$C138,10.22)</f>
        <v>1.342603550295858</v>
      </c>
      <c r="R138" s="16">
        <f>MIN(0.5+(INDEX('Stat Boosts'!$D$2:$D$192,R$1-9)-10)*$C138,10.22)</f>
        <v>1.4183431952662722</v>
      </c>
    </row>
    <row r="139" spans="1:18">
      <c r="A139" s="9">
        <v>138</v>
      </c>
      <c r="B139" s="16">
        <f t="shared" si="4"/>
        <v>52.5</v>
      </c>
      <c r="C139" s="16">
        <f t="shared" si="5"/>
        <v>9.4117647058823539E-3</v>
      </c>
      <c r="E139" s="16">
        <f>MIN(0.5+(INDEX('Stat Boosts'!$D$2:$D$192,E$1-9)-10)*$C139,10.22)</f>
        <v>0.5</v>
      </c>
      <c r="F139" s="16">
        <f>MIN(0.5+(INDEX('Stat Boosts'!$D$2:$D$192,F$1-9)-10)*$C139,10.22)</f>
        <v>0.5658823529411765</v>
      </c>
      <c r="G139" s="16">
        <f>MIN(0.5+(INDEX('Stat Boosts'!$D$2:$D$192,G$1-9)-10)*$C139,10.22)</f>
        <v>0.63176470588235301</v>
      </c>
      <c r="H139" s="16">
        <f>MIN(0.5+(INDEX('Stat Boosts'!$D$2:$D$192,H$1-9)-10)*$C139,10.22)</f>
        <v>0.6976470588235294</v>
      </c>
      <c r="I139" s="16">
        <f>MIN(0.5+(INDEX('Stat Boosts'!$D$2:$D$192,I$1-9)-10)*$C139,10.22)</f>
        <v>0.75411764705882356</v>
      </c>
      <c r="J139" s="16">
        <f>MIN(0.5+(INDEX('Stat Boosts'!$D$2:$D$192,J$1-9)-10)*$C139,10.22)</f>
        <v>0.81058823529411761</v>
      </c>
      <c r="K139" s="16">
        <f>MIN(0.5+(INDEX('Stat Boosts'!$D$2:$D$192,K$1-9)-10)*$C139,10.22)</f>
        <v>0.94235294117647062</v>
      </c>
      <c r="L139" s="16">
        <f>MIN(0.5+(INDEX('Stat Boosts'!$D$2:$D$192,L$1-9)-10)*$C139,10.22)</f>
        <v>0.98941176470588243</v>
      </c>
      <c r="M139" s="16">
        <f>MIN(0.5+(INDEX('Stat Boosts'!$D$2:$D$192,M$1-9)-10)*$C139,10.22)</f>
        <v>1.0552941176470587</v>
      </c>
      <c r="N139" s="16">
        <f>MIN(0.5+(INDEX('Stat Boosts'!$D$2:$D$192,N$1-9)-10)*$C139,10.22)</f>
        <v>1.1400000000000001</v>
      </c>
      <c r="O139" s="16">
        <f>MIN(0.5+(INDEX('Stat Boosts'!$D$2:$D$192,O$1-9)-10)*$C139,10.22)</f>
        <v>1.1870588235294117</v>
      </c>
      <c r="P139" s="16">
        <f>MIN(0.5+(INDEX('Stat Boosts'!$D$2:$D$192,P$1-9)-10)*$C139,10.22)</f>
        <v>1.2623529411764707</v>
      </c>
      <c r="Q139" s="16">
        <f>MIN(0.5+(INDEX('Stat Boosts'!$D$2:$D$192,Q$1-9)-10)*$C139,10.22)</f>
        <v>1.3376470588235296</v>
      </c>
      <c r="R139" s="16">
        <f>MIN(0.5+(INDEX('Stat Boosts'!$D$2:$D$192,R$1-9)-10)*$C139,10.22)</f>
        <v>1.4129411764705884</v>
      </c>
    </row>
    <row r="140" spans="1:18">
      <c r="A140" s="9">
        <v>139</v>
      </c>
      <c r="B140" s="16">
        <f t="shared" si="4"/>
        <v>52.75</v>
      </c>
      <c r="C140" s="16">
        <f t="shared" si="5"/>
        <v>9.3567251461988306E-3</v>
      </c>
      <c r="E140" s="16">
        <f>MIN(0.5+(INDEX('Stat Boosts'!$D$2:$D$192,E$1-9)-10)*$C140,10.22)</f>
        <v>0.5</v>
      </c>
      <c r="F140" s="16">
        <f>MIN(0.5+(INDEX('Stat Boosts'!$D$2:$D$192,F$1-9)-10)*$C140,10.22)</f>
        <v>0.56549707602339183</v>
      </c>
      <c r="G140" s="16">
        <f>MIN(0.5+(INDEX('Stat Boosts'!$D$2:$D$192,G$1-9)-10)*$C140,10.22)</f>
        <v>0.63099415204678366</v>
      </c>
      <c r="H140" s="16">
        <f>MIN(0.5+(INDEX('Stat Boosts'!$D$2:$D$192,H$1-9)-10)*$C140,10.22)</f>
        <v>0.69649122807017538</v>
      </c>
      <c r="I140" s="16">
        <f>MIN(0.5+(INDEX('Stat Boosts'!$D$2:$D$192,I$1-9)-10)*$C140,10.22)</f>
        <v>0.75263157894736843</v>
      </c>
      <c r="J140" s="16">
        <f>MIN(0.5+(INDEX('Stat Boosts'!$D$2:$D$192,J$1-9)-10)*$C140,10.22)</f>
        <v>0.80877192982456148</v>
      </c>
      <c r="K140" s="16">
        <f>MIN(0.5+(INDEX('Stat Boosts'!$D$2:$D$192,K$1-9)-10)*$C140,10.22)</f>
        <v>0.93976608187134503</v>
      </c>
      <c r="L140" s="16">
        <f>MIN(0.5+(INDEX('Stat Boosts'!$D$2:$D$192,L$1-9)-10)*$C140,10.22)</f>
        <v>0.98654970760233918</v>
      </c>
      <c r="M140" s="16">
        <f>MIN(0.5+(INDEX('Stat Boosts'!$D$2:$D$192,M$1-9)-10)*$C140,10.22)</f>
        <v>1.052046783625731</v>
      </c>
      <c r="N140" s="16">
        <f>MIN(0.5+(INDEX('Stat Boosts'!$D$2:$D$192,N$1-9)-10)*$C140,10.22)</f>
        <v>1.1362573099415205</v>
      </c>
      <c r="O140" s="16">
        <f>MIN(0.5+(INDEX('Stat Boosts'!$D$2:$D$192,O$1-9)-10)*$C140,10.22)</f>
        <v>1.1830409356725147</v>
      </c>
      <c r="P140" s="16">
        <f>MIN(0.5+(INDEX('Stat Boosts'!$D$2:$D$192,P$1-9)-10)*$C140,10.22)</f>
        <v>1.2578947368421054</v>
      </c>
      <c r="Q140" s="16">
        <f>MIN(0.5+(INDEX('Stat Boosts'!$D$2:$D$192,Q$1-9)-10)*$C140,10.22)</f>
        <v>1.3327485380116959</v>
      </c>
      <c r="R140" s="16">
        <f>MIN(0.5+(INDEX('Stat Boosts'!$D$2:$D$192,R$1-9)-10)*$C140,10.22)</f>
        <v>1.4076023391812864</v>
      </c>
    </row>
    <row r="141" spans="1:18">
      <c r="A141" s="9">
        <v>140</v>
      </c>
      <c r="B141" s="16">
        <f t="shared" si="4"/>
        <v>53</v>
      </c>
      <c r="C141" s="16">
        <f t="shared" si="5"/>
        <v>9.3023255813953487E-3</v>
      </c>
      <c r="E141" s="16">
        <f>MIN(0.5+(INDEX('Stat Boosts'!$D$2:$D$192,E$1-9)-10)*$C141,10.22)</f>
        <v>0.5</v>
      </c>
      <c r="F141" s="16">
        <f>MIN(0.5+(INDEX('Stat Boosts'!$D$2:$D$192,F$1-9)-10)*$C141,10.22)</f>
        <v>0.56511627906976747</v>
      </c>
      <c r="G141" s="16">
        <f>MIN(0.5+(INDEX('Stat Boosts'!$D$2:$D$192,G$1-9)-10)*$C141,10.22)</f>
        <v>0.63023255813953494</v>
      </c>
      <c r="H141" s="16">
        <f>MIN(0.5+(INDEX('Stat Boosts'!$D$2:$D$192,H$1-9)-10)*$C141,10.22)</f>
        <v>0.6953488372093023</v>
      </c>
      <c r="I141" s="16">
        <f>MIN(0.5+(INDEX('Stat Boosts'!$D$2:$D$192,I$1-9)-10)*$C141,10.22)</f>
        <v>0.75116279069767444</v>
      </c>
      <c r="J141" s="16">
        <f>MIN(0.5+(INDEX('Stat Boosts'!$D$2:$D$192,J$1-9)-10)*$C141,10.22)</f>
        <v>0.80697674418604648</v>
      </c>
      <c r="K141" s="16">
        <f>MIN(0.5+(INDEX('Stat Boosts'!$D$2:$D$192,K$1-9)-10)*$C141,10.22)</f>
        <v>0.93720930232558142</v>
      </c>
      <c r="L141" s="16">
        <f>MIN(0.5+(INDEX('Stat Boosts'!$D$2:$D$192,L$1-9)-10)*$C141,10.22)</f>
        <v>0.98372093023255813</v>
      </c>
      <c r="M141" s="16">
        <f>MIN(0.5+(INDEX('Stat Boosts'!$D$2:$D$192,M$1-9)-10)*$C141,10.22)</f>
        <v>1.0488372093023255</v>
      </c>
      <c r="N141" s="16">
        <f>MIN(0.5+(INDEX('Stat Boosts'!$D$2:$D$192,N$1-9)-10)*$C141,10.22)</f>
        <v>1.1325581395348836</v>
      </c>
      <c r="O141" s="16">
        <f>MIN(0.5+(INDEX('Stat Boosts'!$D$2:$D$192,O$1-9)-10)*$C141,10.22)</f>
        <v>1.1790697674418604</v>
      </c>
      <c r="P141" s="16">
        <f>MIN(0.5+(INDEX('Stat Boosts'!$D$2:$D$192,P$1-9)-10)*$C141,10.22)</f>
        <v>1.2534883720930232</v>
      </c>
      <c r="Q141" s="16">
        <f>MIN(0.5+(INDEX('Stat Boosts'!$D$2:$D$192,Q$1-9)-10)*$C141,10.22)</f>
        <v>1.327906976744186</v>
      </c>
      <c r="R141" s="16">
        <f>MIN(0.5+(INDEX('Stat Boosts'!$D$2:$D$192,R$1-9)-10)*$C141,10.22)</f>
        <v>1.4023255813953488</v>
      </c>
    </row>
    <row r="142" spans="1:18">
      <c r="A142" s="9">
        <v>141</v>
      </c>
      <c r="B142" s="16">
        <f t="shared" si="4"/>
        <v>53.25</v>
      </c>
      <c r="C142" s="16">
        <f t="shared" si="5"/>
        <v>9.2485549132947983E-3</v>
      </c>
      <c r="E142" s="16">
        <f>MIN(0.5+(INDEX('Stat Boosts'!$D$2:$D$192,E$1-9)-10)*$C142,10.22)</f>
        <v>0.5</v>
      </c>
      <c r="F142" s="16">
        <f>MIN(0.5+(INDEX('Stat Boosts'!$D$2:$D$192,F$1-9)-10)*$C142,10.22)</f>
        <v>0.56473988439306355</v>
      </c>
      <c r="G142" s="16">
        <f>MIN(0.5+(INDEX('Stat Boosts'!$D$2:$D$192,G$1-9)-10)*$C142,10.22)</f>
        <v>0.62947976878612721</v>
      </c>
      <c r="H142" s="16">
        <f>MIN(0.5+(INDEX('Stat Boosts'!$D$2:$D$192,H$1-9)-10)*$C142,10.22)</f>
        <v>0.69421965317919077</v>
      </c>
      <c r="I142" s="16">
        <f>MIN(0.5+(INDEX('Stat Boosts'!$D$2:$D$192,I$1-9)-10)*$C142,10.22)</f>
        <v>0.74971098265895952</v>
      </c>
      <c r="J142" s="16">
        <f>MIN(0.5+(INDEX('Stat Boosts'!$D$2:$D$192,J$1-9)-10)*$C142,10.22)</f>
        <v>0.80520231213872839</v>
      </c>
      <c r="K142" s="16">
        <f>MIN(0.5+(INDEX('Stat Boosts'!$D$2:$D$192,K$1-9)-10)*$C142,10.22)</f>
        <v>0.9346820809248555</v>
      </c>
      <c r="L142" s="16">
        <f>MIN(0.5+(INDEX('Stat Boosts'!$D$2:$D$192,L$1-9)-10)*$C142,10.22)</f>
        <v>0.98092485549132946</v>
      </c>
      <c r="M142" s="16">
        <f>MIN(0.5+(INDEX('Stat Boosts'!$D$2:$D$192,M$1-9)-10)*$C142,10.22)</f>
        <v>1.0456647398843932</v>
      </c>
      <c r="N142" s="16">
        <f>MIN(0.5+(INDEX('Stat Boosts'!$D$2:$D$192,N$1-9)-10)*$C142,10.22)</f>
        <v>1.1289017341040464</v>
      </c>
      <c r="O142" s="16">
        <f>MIN(0.5+(INDEX('Stat Boosts'!$D$2:$D$192,O$1-9)-10)*$C142,10.22)</f>
        <v>1.1751445086705203</v>
      </c>
      <c r="P142" s="16">
        <f>MIN(0.5+(INDEX('Stat Boosts'!$D$2:$D$192,P$1-9)-10)*$C142,10.22)</f>
        <v>1.2491329479768787</v>
      </c>
      <c r="Q142" s="16">
        <f>MIN(0.5+(INDEX('Stat Boosts'!$D$2:$D$192,Q$1-9)-10)*$C142,10.22)</f>
        <v>1.323121387283237</v>
      </c>
      <c r="R142" s="16">
        <f>MIN(0.5+(INDEX('Stat Boosts'!$D$2:$D$192,R$1-9)-10)*$C142,10.22)</f>
        <v>1.3971098265895954</v>
      </c>
    </row>
    <row r="143" spans="1:18">
      <c r="A143" s="9">
        <v>142</v>
      </c>
      <c r="B143" s="16">
        <f t="shared" si="4"/>
        <v>53.5</v>
      </c>
      <c r="C143" s="16">
        <f t="shared" si="5"/>
        <v>9.1954022988505746E-3</v>
      </c>
      <c r="E143" s="16">
        <f>MIN(0.5+(INDEX('Stat Boosts'!$D$2:$D$192,E$1-9)-10)*$C143,10.22)</f>
        <v>0.5</v>
      </c>
      <c r="F143" s="16">
        <f>MIN(0.5+(INDEX('Stat Boosts'!$D$2:$D$192,F$1-9)-10)*$C143,10.22)</f>
        <v>0.56436781609195408</v>
      </c>
      <c r="G143" s="16">
        <f>MIN(0.5+(INDEX('Stat Boosts'!$D$2:$D$192,G$1-9)-10)*$C143,10.22)</f>
        <v>0.62873563218390804</v>
      </c>
      <c r="H143" s="16">
        <f>MIN(0.5+(INDEX('Stat Boosts'!$D$2:$D$192,H$1-9)-10)*$C143,10.22)</f>
        <v>0.69310344827586201</v>
      </c>
      <c r="I143" s="16">
        <f>MIN(0.5+(INDEX('Stat Boosts'!$D$2:$D$192,I$1-9)-10)*$C143,10.22)</f>
        <v>0.74827586206896557</v>
      </c>
      <c r="J143" s="16">
        <f>MIN(0.5+(INDEX('Stat Boosts'!$D$2:$D$192,J$1-9)-10)*$C143,10.22)</f>
        <v>0.80344827586206891</v>
      </c>
      <c r="K143" s="16">
        <f>MIN(0.5+(INDEX('Stat Boosts'!$D$2:$D$192,K$1-9)-10)*$C143,10.22)</f>
        <v>0.93218390804597706</v>
      </c>
      <c r="L143" s="16">
        <f>MIN(0.5+(INDEX('Stat Boosts'!$D$2:$D$192,L$1-9)-10)*$C143,10.22)</f>
        <v>0.97816091954022988</v>
      </c>
      <c r="M143" s="16">
        <f>MIN(0.5+(INDEX('Stat Boosts'!$D$2:$D$192,M$1-9)-10)*$C143,10.22)</f>
        <v>1.042528735632184</v>
      </c>
      <c r="N143" s="16">
        <f>MIN(0.5+(INDEX('Stat Boosts'!$D$2:$D$192,N$1-9)-10)*$C143,10.22)</f>
        <v>1.1252873563218391</v>
      </c>
      <c r="O143" s="16">
        <f>MIN(0.5+(INDEX('Stat Boosts'!$D$2:$D$192,O$1-9)-10)*$C143,10.22)</f>
        <v>1.1712643678160919</v>
      </c>
      <c r="P143" s="16">
        <f>MIN(0.5+(INDEX('Stat Boosts'!$D$2:$D$192,P$1-9)-10)*$C143,10.22)</f>
        <v>1.2448275862068965</v>
      </c>
      <c r="Q143" s="16">
        <f>MIN(0.5+(INDEX('Stat Boosts'!$D$2:$D$192,Q$1-9)-10)*$C143,10.22)</f>
        <v>1.3183908045977011</v>
      </c>
      <c r="R143" s="16">
        <f>MIN(0.5+(INDEX('Stat Boosts'!$D$2:$D$192,R$1-9)-10)*$C143,10.22)</f>
        <v>1.3919540229885057</v>
      </c>
    </row>
    <row r="144" spans="1:18">
      <c r="A144" s="9">
        <v>143</v>
      </c>
      <c r="B144" s="16">
        <f t="shared" si="4"/>
        <v>53.75</v>
      </c>
      <c r="C144" s="16">
        <f t="shared" si="5"/>
        <v>9.1428571428571435E-3</v>
      </c>
      <c r="E144" s="16">
        <f>MIN(0.5+(INDEX('Stat Boosts'!$D$2:$D$192,E$1-9)-10)*$C144,10.22)</f>
        <v>0.5</v>
      </c>
      <c r="F144" s="16">
        <f>MIN(0.5+(INDEX('Stat Boosts'!$D$2:$D$192,F$1-9)-10)*$C144,10.22)</f>
        <v>0.56400000000000006</v>
      </c>
      <c r="G144" s="16">
        <f>MIN(0.5+(INDEX('Stat Boosts'!$D$2:$D$192,G$1-9)-10)*$C144,10.22)</f>
        <v>0.628</v>
      </c>
      <c r="H144" s="16">
        <f>MIN(0.5+(INDEX('Stat Boosts'!$D$2:$D$192,H$1-9)-10)*$C144,10.22)</f>
        <v>0.69199999999999995</v>
      </c>
      <c r="I144" s="16">
        <f>MIN(0.5+(INDEX('Stat Boosts'!$D$2:$D$192,I$1-9)-10)*$C144,10.22)</f>
        <v>0.74685714285714289</v>
      </c>
      <c r="J144" s="16">
        <f>MIN(0.5+(INDEX('Stat Boosts'!$D$2:$D$192,J$1-9)-10)*$C144,10.22)</f>
        <v>0.80171428571428571</v>
      </c>
      <c r="K144" s="16">
        <f>MIN(0.5+(INDEX('Stat Boosts'!$D$2:$D$192,K$1-9)-10)*$C144,10.22)</f>
        <v>0.92971428571428572</v>
      </c>
      <c r="L144" s="16">
        <f>MIN(0.5+(INDEX('Stat Boosts'!$D$2:$D$192,L$1-9)-10)*$C144,10.22)</f>
        <v>0.97542857142857153</v>
      </c>
      <c r="M144" s="16">
        <f>MIN(0.5+(INDEX('Stat Boosts'!$D$2:$D$192,M$1-9)-10)*$C144,10.22)</f>
        <v>1.0394285714285716</v>
      </c>
      <c r="N144" s="16">
        <f>MIN(0.5+(INDEX('Stat Boosts'!$D$2:$D$192,N$1-9)-10)*$C144,10.22)</f>
        <v>1.1217142857142859</v>
      </c>
      <c r="O144" s="16">
        <f>MIN(0.5+(INDEX('Stat Boosts'!$D$2:$D$192,O$1-9)-10)*$C144,10.22)</f>
        <v>1.1674285714285715</v>
      </c>
      <c r="P144" s="16">
        <f>MIN(0.5+(INDEX('Stat Boosts'!$D$2:$D$192,P$1-9)-10)*$C144,10.22)</f>
        <v>1.2405714285714287</v>
      </c>
      <c r="Q144" s="16">
        <f>MIN(0.5+(INDEX('Stat Boosts'!$D$2:$D$192,Q$1-9)-10)*$C144,10.22)</f>
        <v>1.3137142857142856</v>
      </c>
      <c r="R144" s="16">
        <f>MIN(0.5+(INDEX('Stat Boosts'!$D$2:$D$192,R$1-9)-10)*$C144,10.22)</f>
        <v>1.386857142857143</v>
      </c>
    </row>
    <row r="145" spans="1:18">
      <c r="A145" s="9">
        <v>144</v>
      </c>
      <c r="B145" s="16">
        <f t="shared" si="4"/>
        <v>54</v>
      </c>
      <c r="C145" s="16">
        <f t="shared" si="5"/>
        <v>9.0909090909090922E-3</v>
      </c>
      <c r="E145" s="16">
        <f>MIN(0.5+(INDEX('Stat Boosts'!$D$2:$D$192,E$1-9)-10)*$C145,10.22)</f>
        <v>0.5</v>
      </c>
      <c r="F145" s="16">
        <f>MIN(0.5+(INDEX('Stat Boosts'!$D$2:$D$192,F$1-9)-10)*$C145,10.22)</f>
        <v>0.5636363636363636</v>
      </c>
      <c r="G145" s="16">
        <f>MIN(0.5+(INDEX('Stat Boosts'!$D$2:$D$192,G$1-9)-10)*$C145,10.22)</f>
        <v>0.62727272727272732</v>
      </c>
      <c r="H145" s="16">
        <f>MIN(0.5+(INDEX('Stat Boosts'!$D$2:$D$192,H$1-9)-10)*$C145,10.22)</f>
        <v>0.69090909090909092</v>
      </c>
      <c r="I145" s="16">
        <f>MIN(0.5+(INDEX('Stat Boosts'!$D$2:$D$192,I$1-9)-10)*$C145,10.22)</f>
        <v>0.74545454545454548</v>
      </c>
      <c r="J145" s="16">
        <f>MIN(0.5+(INDEX('Stat Boosts'!$D$2:$D$192,J$1-9)-10)*$C145,10.22)</f>
        <v>0.8</v>
      </c>
      <c r="K145" s="16">
        <f>MIN(0.5+(INDEX('Stat Boosts'!$D$2:$D$192,K$1-9)-10)*$C145,10.22)</f>
        <v>0.92727272727272736</v>
      </c>
      <c r="L145" s="16">
        <f>MIN(0.5+(INDEX('Stat Boosts'!$D$2:$D$192,L$1-9)-10)*$C145,10.22)</f>
        <v>0.97272727272727277</v>
      </c>
      <c r="M145" s="16">
        <f>MIN(0.5+(INDEX('Stat Boosts'!$D$2:$D$192,M$1-9)-10)*$C145,10.22)</f>
        <v>1.0363636363636366</v>
      </c>
      <c r="N145" s="16">
        <f>MIN(0.5+(INDEX('Stat Boosts'!$D$2:$D$192,N$1-9)-10)*$C145,10.22)</f>
        <v>1.1181818181818182</v>
      </c>
      <c r="O145" s="16">
        <f>MIN(0.5+(INDEX('Stat Boosts'!$D$2:$D$192,O$1-9)-10)*$C145,10.22)</f>
        <v>1.1636363636363636</v>
      </c>
      <c r="P145" s="16">
        <f>MIN(0.5+(INDEX('Stat Boosts'!$D$2:$D$192,P$1-9)-10)*$C145,10.22)</f>
        <v>1.2363636363636363</v>
      </c>
      <c r="Q145" s="16">
        <f>MIN(0.5+(INDEX('Stat Boosts'!$D$2:$D$192,Q$1-9)-10)*$C145,10.22)</f>
        <v>1.3090909090909091</v>
      </c>
      <c r="R145" s="16">
        <f>MIN(0.5+(INDEX('Stat Boosts'!$D$2:$D$192,R$1-9)-10)*$C145,10.22)</f>
        <v>1.3818181818181818</v>
      </c>
    </row>
    <row r="146" spans="1:18">
      <c r="A146" s="9">
        <v>145</v>
      </c>
      <c r="B146" s="16">
        <f t="shared" si="4"/>
        <v>54.25</v>
      </c>
      <c r="C146" s="16">
        <f t="shared" si="5"/>
        <v>9.0395480225988704E-3</v>
      </c>
      <c r="E146" s="16">
        <f>MIN(0.5+(INDEX('Stat Boosts'!$D$2:$D$192,E$1-9)-10)*$C146,10.22)</f>
        <v>0.5</v>
      </c>
      <c r="F146" s="16">
        <f>MIN(0.5+(INDEX('Stat Boosts'!$D$2:$D$192,F$1-9)-10)*$C146,10.22)</f>
        <v>0.56327683615819213</v>
      </c>
      <c r="G146" s="16">
        <f>MIN(0.5+(INDEX('Stat Boosts'!$D$2:$D$192,G$1-9)-10)*$C146,10.22)</f>
        <v>0.62655367231638415</v>
      </c>
      <c r="H146" s="16">
        <f>MIN(0.5+(INDEX('Stat Boosts'!$D$2:$D$192,H$1-9)-10)*$C146,10.22)</f>
        <v>0.68983050847457628</v>
      </c>
      <c r="I146" s="16">
        <f>MIN(0.5+(INDEX('Stat Boosts'!$D$2:$D$192,I$1-9)-10)*$C146,10.22)</f>
        <v>0.74406779661016953</v>
      </c>
      <c r="J146" s="16">
        <f>MIN(0.5+(INDEX('Stat Boosts'!$D$2:$D$192,J$1-9)-10)*$C146,10.22)</f>
        <v>0.79830508474576267</v>
      </c>
      <c r="K146" s="16">
        <f>MIN(0.5+(INDEX('Stat Boosts'!$D$2:$D$192,K$1-9)-10)*$C146,10.22)</f>
        <v>0.92485875706214693</v>
      </c>
      <c r="L146" s="16">
        <f>MIN(0.5+(INDEX('Stat Boosts'!$D$2:$D$192,L$1-9)-10)*$C146,10.22)</f>
        <v>0.97005649717514131</v>
      </c>
      <c r="M146" s="16">
        <f>MIN(0.5+(INDEX('Stat Boosts'!$D$2:$D$192,M$1-9)-10)*$C146,10.22)</f>
        <v>1.0333333333333332</v>
      </c>
      <c r="N146" s="16">
        <f>MIN(0.5+(INDEX('Stat Boosts'!$D$2:$D$192,N$1-9)-10)*$C146,10.22)</f>
        <v>1.1146892655367231</v>
      </c>
      <c r="O146" s="16">
        <f>MIN(0.5+(INDEX('Stat Boosts'!$D$2:$D$192,O$1-9)-10)*$C146,10.22)</f>
        <v>1.1598870056497175</v>
      </c>
      <c r="P146" s="16">
        <f>MIN(0.5+(INDEX('Stat Boosts'!$D$2:$D$192,P$1-9)-10)*$C146,10.22)</f>
        <v>1.2322033898305085</v>
      </c>
      <c r="Q146" s="16">
        <f>MIN(0.5+(INDEX('Stat Boosts'!$D$2:$D$192,Q$1-9)-10)*$C146,10.22)</f>
        <v>1.3045197740112995</v>
      </c>
      <c r="R146" s="16">
        <f>MIN(0.5+(INDEX('Stat Boosts'!$D$2:$D$192,R$1-9)-10)*$C146,10.22)</f>
        <v>1.3768361581920905</v>
      </c>
    </row>
    <row r="147" spans="1:18">
      <c r="A147" s="9">
        <v>146</v>
      </c>
      <c r="B147" s="16">
        <f t="shared" si="4"/>
        <v>54.5</v>
      </c>
      <c r="C147" s="16">
        <f t="shared" si="5"/>
        <v>8.988764044943821E-3</v>
      </c>
      <c r="E147" s="16">
        <f>MIN(0.5+(INDEX('Stat Boosts'!$D$2:$D$192,E$1-9)-10)*$C147,10.22)</f>
        <v>0.5</v>
      </c>
      <c r="F147" s="16">
        <f>MIN(0.5+(INDEX('Stat Boosts'!$D$2:$D$192,F$1-9)-10)*$C147,10.22)</f>
        <v>0.56292134831460672</v>
      </c>
      <c r="G147" s="16">
        <f>MIN(0.5+(INDEX('Stat Boosts'!$D$2:$D$192,G$1-9)-10)*$C147,10.22)</f>
        <v>0.62584269662921344</v>
      </c>
      <c r="H147" s="16">
        <f>MIN(0.5+(INDEX('Stat Boosts'!$D$2:$D$192,H$1-9)-10)*$C147,10.22)</f>
        <v>0.68876404494382026</v>
      </c>
      <c r="I147" s="16">
        <f>MIN(0.5+(INDEX('Stat Boosts'!$D$2:$D$192,I$1-9)-10)*$C147,10.22)</f>
        <v>0.74269662921348312</v>
      </c>
      <c r="J147" s="16">
        <f>MIN(0.5+(INDEX('Stat Boosts'!$D$2:$D$192,J$1-9)-10)*$C147,10.22)</f>
        <v>0.79662921348314608</v>
      </c>
      <c r="K147" s="16">
        <f>MIN(0.5+(INDEX('Stat Boosts'!$D$2:$D$192,K$1-9)-10)*$C147,10.22)</f>
        <v>0.92247191011235952</v>
      </c>
      <c r="L147" s="16">
        <f>MIN(0.5+(INDEX('Stat Boosts'!$D$2:$D$192,L$1-9)-10)*$C147,10.22)</f>
        <v>0.96741573033707873</v>
      </c>
      <c r="M147" s="16">
        <f>MIN(0.5+(INDEX('Stat Boosts'!$D$2:$D$192,M$1-9)-10)*$C147,10.22)</f>
        <v>1.0303370786516854</v>
      </c>
      <c r="N147" s="16">
        <f>MIN(0.5+(INDEX('Stat Boosts'!$D$2:$D$192,N$1-9)-10)*$C147,10.22)</f>
        <v>1.1112359550561797</v>
      </c>
      <c r="O147" s="16">
        <f>MIN(0.5+(INDEX('Stat Boosts'!$D$2:$D$192,O$1-9)-10)*$C147,10.22)</f>
        <v>1.1561797752808989</v>
      </c>
      <c r="P147" s="16">
        <f>MIN(0.5+(INDEX('Stat Boosts'!$D$2:$D$192,P$1-9)-10)*$C147,10.22)</f>
        <v>1.2280898876404494</v>
      </c>
      <c r="Q147" s="16">
        <f>MIN(0.5+(INDEX('Stat Boosts'!$D$2:$D$192,Q$1-9)-10)*$C147,10.22)</f>
        <v>1.3</v>
      </c>
      <c r="R147" s="16">
        <f>MIN(0.5+(INDEX('Stat Boosts'!$D$2:$D$192,R$1-9)-10)*$C147,10.22)</f>
        <v>1.3719101123595507</v>
      </c>
    </row>
    <row r="148" spans="1:18">
      <c r="A148" s="9">
        <v>147</v>
      </c>
      <c r="B148" s="16">
        <f t="shared" si="4"/>
        <v>54.75</v>
      </c>
      <c r="C148" s="16">
        <f t="shared" si="5"/>
        <v>8.9385474860335205E-3</v>
      </c>
      <c r="E148" s="16">
        <f>MIN(0.5+(INDEX('Stat Boosts'!$D$2:$D$192,E$1-9)-10)*$C148,10.22)</f>
        <v>0.5</v>
      </c>
      <c r="F148" s="16">
        <f>MIN(0.5+(INDEX('Stat Boosts'!$D$2:$D$192,F$1-9)-10)*$C148,10.22)</f>
        <v>0.56256983240223468</v>
      </c>
      <c r="G148" s="16">
        <f>MIN(0.5+(INDEX('Stat Boosts'!$D$2:$D$192,G$1-9)-10)*$C148,10.22)</f>
        <v>0.62513966480446925</v>
      </c>
      <c r="H148" s="16">
        <f>MIN(0.5+(INDEX('Stat Boosts'!$D$2:$D$192,H$1-9)-10)*$C148,10.22)</f>
        <v>0.68770949720670393</v>
      </c>
      <c r="I148" s="16">
        <f>MIN(0.5+(INDEX('Stat Boosts'!$D$2:$D$192,I$1-9)-10)*$C148,10.22)</f>
        <v>0.741340782122905</v>
      </c>
      <c r="J148" s="16">
        <f>MIN(0.5+(INDEX('Stat Boosts'!$D$2:$D$192,J$1-9)-10)*$C148,10.22)</f>
        <v>0.79497206703910617</v>
      </c>
      <c r="K148" s="16">
        <f>MIN(0.5+(INDEX('Stat Boosts'!$D$2:$D$192,K$1-9)-10)*$C148,10.22)</f>
        <v>0.92011173184357542</v>
      </c>
      <c r="L148" s="16">
        <f>MIN(0.5+(INDEX('Stat Boosts'!$D$2:$D$192,L$1-9)-10)*$C148,10.22)</f>
        <v>0.96480446927374308</v>
      </c>
      <c r="M148" s="16">
        <f>MIN(0.5+(INDEX('Stat Boosts'!$D$2:$D$192,M$1-9)-10)*$C148,10.22)</f>
        <v>1.0273743016759778</v>
      </c>
      <c r="N148" s="16">
        <f>MIN(0.5+(INDEX('Stat Boosts'!$D$2:$D$192,N$1-9)-10)*$C148,10.22)</f>
        <v>1.1078212290502794</v>
      </c>
      <c r="O148" s="16">
        <f>MIN(0.5+(INDEX('Stat Boosts'!$D$2:$D$192,O$1-9)-10)*$C148,10.22)</f>
        <v>1.1525139664804471</v>
      </c>
      <c r="P148" s="16">
        <f>MIN(0.5+(INDEX('Stat Boosts'!$D$2:$D$192,P$1-9)-10)*$C148,10.22)</f>
        <v>1.2240223463687152</v>
      </c>
      <c r="Q148" s="16">
        <f>MIN(0.5+(INDEX('Stat Boosts'!$D$2:$D$192,Q$1-9)-10)*$C148,10.22)</f>
        <v>1.2955307262569833</v>
      </c>
      <c r="R148" s="16">
        <f>MIN(0.5+(INDEX('Stat Boosts'!$D$2:$D$192,R$1-9)-10)*$C148,10.22)</f>
        <v>1.3670391061452514</v>
      </c>
    </row>
    <row r="149" spans="1:18">
      <c r="A149" s="9">
        <v>148</v>
      </c>
      <c r="B149" s="16">
        <f t="shared" si="4"/>
        <v>55</v>
      </c>
      <c r="C149" s="16">
        <f t="shared" si="5"/>
        <v>8.8888888888888889E-3</v>
      </c>
      <c r="E149" s="16">
        <f>MIN(0.5+(INDEX('Stat Boosts'!$D$2:$D$192,E$1-9)-10)*$C149,10.22)</f>
        <v>0.5</v>
      </c>
      <c r="F149" s="16">
        <f>MIN(0.5+(INDEX('Stat Boosts'!$D$2:$D$192,F$1-9)-10)*$C149,10.22)</f>
        <v>0.56222222222222218</v>
      </c>
      <c r="G149" s="16">
        <f>MIN(0.5+(INDEX('Stat Boosts'!$D$2:$D$192,G$1-9)-10)*$C149,10.22)</f>
        <v>0.62444444444444447</v>
      </c>
      <c r="H149" s="16">
        <f>MIN(0.5+(INDEX('Stat Boosts'!$D$2:$D$192,H$1-9)-10)*$C149,10.22)</f>
        <v>0.68666666666666665</v>
      </c>
      <c r="I149" s="16">
        <f>MIN(0.5+(INDEX('Stat Boosts'!$D$2:$D$192,I$1-9)-10)*$C149,10.22)</f>
        <v>0.74</v>
      </c>
      <c r="J149" s="16">
        <f>MIN(0.5+(INDEX('Stat Boosts'!$D$2:$D$192,J$1-9)-10)*$C149,10.22)</f>
        <v>0.79333333333333333</v>
      </c>
      <c r="K149" s="16">
        <f>MIN(0.5+(INDEX('Stat Boosts'!$D$2:$D$192,K$1-9)-10)*$C149,10.22)</f>
        <v>0.9177777777777778</v>
      </c>
      <c r="L149" s="16">
        <f>MIN(0.5+(INDEX('Stat Boosts'!$D$2:$D$192,L$1-9)-10)*$C149,10.22)</f>
        <v>0.9622222222222222</v>
      </c>
      <c r="M149" s="16">
        <f>MIN(0.5+(INDEX('Stat Boosts'!$D$2:$D$192,M$1-9)-10)*$C149,10.22)</f>
        <v>1.0244444444444445</v>
      </c>
      <c r="N149" s="16">
        <f>MIN(0.5+(INDEX('Stat Boosts'!$D$2:$D$192,N$1-9)-10)*$C149,10.22)</f>
        <v>1.1044444444444443</v>
      </c>
      <c r="O149" s="16">
        <f>MIN(0.5+(INDEX('Stat Boosts'!$D$2:$D$192,O$1-9)-10)*$C149,10.22)</f>
        <v>1.1488888888888888</v>
      </c>
      <c r="P149" s="16">
        <f>MIN(0.5+(INDEX('Stat Boosts'!$D$2:$D$192,P$1-9)-10)*$C149,10.22)</f>
        <v>1.22</v>
      </c>
      <c r="Q149" s="16">
        <f>MIN(0.5+(INDEX('Stat Boosts'!$D$2:$D$192,Q$1-9)-10)*$C149,10.22)</f>
        <v>1.2911111111111111</v>
      </c>
      <c r="R149" s="16">
        <f>MIN(0.5+(INDEX('Stat Boosts'!$D$2:$D$192,R$1-9)-10)*$C149,10.22)</f>
        <v>1.3622222222222222</v>
      </c>
    </row>
    <row r="150" spans="1:18">
      <c r="A150" s="9">
        <v>149</v>
      </c>
      <c r="B150" s="16">
        <f t="shared" si="4"/>
        <v>55.25</v>
      </c>
      <c r="C150" s="16">
        <f t="shared" si="5"/>
        <v>8.8397790055248626E-3</v>
      </c>
      <c r="E150" s="16">
        <f>MIN(0.5+(INDEX('Stat Boosts'!$D$2:$D$192,E$1-9)-10)*$C150,10.22)</f>
        <v>0.5</v>
      </c>
      <c r="F150" s="16">
        <f>MIN(0.5+(INDEX('Stat Boosts'!$D$2:$D$192,F$1-9)-10)*$C150,10.22)</f>
        <v>0.56187845303867401</v>
      </c>
      <c r="G150" s="16">
        <f>MIN(0.5+(INDEX('Stat Boosts'!$D$2:$D$192,G$1-9)-10)*$C150,10.22)</f>
        <v>0.62375690607734802</v>
      </c>
      <c r="H150" s="16">
        <f>MIN(0.5+(INDEX('Stat Boosts'!$D$2:$D$192,H$1-9)-10)*$C150,10.22)</f>
        <v>0.68563535911602214</v>
      </c>
      <c r="I150" s="16">
        <f>MIN(0.5+(INDEX('Stat Boosts'!$D$2:$D$192,I$1-9)-10)*$C150,10.22)</f>
        <v>0.73867403314917124</v>
      </c>
      <c r="J150" s="16">
        <f>MIN(0.5+(INDEX('Stat Boosts'!$D$2:$D$192,J$1-9)-10)*$C150,10.22)</f>
        <v>0.79171270718232045</v>
      </c>
      <c r="K150" s="16">
        <f>MIN(0.5+(INDEX('Stat Boosts'!$D$2:$D$192,K$1-9)-10)*$C150,10.22)</f>
        <v>0.91546961325966847</v>
      </c>
      <c r="L150" s="16">
        <f>MIN(0.5+(INDEX('Stat Boosts'!$D$2:$D$192,L$1-9)-10)*$C150,10.22)</f>
        <v>0.95966850828729289</v>
      </c>
      <c r="M150" s="16">
        <f>MIN(0.5+(INDEX('Stat Boosts'!$D$2:$D$192,M$1-9)-10)*$C150,10.22)</f>
        <v>1.0215469613259669</v>
      </c>
      <c r="N150" s="16">
        <f>MIN(0.5+(INDEX('Stat Boosts'!$D$2:$D$192,N$1-9)-10)*$C150,10.22)</f>
        <v>1.1011049723756905</v>
      </c>
      <c r="O150" s="16">
        <f>MIN(0.5+(INDEX('Stat Boosts'!$D$2:$D$192,O$1-9)-10)*$C150,10.22)</f>
        <v>1.1453038674033149</v>
      </c>
      <c r="P150" s="16">
        <f>MIN(0.5+(INDEX('Stat Boosts'!$D$2:$D$192,P$1-9)-10)*$C150,10.22)</f>
        <v>1.2160220994475139</v>
      </c>
      <c r="Q150" s="16">
        <f>MIN(0.5+(INDEX('Stat Boosts'!$D$2:$D$192,Q$1-9)-10)*$C150,10.22)</f>
        <v>1.2867403314917127</v>
      </c>
      <c r="R150" s="16">
        <f>MIN(0.5+(INDEX('Stat Boosts'!$D$2:$D$192,R$1-9)-10)*$C150,10.22)</f>
        <v>1.3574585635359115</v>
      </c>
    </row>
    <row r="151" spans="1:18">
      <c r="A151" s="9">
        <v>150</v>
      </c>
      <c r="B151" s="16">
        <f t="shared" si="4"/>
        <v>55.5</v>
      </c>
      <c r="C151" s="16">
        <f t="shared" si="5"/>
        <v>8.7912087912087912E-3</v>
      </c>
      <c r="E151" s="16">
        <f>MIN(0.5+(INDEX('Stat Boosts'!$D$2:$D$192,E$1-9)-10)*$C151,10.22)</f>
        <v>0.5</v>
      </c>
      <c r="F151" s="16">
        <f>MIN(0.5+(INDEX('Stat Boosts'!$D$2:$D$192,F$1-9)-10)*$C151,10.22)</f>
        <v>0.56153846153846154</v>
      </c>
      <c r="G151" s="16">
        <f>MIN(0.5+(INDEX('Stat Boosts'!$D$2:$D$192,G$1-9)-10)*$C151,10.22)</f>
        <v>0.62307692307692308</v>
      </c>
      <c r="H151" s="16">
        <f>MIN(0.5+(INDEX('Stat Boosts'!$D$2:$D$192,H$1-9)-10)*$C151,10.22)</f>
        <v>0.68461538461538463</v>
      </c>
      <c r="I151" s="16">
        <f>MIN(0.5+(INDEX('Stat Boosts'!$D$2:$D$192,I$1-9)-10)*$C151,10.22)</f>
        <v>0.73736263736263741</v>
      </c>
      <c r="J151" s="16">
        <f>MIN(0.5+(INDEX('Stat Boosts'!$D$2:$D$192,J$1-9)-10)*$C151,10.22)</f>
        <v>0.79010989010989019</v>
      </c>
      <c r="K151" s="16">
        <f>MIN(0.5+(INDEX('Stat Boosts'!$D$2:$D$192,K$1-9)-10)*$C151,10.22)</f>
        <v>0.91318681318681316</v>
      </c>
      <c r="L151" s="16">
        <f>MIN(0.5+(INDEX('Stat Boosts'!$D$2:$D$192,L$1-9)-10)*$C151,10.22)</f>
        <v>0.95714285714285707</v>
      </c>
      <c r="M151" s="16">
        <f>MIN(0.5+(INDEX('Stat Boosts'!$D$2:$D$192,M$1-9)-10)*$C151,10.22)</f>
        <v>1.0186813186813186</v>
      </c>
      <c r="N151" s="16">
        <f>MIN(0.5+(INDEX('Stat Boosts'!$D$2:$D$192,N$1-9)-10)*$C151,10.22)</f>
        <v>1.0978021978021979</v>
      </c>
      <c r="O151" s="16">
        <f>MIN(0.5+(INDEX('Stat Boosts'!$D$2:$D$192,O$1-9)-10)*$C151,10.22)</f>
        <v>1.1417582417582417</v>
      </c>
      <c r="P151" s="16">
        <f>MIN(0.5+(INDEX('Stat Boosts'!$D$2:$D$192,P$1-9)-10)*$C151,10.22)</f>
        <v>1.2120879120879122</v>
      </c>
      <c r="Q151" s="16">
        <f>MIN(0.5+(INDEX('Stat Boosts'!$D$2:$D$192,Q$1-9)-10)*$C151,10.22)</f>
        <v>1.2824175824175823</v>
      </c>
      <c r="R151" s="16">
        <f>MIN(0.5+(INDEX('Stat Boosts'!$D$2:$D$192,R$1-9)-10)*$C151,10.22)</f>
        <v>1.3527472527472528</v>
      </c>
    </row>
  </sheetData>
  <conditionalFormatting sqref="E1:R1048576">
    <cfRule type="expression" dxfId="2" priority="1">
      <formula>INDEX($A$1:$A$150,ROW())+22&lt;INDEX($A$1:$R$1,1,COLUMN())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2"/>
  <dimension ref="A1:T151"/>
  <sheetViews>
    <sheetView workbookViewId="0">
      <selection activeCell="E2" sqref="E2"/>
    </sheetView>
  </sheetViews>
  <sheetFormatPr defaultRowHeight="15"/>
  <cols>
    <col min="1" max="1" width="11.85546875" style="9" bestFit="1" customWidth="1"/>
    <col min="2" max="2" width="22.5703125" style="16" bestFit="1" customWidth="1"/>
    <col min="3" max="3" width="14.7109375" style="16" bestFit="1" customWidth="1"/>
    <col min="4" max="4" width="11.5703125" style="16" bestFit="1" customWidth="1"/>
    <col min="5" max="18" width="9.140625" style="16"/>
  </cols>
  <sheetData>
    <row r="1" spans="1:20" s="54" customFormat="1">
      <c r="A1" s="31" t="s">
        <v>311</v>
      </c>
      <c r="B1" s="31" t="s">
        <v>329</v>
      </c>
      <c r="C1" s="31" t="s">
        <v>315</v>
      </c>
      <c r="D1" s="55" t="s">
        <v>320</v>
      </c>
      <c r="E1" s="31">
        <v>10</v>
      </c>
      <c r="F1" s="31">
        <v>15</v>
      </c>
      <c r="G1" s="31">
        <v>20</v>
      </c>
      <c r="H1" s="31">
        <v>25</v>
      </c>
      <c r="I1" s="31">
        <v>30</v>
      </c>
      <c r="J1" s="31">
        <v>35</v>
      </c>
      <c r="K1" s="31">
        <v>45</v>
      </c>
      <c r="L1" s="31">
        <v>50</v>
      </c>
      <c r="M1" s="31">
        <v>55</v>
      </c>
      <c r="N1" s="31">
        <v>60</v>
      </c>
      <c r="O1" s="31">
        <v>65</v>
      </c>
      <c r="P1" s="31">
        <v>70</v>
      </c>
      <c r="Q1" s="31">
        <v>75</v>
      </c>
      <c r="R1" s="31">
        <v>80</v>
      </c>
    </row>
    <row r="2" spans="1:20">
      <c r="A2" s="9">
        <v>1</v>
      </c>
      <c r="B2" s="16">
        <f>18+A2/3.1</f>
        <v>18.322580645161292</v>
      </c>
      <c r="C2" s="16">
        <f>0.6/(B2-10)</f>
        <v>7.2093023255813932E-2</v>
      </c>
      <c r="E2" s="16">
        <f>0.5+(INDEX('Stat Boosts'!$D$2:$D$192,E$1-9)-10)*$C2</f>
        <v>0.5</v>
      </c>
      <c r="F2" s="16">
        <f>0.5+(INDEX('Stat Boosts'!$D$2:$D$192,F$1-9)-10)*$C2</f>
        <v>1.0046511627906975</v>
      </c>
      <c r="G2" s="16">
        <f>0.5+(INDEX('Stat Boosts'!$D$2:$D$192,G$1-9)-10)*$C2</f>
        <v>1.5093023255813951</v>
      </c>
      <c r="H2" s="16">
        <f>0.5+(INDEX('Stat Boosts'!$D$2:$D$192,H$1-9)-10)*$C2</f>
        <v>2.0139534883720929</v>
      </c>
      <c r="I2" s="16">
        <f>0.5+(INDEX('Stat Boosts'!$D$2:$D$192,I$1-9)-10)*$C2</f>
        <v>2.4465116279069763</v>
      </c>
      <c r="J2" s="16">
        <f>0.5+(INDEX('Stat Boosts'!$D$2:$D$192,J$1-9)-10)*$C2</f>
        <v>2.8790697674418597</v>
      </c>
      <c r="K2" s="16">
        <f>0.5+(INDEX('Stat Boosts'!$D$2:$D$192,K$1-9)-10)*$C2</f>
        <v>3.8883720930232548</v>
      </c>
      <c r="L2" s="16">
        <f>0.5+(INDEX('Stat Boosts'!$D$2:$D$192,L$1-9)-10)*$C2</f>
        <v>4.2488372093023248</v>
      </c>
      <c r="M2" s="16">
        <f>0.5+(INDEX('Stat Boosts'!$D$2:$D$192,M$1-9)-10)*$C2</f>
        <v>4.7534883720930221</v>
      </c>
      <c r="N2" s="16">
        <f>0.5+(INDEX('Stat Boosts'!$D$2:$D$192,N$1-9)-10)*$C2</f>
        <v>5.4023255813953472</v>
      </c>
      <c r="O2" s="16">
        <f>0.5+(INDEX('Stat Boosts'!$D$2:$D$192,O$1-9)-10)*$C2</f>
        <v>5.7627906976744168</v>
      </c>
      <c r="P2" s="16">
        <f>0.5+(INDEX('Stat Boosts'!$D$2:$D$192,P$1-9)-10)*$C2</f>
        <v>6.3395348837209289</v>
      </c>
      <c r="Q2" s="16">
        <f>0.5+(INDEX('Stat Boosts'!$D$2:$D$192,Q$1-9)-10)*$C2</f>
        <v>6.9162790697674401</v>
      </c>
      <c r="R2" s="16">
        <f>0.5+(INDEX('Stat Boosts'!$D$2:$D$192,R$1-9)-10)*$C2</f>
        <v>7.4930232558139513</v>
      </c>
      <c r="T2" s="16"/>
    </row>
    <row r="3" spans="1:20">
      <c r="A3" s="9">
        <v>2</v>
      </c>
      <c r="B3" s="16">
        <f t="shared" ref="B3:B66" si="0">18+A3/3.1</f>
        <v>18.64516129032258</v>
      </c>
      <c r="C3" s="16">
        <f t="shared" ref="C3:C66" si="1">0.6/(B3-10)</f>
        <v>6.9402985074626874E-2</v>
      </c>
      <c r="E3" s="16">
        <f>0.5+(INDEX('Stat Boosts'!$D$2:$D$192,E$1-9)-10)*$C3</f>
        <v>0.5</v>
      </c>
      <c r="F3" s="16">
        <f>0.5+(INDEX('Stat Boosts'!$D$2:$D$192,F$1-9)-10)*$C3</f>
        <v>0.98582089552238816</v>
      </c>
      <c r="G3" s="16">
        <f>0.5+(INDEX('Stat Boosts'!$D$2:$D$192,G$1-9)-10)*$C3</f>
        <v>1.4716417910447763</v>
      </c>
      <c r="H3" s="16">
        <f>0.5+(INDEX('Stat Boosts'!$D$2:$D$192,H$1-9)-10)*$C3</f>
        <v>1.9574626865671643</v>
      </c>
      <c r="I3" s="16">
        <f>0.5+(INDEX('Stat Boosts'!$D$2:$D$192,I$1-9)-10)*$C3</f>
        <v>2.3738805970149257</v>
      </c>
      <c r="J3" s="16">
        <f>0.5+(INDEX('Stat Boosts'!$D$2:$D$192,J$1-9)-10)*$C3</f>
        <v>2.7902985074626869</v>
      </c>
      <c r="K3" s="16">
        <f>0.5+(INDEX('Stat Boosts'!$D$2:$D$192,K$1-9)-10)*$C3</f>
        <v>3.7619402985074633</v>
      </c>
      <c r="L3" s="16">
        <f>0.5+(INDEX('Stat Boosts'!$D$2:$D$192,L$1-9)-10)*$C3</f>
        <v>4.1089552238805975</v>
      </c>
      <c r="M3" s="16">
        <f>0.5+(INDEX('Stat Boosts'!$D$2:$D$192,M$1-9)-10)*$C3</f>
        <v>4.5947761194029857</v>
      </c>
      <c r="N3" s="16">
        <f>0.5+(INDEX('Stat Boosts'!$D$2:$D$192,N$1-9)-10)*$C3</f>
        <v>5.2194029850746277</v>
      </c>
      <c r="O3" s="16">
        <f>0.5+(INDEX('Stat Boosts'!$D$2:$D$192,O$1-9)-10)*$C3</f>
        <v>5.566417910447762</v>
      </c>
      <c r="P3" s="16">
        <f>0.5+(INDEX('Stat Boosts'!$D$2:$D$192,P$1-9)-10)*$C3</f>
        <v>6.1216417910447767</v>
      </c>
      <c r="Q3" s="16">
        <f>0.5+(INDEX('Stat Boosts'!$D$2:$D$192,Q$1-9)-10)*$C3</f>
        <v>6.6768656716417922</v>
      </c>
      <c r="R3" s="16">
        <f>0.5+(INDEX('Stat Boosts'!$D$2:$D$192,R$1-9)-10)*$C3</f>
        <v>7.2320895522388069</v>
      </c>
    </row>
    <row r="4" spans="1:20">
      <c r="A4" s="9">
        <v>3</v>
      </c>
      <c r="B4" s="16">
        <f t="shared" si="0"/>
        <v>18.967741935483872</v>
      </c>
      <c r="C4" s="16">
        <f t="shared" si="1"/>
        <v>6.6906474820143877E-2</v>
      </c>
      <c r="E4" s="16">
        <f>0.5+(INDEX('Stat Boosts'!$D$2:$D$192,E$1-9)-10)*$C4</f>
        <v>0.5</v>
      </c>
      <c r="F4" s="16">
        <f>0.5+(INDEX('Stat Boosts'!$D$2:$D$192,F$1-9)-10)*$C4</f>
        <v>0.96834532374100712</v>
      </c>
      <c r="G4" s="16">
        <f>0.5+(INDEX('Stat Boosts'!$D$2:$D$192,G$1-9)-10)*$C4</f>
        <v>1.4366906474820142</v>
      </c>
      <c r="H4" s="16">
        <f>0.5+(INDEX('Stat Boosts'!$D$2:$D$192,H$1-9)-10)*$C4</f>
        <v>1.9050359712230214</v>
      </c>
      <c r="I4" s="16">
        <f>0.5+(INDEX('Stat Boosts'!$D$2:$D$192,I$1-9)-10)*$C4</f>
        <v>2.3064748201438849</v>
      </c>
      <c r="J4" s="16">
        <f>0.5+(INDEX('Stat Boosts'!$D$2:$D$192,J$1-9)-10)*$C4</f>
        <v>2.7079136690647481</v>
      </c>
      <c r="K4" s="16">
        <f>0.5+(INDEX('Stat Boosts'!$D$2:$D$192,K$1-9)-10)*$C4</f>
        <v>3.6446043165467623</v>
      </c>
      <c r="L4" s="16">
        <f>0.5+(INDEX('Stat Boosts'!$D$2:$D$192,L$1-9)-10)*$C4</f>
        <v>3.9791366906474814</v>
      </c>
      <c r="M4" s="16">
        <f>0.5+(INDEX('Stat Boosts'!$D$2:$D$192,M$1-9)-10)*$C4</f>
        <v>4.4474820143884886</v>
      </c>
      <c r="N4" s="16">
        <f>0.5+(INDEX('Stat Boosts'!$D$2:$D$192,N$1-9)-10)*$C4</f>
        <v>5.0496402877697832</v>
      </c>
      <c r="O4" s="16">
        <f>0.5+(INDEX('Stat Boosts'!$D$2:$D$192,O$1-9)-10)*$C4</f>
        <v>5.3841726618705028</v>
      </c>
      <c r="P4" s="16">
        <f>0.5+(INDEX('Stat Boosts'!$D$2:$D$192,P$1-9)-10)*$C4</f>
        <v>5.9194244604316539</v>
      </c>
      <c r="Q4" s="16">
        <f>0.5+(INDEX('Stat Boosts'!$D$2:$D$192,Q$1-9)-10)*$C4</f>
        <v>6.4546762589928051</v>
      </c>
      <c r="R4" s="16">
        <f>0.5+(INDEX('Stat Boosts'!$D$2:$D$192,R$1-9)-10)*$C4</f>
        <v>6.9899280575539562</v>
      </c>
    </row>
    <row r="5" spans="1:20">
      <c r="A5" s="9">
        <v>4</v>
      </c>
      <c r="B5" s="16">
        <f t="shared" si="0"/>
        <v>19.29032258064516</v>
      </c>
      <c r="C5" s="16">
        <f t="shared" si="1"/>
        <v>6.458333333333334E-2</v>
      </c>
      <c r="E5" s="16">
        <f>0.5+(INDEX('Stat Boosts'!$D$2:$D$192,E$1-9)-10)*$C5</f>
        <v>0.5</v>
      </c>
      <c r="F5" s="16">
        <f>0.5+(INDEX('Stat Boosts'!$D$2:$D$192,F$1-9)-10)*$C5</f>
        <v>0.95208333333333339</v>
      </c>
      <c r="G5" s="16">
        <f>0.5+(INDEX('Stat Boosts'!$D$2:$D$192,G$1-9)-10)*$C5</f>
        <v>1.4041666666666668</v>
      </c>
      <c r="H5" s="16">
        <f>0.5+(INDEX('Stat Boosts'!$D$2:$D$192,H$1-9)-10)*$C5</f>
        <v>1.8562500000000002</v>
      </c>
      <c r="I5" s="16">
        <f>0.5+(INDEX('Stat Boosts'!$D$2:$D$192,I$1-9)-10)*$C5</f>
        <v>2.2437500000000004</v>
      </c>
      <c r="J5" s="16">
        <f>0.5+(INDEX('Stat Boosts'!$D$2:$D$192,J$1-9)-10)*$C5</f>
        <v>2.6312500000000001</v>
      </c>
      <c r="K5" s="16">
        <f>0.5+(INDEX('Stat Boosts'!$D$2:$D$192,K$1-9)-10)*$C5</f>
        <v>3.5354166666666669</v>
      </c>
      <c r="L5" s="16">
        <f>0.5+(INDEX('Stat Boosts'!$D$2:$D$192,L$1-9)-10)*$C5</f>
        <v>3.8583333333333338</v>
      </c>
      <c r="M5" s="16">
        <f>0.5+(INDEX('Stat Boosts'!$D$2:$D$192,M$1-9)-10)*$C5</f>
        <v>4.3104166666666668</v>
      </c>
      <c r="N5" s="16">
        <f>0.5+(INDEX('Stat Boosts'!$D$2:$D$192,N$1-9)-10)*$C5</f>
        <v>4.8916666666666675</v>
      </c>
      <c r="O5" s="16">
        <f>0.5+(INDEX('Stat Boosts'!$D$2:$D$192,O$1-9)-10)*$C5</f>
        <v>5.2145833333333336</v>
      </c>
      <c r="P5" s="16">
        <f>0.5+(INDEX('Stat Boosts'!$D$2:$D$192,P$1-9)-10)*$C5</f>
        <v>5.7312500000000002</v>
      </c>
      <c r="Q5" s="16">
        <f>0.5+(INDEX('Stat Boosts'!$D$2:$D$192,Q$1-9)-10)*$C5</f>
        <v>6.2479166666666677</v>
      </c>
      <c r="R5" s="16">
        <f>0.5+(INDEX('Stat Boosts'!$D$2:$D$192,R$1-9)-10)*$C5</f>
        <v>6.7645833333333343</v>
      </c>
    </row>
    <row r="6" spans="1:20">
      <c r="A6" s="9">
        <v>5</v>
      </c>
      <c r="B6" s="16">
        <f t="shared" si="0"/>
        <v>19.612903225806452</v>
      </c>
      <c r="C6" s="16">
        <f t="shared" si="1"/>
        <v>6.241610738255033E-2</v>
      </c>
      <c r="E6" s="16">
        <f>0.5+(INDEX('Stat Boosts'!$D$2:$D$192,E$1-9)-10)*$C6</f>
        <v>0.5</v>
      </c>
      <c r="F6" s="16">
        <f>0.5+(INDEX('Stat Boosts'!$D$2:$D$192,F$1-9)-10)*$C6</f>
        <v>0.93691275167785237</v>
      </c>
      <c r="G6" s="16">
        <f>0.5+(INDEX('Stat Boosts'!$D$2:$D$192,G$1-9)-10)*$C6</f>
        <v>1.3738255033557047</v>
      </c>
      <c r="H6" s="16">
        <f>0.5+(INDEX('Stat Boosts'!$D$2:$D$192,H$1-9)-10)*$C6</f>
        <v>1.8107382550335569</v>
      </c>
      <c r="I6" s="16">
        <f>0.5+(INDEX('Stat Boosts'!$D$2:$D$192,I$1-9)-10)*$C6</f>
        <v>2.1852348993288588</v>
      </c>
      <c r="J6" s="16">
        <f>0.5+(INDEX('Stat Boosts'!$D$2:$D$192,J$1-9)-10)*$C6</f>
        <v>2.559731543624161</v>
      </c>
      <c r="K6" s="16">
        <f>0.5+(INDEX('Stat Boosts'!$D$2:$D$192,K$1-9)-10)*$C6</f>
        <v>3.4335570469798653</v>
      </c>
      <c r="L6" s="16">
        <f>0.5+(INDEX('Stat Boosts'!$D$2:$D$192,L$1-9)-10)*$C6</f>
        <v>3.7456375838926173</v>
      </c>
      <c r="M6" s="16">
        <f>0.5+(INDEX('Stat Boosts'!$D$2:$D$192,M$1-9)-10)*$C6</f>
        <v>4.1825503355704701</v>
      </c>
      <c r="N6" s="16">
        <f>0.5+(INDEX('Stat Boosts'!$D$2:$D$192,N$1-9)-10)*$C6</f>
        <v>4.7442953020134224</v>
      </c>
      <c r="O6" s="16">
        <f>0.5+(INDEX('Stat Boosts'!$D$2:$D$192,O$1-9)-10)*$C6</f>
        <v>5.0563758389261739</v>
      </c>
      <c r="P6" s="16">
        <f>0.5+(INDEX('Stat Boosts'!$D$2:$D$192,P$1-9)-10)*$C6</f>
        <v>5.5557046979865765</v>
      </c>
      <c r="Q6" s="16">
        <f>0.5+(INDEX('Stat Boosts'!$D$2:$D$192,Q$1-9)-10)*$C6</f>
        <v>6.0550335570469791</v>
      </c>
      <c r="R6" s="16">
        <f>0.5+(INDEX('Stat Boosts'!$D$2:$D$192,R$1-9)-10)*$C6</f>
        <v>6.5543624161073817</v>
      </c>
    </row>
    <row r="7" spans="1:20">
      <c r="A7" s="9">
        <v>6</v>
      </c>
      <c r="B7" s="16">
        <f t="shared" si="0"/>
        <v>19.93548387096774</v>
      </c>
      <c r="C7" s="16">
        <f t="shared" si="1"/>
        <v>6.0389610389610396E-2</v>
      </c>
      <c r="E7" s="16">
        <f>0.5+(INDEX('Stat Boosts'!$D$2:$D$192,E$1-9)-10)*$C7</f>
        <v>0.5</v>
      </c>
      <c r="F7" s="16">
        <f>0.5+(INDEX('Stat Boosts'!$D$2:$D$192,F$1-9)-10)*$C7</f>
        <v>0.92272727272727284</v>
      </c>
      <c r="G7" s="16">
        <f>0.5+(INDEX('Stat Boosts'!$D$2:$D$192,G$1-9)-10)*$C7</f>
        <v>1.3454545454545457</v>
      </c>
      <c r="H7" s="16">
        <f>0.5+(INDEX('Stat Boosts'!$D$2:$D$192,H$1-9)-10)*$C7</f>
        <v>1.7681818181818183</v>
      </c>
      <c r="I7" s="16">
        <f>0.5+(INDEX('Stat Boosts'!$D$2:$D$192,I$1-9)-10)*$C7</f>
        <v>2.1305194805194807</v>
      </c>
      <c r="J7" s="16">
        <f>0.5+(INDEX('Stat Boosts'!$D$2:$D$192,J$1-9)-10)*$C7</f>
        <v>2.4928571428571429</v>
      </c>
      <c r="K7" s="16">
        <f>0.5+(INDEX('Stat Boosts'!$D$2:$D$192,K$1-9)-10)*$C7</f>
        <v>3.3383116883116886</v>
      </c>
      <c r="L7" s="16">
        <f>0.5+(INDEX('Stat Boosts'!$D$2:$D$192,L$1-9)-10)*$C7</f>
        <v>3.6402597402597405</v>
      </c>
      <c r="M7" s="16">
        <f>0.5+(INDEX('Stat Boosts'!$D$2:$D$192,M$1-9)-10)*$C7</f>
        <v>4.0629870129870138</v>
      </c>
      <c r="N7" s="16">
        <f>0.5+(INDEX('Stat Boosts'!$D$2:$D$192,N$1-9)-10)*$C7</f>
        <v>4.6064935064935071</v>
      </c>
      <c r="O7" s="16">
        <f>0.5+(INDEX('Stat Boosts'!$D$2:$D$192,O$1-9)-10)*$C7</f>
        <v>4.9084415584415586</v>
      </c>
      <c r="P7" s="16">
        <f>0.5+(INDEX('Stat Boosts'!$D$2:$D$192,P$1-9)-10)*$C7</f>
        <v>5.3915584415584421</v>
      </c>
      <c r="Q7" s="16">
        <f>0.5+(INDEX('Stat Boosts'!$D$2:$D$192,Q$1-9)-10)*$C7</f>
        <v>5.8746753246753256</v>
      </c>
      <c r="R7" s="16">
        <f>0.5+(INDEX('Stat Boosts'!$D$2:$D$192,R$1-9)-10)*$C7</f>
        <v>6.3577922077922082</v>
      </c>
    </row>
    <row r="8" spans="1:20">
      <c r="A8" s="9">
        <v>7</v>
      </c>
      <c r="B8" s="16">
        <f t="shared" si="0"/>
        <v>20.258064516129032</v>
      </c>
      <c r="C8" s="16">
        <f t="shared" si="1"/>
        <v>5.849056603773585E-2</v>
      </c>
      <c r="E8" s="16">
        <f>0.5+(INDEX('Stat Boosts'!$D$2:$D$192,E$1-9)-10)*$C8</f>
        <v>0.5</v>
      </c>
      <c r="F8" s="16">
        <f>0.5+(INDEX('Stat Boosts'!$D$2:$D$192,F$1-9)-10)*$C8</f>
        <v>0.90943396226415096</v>
      </c>
      <c r="G8" s="16">
        <f>0.5+(INDEX('Stat Boosts'!$D$2:$D$192,G$1-9)-10)*$C8</f>
        <v>1.3188679245283019</v>
      </c>
      <c r="H8" s="16">
        <f>0.5+(INDEX('Stat Boosts'!$D$2:$D$192,H$1-9)-10)*$C8</f>
        <v>1.7283018867924529</v>
      </c>
      <c r="I8" s="16">
        <f>0.5+(INDEX('Stat Boosts'!$D$2:$D$192,I$1-9)-10)*$C8</f>
        <v>2.0792452830188681</v>
      </c>
      <c r="J8" s="16">
        <f>0.5+(INDEX('Stat Boosts'!$D$2:$D$192,J$1-9)-10)*$C8</f>
        <v>2.4301886792452834</v>
      </c>
      <c r="K8" s="16">
        <f>0.5+(INDEX('Stat Boosts'!$D$2:$D$192,K$1-9)-10)*$C8</f>
        <v>3.2490566037735849</v>
      </c>
      <c r="L8" s="16">
        <f>0.5+(INDEX('Stat Boosts'!$D$2:$D$192,L$1-9)-10)*$C8</f>
        <v>3.5415094339622644</v>
      </c>
      <c r="M8" s="16">
        <f>0.5+(INDEX('Stat Boosts'!$D$2:$D$192,M$1-9)-10)*$C8</f>
        <v>3.9509433962264153</v>
      </c>
      <c r="N8" s="16">
        <f>0.5+(INDEX('Stat Boosts'!$D$2:$D$192,N$1-9)-10)*$C8</f>
        <v>4.4773584905660382</v>
      </c>
      <c r="O8" s="16">
        <f>0.5+(INDEX('Stat Boosts'!$D$2:$D$192,O$1-9)-10)*$C8</f>
        <v>4.7698113207547168</v>
      </c>
      <c r="P8" s="16">
        <f>0.5+(INDEX('Stat Boosts'!$D$2:$D$192,P$1-9)-10)*$C8</f>
        <v>5.2377358490566035</v>
      </c>
      <c r="Q8" s="16">
        <f>0.5+(INDEX('Stat Boosts'!$D$2:$D$192,Q$1-9)-10)*$C8</f>
        <v>5.7056603773584911</v>
      </c>
      <c r="R8" s="16">
        <f>0.5+(INDEX('Stat Boosts'!$D$2:$D$192,R$1-9)-10)*$C8</f>
        <v>6.1735849056603778</v>
      </c>
    </row>
    <row r="9" spans="1:20">
      <c r="A9" s="9">
        <v>8</v>
      </c>
      <c r="B9" s="16">
        <f t="shared" si="0"/>
        <v>20.580645161290324</v>
      </c>
      <c r="C9" s="16">
        <f t="shared" si="1"/>
        <v>5.670731707317072E-2</v>
      </c>
      <c r="E9" s="16">
        <f>0.5+(INDEX('Stat Boosts'!$D$2:$D$192,E$1-9)-10)*$C9</f>
        <v>0.5</v>
      </c>
      <c r="F9" s="16">
        <f>0.5+(INDEX('Stat Boosts'!$D$2:$D$192,F$1-9)-10)*$C9</f>
        <v>0.89695121951219503</v>
      </c>
      <c r="G9" s="16">
        <f>0.5+(INDEX('Stat Boosts'!$D$2:$D$192,G$1-9)-10)*$C9</f>
        <v>1.2939024390243901</v>
      </c>
      <c r="H9" s="16">
        <f>0.5+(INDEX('Stat Boosts'!$D$2:$D$192,H$1-9)-10)*$C9</f>
        <v>1.6908536585365852</v>
      </c>
      <c r="I9" s="16">
        <f>0.5+(INDEX('Stat Boosts'!$D$2:$D$192,I$1-9)-10)*$C9</f>
        <v>2.0310975609756095</v>
      </c>
      <c r="J9" s="16">
        <f>0.5+(INDEX('Stat Boosts'!$D$2:$D$192,J$1-9)-10)*$C9</f>
        <v>2.3713414634146339</v>
      </c>
      <c r="K9" s="16">
        <f>0.5+(INDEX('Stat Boosts'!$D$2:$D$192,K$1-9)-10)*$C9</f>
        <v>3.1652439024390238</v>
      </c>
      <c r="L9" s="16">
        <f>0.5+(INDEX('Stat Boosts'!$D$2:$D$192,L$1-9)-10)*$C9</f>
        <v>3.4487804878048776</v>
      </c>
      <c r="M9" s="16">
        <f>0.5+(INDEX('Stat Boosts'!$D$2:$D$192,M$1-9)-10)*$C9</f>
        <v>3.8457317073170723</v>
      </c>
      <c r="N9" s="16">
        <f>0.5+(INDEX('Stat Boosts'!$D$2:$D$192,N$1-9)-10)*$C9</f>
        <v>4.3560975609756092</v>
      </c>
      <c r="O9" s="16">
        <f>0.5+(INDEX('Stat Boosts'!$D$2:$D$192,O$1-9)-10)*$C9</f>
        <v>4.6396341463414625</v>
      </c>
      <c r="P9" s="16">
        <f>0.5+(INDEX('Stat Boosts'!$D$2:$D$192,P$1-9)-10)*$C9</f>
        <v>5.0932926829268279</v>
      </c>
      <c r="Q9" s="16">
        <f>0.5+(INDEX('Stat Boosts'!$D$2:$D$192,Q$1-9)-10)*$C9</f>
        <v>5.5469512195121942</v>
      </c>
      <c r="R9" s="16">
        <f>0.5+(INDEX('Stat Boosts'!$D$2:$D$192,R$1-9)-10)*$C9</f>
        <v>6.0006097560975595</v>
      </c>
    </row>
    <row r="10" spans="1:20">
      <c r="A10" s="9">
        <v>9</v>
      </c>
      <c r="B10" s="16">
        <f t="shared" si="0"/>
        <v>20.903225806451612</v>
      </c>
      <c r="C10" s="16">
        <f t="shared" si="1"/>
        <v>5.5029585798816567E-2</v>
      </c>
      <c r="E10" s="16">
        <f>0.5+(INDEX('Stat Boosts'!$D$2:$D$192,E$1-9)-10)*$C10</f>
        <v>0.5</v>
      </c>
      <c r="F10" s="16">
        <f>0.5+(INDEX('Stat Boosts'!$D$2:$D$192,F$1-9)-10)*$C10</f>
        <v>0.88520710059171592</v>
      </c>
      <c r="G10" s="16">
        <f>0.5+(INDEX('Stat Boosts'!$D$2:$D$192,G$1-9)-10)*$C10</f>
        <v>1.2704142011834318</v>
      </c>
      <c r="H10" s="16">
        <f>0.5+(INDEX('Stat Boosts'!$D$2:$D$192,H$1-9)-10)*$C10</f>
        <v>1.655621301775148</v>
      </c>
      <c r="I10" s="16">
        <f>0.5+(INDEX('Stat Boosts'!$D$2:$D$192,I$1-9)-10)*$C10</f>
        <v>1.9857988165680474</v>
      </c>
      <c r="J10" s="16">
        <f>0.5+(INDEX('Stat Boosts'!$D$2:$D$192,J$1-9)-10)*$C10</f>
        <v>2.3159763313609467</v>
      </c>
      <c r="K10" s="16">
        <f>0.5+(INDEX('Stat Boosts'!$D$2:$D$192,K$1-9)-10)*$C10</f>
        <v>3.0863905325443786</v>
      </c>
      <c r="L10" s="16">
        <f>0.5+(INDEX('Stat Boosts'!$D$2:$D$192,L$1-9)-10)*$C10</f>
        <v>3.3615384615384616</v>
      </c>
      <c r="M10" s="16">
        <f>0.5+(INDEX('Stat Boosts'!$D$2:$D$192,M$1-9)-10)*$C10</f>
        <v>3.7467455621301773</v>
      </c>
      <c r="N10" s="16">
        <f>0.5+(INDEX('Stat Boosts'!$D$2:$D$192,N$1-9)-10)*$C10</f>
        <v>4.242011834319527</v>
      </c>
      <c r="O10" s="16">
        <f>0.5+(INDEX('Stat Boosts'!$D$2:$D$192,O$1-9)-10)*$C10</f>
        <v>4.5171597633136091</v>
      </c>
      <c r="P10" s="16">
        <f>0.5+(INDEX('Stat Boosts'!$D$2:$D$192,P$1-9)-10)*$C10</f>
        <v>4.9573964497041416</v>
      </c>
      <c r="Q10" s="16">
        <f>0.5+(INDEX('Stat Boosts'!$D$2:$D$192,Q$1-9)-10)*$C10</f>
        <v>5.3976331360946741</v>
      </c>
      <c r="R10" s="16">
        <f>0.5+(INDEX('Stat Boosts'!$D$2:$D$192,R$1-9)-10)*$C10</f>
        <v>5.8378698224852075</v>
      </c>
    </row>
    <row r="11" spans="1:20">
      <c r="A11" s="9">
        <v>10</v>
      </c>
      <c r="B11" s="16">
        <f t="shared" si="0"/>
        <v>21.225806451612904</v>
      </c>
      <c r="C11" s="16">
        <f t="shared" si="1"/>
        <v>5.3448275862068961E-2</v>
      </c>
      <c r="E11" s="16">
        <f>0.5+(INDEX('Stat Boosts'!$D$2:$D$192,E$1-9)-10)*$C11</f>
        <v>0.5</v>
      </c>
      <c r="F11" s="16">
        <f>0.5+(INDEX('Stat Boosts'!$D$2:$D$192,F$1-9)-10)*$C11</f>
        <v>0.87413793103448278</v>
      </c>
      <c r="G11" s="16">
        <f>0.5+(INDEX('Stat Boosts'!$D$2:$D$192,G$1-9)-10)*$C11</f>
        <v>1.2482758620689656</v>
      </c>
      <c r="H11" s="16">
        <f>0.5+(INDEX('Stat Boosts'!$D$2:$D$192,H$1-9)-10)*$C11</f>
        <v>1.6224137931034481</v>
      </c>
      <c r="I11" s="16">
        <f>0.5+(INDEX('Stat Boosts'!$D$2:$D$192,I$1-9)-10)*$C11</f>
        <v>1.943103448275862</v>
      </c>
      <c r="J11" s="16">
        <f>0.5+(INDEX('Stat Boosts'!$D$2:$D$192,J$1-9)-10)*$C11</f>
        <v>2.2637931034482754</v>
      </c>
      <c r="K11" s="16">
        <f>0.5+(INDEX('Stat Boosts'!$D$2:$D$192,K$1-9)-10)*$C11</f>
        <v>3.012068965517241</v>
      </c>
      <c r="L11" s="16">
        <f>0.5+(INDEX('Stat Boosts'!$D$2:$D$192,L$1-9)-10)*$C11</f>
        <v>3.2793103448275858</v>
      </c>
      <c r="M11" s="16">
        <f>0.5+(INDEX('Stat Boosts'!$D$2:$D$192,M$1-9)-10)*$C11</f>
        <v>3.6534482758620688</v>
      </c>
      <c r="N11" s="16">
        <f>0.5+(INDEX('Stat Boosts'!$D$2:$D$192,N$1-9)-10)*$C11</f>
        <v>4.1344827586206891</v>
      </c>
      <c r="O11" s="16">
        <f>0.5+(INDEX('Stat Boosts'!$D$2:$D$192,O$1-9)-10)*$C11</f>
        <v>4.4017241379310343</v>
      </c>
      <c r="P11" s="16">
        <f>0.5+(INDEX('Stat Boosts'!$D$2:$D$192,P$1-9)-10)*$C11</f>
        <v>4.8293103448275856</v>
      </c>
      <c r="Q11" s="16">
        <f>0.5+(INDEX('Stat Boosts'!$D$2:$D$192,Q$1-9)-10)*$C11</f>
        <v>5.2568965517241377</v>
      </c>
      <c r="R11" s="16">
        <f>0.5+(INDEX('Stat Boosts'!$D$2:$D$192,R$1-9)-10)*$C11</f>
        <v>5.684482758620689</v>
      </c>
    </row>
    <row r="12" spans="1:20">
      <c r="A12" s="9">
        <v>11</v>
      </c>
      <c r="B12" s="16">
        <f t="shared" si="0"/>
        <v>21.548387096774192</v>
      </c>
      <c r="C12" s="16">
        <f t="shared" si="1"/>
        <v>5.195530726256984E-2</v>
      </c>
      <c r="E12" s="16">
        <f>0.5+(INDEX('Stat Boosts'!$D$2:$D$192,E$1-9)-10)*$C12</f>
        <v>0.5</v>
      </c>
      <c r="F12" s="16">
        <f>0.5+(INDEX('Stat Boosts'!$D$2:$D$192,F$1-9)-10)*$C12</f>
        <v>0.86368715083798886</v>
      </c>
      <c r="G12" s="16">
        <f>0.5+(INDEX('Stat Boosts'!$D$2:$D$192,G$1-9)-10)*$C12</f>
        <v>1.2273743016759777</v>
      </c>
      <c r="H12" s="16">
        <f>0.5+(INDEX('Stat Boosts'!$D$2:$D$192,H$1-9)-10)*$C12</f>
        <v>1.5910614525139666</v>
      </c>
      <c r="I12" s="16">
        <f>0.5+(INDEX('Stat Boosts'!$D$2:$D$192,I$1-9)-10)*$C12</f>
        <v>1.9027932960893856</v>
      </c>
      <c r="J12" s="16">
        <f>0.5+(INDEX('Stat Boosts'!$D$2:$D$192,J$1-9)-10)*$C12</f>
        <v>2.2145251396648047</v>
      </c>
      <c r="K12" s="16">
        <f>0.5+(INDEX('Stat Boosts'!$D$2:$D$192,K$1-9)-10)*$C12</f>
        <v>2.9418994413407824</v>
      </c>
      <c r="L12" s="16">
        <f>0.5+(INDEX('Stat Boosts'!$D$2:$D$192,L$1-9)-10)*$C12</f>
        <v>3.2016759776536317</v>
      </c>
      <c r="M12" s="16">
        <f>0.5+(INDEX('Stat Boosts'!$D$2:$D$192,M$1-9)-10)*$C12</f>
        <v>3.5653631284916205</v>
      </c>
      <c r="N12" s="16">
        <f>0.5+(INDEX('Stat Boosts'!$D$2:$D$192,N$1-9)-10)*$C12</f>
        <v>4.0329608938547494</v>
      </c>
      <c r="O12" s="16">
        <f>0.5+(INDEX('Stat Boosts'!$D$2:$D$192,O$1-9)-10)*$C12</f>
        <v>4.2927374301675982</v>
      </c>
      <c r="P12" s="16">
        <f>0.5+(INDEX('Stat Boosts'!$D$2:$D$192,P$1-9)-10)*$C12</f>
        <v>4.7083798882681567</v>
      </c>
      <c r="Q12" s="16">
        <f>0.5+(INDEX('Stat Boosts'!$D$2:$D$192,Q$1-9)-10)*$C12</f>
        <v>5.124022346368716</v>
      </c>
      <c r="R12" s="16">
        <f>0.5+(INDEX('Stat Boosts'!$D$2:$D$192,R$1-9)-10)*$C12</f>
        <v>5.5396648044692745</v>
      </c>
    </row>
    <row r="13" spans="1:20">
      <c r="A13" s="9">
        <v>12</v>
      </c>
      <c r="B13" s="16">
        <f t="shared" si="0"/>
        <v>21.870967741935484</v>
      </c>
      <c r="C13" s="16">
        <f t="shared" si="1"/>
        <v>5.0543478260869565E-2</v>
      </c>
      <c r="E13" s="16">
        <f>0.5+(INDEX('Stat Boosts'!$D$2:$D$192,E$1-9)-10)*$C13</f>
        <v>0.5</v>
      </c>
      <c r="F13" s="16">
        <f>0.5+(INDEX('Stat Boosts'!$D$2:$D$192,F$1-9)-10)*$C13</f>
        <v>0.85380434782608694</v>
      </c>
      <c r="G13" s="16">
        <f>0.5+(INDEX('Stat Boosts'!$D$2:$D$192,G$1-9)-10)*$C13</f>
        <v>1.2076086956521739</v>
      </c>
      <c r="H13" s="16">
        <f>0.5+(INDEX('Stat Boosts'!$D$2:$D$192,H$1-9)-10)*$C13</f>
        <v>1.5614130434782609</v>
      </c>
      <c r="I13" s="16">
        <f>0.5+(INDEX('Stat Boosts'!$D$2:$D$192,I$1-9)-10)*$C13</f>
        <v>1.8646739130434782</v>
      </c>
      <c r="J13" s="16">
        <f>0.5+(INDEX('Stat Boosts'!$D$2:$D$192,J$1-9)-10)*$C13</f>
        <v>2.1679347826086959</v>
      </c>
      <c r="K13" s="16">
        <f>0.5+(INDEX('Stat Boosts'!$D$2:$D$192,K$1-9)-10)*$C13</f>
        <v>2.8755434782608695</v>
      </c>
      <c r="L13" s="16">
        <f>0.5+(INDEX('Stat Boosts'!$D$2:$D$192,L$1-9)-10)*$C13</f>
        <v>3.1282608695652172</v>
      </c>
      <c r="M13" s="16">
        <f>0.5+(INDEX('Stat Boosts'!$D$2:$D$192,M$1-9)-10)*$C13</f>
        <v>3.4820652173913045</v>
      </c>
      <c r="N13" s="16">
        <f>0.5+(INDEX('Stat Boosts'!$D$2:$D$192,N$1-9)-10)*$C13</f>
        <v>3.9369565217391305</v>
      </c>
      <c r="O13" s="16">
        <f>0.5+(INDEX('Stat Boosts'!$D$2:$D$192,O$1-9)-10)*$C13</f>
        <v>4.1896739130434781</v>
      </c>
      <c r="P13" s="16">
        <f>0.5+(INDEX('Stat Boosts'!$D$2:$D$192,P$1-9)-10)*$C13</f>
        <v>4.5940217391304348</v>
      </c>
      <c r="Q13" s="16">
        <f>0.5+(INDEX('Stat Boosts'!$D$2:$D$192,Q$1-9)-10)*$C13</f>
        <v>4.9983695652173914</v>
      </c>
      <c r="R13" s="16">
        <f>0.5+(INDEX('Stat Boosts'!$D$2:$D$192,R$1-9)-10)*$C13</f>
        <v>5.402717391304348</v>
      </c>
    </row>
    <row r="14" spans="1:20">
      <c r="A14" s="9">
        <v>13</v>
      </c>
      <c r="B14" s="16">
        <f t="shared" si="0"/>
        <v>22.193548387096776</v>
      </c>
      <c r="C14" s="16">
        <f t="shared" si="1"/>
        <v>4.9206349206349198E-2</v>
      </c>
      <c r="E14" s="16">
        <f>0.5+(INDEX('Stat Boosts'!$D$2:$D$192,E$1-9)-10)*$C14</f>
        <v>0.5</v>
      </c>
      <c r="F14" s="16">
        <f>0.5+(INDEX('Stat Boosts'!$D$2:$D$192,F$1-9)-10)*$C14</f>
        <v>0.84444444444444433</v>
      </c>
      <c r="G14" s="16">
        <f>0.5+(INDEX('Stat Boosts'!$D$2:$D$192,G$1-9)-10)*$C14</f>
        <v>1.1888888888888887</v>
      </c>
      <c r="H14" s="16">
        <f>0.5+(INDEX('Stat Boosts'!$D$2:$D$192,H$1-9)-10)*$C14</f>
        <v>1.5333333333333332</v>
      </c>
      <c r="I14" s="16">
        <f>0.5+(INDEX('Stat Boosts'!$D$2:$D$192,I$1-9)-10)*$C14</f>
        <v>1.8285714285714283</v>
      </c>
      <c r="J14" s="16">
        <f>0.5+(INDEX('Stat Boosts'!$D$2:$D$192,J$1-9)-10)*$C14</f>
        <v>2.1238095238095234</v>
      </c>
      <c r="K14" s="16">
        <f>0.5+(INDEX('Stat Boosts'!$D$2:$D$192,K$1-9)-10)*$C14</f>
        <v>2.8126984126984125</v>
      </c>
      <c r="L14" s="16">
        <f>0.5+(INDEX('Stat Boosts'!$D$2:$D$192,L$1-9)-10)*$C14</f>
        <v>3.0587301587301585</v>
      </c>
      <c r="M14" s="16">
        <f>0.5+(INDEX('Stat Boosts'!$D$2:$D$192,M$1-9)-10)*$C14</f>
        <v>3.4031746031746026</v>
      </c>
      <c r="N14" s="16">
        <f>0.5+(INDEX('Stat Boosts'!$D$2:$D$192,N$1-9)-10)*$C14</f>
        <v>3.8460317460317457</v>
      </c>
      <c r="O14" s="16">
        <f>0.5+(INDEX('Stat Boosts'!$D$2:$D$192,O$1-9)-10)*$C14</f>
        <v>4.0920634920634917</v>
      </c>
      <c r="P14" s="16">
        <f>0.5+(INDEX('Stat Boosts'!$D$2:$D$192,P$1-9)-10)*$C14</f>
        <v>4.4857142857142849</v>
      </c>
      <c r="Q14" s="16">
        <f>0.5+(INDEX('Stat Boosts'!$D$2:$D$192,Q$1-9)-10)*$C14</f>
        <v>4.8793650793650789</v>
      </c>
      <c r="R14" s="16">
        <f>0.5+(INDEX('Stat Boosts'!$D$2:$D$192,R$1-9)-10)*$C14</f>
        <v>5.273015873015872</v>
      </c>
    </row>
    <row r="15" spans="1:20">
      <c r="A15" s="9">
        <v>14</v>
      </c>
      <c r="B15" s="16">
        <f t="shared" si="0"/>
        <v>22.516129032258064</v>
      </c>
      <c r="C15" s="16">
        <f t="shared" si="1"/>
        <v>4.793814432989691E-2</v>
      </c>
      <c r="E15" s="16">
        <f>0.5+(INDEX('Stat Boosts'!$D$2:$D$192,E$1-9)-10)*$C15</f>
        <v>0.5</v>
      </c>
      <c r="F15" s="16">
        <f>0.5+(INDEX('Stat Boosts'!$D$2:$D$192,F$1-9)-10)*$C15</f>
        <v>0.83556701030927838</v>
      </c>
      <c r="G15" s="16">
        <f>0.5+(INDEX('Stat Boosts'!$D$2:$D$192,G$1-9)-10)*$C15</f>
        <v>1.1711340206185568</v>
      </c>
      <c r="H15" s="16">
        <f>0.5+(INDEX('Stat Boosts'!$D$2:$D$192,H$1-9)-10)*$C15</f>
        <v>1.506701030927835</v>
      </c>
      <c r="I15" s="16">
        <f>0.5+(INDEX('Stat Boosts'!$D$2:$D$192,I$1-9)-10)*$C15</f>
        <v>1.7943298969072166</v>
      </c>
      <c r="J15" s="16">
        <f>0.5+(INDEX('Stat Boosts'!$D$2:$D$192,J$1-9)-10)*$C15</f>
        <v>2.0819587628865981</v>
      </c>
      <c r="K15" s="16">
        <f>0.5+(INDEX('Stat Boosts'!$D$2:$D$192,K$1-9)-10)*$C15</f>
        <v>2.7530927835051546</v>
      </c>
      <c r="L15" s="16">
        <f>0.5+(INDEX('Stat Boosts'!$D$2:$D$192,L$1-9)-10)*$C15</f>
        <v>2.9927835051546392</v>
      </c>
      <c r="M15" s="16">
        <f>0.5+(INDEX('Stat Boosts'!$D$2:$D$192,M$1-9)-10)*$C15</f>
        <v>3.3283505154639177</v>
      </c>
      <c r="N15" s="16">
        <f>0.5+(INDEX('Stat Boosts'!$D$2:$D$192,N$1-9)-10)*$C15</f>
        <v>3.7597938144329901</v>
      </c>
      <c r="O15" s="16">
        <f>0.5+(INDEX('Stat Boosts'!$D$2:$D$192,O$1-9)-10)*$C15</f>
        <v>3.9994845360824747</v>
      </c>
      <c r="P15" s="16">
        <f>0.5+(INDEX('Stat Boosts'!$D$2:$D$192,P$1-9)-10)*$C15</f>
        <v>4.3829896907216499</v>
      </c>
      <c r="Q15" s="16">
        <f>0.5+(INDEX('Stat Boosts'!$D$2:$D$192,Q$1-9)-10)*$C15</f>
        <v>4.7664948453608247</v>
      </c>
      <c r="R15" s="16">
        <f>0.5+(INDEX('Stat Boosts'!$D$2:$D$192,R$1-9)-10)*$C15</f>
        <v>5.15</v>
      </c>
    </row>
    <row r="16" spans="1:20">
      <c r="A16" s="9">
        <v>15</v>
      </c>
      <c r="B16" s="16">
        <f t="shared" si="0"/>
        <v>22.838709677419356</v>
      </c>
      <c r="C16" s="16">
        <f t="shared" si="1"/>
        <v>4.6733668341708536E-2</v>
      </c>
      <c r="E16" s="16">
        <f>0.5+(INDEX('Stat Boosts'!$D$2:$D$192,E$1-9)-10)*$C16</f>
        <v>0.5</v>
      </c>
      <c r="F16" s="16">
        <f>0.5+(INDEX('Stat Boosts'!$D$2:$D$192,F$1-9)-10)*$C16</f>
        <v>0.82713567839195967</v>
      </c>
      <c r="G16" s="16">
        <f>0.5+(INDEX('Stat Boosts'!$D$2:$D$192,G$1-9)-10)*$C16</f>
        <v>1.1542713567839193</v>
      </c>
      <c r="H16" s="16">
        <f>0.5+(INDEX('Stat Boosts'!$D$2:$D$192,H$1-9)-10)*$C16</f>
        <v>1.4814070351758792</v>
      </c>
      <c r="I16" s="16">
        <f>0.5+(INDEX('Stat Boosts'!$D$2:$D$192,I$1-9)-10)*$C16</f>
        <v>1.7618090452261304</v>
      </c>
      <c r="J16" s="16">
        <f>0.5+(INDEX('Stat Boosts'!$D$2:$D$192,J$1-9)-10)*$C16</f>
        <v>2.0422110552763817</v>
      </c>
      <c r="K16" s="16">
        <f>0.5+(INDEX('Stat Boosts'!$D$2:$D$192,K$1-9)-10)*$C16</f>
        <v>2.696482412060301</v>
      </c>
      <c r="L16" s="16">
        <f>0.5+(INDEX('Stat Boosts'!$D$2:$D$192,L$1-9)-10)*$C16</f>
        <v>2.930150753768844</v>
      </c>
      <c r="M16" s="16">
        <f>0.5+(INDEX('Stat Boosts'!$D$2:$D$192,M$1-9)-10)*$C16</f>
        <v>3.2572864321608037</v>
      </c>
      <c r="N16" s="16">
        <f>0.5+(INDEX('Stat Boosts'!$D$2:$D$192,N$1-9)-10)*$C16</f>
        <v>3.6778894472361805</v>
      </c>
      <c r="O16" s="16">
        <f>0.5+(INDEX('Stat Boosts'!$D$2:$D$192,O$1-9)-10)*$C16</f>
        <v>3.9115577889447231</v>
      </c>
      <c r="P16" s="16">
        <f>0.5+(INDEX('Stat Boosts'!$D$2:$D$192,P$1-9)-10)*$C16</f>
        <v>4.2854271356783915</v>
      </c>
      <c r="Q16" s="16">
        <f>0.5+(INDEX('Stat Boosts'!$D$2:$D$192,Q$1-9)-10)*$C16</f>
        <v>4.65929648241206</v>
      </c>
      <c r="R16" s="16">
        <f>0.5+(INDEX('Stat Boosts'!$D$2:$D$192,R$1-9)-10)*$C16</f>
        <v>5.0331658291457275</v>
      </c>
    </row>
    <row r="17" spans="1:18">
      <c r="A17" s="9">
        <v>16</v>
      </c>
      <c r="B17" s="16">
        <f t="shared" si="0"/>
        <v>23.161290322580644</v>
      </c>
      <c r="C17" s="16">
        <f t="shared" si="1"/>
        <v>4.5588235294117652E-2</v>
      </c>
      <c r="E17" s="16">
        <f>0.5+(INDEX('Stat Boosts'!$D$2:$D$192,E$1-9)-10)*$C17</f>
        <v>0.5</v>
      </c>
      <c r="F17" s="16">
        <f>0.5+(INDEX('Stat Boosts'!$D$2:$D$192,F$1-9)-10)*$C17</f>
        <v>0.81911764705882351</v>
      </c>
      <c r="G17" s="16">
        <f>0.5+(INDEX('Stat Boosts'!$D$2:$D$192,G$1-9)-10)*$C17</f>
        <v>1.138235294117647</v>
      </c>
      <c r="H17" s="16">
        <f>0.5+(INDEX('Stat Boosts'!$D$2:$D$192,H$1-9)-10)*$C17</f>
        <v>1.4573529411764707</v>
      </c>
      <c r="I17" s="16">
        <f>0.5+(INDEX('Stat Boosts'!$D$2:$D$192,I$1-9)-10)*$C17</f>
        <v>1.7308823529411765</v>
      </c>
      <c r="J17" s="16">
        <f>0.5+(INDEX('Stat Boosts'!$D$2:$D$192,J$1-9)-10)*$C17</f>
        <v>2.0044117647058828</v>
      </c>
      <c r="K17" s="16">
        <f>0.5+(INDEX('Stat Boosts'!$D$2:$D$192,K$1-9)-10)*$C17</f>
        <v>2.6426470588235298</v>
      </c>
      <c r="L17" s="16">
        <f>0.5+(INDEX('Stat Boosts'!$D$2:$D$192,L$1-9)-10)*$C17</f>
        <v>2.8705882352941181</v>
      </c>
      <c r="M17" s="16">
        <f>0.5+(INDEX('Stat Boosts'!$D$2:$D$192,M$1-9)-10)*$C17</f>
        <v>3.1897058823529414</v>
      </c>
      <c r="N17" s="16">
        <f>0.5+(INDEX('Stat Boosts'!$D$2:$D$192,N$1-9)-10)*$C17</f>
        <v>3.6000000000000005</v>
      </c>
      <c r="O17" s="16">
        <f>0.5+(INDEX('Stat Boosts'!$D$2:$D$192,O$1-9)-10)*$C17</f>
        <v>3.8279411764705884</v>
      </c>
      <c r="P17" s="16">
        <f>0.5+(INDEX('Stat Boosts'!$D$2:$D$192,P$1-9)-10)*$C17</f>
        <v>4.1926470588235301</v>
      </c>
      <c r="Q17" s="16">
        <f>0.5+(INDEX('Stat Boosts'!$D$2:$D$192,Q$1-9)-10)*$C17</f>
        <v>4.5573529411764708</v>
      </c>
      <c r="R17" s="16">
        <f>0.5+(INDEX('Stat Boosts'!$D$2:$D$192,R$1-9)-10)*$C17</f>
        <v>4.9220588235294125</v>
      </c>
    </row>
    <row r="18" spans="1:18">
      <c r="A18" s="9">
        <v>17</v>
      </c>
      <c r="B18" s="16">
        <f t="shared" si="0"/>
        <v>23.483870967741936</v>
      </c>
      <c r="C18" s="16">
        <f t="shared" si="1"/>
        <v>4.449760765550239E-2</v>
      </c>
      <c r="E18" s="16">
        <f>0.5+(INDEX('Stat Boosts'!$D$2:$D$192,E$1-9)-10)*$C18</f>
        <v>0.5</v>
      </c>
      <c r="F18" s="16">
        <f>0.5+(INDEX('Stat Boosts'!$D$2:$D$192,F$1-9)-10)*$C18</f>
        <v>0.81148325358851681</v>
      </c>
      <c r="G18" s="16">
        <f>0.5+(INDEX('Stat Boosts'!$D$2:$D$192,G$1-9)-10)*$C18</f>
        <v>1.1229665071770336</v>
      </c>
      <c r="H18" s="16">
        <f>0.5+(INDEX('Stat Boosts'!$D$2:$D$192,H$1-9)-10)*$C18</f>
        <v>1.4344497607655502</v>
      </c>
      <c r="I18" s="16">
        <f>0.5+(INDEX('Stat Boosts'!$D$2:$D$192,I$1-9)-10)*$C18</f>
        <v>1.7014354066985646</v>
      </c>
      <c r="J18" s="16">
        <f>0.5+(INDEX('Stat Boosts'!$D$2:$D$192,J$1-9)-10)*$C18</f>
        <v>1.9684210526315788</v>
      </c>
      <c r="K18" s="16">
        <f>0.5+(INDEX('Stat Boosts'!$D$2:$D$192,K$1-9)-10)*$C18</f>
        <v>2.5913875598086125</v>
      </c>
      <c r="L18" s="16">
        <f>0.5+(INDEX('Stat Boosts'!$D$2:$D$192,L$1-9)-10)*$C18</f>
        <v>2.8138755980861241</v>
      </c>
      <c r="M18" s="16">
        <f>0.5+(INDEX('Stat Boosts'!$D$2:$D$192,M$1-9)-10)*$C18</f>
        <v>3.1253588516746409</v>
      </c>
      <c r="N18" s="16">
        <f>0.5+(INDEX('Stat Boosts'!$D$2:$D$192,N$1-9)-10)*$C18</f>
        <v>3.5258373205741624</v>
      </c>
      <c r="O18" s="16">
        <f>0.5+(INDEX('Stat Boosts'!$D$2:$D$192,O$1-9)-10)*$C18</f>
        <v>3.7483253588516745</v>
      </c>
      <c r="P18" s="16">
        <f>0.5+(INDEX('Stat Boosts'!$D$2:$D$192,P$1-9)-10)*$C18</f>
        <v>4.1043062200956939</v>
      </c>
      <c r="Q18" s="16">
        <f>0.5+(INDEX('Stat Boosts'!$D$2:$D$192,Q$1-9)-10)*$C18</f>
        <v>4.4602870813397129</v>
      </c>
      <c r="R18" s="16">
        <f>0.5+(INDEX('Stat Boosts'!$D$2:$D$192,R$1-9)-10)*$C18</f>
        <v>4.8162679425837318</v>
      </c>
    </row>
    <row r="19" spans="1:18">
      <c r="A19" s="9">
        <v>18</v>
      </c>
      <c r="B19" s="16">
        <f t="shared" si="0"/>
        <v>23.806451612903224</v>
      </c>
      <c r="C19" s="16">
        <f t="shared" si="1"/>
        <v>4.3457943925233646E-2</v>
      </c>
      <c r="E19" s="16">
        <f>0.5+(INDEX('Stat Boosts'!$D$2:$D$192,E$1-9)-10)*$C19</f>
        <v>0.5</v>
      </c>
      <c r="F19" s="16">
        <f>0.5+(INDEX('Stat Boosts'!$D$2:$D$192,F$1-9)-10)*$C19</f>
        <v>0.8042056074766355</v>
      </c>
      <c r="G19" s="16">
        <f>0.5+(INDEX('Stat Boosts'!$D$2:$D$192,G$1-9)-10)*$C19</f>
        <v>1.108411214953271</v>
      </c>
      <c r="H19" s="16">
        <f>0.5+(INDEX('Stat Boosts'!$D$2:$D$192,H$1-9)-10)*$C19</f>
        <v>1.4126168224299067</v>
      </c>
      <c r="I19" s="16">
        <f>0.5+(INDEX('Stat Boosts'!$D$2:$D$192,I$1-9)-10)*$C19</f>
        <v>1.6733644859813084</v>
      </c>
      <c r="J19" s="16">
        <f>0.5+(INDEX('Stat Boosts'!$D$2:$D$192,J$1-9)-10)*$C19</f>
        <v>1.9341121495327103</v>
      </c>
      <c r="K19" s="16">
        <f>0.5+(INDEX('Stat Boosts'!$D$2:$D$192,K$1-9)-10)*$C19</f>
        <v>2.5425233644859815</v>
      </c>
      <c r="L19" s="16">
        <f>0.5+(INDEX('Stat Boosts'!$D$2:$D$192,L$1-9)-10)*$C19</f>
        <v>2.7598130841121495</v>
      </c>
      <c r="M19" s="16">
        <f>0.5+(INDEX('Stat Boosts'!$D$2:$D$192,M$1-9)-10)*$C19</f>
        <v>3.0640186915887853</v>
      </c>
      <c r="N19" s="16">
        <f>0.5+(INDEX('Stat Boosts'!$D$2:$D$192,N$1-9)-10)*$C19</f>
        <v>3.4551401869158878</v>
      </c>
      <c r="O19" s="16">
        <f>0.5+(INDEX('Stat Boosts'!$D$2:$D$192,O$1-9)-10)*$C19</f>
        <v>3.6724299065420563</v>
      </c>
      <c r="P19" s="16">
        <f>0.5+(INDEX('Stat Boosts'!$D$2:$D$192,P$1-9)-10)*$C19</f>
        <v>4.0200934579439256</v>
      </c>
      <c r="Q19" s="16">
        <f>0.5+(INDEX('Stat Boosts'!$D$2:$D$192,Q$1-9)-10)*$C19</f>
        <v>4.3677570093457945</v>
      </c>
      <c r="R19" s="16">
        <f>0.5+(INDEX('Stat Boosts'!$D$2:$D$192,R$1-9)-10)*$C19</f>
        <v>4.7154205607476634</v>
      </c>
    </row>
    <row r="20" spans="1:18">
      <c r="A20" s="9">
        <v>19</v>
      </c>
      <c r="B20" s="16">
        <f t="shared" si="0"/>
        <v>24.129032258064516</v>
      </c>
      <c r="C20" s="16">
        <f t="shared" si="1"/>
        <v>4.2465753424657533E-2</v>
      </c>
      <c r="E20" s="16">
        <f>0.5+(INDEX('Stat Boosts'!$D$2:$D$192,E$1-9)-10)*$C20</f>
        <v>0.5</v>
      </c>
      <c r="F20" s="16">
        <f>0.5+(INDEX('Stat Boosts'!$D$2:$D$192,F$1-9)-10)*$C20</f>
        <v>0.79726027397260268</v>
      </c>
      <c r="G20" s="16">
        <f>0.5+(INDEX('Stat Boosts'!$D$2:$D$192,G$1-9)-10)*$C20</f>
        <v>1.0945205479452054</v>
      </c>
      <c r="H20" s="16">
        <f>0.5+(INDEX('Stat Boosts'!$D$2:$D$192,H$1-9)-10)*$C20</f>
        <v>1.3917808219178083</v>
      </c>
      <c r="I20" s="16">
        <f>0.5+(INDEX('Stat Boosts'!$D$2:$D$192,I$1-9)-10)*$C20</f>
        <v>1.6465753424657534</v>
      </c>
      <c r="J20" s="16">
        <f>0.5+(INDEX('Stat Boosts'!$D$2:$D$192,J$1-9)-10)*$C20</f>
        <v>1.9013698630136986</v>
      </c>
      <c r="K20" s="16">
        <f>0.5+(INDEX('Stat Boosts'!$D$2:$D$192,K$1-9)-10)*$C20</f>
        <v>2.495890410958904</v>
      </c>
      <c r="L20" s="16">
        <f>0.5+(INDEX('Stat Boosts'!$D$2:$D$192,L$1-9)-10)*$C20</f>
        <v>2.7082191780821918</v>
      </c>
      <c r="M20" s="16">
        <f>0.5+(INDEX('Stat Boosts'!$D$2:$D$192,M$1-9)-10)*$C20</f>
        <v>3.0054794520547943</v>
      </c>
      <c r="N20" s="16">
        <f>0.5+(INDEX('Stat Boosts'!$D$2:$D$192,N$1-9)-10)*$C20</f>
        <v>3.3876712328767122</v>
      </c>
      <c r="O20" s="16">
        <f>0.5+(INDEX('Stat Boosts'!$D$2:$D$192,O$1-9)-10)*$C20</f>
        <v>3.6</v>
      </c>
      <c r="P20" s="16">
        <f>0.5+(INDEX('Stat Boosts'!$D$2:$D$192,P$1-9)-10)*$C20</f>
        <v>3.9397260273972603</v>
      </c>
      <c r="Q20" s="16">
        <f>0.5+(INDEX('Stat Boosts'!$D$2:$D$192,Q$1-9)-10)*$C20</f>
        <v>4.2794520547945201</v>
      </c>
      <c r="R20" s="16">
        <f>0.5+(INDEX('Stat Boosts'!$D$2:$D$192,R$1-9)-10)*$C20</f>
        <v>4.6191780821917812</v>
      </c>
    </row>
    <row r="21" spans="1:18">
      <c r="A21" s="9">
        <v>20</v>
      </c>
      <c r="B21" s="16">
        <f t="shared" si="0"/>
        <v>24.451612903225808</v>
      </c>
      <c r="C21" s="16">
        <f t="shared" si="1"/>
        <v>4.1517857142857134E-2</v>
      </c>
      <c r="E21" s="16">
        <f>0.5+(INDEX('Stat Boosts'!$D$2:$D$192,E$1-9)-10)*$C21</f>
        <v>0.5</v>
      </c>
      <c r="F21" s="16">
        <f>0.5+(INDEX('Stat Boosts'!$D$2:$D$192,F$1-9)-10)*$C21</f>
        <v>0.79062499999999991</v>
      </c>
      <c r="G21" s="16">
        <f>0.5+(INDEX('Stat Boosts'!$D$2:$D$192,G$1-9)-10)*$C21</f>
        <v>1.0812499999999998</v>
      </c>
      <c r="H21" s="16">
        <f>0.5+(INDEX('Stat Boosts'!$D$2:$D$192,H$1-9)-10)*$C21</f>
        <v>1.3718749999999997</v>
      </c>
      <c r="I21" s="16">
        <f>0.5+(INDEX('Stat Boosts'!$D$2:$D$192,I$1-9)-10)*$C21</f>
        <v>1.6209821428571427</v>
      </c>
      <c r="J21" s="16">
        <f>0.5+(INDEX('Stat Boosts'!$D$2:$D$192,J$1-9)-10)*$C21</f>
        <v>1.8700892857142855</v>
      </c>
      <c r="K21" s="16">
        <f>0.5+(INDEX('Stat Boosts'!$D$2:$D$192,K$1-9)-10)*$C21</f>
        <v>2.4513392857142851</v>
      </c>
      <c r="L21" s="16">
        <f>0.5+(INDEX('Stat Boosts'!$D$2:$D$192,L$1-9)-10)*$C21</f>
        <v>2.6589285714285711</v>
      </c>
      <c r="M21" s="16">
        <f>0.5+(INDEX('Stat Boosts'!$D$2:$D$192,M$1-9)-10)*$C21</f>
        <v>2.949553571428571</v>
      </c>
      <c r="N21" s="16">
        <f>0.5+(INDEX('Stat Boosts'!$D$2:$D$192,N$1-9)-10)*$C21</f>
        <v>3.3232142857142852</v>
      </c>
      <c r="O21" s="16">
        <f>0.5+(INDEX('Stat Boosts'!$D$2:$D$192,O$1-9)-10)*$C21</f>
        <v>3.5308035714285708</v>
      </c>
      <c r="P21" s="16">
        <f>0.5+(INDEX('Stat Boosts'!$D$2:$D$192,P$1-9)-10)*$C21</f>
        <v>3.8629464285714277</v>
      </c>
      <c r="Q21" s="16">
        <f>0.5+(INDEX('Stat Boosts'!$D$2:$D$192,Q$1-9)-10)*$C21</f>
        <v>4.1950892857142854</v>
      </c>
      <c r="R21" s="16">
        <f>0.5+(INDEX('Stat Boosts'!$D$2:$D$192,R$1-9)-10)*$C21</f>
        <v>4.5272321428571418</v>
      </c>
    </row>
    <row r="22" spans="1:18">
      <c r="A22" s="9">
        <v>21</v>
      </c>
      <c r="B22" s="16">
        <f t="shared" si="0"/>
        <v>24.774193548387096</v>
      </c>
      <c r="C22" s="16">
        <f t="shared" si="1"/>
        <v>4.0611353711790393E-2</v>
      </c>
      <c r="E22" s="16">
        <f>0.5+(INDEX('Stat Boosts'!$D$2:$D$192,E$1-9)-10)*$C22</f>
        <v>0.5</v>
      </c>
      <c r="F22" s="16">
        <f>0.5+(INDEX('Stat Boosts'!$D$2:$D$192,F$1-9)-10)*$C22</f>
        <v>0.78427947598253278</v>
      </c>
      <c r="G22" s="16">
        <f>0.5+(INDEX('Stat Boosts'!$D$2:$D$192,G$1-9)-10)*$C22</f>
        <v>1.0685589519650656</v>
      </c>
      <c r="H22" s="16">
        <f>0.5+(INDEX('Stat Boosts'!$D$2:$D$192,H$1-9)-10)*$C22</f>
        <v>1.3528384279475982</v>
      </c>
      <c r="I22" s="16">
        <f>0.5+(INDEX('Stat Boosts'!$D$2:$D$192,I$1-9)-10)*$C22</f>
        <v>1.5965065502183406</v>
      </c>
      <c r="J22" s="16">
        <f>0.5+(INDEX('Stat Boosts'!$D$2:$D$192,J$1-9)-10)*$C22</f>
        <v>1.8401746724890831</v>
      </c>
      <c r="K22" s="16">
        <f>0.5+(INDEX('Stat Boosts'!$D$2:$D$192,K$1-9)-10)*$C22</f>
        <v>2.4087336244541486</v>
      </c>
      <c r="L22" s="16">
        <f>0.5+(INDEX('Stat Boosts'!$D$2:$D$192,L$1-9)-10)*$C22</f>
        <v>2.6117903930131003</v>
      </c>
      <c r="M22" s="16">
        <f>0.5+(INDEX('Stat Boosts'!$D$2:$D$192,M$1-9)-10)*$C22</f>
        <v>2.896069868995633</v>
      </c>
      <c r="N22" s="16">
        <f>0.5+(INDEX('Stat Boosts'!$D$2:$D$192,N$1-9)-10)*$C22</f>
        <v>3.2615720524017466</v>
      </c>
      <c r="O22" s="16">
        <f>0.5+(INDEX('Stat Boosts'!$D$2:$D$192,O$1-9)-10)*$C22</f>
        <v>3.4646288209606988</v>
      </c>
      <c r="P22" s="16">
        <f>0.5+(INDEX('Stat Boosts'!$D$2:$D$192,P$1-9)-10)*$C22</f>
        <v>3.7895196506550217</v>
      </c>
      <c r="Q22" s="16">
        <f>0.5+(INDEX('Stat Boosts'!$D$2:$D$192,Q$1-9)-10)*$C22</f>
        <v>4.1144104803493455</v>
      </c>
      <c r="R22" s="16">
        <f>0.5+(INDEX('Stat Boosts'!$D$2:$D$192,R$1-9)-10)*$C22</f>
        <v>4.4393013100436676</v>
      </c>
    </row>
    <row r="23" spans="1:18">
      <c r="A23" s="9">
        <v>22</v>
      </c>
      <c r="B23" s="16">
        <f t="shared" si="0"/>
        <v>25.096774193548388</v>
      </c>
      <c r="C23" s="16">
        <f t="shared" si="1"/>
        <v>3.9743589743589741E-2</v>
      </c>
      <c r="E23" s="16">
        <f>0.5+(INDEX('Stat Boosts'!$D$2:$D$192,E$1-9)-10)*$C23</f>
        <v>0.5</v>
      </c>
      <c r="F23" s="16">
        <f>0.5+(INDEX('Stat Boosts'!$D$2:$D$192,F$1-9)-10)*$C23</f>
        <v>0.77820512820512822</v>
      </c>
      <c r="G23" s="16">
        <f>0.5+(INDEX('Stat Boosts'!$D$2:$D$192,G$1-9)-10)*$C23</f>
        <v>1.0564102564102564</v>
      </c>
      <c r="H23" s="16">
        <f>0.5+(INDEX('Stat Boosts'!$D$2:$D$192,H$1-9)-10)*$C23</f>
        <v>1.3346153846153845</v>
      </c>
      <c r="I23" s="16">
        <f>0.5+(INDEX('Stat Boosts'!$D$2:$D$192,I$1-9)-10)*$C23</f>
        <v>1.573076923076923</v>
      </c>
      <c r="J23" s="16">
        <f>0.5+(INDEX('Stat Boosts'!$D$2:$D$192,J$1-9)-10)*$C23</f>
        <v>1.8115384615384615</v>
      </c>
      <c r="K23" s="16">
        <f>0.5+(INDEX('Stat Boosts'!$D$2:$D$192,K$1-9)-10)*$C23</f>
        <v>2.3679487179487175</v>
      </c>
      <c r="L23" s="16">
        <f>0.5+(INDEX('Stat Boosts'!$D$2:$D$192,L$1-9)-10)*$C23</f>
        <v>2.5666666666666664</v>
      </c>
      <c r="M23" s="16">
        <f>0.5+(INDEX('Stat Boosts'!$D$2:$D$192,M$1-9)-10)*$C23</f>
        <v>2.8448717948717945</v>
      </c>
      <c r="N23" s="16">
        <f>0.5+(INDEX('Stat Boosts'!$D$2:$D$192,N$1-9)-10)*$C23</f>
        <v>3.2025641025641023</v>
      </c>
      <c r="O23" s="16">
        <f>0.5+(INDEX('Stat Boosts'!$D$2:$D$192,O$1-9)-10)*$C23</f>
        <v>3.4012820512820512</v>
      </c>
      <c r="P23" s="16">
        <f>0.5+(INDEX('Stat Boosts'!$D$2:$D$192,P$1-9)-10)*$C23</f>
        <v>3.7192307692307689</v>
      </c>
      <c r="Q23" s="16">
        <f>0.5+(INDEX('Stat Boosts'!$D$2:$D$192,Q$1-9)-10)*$C23</f>
        <v>4.037179487179487</v>
      </c>
      <c r="R23" s="16">
        <f>0.5+(INDEX('Stat Boosts'!$D$2:$D$192,R$1-9)-10)*$C23</f>
        <v>4.3551282051282048</v>
      </c>
    </row>
    <row r="24" spans="1:18">
      <c r="A24" s="9">
        <v>23</v>
      </c>
      <c r="B24" s="16">
        <f t="shared" si="0"/>
        <v>25.419354838709676</v>
      </c>
      <c r="C24" s="16">
        <f t="shared" si="1"/>
        <v>3.8912133891213389E-2</v>
      </c>
      <c r="E24" s="16">
        <f>0.5+(INDEX('Stat Boosts'!$D$2:$D$192,E$1-9)-10)*$C24</f>
        <v>0.5</v>
      </c>
      <c r="F24" s="16">
        <f>0.5+(INDEX('Stat Boosts'!$D$2:$D$192,F$1-9)-10)*$C24</f>
        <v>0.77238493723849366</v>
      </c>
      <c r="G24" s="16">
        <f>0.5+(INDEX('Stat Boosts'!$D$2:$D$192,G$1-9)-10)*$C24</f>
        <v>1.0447698744769873</v>
      </c>
      <c r="H24" s="16">
        <f>0.5+(INDEX('Stat Boosts'!$D$2:$D$192,H$1-9)-10)*$C24</f>
        <v>1.3171548117154812</v>
      </c>
      <c r="I24" s="16">
        <f>0.5+(INDEX('Stat Boosts'!$D$2:$D$192,I$1-9)-10)*$C24</f>
        <v>1.5506276150627616</v>
      </c>
      <c r="J24" s="16">
        <f>0.5+(INDEX('Stat Boosts'!$D$2:$D$192,J$1-9)-10)*$C24</f>
        <v>1.7841004184100417</v>
      </c>
      <c r="K24" s="16">
        <f>0.5+(INDEX('Stat Boosts'!$D$2:$D$192,K$1-9)-10)*$C24</f>
        <v>2.3288702928870295</v>
      </c>
      <c r="L24" s="16">
        <f>0.5+(INDEX('Stat Boosts'!$D$2:$D$192,L$1-9)-10)*$C24</f>
        <v>2.5234309623430962</v>
      </c>
      <c r="M24" s="16">
        <f>0.5+(INDEX('Stat Boosts'!$D$2:$D$192,M$1-9)-10)*$C24</f>
        <v>2.7958158995815898</v>
      </c>
      <c r="N24" s="16">
        <f>0.5+(INDEX('Stat Boosts'!$D$2:$D$192,N$1-9)-10)*$C24</f>
        <v>3.1460251046025105</v>
      </c>
      <c r="O24" s="16">
        <f>0.5+(INDEX('Stat Boosts'!$D$2:$D$192,O$1-9)-10)*$C24</f>
        <v>3.3405857740585776</v>
      </c>
      <c r="P24" s="16">
        <f>0.5+(INDEX('Stat Boosts'!$D$2:$D$192,P$1-9)-10)*$C24</f>
        <v>3.6518828451882843</v>
      </c>
      <c r="Q24" s="16">
        <f>0.5+(INDEX('Stat Boosts'!$D$2:$D$192,Q$1-9)-10)*$C24</f>
        <v>3.9631799163179915</v>
      </c>
      <c r="R24" s="16">
        <f>0.5+(INDEX('Stat Boosts'!$D$2:$D$192,R$1-9)-10)*$C24</f>
        <v>4.2744769874476987</v>
      </c>
    </row>
    <row r="25" spans="1:18">
      <c r="A25" s="9">
        <v>24</v>
      </c>
      <c r="B25" s="16">
        <f t="shared" si="0"/>
        <v>25.741935483870968</v>
      </c>
      <c r="C25" s="16">
        <f t="shared" si="1"/>
        <v>3.8114754098360654E-2</v>
      </c>
      <c r="E25" s="16">
        <f>0.5+(INDEX('Stat Boosts'!$D$2:$D$192,E$1-9)-10)*$C25</f>
        <v>0.5</v>
      </c>
      <c r="F25" s="16">
        <f>0.5+(INDEX('Stat Boosts'!$D$2:$D$192,F$1-9)-10)*$C25</f>
        <v>0.7668032786885246</v>
      </c>
      <c r="G25" s="16">
        <f>0.5+(INDEX('Stat Boosts'!$D$2:$D$192,G$1-9)-10)*$C25</f>
        <v>1.0336065573770492</v>
      </c>
      <c r="H25" s="16">
        <f>0.5+(INDEX('Stat Boosts'!$D$2:$D$192,H$1-9)-10)*$C25</f>
        <v>1.3004098360655738</v>
      </c>
      <c r="I25" s="16">
        <f>0.5+(INDEX('Stat Boosts'!$D$2:$D$192,I$1-9)-10)*$C25</f>
        <v>1.5290983606557376</v>
      </c>
      <c r="J25" s="16">
        <f>0.5+(INDEX('Stat Boosts'!$D$2:$D$192,J$1-9)-10)*$C25</f>
        <v>1.7577868852459015</v>
      </c>
      <c r="K25" s="16">
        <f>0.5+(INDEX('Stat Boosts'!$D$2:$D$192,K$1-9)-10)*$C25</f>
        <v>2.291393442622951</v>
      </c>
      <c r="L25" s="16">
        <f>0.5+(INDEX('Stat Boosts'!$D$2:$D$192,L$1-9)-10)*$C25</f>
        <v>2.4819672131147539</v>
      </c>
      <c r="M25" s="16">
        <f>0.5+(INDEX('Stat Boosts'!$D$2:$D$192,M$1-9)-10)*$C25</f>
        <v>2.7487704918032785</v>
      </c>
      <c r="N25" s="16">
        <f>0.5+(INDEX('Stat Boosts'!$D$2:$D$192,N$1-9)-10)*$C25</f>
        <v>3.0918032786885243</v>
      </c>
      <c r="O25" s="16">
        <f>0.5+(INDEX('Stat Boosts'!$D$2:$D$192,O$1-9)-10)*$C25</f>
        <v>3.2823770491803277</v>
      </c>
      <c r="P25" s="16">
        <f>0.5+(INDEX('Stat Boosts'!$D$2:$D$192,P$1-9)-10)*$C25</f>
        <v>3.5872950819672131</v>
      </c>
      <c r="Q25" s="16">
        <f>0.5+(INDEX('Stat Boosts'!$D$2:$D$192,Q$1-9)-10)*$C25</f>
        <v>3.8922131147540981</v>
      </c>
      <c r="R25" s="16">
        <f>0.5+(INDEX('Stat Boosts'!$D$2:$D$192,R$1-9)-10)*$C25</f>
        <v>4.1971311475409836</v>
      </c>
    </row>
    <row r="26" spans="1:18">
      <c r="A26" s="9">
        <v>25</v>
      </c>
      <c r="B26" s="16">
        <f t="shared" si="0"/>
        <v>26.064516129032256</v>
      </c>
      <c r="C26" s="16">
        <f t="shared" si="1"/>
        <v>3.7349397590361447E-2</v>
      </c>
      <c r="E26" s="16">
        <f>0.5+(INDEX('Stat Boosts'!$D$2:$D$192,E$1-9)-10)*$C26</f>
        <v>0.5</v>
      </c>
      <c r="F26" s="16">
        <f>0.5+(INDEX('Stat Boosts'!$D$2:$D$192,F$1-9)-10)*$C26</f>
        <v>0.76144578313253009</v>
      </c>
      <c r="G26" s="16">
        <f>0.5+(INDEX('Stat Boosts'!$D$2:$D$192,G$1-9)-10)*$C26</f>
        <v>1.0228915662650602</v>
      </c>
      <c r="H26" s="16">
        <f>0.5+(INDEX('Stat Boosts'!$D$2:$D$192,H$1-9)-10)*$C26</f>
        <v>1.2843373493975903</v>
      </c>
      <c r="I26" s="16">
        <f>0.5+(INDEX('Stat Boosts'!$D$2:$D$192,I$1-9)-10)*$C26</f>
        <v>1.508433734939759</v>
      </c>
      <c r="J26" s="16">
        <f>0.5+(INDEX('Stat Boosts'!$D$2:$D$192,J$1-9)-10)*$C26</f>
        <v>1.7325301204819277</v>
      </c>
      <c r="K26" s="16">
        <f>0.5+(INDEX('Stat Boosts'!$D$2:$D$192,K$1-9)-10)*$C26</f>
        <v>2.2554216867469883</v>
      </c>
      <c r="L26" s="16">
        <f>0.5+(INDEX('Stat Boosts'!$D$2:$D$192,L$1-9)-10)*$C26</f>
        <v>2.4421686746987952</v>
      </c>
      <c r="M26" s="16">
        <f>0.5+(INDEX('Stat Boosts'!$D$2:$D$192,M$1-9)-10)*$C26</f>
        <v>2.7036144578313253</v>
      </c>
      <c r="N26" s="16">
        <f>0.5+(INDEX('Stat Boosts'!$D$2:$D$192,N$1-9)-10)*$C26</f>
        <v>3.0397590361445785</v>
      </c>
      <c r="O26" s="16">
        <f>0.5+(INDEX('Stat Boosts'!$D$2:$D$192,O$1-9)-10)*$C26</f>
        <v>3.2265060240963854</v>
      </c>
      <c r="P26" s="16">
        <f>0.5+(INDEX('Stat Boosts'!$D$2:$D$192,P$1-9)-10)*$C26</f>
        <v>3.5253012048192773</v>
      </c>
      <c r="Q26" s="16">
        <f>0.5+(INDEX('Stat Boosts'!$D$2:$D$192,Q$1-9)-10)*$C26</f>
        <v>3.8240963855421688</v>
      </c>
      <c r="R26" s="16">
        <f>0.5+(INDEX('Stat Boosts'!$D$2:$D$192,R$1-9)-10)*$C26</f>
        <v>4.1228915662650607</v>
      </c>
    </row>
    <row r="27" spans="1:18">
      <c r="A27" s="9">
        <v>26</v>
      </c>
      <c r="B27" s="16">
        <f t="shared" si="0"/>
        <v>26.387096774193548</v>
      </c>
      <c r="C27" s="16">
        <f t="shared" si="1"/>
        <v>3.6614173228346453E-2</v>
      </c>
      <c r="E27" s="16">
        <f>0.5+(INDEX('Stat Boosts'!$D$2:$D$192,E$1-9)-10)*$C27</f>
        <v>0.5</v>
      </c>
      <c r="F27" s="16">
        <f>0.5+(INDEX('Stat Boosts'!$D$2:$D$192,F$1-9)-10)*$C27</f>
        <v>0.75629921259842514</v>
      </c>
      <c r="G27" s="16">
        <f>0.5+(INDEX('Stat Boosts'!$D$2:$D$192,G$1-9)-10)*$C27</f>
        <v>1.0125984251968503</v>
      </c>
      <c r="H27" s="16">
        <f>0.5+(INDEX('Stat Boosts'!$D$2:$D$192,H$1-9)-10)*$C27</f>
        <v>1.2688976377952756</v>
      </c>
      <c r="I27" s="16">
        <f>0.5+(INDEX('Stat Boosts'!$D$2:$D$192,I$1-9)-10)*$C27</f>
        <v>1.4885826771653541</v>
      </c>
      <c r="J27" s="16">
        <f>0.5+(INDEX('Stat Boosts'!$D$2:$D$192,J$1-9)-10)*$C27</f>
        <v>1.708267716535433</v>
      </c>
      <c r="K27" s="16">
        <f>0.5+(INDEX('Stat Boosts'!$D$2:$D$192,K$1-9)-10)*$C27</f>
        <v>2.2208661417322832</v>
      </c>
      <c r="L27" s="16">
        <f>0.5+(INDEX('Stat Boosts'!$D$2:$D$192,L$1-9)-10)*$C27</f>
        <v>2.4039370078740157</v>
      </c>
      <c r="M27" s="16">
        <f>0.5+(INDEX('Stat Boosts'!$D$2:$D$192,M$1-9)-10)*$C27</f>
        <v>2.6602362204724406</v>
      </c>
      <c r="N27" s="16">
        <f>0.5+(INDEX('Stat Boosts'!$D$2:$D$192,N$1-9)-10)*$C27</f>
        <v>2.9897637795275589</v>
      </c>
      <c r="O27" s="16">
        <f>0.5+(INDEX('Stat Boosts'!$D$2:$D$192,O$1-9)-10)*$C27</f>
        <v>3.1728346456692909</v>
      </c>
      <c r="P27" s="16">
        <f>0.5+(INDEX('Stat Boosts'!$D$2:$D$192,P$1-9)-10)*$C27</f>
        <v>3.4657480314960627</v>
      </c>
      <c r="Q27" s="16">
        <f>0.5+(INDEX('Stat Boosts'!$D$2:$D$192,Q$1-9)-10)*$C27</f>
        <v>3.7586614173228341</v>
      </c>
      <c r="R27" s="16">
        <f>0.5+(INDEX('Stat Boosts'!$D$2:$D$192,R$1-9)-10)*$C27</f>
        <v>4.0515748031496059</v>
      </c>
    </row>
    <row r="28" spans="1:18">
      <c r="A28" s="9">
        <v>27</v>
      </c>
      <c r="B28" s="16">
        <f t="shared" si="0"/>
        <v>26.70967741935484</v>
      </c>
      <c r="C28" s="16">
        <f t="shared" si="1"/>
        <v>3.5907335907335906E-2</v>
      </c>
      <c r="E28" s="16">
        <f>0.5+(INDEX('Stat Boosts'!$D$2:$D$192,E$1-9)-10)*$C28</f>
        <v>0.5</v>
      </c>
      <c r="F28" s="16">
        <f>0.5+(INDEX('Stat Boosts'!$D$2:$D$192,F$1-9)-10)*$C28</f>
        <v>0.75135135135135134</v>
      </c>
      <c r="G28" s="16">
        <f>0.5+(INDEX('Stat Boosts'!$D$2:$D$192,G$1-9)-10)*$C28</f>
        <v>1.0027027027027027</v>
      </c>
      <c r="H28" s="16">
        <f>0.5+(INDEX('Stat Boosts'!$D$2:$D$192,H$1-9)-10)*$C28</f>
        <v>1.2540540540540541</v>
      </c>
      <c r="I28" s="16">
        <f>0.5+(INDEX('Stat Boosts'!$D$2:$D$192,I$1-9)-10)*$C28</f>
        <v>1.4694980694980695</v>
      </c>
      <c r="J28" s="16">
        <f>0.5+(INDEX('Stat Boosts'!$D$2:$D$192,J$1-9)-10)*$C28</f>
        <v>1.6849420849420849</v>
      </c>
      <c r="K28" s="16">
        <f>0.5+(INDEX('Stat Boosts'!$D$2:$D$192,K$1-9)-10)*$C28</f>
        <v>2.1876447876447873</v>
      </c>
      <c r="L28" s="16">
        <f>0.5+(INDEX('Stat Boosts'!$D$2:$D$192,L$1-9)-10)*$C28</f>
        <v>2.3671814671814673</v>
      </c>
      <c r="M28" s="16">
        <f>0.5+(INDEX('Stat Boosts'!$D$2:$D$192,M$1-9)-10)*$C28</f>
        <v>2.6185328185328185</v>
      </c>
      <c r="N28" s="16">
        <f>0.5+(INDEX('Stat Boosts'!$D$2:$D$192,N$1-9)-10)*$C28</f>
        <v>2.9416988416988414</v>
      </c>
      <c r="O28" s="16">
        <f>0.5+(INDEX('Stat Boosts'!$D$2:$D$192,O$1-9)-10)*$C28</f>
        <v>3.1212355212355209</v>
      </c>
      <c r="P28" s="16">
        <f>0.5+(INDEX('Stat Boosts'!$D$2:$D$192,P$1-9)-10)*$C28</f>
        <v>3.4084942084942083</v>
      </c>
      <c r="Q28" s="16">
        <f>0.5+(INDEX('Stat Boosts'!$D$2:$D$192,Q$1-9)-10)*$C28</f>
        <v>3.6957528957528956</v>
      </c>
      <c r="R28" s="16">
        <f>0.5+(INDEX('Stat Boosts'!$D$2:$D$192,R$1-9)-10)*$C28</f>
        <v>3.9830115830115829</v>
      </c>
    </row>
    <row r="29" spans="1:18">
      <c r="A29" s="9">
        <v>28</v>
      </c>
      <c r="B29" s="16">
        <f t="shared" si="0"/>
        <v>27.032258064516128</v>
      </c>
      <c r="C29" s="16">
        <f t="shared" si="1"/>
        <v>3.5227272727272725E-2</v>
      </c>
      <c r="E29" s="16">
        <f>0.5+(INDEX('Stat Boosts'!$D$2:$D$192,E$1-9)-10)*$C29</f>
        <v>0.5</v>
      </c>
      <c r="F29" s="16">
        <f>0.5+(INDEX('Stat Boosts'!$D$2:$D$192,F$1-9)-10)*$C29</f>
        <v>0.74659090909090908</v>
      </c>
      <c r="G29" s="16">
        <f>0.5+(INDEX('Stat Boosts'!$D$2:$D$192,G$1-9)-10)*$C29</f>
        <v>0.99318181818181817</v>
      </c>
      <c r="H29" s="16">
        <f>0.5+(INDEX('Stat Boosts'!$D$2:$D$192,H$1-9)-10)*$C29</f>
        <v>1.2397727272727272</v>
      </c>
      <c r="I29" s="16">
        <f>0.5+(INDEX('Stat Boosts'!$D$2:$D$192,I$1-9)-10)*$C29</f>
        <v>1.4511363636363637</v>
      </c>
      <c r="J29" s="16">
        <f>0.5+(INDEX('Stat Boosts'!$D$2:$D$192,J$1-9)-10)*$C29</f>
        <v>1.6624999999999999</v>
      </c>
      <c r="K29" s="16">
        <f>0.5+(INDEX('Stat Boosts'!$D$2:$D$192,K$1-9)-10)*$C29</f>
        <v>2.1556818181818178</v>
      </c>
      <c r="L29" s="16">
        <f>0.5+(INDEX('Stat Boosts'!$D$2:$D$192,L$1-9)-10)*$C29</f>
        <v>2.331818181818182</v>
      </c>
      <c r="M29" s="16">
        <f>0.5+(INDEX('Stat Boosts'!$D$2:$D$192,M$1-9)-10)*$C29</f>
        <v>2.5784090909090907</v>
      </c>
      <c r="N29" s="16">
        <f>0.5+(INDEX('Stat Boosts'!$D$2:$D$192,N$1-9)-10)*$C29</f>
        <v>2.8954545454545455</v>
      </c>
      <c r="O29" s="16">
        <f>0.5+(INDEX('Stat Boosts'!$D$2:$D$192,O$1-9)-10)*$C29</f>
        <v>3.0715909090909088</v>
      </c>
      <c r="P29" s="16">
        <f>0.5+(INDEX('Stat Boosts'!$D$2:$D$192,P$1-9)-10)*$C29</f>
        <v>3.3534090909090906</v>
      </c>
      <c r="Q29" s="16">
        <f>0.5+(INDEX('Stat Boosts'!$D$2:$D$192,Q$1-9)-10)*$C29</f>
        <v>3.6352272727272728</v>
      </c>
      <c r="R29" s="16">
        <f>0.5+(INDEX('Stat Boosts'!$D$2:$D$192,R$1-9)-10)*$C29</f>
        <v>3.9170454545454545</v>
      </c>
    </row>
    <row r="30" spans="1:18">
      <c r="A30" s="9">
        <v>29</v>
      </c>
      <c r="B30" s="16">
        <f t="shared" si="0"/>
        <v>27.35483870967742</v>
      </c>
      <c r="C30" s="16">
        <f t="shared" si="1"/>
        <v>3.4572490706319702E-2</v>
      </c>
      <c r="E30" s="16">
        <f>0.5+(INDEX('Stat Boosts'!$D$2:$D$192,E$1-9)-10)*$C30</f>
        <v>0.5</v>
      </c>
      <c r="F30" s="16">
        <f>0.5+(INDEX('Stat Boosts'!$D$2:$D$192,F$1-9)-10)*$C30</f>
        <v>0.74200743494423793</v>
      </c>
      <c r="G30" s="16">
        <f>0.5+(INDEX('Stat Boosts'!$D$2:$D$192,G$1-9)-10)*$C30</f>
        <v>0.98401486988847586</v>
      </c>
      <c r="H30" s="16">
        <f>0.5+(INDEX('Stat Boosts'!$D$2:$D$192,H$1-9)-10)*$C30</f>
        <v>1.2260223048327137</v>
      </c>
      <c r="I30" s="16">
        <f>0.5+(INDEX('Stat Boosts'!$D$2:$D$192,I$1-9)-10)*$C30</f>
        <v>1.4334572490706319</v>
      </c>
      <c r="J30" s="16">
        <f>0.5+(INDEX('Stat Boosts'!$D$2:$D$192,J$1-9)-10)*$C30</f>
        <v>1.6408921933085501</v>
      </c>
      <c r="K30" s="16">
        <f>0.5+(INDEX('Stat Boosts'!$D$2:$D$192,K$1-9)-10)*$C30</f>
        <v>2.1249070631970257</v>
      </c>
      <c r="L30" s="16">
        <f>0.5+(INDEX('Stat Boosts'!$D$2:$D$192,L$1-9)-10)*$C30</f>
        <v>2.2977695167286245</v>
      </c>
      <c r="M30" s="16">
        <f>0.5+(INDEX('Stat Boosts'!$D$2:$D$192,M$1-9)-10)*$C30</f>
        <v>2.5397769516728625</v>
      </c>
      <c r="N30" s="16">
        <f>0.5+(INDEX('Stat Boosts'!$D$2:$D$192,N$1-9)-10)*$C30</f>
        <v>2.8509293680297398</v>
      </c>
      <c r="O30" s="16">
        <f>0.5+(INDEX('Stat Boosts'!$D$2:$D$192,O$1-9)-10)*$C30</f>
        <v>3.0237918215613382</v>
      </c>
      <c r="P30" s="16">
        <f>0.5+(INDEX('Stat Boosts'!$D$2:$D$192,P$1-9)-10)*$C30</f>
        <v>3.3003717472118956</v>
      </c>
      <c r="Q30" s="16">
        <f>0.5+(INDEX('Stat Boosts'!$D$2:$D$192,Q$1-9)-10)*$C30</f>
        <v>3.5769516728624535</v>
      </c>
      <c r="R30" s="16">
        <f>0.5+(INDEX('Stat Boosts'!$D$2:$D$192,R$1-9)-10)*$C30</f>
        <v>3.853531598513011</v>
      </c>
    </row>
    <row r="31" spans="1:18">
      <c r="A31" s="9">
        <v>30</v>
      </c>
      <c r="B31" s="16">
        <f t="shared" si="0"/>
        <v>27.677419354838712</v>
      </c>
      <c r="C31" s="16">
        <f t="shared" si="1"/>
        <v>3.394160583941605E-2</v>
      </c>
      <c r="E31" s="16">
        <f>0.5+(INDEX('Stat Boosts'!$D$2:$D$192,E$1-9)-10)*$C31</f>
        <v>0.5</v>
      </c>
      <c r="F31" s="16">
        <f>0.5+(INDEX('Stat Boosts'!$D$2:$D$192,F$1-9)-10)*$C31</f>
        <v>0.73759124087591232</v>
      </c>
      <c r="G31" s="16">
        <f>0.5+(INDEX('Stat Boosts'!$D$2:$D$192,G$1-9)-10)*$C31</f>
        <v>0.97518248175182465</v>
      </c>
      <c r="H31" s="16">
        <f>0.5+(INDEX('Stat Boosts'!$D$2:$D$192,H$1-9)-10)*$C31</f>
        <v>1.2127737226277371</v>
      </c>
      <c r="I31" s="16">
        <f>0.5+(INDEX('Stat Boosts'!$D$2:$D$192,I$1-9)-10)*$C31</f>
        <v>1.4164233576642333</v>
      </c>
      <c r="J31" s="16">
        <f>0.5+(INDEX('Stat Boosts'!$D$2:$D$192,J$1-9)-10)*$C31</f>
        <v>1.6200729927007296</v>
      </c>
      <c r="K31" s="16">
        <f>0.5+(INDEX('Stat Boosts'!$D$2:$D$192,K$1-9)-10)*$C31</f>
        <v>2.0952554744525544</v>
      </c>
      <c r="L31" s="16">
        <f>0.5+(INDEX('Stat Boosts'!$D$2:$D$192,L$1-9)-10)*$C31</f>
        <v>2.2649635036496347</v>
      </c>
      <c r="M31" s="16">
        <f>0.5+(INDEX('Stat Boosts'!$D$2:$D$192,M$1-9)-10)*$C31</f>
        <v>2.5025547445255469</v>
      </c>
      <c r="N31" s="16">
        <f>0.5+(INDEX('Stat Boosts'!$D$2:$D$192,N$1-9)-10)*$C31</f>
        <v>2.8080291970802915</v>
      </c>
      <c r="O31" s="16">
        <f>0.5+(INDEX('Stat Boosts'!$D$2:$D$192,O$1-9)-10)*$C31</f>
        <v>2.9777372262773718</v>
      </c>
      <c r="P31" s="16">
        <f>0.5+(INDEX('Stat Boosts'!$D$2:$D$192,P$1-9)-10)*$C31</f>
        <v>3.2492700729927</v>
      </c>
      <c r="Q31" s="16">
        <f>0.5+(INDEX('Stat Boosts'!$D$2:$D$192,Q$1-9)-10)*$C31</f>
        <v>3.5208029197080286</v>
      </c>
      <c r="R31" s="16">
        <f>0.5+(INDEX('Stat Boosts'!$D$2:$D$192,R$1-9)-10)*$C31</f>
        <v>3.7923357664233568</v>
      </c>
    </row>
    <row r="32" spans="1:18">
      <c r="A32" s="9">
        <v>31</v>
      </c>
      <c r="B32" s="16">
        <f t="shared" si="0"/>
        <v>28</v>
      </c>
      <c r="C32" s="16">
        <f t="shared" si="1"/>
        <v>3.3333333333333333E-2</v>
      </c>
      <c r="E32" s="16">
        <f>0.5+(INDEX('Stat Boosts'!$D$2:$D$192,E$1-9)-10)*$C32</f>
        <v>0.5</v>
      </c>
      <c r="F32" s="16">
        <f>0.5+(INDEX('Stat Boosts'!$D$2:$D$192,F$1-9)-10)*$C32</f>
        <v>0.73333333333333339</v>
      </c>
      <c r="G32" s="16">
        <f>0.5+(INDEX('Stat Boosts'!$D$2:$D$192,G$1-9)-10)*$C32</f>
        <v>0.96666666666666667</v>
      </c>
      <c r="H32" s="16">
        <f>0.5+(INDEX('Stat Boosts'!$D$2:$D$192,H$1-9)-10)*$C32</f>
        <v>1.2</v>
      </c>
      <c r="I32" s="16">
        <f>0.5+(INDEX('Stat Boosts'!$D$2:$D$192,I$1-9)-10)*$C32</f>
        <v>1.4</v>
      </c>
      <c r="J32" s="16">
        <f>0.5+(INDEX('Stat Boosts'!$D$2:$D$192,J$1-9)-10)*$C32</f>
        <v>1.6</v>
      </c>
      <c r="K32" s="16">
        <f>0.5+(INDEX('Stat Boosts'!$D$2:$D$192,K$1-9)-10)*$C32</f>
        <v>2.0666666666666664</v>
      </c>
      <c r="L32" s="16">
        <f>0.5+(INDEX('Stat Boosts'!$D$2:$D$192,L$1-9)-10)*$C32</f>
        <v>2.2333333333333334</v>
      </c>
      <c r="M32" s="16">
        <f>0.5+(INDEX('Stat Boosts'!$D$2:$D$192,M$1-9)-10)*$C32</f>
        <v>2.4666666666666668</v>
      </c>
      <c r="N32" s="16">
        <f>0.5+(INDEX('Stat Boosts'!$D$2:$D$192,N$1-9)-10)*$C32</f>
        <v>2.7666666666666666</v>
      </c>
      <c r="O32" s="16">
        <f>0.5+(INDEX('Stat Boosts'!$D$2:$D$192,O$1-9)-10)*$C32</f>
        <v>2.9333333333333331</v>
      </c>
      <c r="P32" s="16">
        <f>0.5+(INDEX('Stat Boosts'!$D$2:$D$192,P$1-9)-10)*$C32</f>
        <v>3.2</v>
      </c>
      <c r="Q32" s="16">
        <f>0.5+(INDEX('Stat Boosts'!$D$2:$D$192,Q$1-9)-10)*$C32</f>
        <v>3.4666666666666668</v>
      </c>
      <c r="R32" s="16">
        <f>0.5+(INDEX('Stat Boosts'!$D$2:$D$192,R$1-9)-10)*$C32</f>
        <v>3.7333333333333334</v>
      </c>
    </row>
    <row r="33" spans="1:18">
      <c r="A33" s="9">
        <v>32</v>
      </c>
      <c r="B33" s="16">
        <f t="shared" si="0"/>
        <v>28.322580645161288</v>
      </c>
      <c r="C33" s="16">
        <f t="shared" si="1"/>
        <v>3.2746478873239442E-2</v>
      </c>
      <c r="E33" s="16">
        <f>0.5+(INDEX('Stat Boosts'!$D$2:$D$192,E$1-9)-10)*$C33</f>
        <v>0.5</v>
      </c>
      <c r="F33" s="16">
        <f>0.5+(INDEX('Stat Boosts'!$D$2:$D$192,F$1-9)-10)*$C33</f>
        <v>0.72922535211267614</v>
      </c>
      <c r="G33" s="16">
        <f>0.5+(INDEX('Stat Boosts'!$D$2:$D$192,G$1-9)-10)*$C33</f>
        <v>0.95845070422535217</v>
      </c>
      <c r="H33" s="16">
        <f>0.5+(INDEX('Stat Boosts'!$D$2:$D$192,H$1-9)-10)*$C33</f>
        <v>1.1876760563380282</v>
      </c>
      <c r="I33" s="16">
        <f>0.5+(INDEX('Stat Boosts'!$D$2:$D$192,I$1-9)-10)*$C33</f>
        <v>1.3841549295774649</v>
      </c>
      <c r="J33" s="16">
        <f>0.5+(INDEX('Stat Boosts'!$D$2:$D$192,J$1-9)-10)*$C33</f>
        <v>1.5806338028169016</v>
      </c>
      <c r="K33" s="16">
        <f>0.5+(INDEX('Stat Boosts'!$D$2:$D$192,K$1-9)-10)*$C33</f>
        <v>2.0390845070422539</v>
      </c>
      <c r="L33" s="16">
        <f>0.5+(INDEX('Stat Boosts'!$D$2:$D$192,L$1-9)-10)*$C33</f>
        <v>2.2028169014084509</v>
      </c>
      <c r="M33" s="16">
        <f>0.5+(INDEX('Stat Boosts'!$D$2:$D$192,M$1-9)-10)*$C33</f>
        <v>2.4320422535211268</v>
      </c>
      <c r="N33" s="16">
        <f>0.5+(INDEX('Stat Boosts'!$D$2:$D$192,N$1-9)-10)*$C33</f>
        <v>2.7267605633802821</v>
      </c>
      <c r="O33" s="16">
        <f>0.5+(INDEX('Stat Boosts'!$D$2:$D$192,O$1-9)-10)*$C33</f>
        <v>2.8904929577464791</v>
      </c>
      <c r="P33" s="16">
        <f>0.5+(INDEX('Stat Boosts'!$D$2:$D$192,P$1-9)-10)*$C33</f>
        <v>3.1524647887323947</v>
      </c>
      <c r="Q33" s="16">
        <f>0.5+(INDEX('Stat Boosts'!$D$2:$D$192,Q$1-9)-10)*$C33</f>
        <v>3.4144366197183103</v>
      </c>
      <c r="R33" s="16">
        <f>0.5+(INDEX('Stat Boosts'!$D$2:$D$192,R$1-9)-10)*$C33</f>
        <v>3.6764084507042258</v>
      </c>
    </row>
    <row r="34" spans="1:18">
      <c r="A34" s="9">
        <v>33</v>
      </c>
      <c r="B34" s="16">
        <f t="shared" si="0"/>
        <v>28.64516129032258</v>
      </c>
      <c r="C34" s="16">
        <f t="shared" si="1"/>
        <v>3.2179930795847751E-2</v>
      </c>
      <c r="E34" s="16">
        <f>0.5+(INDEX('Stat Boosts'!$D$2:$D$192,E$1-9)-10)*$C34</f>
        <v>0.5</v>
      </c>
      <c r="F34" s="16">
        <f>0.5+(INDEX('Stat Boosts'!$D$2:$D$192,F$1-9)-10)*$C34</f>
        <v>0.72525951557093427</v>
      </c>
      <c r="G34" s="16">
        <f>0.5+(INDEX('Stat Boosts'!$D$2:$D$192,G$1-9)-10)*$C34</f>
        <v>0.95051903114186853</v>
      </c>
      <c r="H34" s="16">
        <f>0.5+(INDEX('Stat Boosts'!$D$2:$D$192,H$1-9)-10)*$C34</f>
        <v>1.1757785467128028</v>
      </c>
      <c r="I34" s="16">
        <f>0.5+(INDEX('Stat Boosts'!$D$2:$D$192,I$1-9)-10)*$C34</f>
        <v>1.3688581314878894</v>
      </c>
      <c r="J34" s="16">
        <f>0.5+(INDEX('Stat Boosts'!$D$2:$D$192,J$1-9)-10)*$C34</f>
        <v>1.5619377162629757</v>
      </c>
      <c r="K34" s="16">
        <f>0.5+(INDEX('Stat Boosts'!$D$2:$D$192,K$1-9)-10)*$C34</f>
        <v>2.012456747404844</v>
      </c>
      <c r="L34" s="16">
        <f>0.5+(INDEX('Stat Boosts'!$D$2:$D$192,L$1-9)-10)*$C34</f>
        <v>2.1733564013840834</v>
      </c>
      <c r="M34" s="16">
        <f>0.5+(INDEX('Stat Boosts'!$D$2:$D$192,M$1-9)-10)*$C34</f>
        <v>2.3986159169550172</v>
      </c>
      <c r="N34" s="16">
        <f>0.5+(INDEX('Stat Boosts'!$D$2:$D$192,N$1-9)-10)*$C34</f>
        <v>2.6882352941176473</v>
      </c>
      <c r="O34" s="16">
        <f>0.5+(INDEX('Stat Boosts'!$D$2:$D$192,O$1-9)-10)*$C34</f>
        <v>2.8491349480968857</v>
      </c>
      <c r="P34" s="16">
        <f>0.5+(INDEX('Stat Boosts'!$D$2:$D$192,P$1-9)-10)*$C34</f>
        <v>3.1065743944636677</v>
      </c>
      <c r="Q34" s="16">
        <f>0.5+(INDEX('Stat Boosts'!$D$2:$D$192,Q$1-9)-10)*$C34</f>
        <v>3.3640138408304501</v>
      </c>
      <c r="R34" s="16">
        <f>0.5+(INDEX('Stat Boosts'!$D$2:$D$192,R$1-9)-10)*$C34</f>
        <v>3.621453287197232</v>
      </c>
    </row>
    <row r="35" spans="1:18">
      <c r="A35" s="9">
        <v>34</v>
      </c>
      <c r="B35" s="16">
        <f t="shared" si="0"/>
        <v>28.967741935483872</v>
      </c>
      <c r="C35" s="16">
        <f t="shared" si="1"/>
        <v>3.1632653061224487E-2</v>
      </c>
      <c r="E35" s="16">
        <f>0.5+(INDEX('Stat Boosts'!$D$2:$D$192,E$1-9)-10)*$C35</f>
        <v>0.5</v>
      </c>
      <c r="F35" s="16">
        <f>0.5+(INDEX('Stat Boosts'!$D$2:$D$192,F$1-9)-10)*$C35</f>
        <v>0.72142857142857142</v>
      </c>
      <c r="G35" s="16">
        <f>0.5+(INDEX('Stat Boosts'!$D$2:$D$192,G$1-9)-10)*$C35</f>
        <v>0.94285714285714284</v>
      </c>
      <c r="H35" s="16">
        <f>0.5+(INDEX('Stat Boosts'!$D$2:$D$192,H$1-9)-10)*$C35</f>
        <v>1.1642857142857141</v>
      </c>
      <c r="I35" s="16">
        <f>0.5+(INDEX('Stat Boosts'!$D$2:$D$192,I$1-9)-10)*$C35</f>
        <v>1.3540816326530611</v>
      </c>
      <c r="J35" s="16">
        <f>0.5+(INDEX('Stat Boosts'!$D$2:$D$192,J$1-9)-10)*$C35</f>
        <v>1.5438775510204081</v>
      </c>
      <c r="K35" s="16">
        <f>0.5+(INDEX('Stat Boosts'!$D$2:$D$192,K$1-9)-10)*$C35</f>
        <v>1.986734693877551</v>
      </c>
      <c r="L35" s="16">
        <f>0.5+(INDEX('Stat Boosts'!$D$2:$D$192,L$1-9)-10)*$C35</f>
        <v>2.1448979591836732</v>
      </c>
      <c r="M35" s="16">
        <f>0.5+(INDEX('Stat Boosts'!$D$2:$D$192,M$1-9)-10)*$C35</f>
        <v>2.3663265306122447</v>
      </c>
      <c r="N35" s="16">
        <f>0.5+(INDEX('Stat Boosts'!$D$2:$D$192,N$1-9)-10)*$C35</f>
        <v>2.6510204081632653</v>
      </c>
      <c r="O35" s="16">
        <f>0.5+(INDEX('Stat Boosts'!$D$2:$D$192,O$1-9)-10)*$C35</f>
        <v>2.8091836734693878</v>
      </c>
      <c r="P35" s="16">
        <f>0.5+(INDEX('Stat Boosts'!$D$2:$D$192,P$1-9)-10)*$C35</f>
        <v>3.0622448979591836</v>
      </c>
      <c r="Q35" s="16">
        <f>0.5+(INDEX('Stat Boosts'!$D$2:$D$192,Q$1-9)-10)*$C35</f>
        <v>3.3153061224489795</v>
      </c>
      <c r="R35" s="16">
        <f>0.5+(INDEX('Stat Boosts'!$D$2:$D$192,R$1-9)-10)*$C35</f>
        <v>3.5683673469387753</v>
      </c>
    </row>
    <row r="36" spans="1:18">
      <c r="A36" s="9">
        <v>35</v>
      </c>
      <c r="B36" s="16">
        <f t="shared" si="0"/>
        <v>29.29032258064516</v>
      </c>
      <c r="C36" s="16">
        <f t="shared" si="1"/>
        <v>3.1103678929765888E-2</v>
      </c>
      <c r="E36" s="16">
        <f>0.5+(INDEX('Stat Boosts'!$D$2:$D$192,E$1-9)-10)*$C36</f>
        <v>0.5</v>
      </c>
      <c r="F36" s="16">
        <f>0.5+(INDEX('Stat Boosts'!$D$2:$D$192,F$1-9)-10)*$C36</f>
        <v>0.71772575250836124</v>
      </c>
      <c r="G36" s="16">
        <f>0.5+(INDEX('Stat Boosts'!$D$2:$D$192,G$1-9)-10)*$C36</f>
        <v>0.93545150501672247</v>
      </c>
      <c r="H36" s="16">
        <f>0.5+(INDEX('Stat Boosts'!$D$2:$D$192,H$1-9)-10)*$C36</f>
        <v>1.1531772575250838</v>
      </c>
      <c r="I36" s="16">
        <f>0.5+(INDEX('Stat Boosts'!$D$2:$D$192,I$1-9)-10)*$C36</f>
        <v>1.3397993311036789</v>
      </c>
      <c r="J36" s="16">
        <f>0.5+(INDEX('Stat Boosts'!$D$2:$D$192,J$1-9)-10)*$C36</f>
        <v>1.5264214046822744</v>
      </c>
      <c r="K36" s="16">
        <f>0.5+(INDEX('Stat Boosts'!$D$2:$D$192,K$1-9)-10)*$C36</f>
        <v>1.9618729096989969</v>
      </c>
      <c r="L36" s="16">
        <f>0.5+(INDEX('Stat Boosts'!$D$2:$D$192,L$1-9)-10)*$C36</f>
        <v>2.1173913043478265</v>
      </c>
      <c r="M36" s="16">
        <f>0.5+(INDEX('Stat Boosts'!$D$2:$D$192,M$1-9)-10)*$C36</f>
        <v>2.3351170568561876</v>
      </c>
      <c r="N36" s="16">
        <f>0.5+(INDEX('Stat Boosts'!$D$2:$D$192,N$1-9)-10)*$C36</f>
        <v>2.6150501672240805</v>
      </c>
      <c r="O36" s="16">
        <f>0.5+(INDEX('Stat Boosts'!$D$2:$D$192,O$1-9)-10)*$C36</f>
        <v>2.7705685618729099</v>
      </c>
      <c r="P36" s="16">
        <f>0.5+(INDEX('Stat Boosts'!$D$2:$D$192,P$1-9)-10)*$C36</f>
        <v>3.0193979933110371</v>
      </c>
      <c r="Q36" s="16">
        <f>0.5+(INDEX('Stat Boosts'!$D$2:$D$192,Q$1-9)-10)*$C36</f>
        <v>3.2682274247491643</v>
      </c>
      <c r="R36" s="16">
        <f>0.5+(INDEX('Stat Boosts'!$D$2:$D$192,R$1-9)-10)*$C36</f>
        <v>3.517056856187291</v>
      </c>
    </row>
    <row r="37" spans="1:18">
      <c r="A37" s="9">
        <v>36</v>
      </c>
      <c r="B37" s="16">
        <f t="shared" si="0"/>
        <v>29.612903225806452</v>
      </c>
      <c r="C37" s="16">
        <f t="shared" si="1"/>
        <v>3.0592105263157893E-2</v>
      </c>
      <c r="E37" s="16">
        <f>0.5+(INDEX('Stat Boosts'!$D$2:$D$192,E$1-9)-10)*$C37</f>
        <v>0.5</v>
      </c>
      <c r="F37" s="16">
        <f>0.5+(INDEX('Stat Boosts'!$D$2:$D$192,F$1-9)-10)*$C37</f>
        <v>0.71414473684210522</v>
      </c>
      <c r="G37" s="16">
        <f>0.5+(INDEX('Stat Boosts'!$D$2:$D$192,G$1-9)-10)*$C37</f>
        <v>0.92828947368421044</v>
      </c>
      <c r="H37" s="16">
        <f>0.5+(INDEX('Stat Boosts'!$D$2:$D$192,H$1-9)-10)*$C37</f>
        <v>1.1424342105263157</v>
      </c>
      <c r="I37" s="16">
        <f>0.5+(INDEX('Stat Boosts'!$D$2:$D$192,I$1-9)-10)*$C37</f>
        <v>1.3259868421052632</v>
      </c>
      <c r="J37" s="16">
        <f>0.5+(INDEX('Stat Boosts'!$D$2:$D$192,J$1-9)-10)*$C37</f>
        <v>1.5095394736842105</v>
      </c>
      <c r="K37" s="16">
        <f>0.5+(INDEX('Stat Boosts'!$D$2:$D$192,K$1-9)-10)*$C37</f>
        <v>1.9378289473684209</v>
      </c>
      <c r="L37" s="16">
        <f>0.5+(INDEX('Stat Boosts'!$D$2:$D$192,L$1-9)-10)*$C37</f>
        <v>2.0907894736842105</v>
      </c>
      <c r="M37" s="16">
        <f>0.5+(INDEX('Stat Boosts'!$D$2:$D$192,M$1-9)-10)*$C37</f>
        <v>2.3049342105263158</v>
      </c>
      <c r="N37" s="16">
        <f>0.5+(INDEX('Stat Boosts'!$D$2:$D$192,N$1-9)-10)*$C37</f>
        <v>2.5802631578947368</v>
      </c>
      <c r="O37" s="16">
        <f>0.5+(INDEX('Stat Boosts'!$D$2:$D$192,O$1-9)-10)*$C37</f>
        <v>2.7332236842105262</v>
      </c>
      <c r="P37" s="16">
        <f>0.5+(INDEX('Stat Boosts'!$D$2:$D$192,P$1-9)-10)*$C37</f>
        <v>2.9779605263157891</v>
      </c>
      <c r="Q37" s="16">
        <f>0.5+(INDEX('Stat Boosts'!$D$2:$D$192,Q$1-9)-10)*$C37</f>
        <v>3.2226973684210525</v>
      </c>
      <c r="R37" s="16">
        <f>0.5+(INDEX('Stat Boosts'!$D$2:$D$192,R$1-9)-10)*$C37</f>
        <v>3.4674342105263154</v>
      </c>
    </row>
    <row r="38" spans="1:18">
      <c r="A38" s="9">
        <v>37</v>
      </c>
      <c r="B38" s="16">
        <f t="shared" si="0"/>
        <v>29.935483870967744</v>
      </c>
      <c r="C38" s="16">
        <f t="shared" si="1"/>
        <v>3.0097087378640773E-2</v>
      </c>
      <c r="E38" s="16">
        <f>0.5+(INDEX('Stat Boosts'!$D$2:$D$192,E$1-9)-10)*$C38</f>
        <v>0.5</v>
      </c>
      <c r="F38" s="16">
        <f>0.5+(INDEX('Stat Boosts'!$D$2:$D$192,F$1-9)-10)*$C38</f>
        <v>0.71067961165048543</v>
      </c>
      <c r="G38" s="16">
        <f>0.5+(INDEX('Stat Boosts'!$D$2:$D$192,G$1-9)-10)*$C38</f>
        <v>0.92135922330097086</v>
      </c>
      <c r="H38" s="16">
        <f>0.5+(INDEX('Stat Boosts'!$D$2:$D$192,H$1-9)-10)*$C38</f>
        <v>1.1320388349514561</v>
      </c>
      <c r="I38" s="16">
        <f>0.5+(INDEX('Stat Boosts'!$D$2:$D$192,I$1-9)-10)*$C38</f>
        <v>1.3126213592233009</v>
      </c>
      <c r="J38" s="16">
        <f>0.5+(INDEX('Stat Boosts'!$D$2:$D$192,J$1-9)-10)*$C38</f>
        <v>1.4932038834951455</v>
      </c>
      <c r="K38" s="16">
        <f>0.5+(INDEX('Stat Boosts'!$D$2:$D$192,K$1-9)-10)*$C38</f>
        <v>1.9145631067961164</v>
      </c>
      <c r="L38" s="16">
        <f>0.5+(INDEX('Stat Boosts'!$D$2:$D$192,L$1-9)-10)*$C38</f>
        <v>2.0650485436893202</v>
      </c>
      <c r="M38" s="16">
        <f>0.5+(INDEX('Stat Boosts'!$D$2:$D$192,M$1-9)-10)*$C38</f>
        <v>2.2757281553398059</v>
      </c>
      <c r="N38" s="16">
        <f>0.5+(INDEX('Stat Boosts'!$D$2:$D$192,N$1-9)-10)*$C38</f>
        <v>2.5466019417475727</v>
      </c>
      <c r="O38" s="16">
        <f>0.5+(INDEX('Stat Boosts'!$D$2:$D$192,O$1-9)-10)*$C38</f>
        <v>2.6970873786407763</v>
      </c>
      <c r="P38" s="16">
        <f>0.5+(INDEX('Stat Boosts'!$D$2:$D$192,P$1-9)-10)*$C38</f>
        <v>2.9378640776699028</v>
      </c>
      <c r="Q38" s="16">
        <f>0.5+(INDEX('Stat Boosts'!$D$2:$D$192,Q$1-9)-10)*$C38</f>
        <v>3.1786407766990288</v>
      </c>
      <c r="R38" s="16">
        <f>0.5+(INDEX('Stat Boosts'!$D$2:$D$192,R$1-9)-10)*$C38</f>
        <v>3.4194174757281548</v>
      </c>
    </row>
    <row r="39" spans="1:18">
      <c r="A39" s="9">
        <v>38</v>
      </c>
      <c r="B39" s="16">
        <f t="shared" si="0"/>
        <v>30.258064516129032</v>
      </c>
      <c r="C39" s="16">
        <f t="shared" si="1"/>
        <v>2.9617834394904459E-2</v>
      </c>
      <c r="E39" s="16">
        <f>0.5+(INDEX('Stat Boosts'!$D$2:$D$192,E$1-9)-10)*$C39</f>
        <v>0.5</v>
      </c>
      <c r="F39" s="16">
        <f>0.5+(INDEX('Stat Boosts'!$D$2:$D$192,F$1-9)-10)*$C39</f>
        <v>0.70732484076433122</v>
      </c>
      <c r="G39" s="16">
        <f>0.5+(INDEX('Stat Boosts'!$D$2:$D$192,G$1-9)-10)*$C39</f>
        <v>0.91464968152866244</v>
      </c>
      <c r="H39" s="16">
        <f>0.5+(INDEX('Stat Boosts'!$D$2:$D$192,H$1-9)-10)*$C39</f>
        <v>1.1219745222929935</v>
      </c>
      <c r="I39" s="16">
        <f>0.5+(INDEX('Stat Boosts'!$D$2:$D$192,I$1-9)-10)*$C39</f>
        <v>1.2996815286624204</v>
      </c>
      <c r="J39" s="16">
        <f>0.5+(INDEX('Stat Boosts'!$D$2:$D$192,J$1-9)-10)*$C39</f>
        <v>1.4773885350318472</v>
      </c>
      <c r="K39" s="16">
        <f>0.5+(INDEX('Stat Boosts'!$D$2:$D$192,K$1-9)-10)*$C39</f>
        <v>1.8920382165605096</v>
      </c>
      <c r="L39" s="16">
        <f>0.5+(INDEX('Stat Boosts'!$D$2:$D$192,L$1-9)-10)*$C39</f>
        <v>2.0401273885350317</v>
      </c>
      <c r="M39" s="16">
        <f>0.5+(INDEX('Stat Boosts'!$D$2:$D$192,M$1-9)-10)*$C39</f>
        <v>2.2474522292993631</v>
      </c>
      <c r="N39" s="16">
        <f>0.5+(INDEX('Stat Boosts'!$D$2:$D$192,N$1-9)-10)*$C39</f>
        <v>2.5140127388535034</v>
      </c>
      <c r="O39" s="16">
        <f>0.5+(INDEX('Stat Boosts'!$D$2:$D$192,O$1-9)-10)*$C39</f>
        <v>2.6621019108280257</v>
      </c>
      <c r="P39" s="16">
        <f>0.5+(INDEX('Stat Boosts'!$D$2:$D$192,P$1-9)-10)*$C39</f>
        <v>2.8990445859872613</v>
      </c>
      <c r="Q39" s="16">
        <f>0.5+(INDEX('Stat Boosts'!$D$2:$D$192,Q$1-9)-10)*$C39</f>
        <v>3.135987261146497</v>
      </c>
      <c r="R39" s="16">
        <f>0.5+(INDEX('Stat Boosts'!$D$2:$D$192,R$1-9)-10)*$C39</f>
        <v>3.3729299363057326</v>
      </c>
    </row>
    <row r="40" spans="1:18">
      <c r="A40" s="9">
        <v>39</v>
      </c>
      <c r="B40" s="16">
        <f t="shared" si="0"/>
        <v>30.58064516129032</v>
      </c>
      <c r="C40" s="16">
        <f t="shared" si="1"/>
        <v>2.9153605015673982E-2</v>
      </c>
      <c r="E40" s="16">
        <f>0.5+(INDEX('Stat Boosts'!$D$2:$D$192,E$1-9)-10)*$C40</f>
        <v>0.5</v>
      </c>
      <c r="F40" s="16">
        <f>0.5+(INDEX('Stat Boosts'!$D$2:$D$192,F$1-9)-10)*$C40</f>
        <v>0.70407523510971792</v>
      </c>
      <c r="G40" s="16">
        <f>0.5+(INDEX('Stat Boosts'!$D$2:$D$192,G$1-9)-10)*$C40</f>
        <v>0.90815047021943573</v>
      </c>
      <c r="H40" s="16">
        <f>0.5+(INDEX('Stat Boosts'!$D$2:$D$192,H$1-9)-10)*$C40</f>
        <v>1.1122257053291538</v>
      </c>
      <c r="I40" s="16">
        <f>0.5+(INDEX('Stat Boosts'!$D$2:$D$192,I$1-9)-10)*$C40</f>
        <v>1.2871473354231975</v>
      </c>
      <c r="J40" s="16">
        <f>0.5+(INDEX('Stat Boosts'!$D$2:$D$192,J$1-9)-10)*$C40</f>
        <v>1.4620689655172414</v>
      </c>
      <c r="K40" s="16">
        <f>0.5+(INDEX('Stat Boosts'!$D$2:$D$192,K$1-9)-10)*$C40</f>
        <v>1.8702194357366773</v>
      </c>
      <c r="L40" s="16">
        <f>0.5+(INDEX('Stat Boosts'!$D$2:$D$192,L$1-9)-10)*$C40</f>
        <v>2.015987460815047</v>
      </c>
      <c r="M40" s="16">
        <f>0.5+(INDEX('Stat Boosts'!$D$2:$D$192,M$1-9)-10)*$C40</f>
        <v>2.2200626959247649</v>
      </c>
      <c r="N40" s="16">
        <f>0.5+(INDEX('Stat Boosts'!$D$2:$D$192,N$1-9)-10)*$C40</f>
        <v>2.4824451410658308</v>
      </c>
      <c r="O40" s="16">
        <f>0.5+(INDEX('Stat Boosts'!$D$2:$D$192,O$1-9)-10)*$C40</f>
        <v>2.6282131661442008</v>
      </c>
      <c r="P40" s="16">
        <f>0.5+(INDEX('Stat Boosts'!$D$2:$D$192,P$1-9)-10)*$C40</f>
        <v>2.8614420062695927</v>
      </c>
      <c r="Q40" s="16">
        <f>0.5+(INDEX('Stat Boosts'!$D$2:$D$192,Q$1-9)-10)*$C40</f>
        <v>3.0946708463949846</v>
      </c>
      <c r="R40" s="16">
        <f>0.5+(INDEX('Stat Boosts'!$D$2:$D$192,R$1-9)-10)*$C40</f>
        <v>3.327899686520376</v>
      </c>
    </row>
    <row r="41" spans="1:18">
      <c r="A41" s="9">
        <v>40</v>
      </c>
      <c r="B41" s="16">
        <f t="shared" si="0"/>
        <v>30.903225806451612</v>
      </c>
      <c r="C41" s="16">
        <f t="shared" si="1"/>
        <v>2.8703703703703703E-2</v>
      </c>
      <c r="E41" s="16">
        <f>0.5+(INDEX('Stat Boosts'!$D$2:$D$192,E$1-9)-10)*$C41</f>
        <v>0.5</v>
      </c>
      <c r="F41" s="16">
        <f>0.5+(INDEX('Stat Boosts'!$D$2:$D$192,F$1-9)-10)*$C41</f>
        <v>0.70092592592592595</v>
      </c>
      <c r="G41" s="16">
        <f>0.5+(INDEX('Stat Boosts'!$D$2:$D$192,G$1-9)-10)*$C41</f>
        <v>0.9018518518518519</v>
      </c>
      <c r="H41" s="16">
        <f>0.5+(INDEX('Stat Boosts'!$D$2:$D$192,H$1-9)-10)*$C41</f>
        <v>1.1027777777777779</v>
      </c>
      <c r="I41" s="16">
        <f>0.5+(INDEX('Stat Boosts'!$D$2:$D$192,I$1-9)-10)*$C41</f>
        <v>1.2749999999999999</v>
      </c>
      <c r="J41" s="16">
        <f>0.5+(INDEX('Stat Boosts'!$D$2:$D$192,J$1-9)-10)*$C41</f>
        <v>1.4472222222222222</v>
      </c>
      <c r="K41" s="16">
        <f>0.5+(INDEX('Stat Boosts'!$D$2:$D$192,K$1-9)-10)*$C41</f>
        <v>1.8490740740740741</v>
      </c>
      <c r="L41" s="16">
        <f>0.5+(INDEX('Stat Boosts'!$D$2:$D$192,L$1-9)-10)*$C41</f>
        <v>1.9925925925925925</v>
      </c>
      <c r="M41" s="16">
        <f>0.5+(INDEX('Stat Boosts'!$D$2:$D$192,M$1-9)-10)*$C41</f>
        <v>2.1935185185185184</v>
      </c>
      <c r="N41" s="16">
        <f>0.5+(INDEX('Stat Boosts'!$D$2:$D$192,N$1-9)-10)*$C41</f>
        <v>2.4518518518518517</v>
      </c>
      <c r="O41" s="16">
        <f>0.5+(INDEX('Stat Boosts'!$D$2:$D$192,O$1-9)-10)*$C41</f>
        <v>2.5953703703703703</v>
      </c>
      <c r="P41" s="16">
        <f>0.5+(INDEX('Stat Boosts'!$D$2:$D$192,P$1-9)-10)*$C41</f>
        <v>2.8250000000000002</v>
      </c>
      <c r="Q41" s="16">
        <f>0.5+(INDEX('Stat Boosts'!$D$2:$D$192,Q$1-9)-10)*$C41</f>
        <v>3.0546296296296296</v>
      </c>
      <c r="R41" s="16">
        <f>0.5+(INDEX('Stat Boosts'!$D$2:$D$192,R$1-9)-10)*$C41</f>
        <v>3.2842592592592594</v>
      </c>
    </row>
    <row r="42" spans="1:18">
      <c r="A42" s="9">
        <v>41</v>
      </c>
      <c r="B42" s="16">
        <f t="shared" si="0"/>
        <v>31.225806451612904</v>
      </c>
      <c r="C42" s="16">
        <f t="shared" si="1"/>
        <v>2.8267477203647414E-2</v>
      </c>
      <c r="E42" s="16">
        <f>0.5+(INDEX('Stat Boosts'!$D$2:$D$192,E$1-9)-10)*$C42</f>
        <v>0.5</v>
      </c>
      <c r="F42" s="16">
        <f>0.5+(INDEX('Stat Boosts'!$D$2:$D$192,F$1-9)-10)*$C42</f>
        <v>0.69787234042553192</v>
      </c>
      <c r="G42" s="16">
        <f>0.5+(INDEX('Stat Boosts'!$D$2:$D$192,G$1-9)-10)*$C42</f>
        <v>0.89574468085106385</v>
      </c>
      <c r="H42" s="16">
        <f>0.5+(INDEX('Stat Boosts'!$D$2:$D$192,H$1-9)-10)*$C42</f>
        <v>1.0936170212765957</v>
      </c>
      <c r="I42" s="16">
        <f>0.5+(INDEX('Stat Boosts'!$D$2:$D$192,I$1-9)-10)*$C42</f>
        <v>1.2632218844984802</v>
      </c>
      <c r="J42" s="16">
        <f>0.5+(INDEX('Stat Boosts'!$D$2:$D$192,J$1-9)-10)*$C42</f>
        <v>1.4328267477203647</v>
      </c>
      <c r="K42" s="16">
        <f>0.5+(INDEX('Stat Boosts'!$D$2:$D$192,K$1-9)-10)*$C42</f>
        <v>1.8285714285714285</v>
      </c>
      <c r="L42" s="16">
        <f>0.5+(INDEX('Stat Boosts'!$D$2:$D$192,L$1-9)-10)*$C42</f>
        <v>1.9699088145896655</v>
      </c>
      <c r="M42" s="16">
        <f>0.5+(INDEX('Stat Boosts'!$D$2:$D$192,M$1-9)-10)*$C42</f>
        <v>2.1677811550151977</v>
      </c>
      <c r="N42" s="16">
        <f>0.5+(INDEX('Stat Boosts'!$D$2:$D$192,N$1-9)-10)*$C42</f>
        <v>2.422188449848024</v>
      </c>
      <c r="O42" s="16">
        <f>0.5+(INDEX('Stat Boosts'!$D$2:$D$192,O$1-9)-10)*$C42</f>
        <v>2.5635258358662614</v>
      </c>
      <c r="P42" s="16">
        <f>0.5+(INDEX('Stat Boosts'!$D$2:$D$192,P$1-9)-10)*$C42</f>
        <v>2.7896656534954407</v>
      </c>
      <c r="Q42" s="16">
        <f>0.5+(INDEX('Stat Boosts'!$D$2:$D$192,Q$1-9)-10)*$C42</f>
        <v>3.0158054711246201</v>
      </c>
      <c r="R42" s="16">
        <f>0.5+(INDEX('Stat Boosts'!$D$2:$D$192,R$1-9)-10)*$C42</f>
        <v>3.2419452887537989</v>
      </c>
    </row>
    <row r="43" spans="1:18">
      <c r="A43" s="9">
        <v>42</v>
      </c>
      <c r="B43" s="16">
        <f t="shared" si="0"/>
        <v>31.548387096774192</v>
      </c>
      <c r="C43" s="16">
        <f t="shared" si="1"/>
        <v>2.7844311377245509E-2</v>
      </c>
      <c r="E43" s="16">
        <f>0.5+(INDEX('Stat Boosts'!$D$2:$D$192,E$1-9)-10)*$C43</f>
        <v>0.5</v>
      </c>
      <c r="F43" s="16">
        <f>0.5+(INDEX('Stat Boosts'!$D$2:$D$192,F$1-9)-10)*$C43</f>
        <v>0.69491017964071855</v>
      </c>
      <c r="G43" s="16">
        <f>0.5+(INDEX('Stat Boosts'!$D$2:$D$192,G$1-9)-10)*$C43</f>
        <v>0.8898203592814371</v>
      </c>
      <c r="H43" s="16">
        <f>0.5+(INDEX('Stat Boosts'!$D$2:$D$192,H$1-9)-10)*$C43</f>
        <v>1.0847305389221558</v>
      </c>
      <c r="I43" s="16">
        <f>0.5+(INDEX('Stat Boosts'!$D$2:$D$192,I$1-9)-10)*$C43</f>
        <v>1.2517964071856289</v>
      </c>
      <c r="J43" s="16">
        <f>0.5+(INDEX('Stat Boosts'!$D$2:$D$192,J$1-9)-10)*$C43</f>
        <v>1.4188622754491018</v>
      </c>
      <c r="K43" s="16">
        <f>0.5+(INDEX('Stat Boosts'!$D$2:$D$192,K$1-9)-10)*$C43</f>
        <v>1.8086826347305389</v>
      </c>
      <c r="L43" s="16">
        <f>0.5+(INDEX('Stat Boosts'!$D$2:$D$192,L$1-9)-10)*$C43</f>
        <v>1.9479041916167665</v>
      </c>
      <c r="M43" s="16">
        <f>0.5+(INDEX('Stat Boosts'!$D$2:$D$192,M$1-9)-10)*$C43</f>
        <v>2.1428143712574848</v>
      </c>
      <c r="N43" s="16">
        <f>0.5+(INDEX('Stat Boosts'!$D$2:$D$192,N$1-9)-10)*$C43</f>
        <v>2.3934131736526947</v>
      </c>
      <c r="O43" s="16">
        <f>0.5+(INDEX('Stat Boosts'!$D$2:$D$192,O$1-9)-10)*$C43</f>
        <v>2.5326347305389221</v>
      </c>
      <c r="P43" s="16">
        <f>0.5+(INDEX('Stat Boosts'!$D$2:$D$192,P$1-9)-10)*$C43</f>
        <v>2.7553892215568863</v>
      </c>
      <c r="Q43" s="16">
        <f>0.5+(INDEX('Stat Boosts'!$D$2:$D$192,Q$1-9)-10)*$C43</f>
        <v>2.9781437125748504</v>
      </c>
      <c r="R43" s="16">
        <f>0.5+(INDEX('Stat Boosts'!$D$2:$D$192,R$1-9)-10)*$C43</f>
        <v>3.2008982035928142</v>
      </c>
    </row>
    <row r="44" spans="1:18">
      <c r="A44" s="9">
        <v>43</v>
      </c>
      <c r="B44" s="16">
        <f t="shared" si="0"/>
        <v>31.870967741935484</v>
      </c>
      <c r="C44" s="16">
        <f t="shared" si="1"/>
        <v>2.743362831858407E-2</v>
      </c>
      <c r="E44" s="16">
        <f>0.5+(INDEX('Stat Boosts'!$D$2:$D$192,E$1-9)-10)*$C44</f>
        <v>0.5</v>
      </c>
      <c r="F44" s="16">
        <f>0.5+(INDEX('Stat Boosts'!$D$2:$D$192,F$1-9)-10)*$C44</f>
        <v>0.69203539823008853</v>
      </c>
      <c r="G44" s="16">
        <f>0.5+(INDEX('Stat Boosts'!$D$2:$D$192,G$1-9)-10)*$C44</f>
        <v>0.88407079646017706</v>
      </c>
      <c r="H44" s="16">
        <f>0.5+(INDEX('Stat Boosts'!$D$2:$D$192,H$1-9)-10)*$C44</f>
        <v>1.0761061946902655</v>
      </c>
      <c r="I44" s="16">
        <f>0.5+(INDEX('Stat Boosts'!$D$2:$D$192,I$1-9)-10)*$C44</f>
        <v>1.24070796460177</v>
      </c>
      <c r="J44" s="16">
        <f>0.5+(INDEX('Stat Boosts'!$D$2:$D$192,J$1-9)-10)*$C44</f>
        <v>1.4053097345132743</v>
      </c>
      <c r="K44" s="16">
        <f>0.5+(INDEX('Stat Boosts'!$D$2:$D$192,K$1-9)-10)*$C44</f>
        <v>1.7893805309734514</v>
      </c>
      <c r="L44" s="16">
        <f>0.5+(INDEX('Stat Boosts'!$D$2:$D$192,L$1-9)-10)*$C44</f>
        <v>1.9265486725663716</v>
      </c>
      <c r="M44" s="16">
        <f>0.5+(INDEX('Stat Boosts'!$D$2:$D$192,M$1-9)-10)*$C44</f>
        <v>2.1185840707964601</v>
      </c>
      <c r="N44" s="16">
        <f>0.5+(INDEX('Stat Boosts'!$D$2:$D$192,N$1-9)-10)*$C44</f>
        <v>2.3654867256637169</v>
      </c>
      <c r="O44" s="16">
        <f>0.5+(INDEX('Stat Boosts'!$D$2:$D$192,O$1-9)-10)*$C44</f>
        <v>2.5026548672566373</v>
      </c>
      <c r="P44" s="16">
        <f>0.5+(INDEX('Stat Boosts'!$D$2:$D$192,P$1-9)-10)*$C44</f>
        <v>2.7221238938053096</v>
      </c>
      <c r="Q44" s="16">
        <f>0.5+(INDEX('Stat Boosts'!$D$2:$D$192,Q$1-9)-10)*$C44</f>
        <v>2.9415929203539823</v>
      </c>
      <c r="R44" s="16">
        <f>0.5+(INDEX('Stat Boosts'!$D$2:$D$192,R$1-9)-10)*$C44</f>
        <v>3.1610619469026546</v>
      </c>
    </row>
    <row r="45" spans="1:18">
      <c r="A45" s="9">
        <v>44</v>
      </c>
      <c r="B45" s="16">
        <f t="shared" si="0"/>
        <v>32.193548387096776</v>
      </c>
      <c r="C45" s="16">
        <f t="shared" si="1"/>
        <v>2.7034883720930231E-2</v>
      </c>
      <c r="E45" s="16">
        <f>0.5+(INDEX('Stat Boosts'!$D$2:$D$192,E$1-9)-10)*$C45</f>
        <v>0.5</v>
      </c>
      <c r="F45" s="16">
        <f>0.5+(INDEX('Stat Boosts'!$D$2:$D$192,F$1-9)-10)*$C45</f>
        <v>0.68924418604651161</v>
      </c>
      <c r="G45" s="16">
        <f>0.5+(INDEX('Stat Boosts'!$D$2:$D$192,G$1-9)-10)*$C45</f>
        <v>0.87848837209302322</v>
      </c>
      <c r="H45" s="16">
        <f>0.5+(INDEX('Stat Boosts'!$D$2:$D$192,H$1-9)-10)*$C45</f>
        <v>1.0677325581395349</v>
      </c>
      <c r="I45" s="16">
        <f>0.5+(INDEX('Stat Boosts'!$D$2:$D$192,I$1-9)-10)*$C45</f>
        <v>1.2299418604651162</v>
      </c>
      <c r="J45" s="16">
        <f>0.5+(INDEX('Stat Boosts'!$D$2:$D$192,J$1-9)-10)*$C45</f>
        <v>1.3921511627906975</v>
      </c>
      <c r="K45" s="16">
        <f>0.5+(INDEX('Stat Boosts'!$D$2:$D$192,K$1-9)-10)*$C45</f>
        <v>1.7706395348837209</v>
      </c>
      <c r="L45" s="16">
        <f>0.5+(INDEX('Stat Boosts'!$D$2:$D$192,L$1-9)-10)*$C45</f>
        <v>1.905813953488372</v>
      </c>
      <c r="M45" s="16">
        <f>0.5+(INDEX('Stat Boosts'!$D$2:$D$192,M$1-9)-10)*$C45</f>
        <v>2.095058139534884</v>
      </c>
      <c r="N45" s="16">
        <f>0.5+(INDEX('Stat Boosts'!$D$2:$D$192,N$1-9)-10)*$C45</f>
        <v>2.3383720930232554</v>
      </c>
      <c r="O45" s="16">
        <f>0.5+(INDEX('Stat Boosts'!$D$2:$D$192,O$1-9)-10)*$C45</f>
        <v>2.473546511627907</v>
      </c>
      <c r="P45" s="16">
        <f>0.5+(INDEX('Stat Boosts'!$D$2:$D$192,P$1-9)-10)*$C45</f>
        <v>2.6898255813953487</v>
      </c>
      <c r="Q45" s="16">
        <f>0.5+(INDEX('Stat Boosts'!$D$2:$D$192,Q$1-9)-10)*$C45</f>
        <v>2.9061046511627904</v>
      </c>
      <c r="R45" s="16">
        <f>0.5+(INDEX('Stat Boosts'!$D$2:$D$192,R$1-9)-10)*$C45</f>
        <v>3.1223837209302325</v>
      </c>
    </row>
    <row r="46" spans="1:18">
      <c r="A46" s="9">
        <v>45</v>
      </c>
      <c r="B46" s="16">
        <f t="shared" si="0"/>
        <v>32.516129032258064</v>
      </c>
      <c r="C46" s="16">
        <f t="shared" si="1"/>
        <v>2.664756446991404E-2</v>
      </c>
      <c r="E46" s="16">
        <f>0.5+(INDEX('Stat Boosts'!$D$2:$D$192,E$1-9)-10)*$C46</f>
        <v>0.5</v>
      </c>
      <c r="F46" s="16">
        <f>0.5+(INDEX('Stat Boosts'!$D$2:$D$192,F$1-9)-10)*$C46</f>
        <v>0.68653295128939829</v>
      </c>
      <c r="G46" s="16">
        <f>0.5+(INDEX('Stat Boosts'!$D$2:$D$192,G$1-9)-10)*$C46</f>
        <v>0.87306590257879657</v>
      </c>
      <c r="H46" s="16">
        <f>0.5+(INDEX('Stat Boosts'!$D$2:$D$192,H$1-9)-10)*$C46</f>
        <v>1.0595988538681949</v>
      </c>
      <c r="I46" s="16">
        <f>0.5+(INDEX('Stat Boosts'!$D$2:$D$192,I$1-9)-10)*$C46</f>
        <v>1.2194842406876791</v>
      </c>
      <c r="J46" s="16">
        <f>0.5+(INDEX('Stat Boosts'!$D$2:$D$192,J$1-9)-10)*$C46</f>
        <v>1.3793696275071632</v>
      </c>
      <c r="K46" s="16">
        <f>0.5+(INDEX('Stat Boosts'!$D$2:$D$192,K$1-9)-10)*$C46</f>
        <v>1.75243553008596</v>
      </c>
      <c r="L46" s="16">
        <f>0.5+(INDEX('Stat Boosts'!$D$2:$D$192,L$1-9)-10)*$C46</f>
        <v>1.88567335243553</v>
      </c>
      <c r="M46" s="16">
        <f>0.5+(INDEX('Stat Boosts'!$D$2:$D$192,M$1-9)-10)*$C46</f>
        <v>2.0722063037249283</v>
      </c>
      <c r="N46" s="16">
        <f>0.5+(INDEX('Stat Boosts'!$D$2:$D$192,N$1-9)-10)*$C46</f>
        <v>2.3120343839541548</v>
      </c>
      <c r="O46" s="16">
        <f>0.5+(INDEX('Stat Boosts'!$D$2:$D$192,O$1-9)-10)*$C46</f>
        <v>2.4452722063037249</v>
      </c>
      <c r="P46" s="16">
        <f>0.5+(INDEX('Stat Boosts'!$D$2:$D$192,P$1-9)-10)*$C46</f>
        <v>2.6584527220630374</v>
      </c>
      <c r="Q46" s="16">
        <f>0.5+(INDEX('Stat Boosts'!$D$2:$D$192,Q$1-9)-10)*$C46</f>
        <v>2.8716332378223495</v>
      </c>
      <c r="R46" s="16">
        <f>0.5+(INDEX('Stat Boosts'!$D$2:$D$192,R$1-9)-10)*$C46</f>
        <v>3.084813753581662</v>
      </c>
    </row>
    <row r="47" spans="1:18">
      <c r="A47" s="9">
        <v>46</v>
      </c>
      <c r="B47" s="16">
        <f t="shared" si="0"/>
        <v>32.838709677419352</v>
      </c>
      <c r="C47" s="16">
        <f t="shared" si="1"/>
        <v>2.6271186440677968E-2</v>
      </c>
      <c r="E47" s="16">
        <f>0.5+(INDEX('Stat Boosts'!$D$2:$D$192,E$1-9)-10)*$C47</f>
        <v>0.5</v>
      </c>
      <c r="F47" s="16">
        <f>0.5+(INDEX('Stat Boosts'!$D$2:$D$192,F$1-9)-10)*$C47</f>
        <v>0.68389830508474581</v>
      </c>
      <c r="G47" s="16">
        <f>0.5+(INDEX('Stat Boosts'!$D$2:$D$192,G$1-9)-10)*$C47</f>
        <v>0.86779661016949161</v>
      </c>
      <c r="H47" s="16">
        <f>0.5+(INDEX('Stat Boosts'!$D$2:$D$192,H$1-9)-10)*$C47</f>
        <v>1.0516949152542372</v>
      </c>
      <c r="I47" s="16">
        <f>0.5+(INDEX('Stat Boosts'!$D$2:$D$192,I$1-9)-10)*$C47</f>
        <v>1.2093220338983053</v>
      </c>
      <c r="J47" s="16">
        <f>0.5+(INDEX('Stat Boosts'!$D$2:$D$192,J$1-9)-10)*$C47</f>
        <v>1.3669491525423729</v>
      </c>
      <c r="K47" s="16">
        <f>0.5+(INDEX('Stat Boosts'!$D$2:$D$192,K$1-9)-10)*$C47</f>
        <v>1.7347457627118645</v>
      </c>
      <c r="L47" s="16">
        <f>0.5+(INDEX('Stat Boosts'!$D$2:$D$192,L$1-9)-10)*$C47</f>
        <v>1.8661016949152542</v>
      </c>
      <c r="M47" s="16">
        <f>0.5+(INDEX('Stat Boosts'!$D$2:$D$192,M$1-9)-10)*$C47</f>
        <v>2.0499999999999998</v>
      </c>
      <c r="N47" s="16">
        <f>0.5+(INDEX('Stat Boosts'!$D$2:$D$192,N$1-9)-10)*$C47</f>
        <v>2.2864406779661017</v>
      </c>
      <c r="O47" s="16">
        <f>0.5+(INDEX('Stat Boosts'!$D$2:$D$192,O$1-9)-10)*$C47</f>
        <v>2.4177966101694919</v>
      </c>
      <c r="P47" s="16">
        <f>0.5+(INDEX('Stat Boosts'!$D$2:$D$192,P$1-9)-10)*$C47</f>
        <v>2.6279661016949154</v>
      </c>
      <c r="Q47" s="16">
        <f>0.5+(INDEX('Stat Boosts'!$D$2:$D$192,Q$1-9)-10)*$C47</f>
        <v>2.8381355932203394</v>
      </c>
      <c r="R47" s="16">
        <f>0.5+(INDEX('Stat Boosts'!$D$2:$D$192,R$1-9)-10)*$C47</f>
        <v>3.0483050847457629</v>
      </c>
    </row>
    <row r="48" spans="1:18">
      <c r="A48" s="9">
        <v>47</v>
      </c>
      <c r="B48" s="16">
        <f t="shared" si="0"/>
        <v>33.161290322580641</v>
      </c>
      <c r="C48" s="16">
        <f t="shared" si="1"/>
        <v>2.5905292479108638E-2</v>
      </c>
      <c r="E48" s="16">
        <f>0.5+(INDEX('Stat Boosts'!$D$2:$D$192,E$1-9)-10)*$C48</f>
        <v>0.5</v>
      </c>
      <c r="F48" s="16">
        <f>0.5+(INDEX('Stat Boosts'!$D$2:$D$192,F$1-9)-10)*$C48</f>
        <v>0.68133704735376044</v>
      </c>
      <c r="G48" s="16">
        <f>0.5+(INDEX('Stat Boosts'!$D$2:$D$192,G$1-9)-10)*$C48</f>
        <v>0.86267409470752088</v>
      </c>
      <c r="H48" s="16">
        <f>0.5+(INDEX('Stat Boosts'!$D$2:$D$192,H$1-9)-10)*$C48</f>
        <v>1.0440111420612814</v>
      </c>
      <c r="I48" s="16">
        <f>0.5+(INDEX('Stat Boosts'!$D$2:$D$192,I$1-9)-10)*$C48</f>
        <v>1.1994428969359332</v>
      </c>
      <c r="J48" s="16">
        <f>0.5+(INDEX('Stat Boosts'!$D$2:$D$192,J$1-9)-10)*$C48</f>
        <v>1.3548746518105852</v>
      </c>
      <c r="K48" s="16">
        <f>0.5+(INDEX('Stat Boosts'!$D$2:$D$192,K$1-9)-10)*$C48</f>
        <v>1.7175487465181061</v>
      </c>
      <c r="L48" s="16">
        <f>0.5+(INDEX('Stat Boosts'!$D$2:$D$192,L$1-9)-10)*$C48</f>
        <v>1.8470752089136493</v>
      </c>
      <c r="M48" s="16">
        <f>0.5+(INDEX('Stat Boosts'!$D$2:$D$192,M$1-9)-10)*$C48</f>
        <v>2.0284122562674094</v>
      </c>
      <c r="N48" s="16">
        <f>0.5+(INDEX('Stat Boosts'!$D$2:$D$192,N$1-9)-10)*$C48</f>
        <v>2.2615598885793875</v>
      </c>
      <c r="O48" s="16">
        <f>0.5+(INDEX('Stat Boosts'!$D$2:$D$192,O$1-9)-10)*$C48</f>
        <v>2.3910863509749305</v>
      </c>
      <c r="P48" s="16">
        <f>0.5+(INDEX('Stat Boosts'!$D$2:$D$192,P$1-9)-10)*$C48</f>
        <v>2.5983286908077998</v>
      </c>
      <c r="Q48" s="16">
        <f>0.5+(INDEX('Stat Boosts'!$D$2:$D$192,Q$1-9)-10)*$C48</f>
        <v>2.8055710306406687</v>
      </c>
      <c r="R48" s="16">
        <f>0.5+(INDEX('Stat Boosts'!$D$2:$D$192,R$1-9)-10)*$C48</f>
        <v>3.012813370473538</v>
      </c>
    </row>
    <row r="49" spans="1:18">
      <c r="A49" s="9">
        <v>48</v>
      </c>
      <c r="B49" s="16">
        <f t="shared" si="0"/>
        <v>33.483870967741936</v>
      </c>
      <c r="C49" s="16">
        <f t="shared" si="1"/>
        <v>2.5549450549450549E-2</v>
      </c>
      <c r="E49" s="16">
        <f>0.5+(INDEX('Stat Boosts'!$D$2:$D$192,E$1-9)-10)*$C49</f>
        <v>0.5</v>
      </c>
      <c r="F49" s="16">
        <f>0.5+(INDEX('Stat Boosts'!$D$2:$D$192,F$1-9)-10)*$C49</f>
        <v>0.67884615384615388</v>
      </c>
      <c r="G49" s="16">
        <f>0.5+(INDEX('Stat Boosts'!$D$2:$D$192,G$1-9)-10)*$C49</f>
        <v>0.85769230769230775</v>
      </c>
      <c r="H49" s="16">
        <f>0.5+(INDEX('Stat Boosts'!$D$2:$D$192,H$1-9)-10)*$C49</f>
        <v>1.0365384615384614</v>
      </c>
      <c r="I49" s="16">
        <f>0.5+(INDEX('Stat Boosts'!$D$2:$D$192,I$1-9)-10)*$C49</f>
        <v>1.1898351648351648</v>
      </c>
      <c r="J49" s="16">
        <f>0.5+(INDEX('Stat Boosts'!$D$2:$D$192,J$1-9)-10)*$C49</f>
        <v>1.3431318681318682</v>
      </c>
      <c r="K49" s="16">
        <f>0.5+(INDEX('Stat Boosts'!$D$2:$D$192,K$1-9)-10)*$C49</f>
        <v>1.7008241758241758</v>
      </c>
      <c r="L49" s="16">
        <f>0.5+(INDEX('Stat Boosts'!$D$2:$D$192,L$1-9)-10)*$C49</f>
        <v>1.8285714285714285</v>
      </c>
      <c r="M49" s="16">
        <f>0.5+(INDEX('Stat Boosts'!$D$2:$D$192,M$1-9)-10)*$C49</f>
        <v>2.0074175824175824</v>
      </c>
      <c r="N49" s="16">
        <f>0.5+(INDEX('Stat Boosts'!$D$2:$D$192,N$1-9)-10)*$C49</f>
        <v>2.2373626373626374</v>
      </c>
      <c r="O49" s="16">
        <f>0.5+(INDEX('Stat Boosts'!$D$2:$D$192,O$1-9)-10)*$C49</f>
        <v>2.3651098901098901</v>
      </c>
      <c r="P49" s="16">
        <f>0.5+(INDEX('Stat Boosts'!$D$2:$D$192,P$1-9)-10)*$C49</f>
        <v>2.5695054945054943</v>
      </c>
      <c r="Q49" s="16">
        <f>0.5+(INDEX('Stat Boosts'!$D$2:$D$192,Q$1-9)-10)*$C49</f>
        <v>2.7739010989010988</v>
      </c>
      <c r="R49" s="16">
        <f>0.5+(INDEX('Stat Boosts'!$D$2:$D$192,R$1-9)-10)*$C49</f>
        <v>2.9782967032967034</v>
      </c>
    </row>
    <row r="50" spans="1:18">
      <c r="A50" s="9">
        <v>49</v>
      </c>
      <c r="B50" s="16">
        <f t="shared" si="0"/>
        <v>33.806451612903224</v>
      </c>
      <c r="C50" s="16">
        <f t="shared" si="1"/>
        <v>2.5203252032520326E-2</v>
      </c>
      <c r="E50" s="16">
        <f>0.5+(INDEX('Stat Boosts'!$D$2:$D$192,E$1-9)-10)*$C50</f>
        <v>0.5</v>
      </c>
      <c r="F50" s="16">
        <f>0.5+(INDEX('Stat Boosts'!$D$2:$D$192,F$1-9)-10)*$C50</f>
        <v>0.67642276422764225</v>
      </c>
      <c r="G50" s="16">
        <f>0.5+(INDEX('Stat Boosts'!$D$2:$D$192,G$1-9)-10)*$C50</f>
        <v>0.8528455284552845</v>
      </c>
      <c r="H50" s="16">
        <f>0.5+(INDEX('Stat Boosts'!$D$2:$D$192,H$1-9)-10)*$C50</f>
        <v>1.0292682926829269</v>
      </c>
      <c r="I50" s="16">
        <f>0.5+(INDEX('Stat Boosts'!$D$2:$D$192,I$1-9)-10)*$C50</f>
        <v>1.1804878048780489</v>
      </c>
      <c r="J50" s="16">
        <f>0.5+(INDEX('Stat Boosts'!$D$2:$D$192,J$1-9)-10)*$C50</f>
        <v>1.3317073170731706</v>
      </c>
      <c r="K50" s="16">
        <f>0.5+(INDEX('Stat Boosts'!$D$2:$D$192,K$1-9)-10)*$C50</f>
        <v>1.6845528455284553</v>
      </c>
      <c r="L50" s="16">
        <f>0.5+(INDEX('Stat Boosts'!$D$2:$D$192,L$1-9)-10)*$C50</f>
        <v>1.8105691056910569</v>
      </c>
      <c r="M50" s="16">
        <f>0.5+(INDEX('Stat Boosts'!$D$2:$D$192,M$1-9)-10)*$C50</f>
        <v>1.9869918699186992</v>
      </c>
      <c r="N50" s="16">
        <f>0.5+(INDEX('Stat Boosts'!$D$2:$D$192,N$1-9)-10)*$C50</f>
        <v>2.2138211382113822</v>
      </c>
      <c r="O50" s="16">
        <f>0.5+(INDEX('Stat Boosts'!$D$2:$D$192,O$1-9)-10)*$C50</f>
        <v>2.3398373983739837</v>
      </c>
      <c r="P50" s="16">
        <f>0.5+(INDEX('Stat Boosts'!$D$2:$D$192,P$1-9)-10)*$C50</f>
        <v>2.5414634146341464</v>
      </c>
      <c r="Q50" s="16">
        <f>0.5+(INDEX('Stat Boosts'!$D$2:$D$192,Q$1-9)-10)*$C50</f>
        <v>2.743089430894309</v>
      </c>
      <c r="R50" s="16">
        <f>0.5+(INDEX('Stat Boosts'!$D$2:$D$192,R$1-9)-10)*$C50</f>
        <v>2.9447154471544716</v>
      </c>
    </row>
    <row r="51" spans="1:18">
      <c r="A51" s="9">
        <v>50</v>
      </c>
      <c r="B51" s="16">
        <f t="shared" si="0"/>
        <v>34.129032258064512</v>
      </c>
      <c r="C51" s="16">
        <f t="shared" si="1"/>
        <v>2.4866310160427809E-2</v>
      </c>
      <c r="E51" s="16">
        <f>0.5+(INDEX('Stat Boosts'!$D$2:$D$192,E$1-9)-10)*$C51</f>
        <v>0.5</v>
      </c>
      <c r="F51" s="16">
        <f>0.5+(INDEX('Stat Boosts'!$D$2:$D$192,F$1-9)-10)*$C51</f>
        <v>0.67406417112299466</v>
      </c>
      <c r="G51" s="16">
        <f>0.5+(INDEX('Stat Boosts'!$D$2:$D$192,G$1-9)-10)*$C51</f>
        <v>0.84812834224598932</v>
      </c>
      <c r="H51" s="16">
        <f>0.5+(INDEX('Stat Boosts'!$D$2:$D$192,H$1-9)-10)*$C51</f>
        <v>1.022192513368984</v>
      </c>
      <c r="I51" s="16">
        <f>0.5+(INDEX('Stat Boosts'!$D$2:$D$192,I$1-9)-10)*$C51</f>
        <v>1.1713903743315508</v>
      </c>
      <c r="J51" s="16">
        <f>0.5+(INDEX('Stat Boosts'!$D$2:$D$192,J$1-9)-10)*$C51</f>
        <v>1.3205882352941178</v>
      </c>
      <c r="K51" s="16">
        <f>0.5+(INDEX('Stat Boosts'!$D$2:$D$192,K$1-9)-10)*$C51</f>
        <v>1.6687165775401069</v>
      </c>
      <c r="L51" s="16">
        <f>0.5+(INDEX('Stat Boosts'!$D$2:$D$192,L$1-9)-10)*$C51</f>
        <v>1.7930481283422461</v>
      </c>
      <c r="M51" s="16">
        <f>0.5+(INDEX('Stat Boosts'!$D$2:$D$192,M$1-9)-10)*$C51</f>
        <v>1.9671122994652408</v>
      </c>
      <c r="N51" s="16">
        <f>0.5+(INDEX('Stat Boosts'!$D$2:$D$192,N$1-9)-10)*$C51</f>
        <v>2.1909090909090909</v>
      </c>
      <c r="O51" s="16">
        <f>0.5+(INDEX('Stat Boosts'!$D$2:$D$192,O$1-9)-10)*$C51</f>
        <v>2.3152406417112301</v>
      </c>
      <c r="P51" s="16">
        <f>0.5+(INDEX('Stat Boosts'!$D$2:$D$192,P$1-9)-10)*$C51</f>
        <v>2.5141711229946524</v>
      </c>
      <c r="Q51" s="16">
        <f>0.5+(INDEX('Stat Boosts'!$D$2:$D$192,Q$1-9)-10)*$C51</f>
        <v>2.7131016042780751</v>
      </c>
      <c r="R51" s="16">
        <f>0.5+(INDEX('Stat Boosts'!$D$2:$D$192,R$1-9)-10)*$C51</f>
        <v>2.9120320855614974</v>
      </c>
    </row>
    <row r="52" spans="1:18">
      <c r="A52" s="9">
        <v>51</v>
      </c>
      <c r="B52" s="16">
        <f t="shared" si="0"/>
        <v>34.451612903225808</v>
      </c>
      <c r="C52" s="16">
        <f t="shared" si="1"/>
        <v>2.4538258575197886E-2</v>
      </c>
      <c r="E52" s="16">
        <f>0.5+(INDEX('Stat Boosts'!$D$2:$D$192,E$1-9)-10)*$C52</f>
        <v>0.5</v>
      </c>
      <c r="F52" s="16">
        <f>0.5+(INDEX('Stat Boosts'!$D$2:$D$192,F$1-9)-10)*$C52</f>
        <v>0.67176781002638519</v>
      </c>
      <c r="G52" s="16">
        <f>0.5+(INDEX('Stat Boosts'!$D$2:$D$192,G$1-9)-10)*$C52</f>
        <v>0.84353562005277039</v>
      </c>
      <c r="H52" s="16">
        <f>0.5+(INDEX('Stat Boosts'!$D$2:$D$192,H$1-9)-10)*$C52</f>
        <v>1.0153034300791557</v>
      </c>
      <c r="I52" s="16">
        <f>0.5+(INDEX('Stat Boosts'!$D$2:$D$192,I$1-9)-10)*$C52</f>
        <v>1.1625329815303429</v>
      </c>
      <c r="J52" s="16">
        <f>0.5+(INDEX('Stat Boosts'!$D$2:$D$192,J$1-9)-10)*$C52</f>
        <v>1.3097625329815301</v>
      </c>
      <c r="K52" s="16">
        <f>0.5+(INDEX('Stat Boosts'!$D$2:$D$192,K$1-9)-10)*$C52</f>
        <v>1.6532981530343007</v>
      </c>
      <c r="L52" s="16">
        <f>0.5+(INDEX('Stat Boosts'!$D$2:$D$192,L$1-9)-10)*$C52</f>
        <v>1.7759894459102901</v>
      </c>
      <c r="M52" s="16">
        <f>0.5+(INDEX('Stat Boosts'!$D$2:$D$192,M$1-9)-10)*$C52</f>
        <v>1.9477572559366754</v>
      </c>
      <c r="N52" s="16">
        <f>0.5+(INDEX('Stat Boosts'!$D$2:$D$192,N$1-9)-10)*$C52</f>
        <v>2.168601583113456</v>
      </c>
      <c r="O52" s="16">
        <f>0.5+(INDEX('Stat Boosts'!$D$2:$D$192,O$1-9)-10)*$C52</f>
        <v>2.2912928759894458</v>
      </c>
      <c r="P52" s="16">
        <f>0.5+(INDEX('Stat Boosts'!$D$2:$D$192,P$1-9)-10)*$C52</f>
        <v>2.4875989445910287</v>
      </c>
      <c r="Q52" s="16">
        <f>0.5+(INDEX('Stat Boosts'!$D$2:$D$192,Q$1-9)-10)*$C52</f>
        <v>2.6839050131926117</v>
      </c>
      <c r="R52" s="16">
        <f>0.5+(INDEX('Stat Boosts'!$D$2:$D$192,R$1-9)-10)*$C52</f>
        <v>2.880211081794195</v>
      </c>
    </row>
    <row r="53" spans="1:18">
      <c r="A53" s="9">
        <v>52</v>
      </c>
      <c r="B53" s="16">
        <f t="shared" si="0"/>
        <v>34.774193548387096</v>
      </c>
      <c r="C53" s="16">
        <f t="shared" si="1"/>
        <v>2.4218750000000001E-2</v>
      </c>
      <c r="E53" s="16">
        <f>0.5+(INDEX('Stat Boosts'!$D$2:$D$192,E$1-9)-10)*$C53</f>
        <v>0.5</v>
      </c>
      <c r="F53" s="16">
        <f>0.5+(INDEX('Stat Boosts'!$D$2:$D$192,F$1-9)-10)*$C53</f>
        <v>0.66953125000000002</v>
      </c>
      <c r="G53" s="16">
        <f>0.5+(INDEX('Stat Boosts'!$D$2:$D$192,G$1-9)-10)*$C53</f>
        <v>0.83906250000000004</v>
      </c>
      <c r="H53" s="16">
        <f>0.5+(INDEX('Stat Boosts'!$D$2:$D$192,H$1-9)-10)*$C53</f>
        <v>1.0085937500000002</v>
      </c>
      <c r="I53" s="16">
        <f>0.5+(INDEX('Stat Boosts'!$D$2:$D$192,I$1-9)-10)*$C53</f>
        <v>1.1539062499999999</v>
      </c>
      <c r="J53" s="16">
        <f>0.5+(INDEX('Stat Boosts'!$D$2:$D$192,J$1-9)-10)*$C53</f>
        <v>1.2992187500000001</v>
      </c>
      <c r="K53" s="16">
        <f>0.5+(INDEX('Stat Boosts'!$D$2:$D$192,K$1-9)-10)*$C53</f>
        <v>1.6382812500000001</v>
      </c>
      <c r="L53" s="16">
        <f>0.5+(INDEX('Stat Boosts'!$D$2:$D$192,L$1-9)-10)*$C53</f>
        <v>1.7593750000000001</v>
      </c>
      <c r="M53" s="16">
        <f>0.5+(INDEX('Stat Boosts'!$D$2:$D$192,M$1-9)-10)*$C53</f>
        <v>1.92890625</v>
      </c>
      <c r="N53" s="16">
        <f>0.5+(INDEX('Stat Boosts'!$D$2:$D$192,N$1-9)-10)*$C53</f>
        <v>2.1468750000000001</v>
      </c>
      <c r="O53" s="16">
        <f>0.5+(INDEX('Stat Boosts'!$D$2:$D$192,O$1-9)-10)*$C53</f>
        <v>2.2679687500000001</v>
      </c>
      <c r="P53" s="16">
        <f>0.5+(INDEX('Stat Boosts'!$D$2:$D$192,P$1-9)-10)*$C53</f>
        <v>2.4617187500000002</v>
      </c>
      <c r="Q53" s="16">
        <f>0.5+(INDEX('Stat Boosts'!$D$2:$D$192,Q$1-9)-10)*$C53</f>
        <v>2.6554687500000003</v>
      </c>
      <c r="R53" s="16">
        <f>0.5+(INDEX('Stat Boosts'!$D$2:$D$192,R$1-9)-10)*$C53</f>
        <v>2.8492187499999999</v>
      </c>
    </row>
    <row r="54" spans="1:18">
      <c r="A54" s="9">
        <v>53</v>
      </c>
      <c r="B54" s="16">
        <f t="shared" si="0"/>
        <v>35.096774193548384</v>
      </c>
      <c r="C54" s="16">
        <f t="shared" si="1"/>
        <v>2.3907455012853473E-2</v>
      </c>
      <c r="E54" s="16">
        <f>0.5+(INDEX('Stat Boosts'!$D$2:$D$192,E$1-9)-10)*$C54</f>
        <v>0.5</v>
      </c>
      <c r="F54" s="16">
        <f>0.5+(INDEX('Stat Boosts'!$D$2:$D$192,F$1-9)-10)*$C54</f>
        <v>0.66735218508997429</v>
      </c>
      <c r="G54" s="16">
        <f>0.5+(INDEX('Stat Boosts'!$D$2:$D$192,G$1-9)-10)*$C54</f>
        <v>0.83470437017994858</v>
      </c>
      <c r="H54" s="16">
        <f>0.5+(INDEX('Stat Boosts'!$D$2:$D$192,H$1-9)-10)*$C54</f>
        <v>1.002056555269923</v>
      </c>
      <c r="I54" s="16">
        <f>0.5+(INDEX('Stat Boosts'!$D$2:$D$192,I$1-9)-10)*$C54</f>
        <v>1.1455012853470437</v>
      </c>
      <c r="J54" s="16">
        <f>0.5+(INDEX('Stat Boosts'!$D$2:$D$192,J$1-9)-10)*$C54</f>
        <v>1.2889460154241648</v>
      </c>
      <c r="K54" s="16">
        <f>0.5+(INDEX('Stat Boosts'!$D$2:$D$192,K$1-9)-10)*$C54</f>
        <v>1.6236503856041131</v>
      </c>
      <c r="L54" s="16">
        <f>0.5+(INDEX('Stat Boosts'!$D$2:$D$192,L$1-9)-10)*$C54</f>
        <v>1.7431876606683805</v>
      </c>
      <c r="M54" s="16">
        <f>0.5+(INDEX('Stat Boosts'!$D$2:$D$192,M$1-9)-10)*$C54</f>
        <v>1.9105398457583549</v>
      </c>
      <c r="N54" s="16">
        <f>0.5+(INDEX('Stat Boosts'!$D$2:$D$192,N$1-9)-10)*$C54</f>
        <v>2.1257069408740361</v>
      </c>
      <c r="O54" s="16">
        <f>0.5+(INDEX('Stat Boosts'!$D$2:$D$192,O$1-9)-10)*$C54</f>
        <v>2.2452442159383033</v>
      </c>
      <c r="P54" s="16">
        <f>0.5+(INDEX('Stat Boosts'!$D$2:$D$192,P$1-9)-10)*$C54</f>
        <v>2.4365038560411314</v>
      </c>
      <c r="Q54" s="16">
        <f>0.5+(INDEX('Stat Boosts'!$D$2:$D$192,Q$1-9)-10)*$C54</f>
        <v>2.6277634961439591</v>
      </c>
      <c r="R54" s="16">
        <f>0.5+(INDEX('Stat Boosts'!$D$2:$D$192,R$1-9)-10)*$C54</f>
        <v>2.8190231362467868</v>
      </c>
    </row>
    <row r="55" spans="1:18">
      <c r="A55" s="9">
        <v>54</v>
      </c>
      <c r="B55" s="16">
        <f t="shared" si="0"/>
        <v>35.41935483870968</v>
      </c>
      <c r="C55" s="16">
        <f t="shared" si="1"/>
        <v>2.360406091370558E-2</v>
      </c>
      <c r="E55" s="16">
        <f>0.5+(INDEX('Stat Boosts'!$D$2:$D$192,E$1-9)-10)*$C55</f>
        <v>0.5</v>
      </c>
      <c r="F55" s="16">
        <f>0.5+(INDEX('Stat Boosts'!$D$2:$D$192,F$1-9)-10)*$C55</f>
        <v>0.66522842639593904</v>
      </c>
      <c r="G55" s="16">
        <f>0.5+(INDEX('Stat Boosts'!$D$2:$D$192,G$1-9)-10)*$C55</f>
        <v>0.83045685279187809</v>
      </c>
      <c r="H55" s="16">
        <f>0.5+(INDEX('Stat Boosts'!$D$2:$D$192,H$1-9)-10)*$C55</f>
        <v>0.99568527918781724</v>
      </c>
      <c r="I55" s="16">
        <f>0.5+(INDEX('Stat Boosts'!$D$2:$D$192,I$1-9)-10)*$C55</f>
        <v>1.1373096446700508</v>
      </c>
      <c r="J55" s="16">
        <f>0.5+(INDEX('Stat Boosts'!$D$2:$D$192,J$1-9)-10)*$C55</f>
        <v>1.2789340101522841</v>
      </c>
      <c r="K55" s="16">
        <f>0.5+(INDEX('Stat Boosts'!$D$2:$D$192,K$1-9)-10)*$C55</f>
        <v>1.6093908629441622</v>
      </c>
      <c r="L55" s="16">
        <f>0.5+(INDEX('Stat Boosts'!$D$2:$D$192,L$1-9)-10)*$C55</f>
        <v>1.7274111675126902</v>
      </c>
      <c r="M55" s="16">
        <f>0.5+(INDEX('Stat Boosts'!$D$2:$D$192,M$1-9)-10)*$C55</f>
        <v>1.8926395939086291</v>
      </c>
      <c r="N55" s="16">
        <f>0.5+(INDEX('Stat Boosts'!$D$2:$D$192,N$1-9)-10)*$C55</f>
        <v>2.1050761421319795</v>
      </c>
      <c r="O55" s="16">
        <f>0.5+(INDEX('Stat Boosts'!$D$2:$D$192,O$1-9)-10)*$C55</f>
        <v>2.2230964467005072</v>
      </c>
      <c r="P55" s="16">
        <f>0.5+(INDEX('Stat Boosts'!$D$2:$D$192,P$1-9)-10)*$C55</f>
        <v>2.411928934010152</v>
      </c>
      <c r="Q55" s="16">
        <f>0.5+(INDEX('Stat Boosts'!$D$2:$D$192,Q$1-9)-10)*$C55</f>
        <v>2.6007614213197967</v>
      </c>
      <c r="R55" s="16">
        <f>0.5+(INDEX('Stat Boosts'!$D$2:$D$192,R$1-9)-10)*$C55</f>
        <v>2.789593908629441</v>
      </c>
    </row>
    <row r="56" spans="1:18">
      <c r="A56" s="9">
        <v>55</v>
      </c>
      <c r="B56" s="16">
        <f t="shared" si="0"/>
        <v>35.741935483870968</v>
      </c>
      <c r="C56" s="16">
        <f t="shared" si="1"/>
        <v>2.3308270676691729E-2</v>
      </c>
      <c r="E56" s="16">
        <f>0.5+(INDEX('Stat Boosts'!$D$2:$D$192,E$1-9)-10)*$C56</f>
        <v>0.5</v>
      </c>
      <c r="F56" s="16">
        <f>0.5+(INDEX('Stat Boosts'!$D$2:$D$192,F$1-9)-10)*$C56</f>
        <v>0.66315789473684217</v>
      </c>
      <c r="G56" s="16">
        <f>0.5+(INDEX('Stat Boosts'!$D$2:$D$192,G$1-9)-10)*$C56</f>
        <v>0.82631578947368423</v>
      </c>
      <c r="H56" s="16">
        <f>0.5+(INDEX('Stat Boosts'!$D$2:$D$192,H$1-9)-10)*$C56</f>
        <v>0.98947368421052628</v>
      </c>
      <c r="I56" s="16">
        <f>0.5+(INDEX('Stat Boosts'!$D$2:$D$192,I$1-9)-10)*$C56</f>
        <v>1.1293233082706768</v>
      </c>
      <c r="J56" s="16">
        <f>0.5+(INDEX('Stat Boosts'!$D$2:$D$192,J$1-9)-10)*$C56</f>
        <v>1.269172932330827</v>
      </c>
      <c r="K56" s="16">
        <f>0.5+(INDEX('Stat Boosts'!$D$2:$D$192,K$1-9)-10)*$C56</f>
        <v>1.5954887218045113</v>
      </c>
      <c r="L56" s="16">
        <f>0.5+(INDEX('Stat Boosts'!$D$2:$D$192,L$1-9)-10)*$C56</f>
        <v>1.71203007518797</v>
      </c>
      <c r="M56" s="16">
        <f>0.5+(INDEX('Stat Boosts'!$D$2:$D$192,M$1-9)-10)*$C56</f>
        <v>1.875187969924812</v>
      </c>
      <c r="N56" s="16">
        <f>0.5+(INDEX('Stat Boosts'!$D$2:$D$192,N$1-9)-10)*$C56</f>
        <v>2.0849624060150376</v>
      </c>
      <c r="O56" s="16">
        <f>0.5+(INDEX('Stat Boosts'!$D$2:$D$192,O$1-9)-10)*$C56</f>
        <v>2.2015037593984963</v>
      </c>
      <c r="P56" s="16">
        <f>0.5+(INDEX('Stat Boosts'!$D$2:$D$192,P$1-9)-10)*$C56</f>
        <v>2.3879699248120301</v>
      </c>
      <c r="Q56" s="16">
        <f>0.5+(INDEX('Stat Boosts'!$D$2:$D$192,Q$1-9)-10)*$C56</f>
        <v>2.5744360902255639</v>
      </c>
      <c r="R56" s="16">
        <f>0.5+(INDEX('Stat Boosts'!$D$2:$D$192,R$1-9)-10)*$C56</f>
        <v>2.7609022556390976</v>
      </c>
    </row>
    <row r="57" spans="1:18">
      <c r="A57" s="9">
        <v>56</v>
      </c>
      <c r="B57" s="16">
        <f t="shared" si="0"/>
        <v>36.064516129032256</v>
      </c>
      <c r="C57" s="16">
        <f t="shared" si="1"/>
        <v>2.3019801980198019E-2</v>
      </c>
      <c r="E57" s="16">
        <f>0.5+(INDEX('Stat Boosts'!$D$2:$D$192,E$1-9)-10)*$C57</f>
        <v>0.5</v>
      </c>
      <c r="F57" s="16">
        <f>0.5+(INDEX('Stat Boosts'!$D$2:$D$192,F$1-9)-10)*$C57</f>
        <v>0.66113861386138617</v>
      </c>
      <c r="G57" s="16">
        <f>0.5+(INDEX('Stat Boosts'!$D$2:$D$192,G$1-9)-10)*$C57</f>
        <v>0.82227722772277234</v>
      </c>
      <c r="H57" s="16">
        <f>0.5+(INDEX('Stat Boosts'!$D$2:$D$192,H$1-9)-10)*$C57</f>
        <v>0.9834158415841584</v>
      </c>
      <c r="I57" s="16">
        <f>0.5+(INDEX('Stat Boosts'!$D$2:$D$192,I$1-9)-10)*$C57</f>
        <v>1.1215346534653465</v>
      </c>
      <c r="J57" s="16">
        <f>0.5+(INDEX('Stat Boosts'!$D$2:$D$192,J$1-9)-10)*$C57</f>
        <v>1.2596534653465348</v>
      </c>
      <c r="K57" s="16">
        <f>0.5+(INDEX('Stat Boosts'!$D$2:$D$192,K$1-9)-10)*$C57</f>
        <v>1.5819306930693069</v>
      </c>
      <c r="L57" s="16">
        <f>0.5+(INDEX('Stat Boosts'!$D$2:$D$192,L$1-9)-10)*$C57</f>
        <v>1.697029702970297</v>
      </c>
      <c r="M57" s="16">
        <f>0.5+(INDEX('Stat Boosts'!$D$2:$D$192,M$1-9)-10)*$C57</f>
        <v>1.8581683168316832</v>
      </c>
      <c r="N57" s="16">
        <f>0.5+(INDEX('Stat Boosts'!$D$2:$D$192,N$1-9)-10)*$C57</f>
        <v>2.0653465346534654</v>
      </c>
      <c r="O57" s="16">
        <f>0.5+(INDEX('Stat Boosts'!$D$2:$D$192,O$1-9)-10)*$C57</f>
        <v>2.1804455445544555</v>
      </c>
      <c r="P57" s="16">
        <f>0.5+(INDEX('Stat Boosts'!$D$2:$D$192,P$1-9)-10)*$C57</f>
        <v>2.3646039603960398</v>
      </c>
      <c r="Q57" s="16">
        <f>0.5+(INDEX('Stat Boosts'!$D$2:$D$192,Q$1-9)-10)*$C57</f>
        <v>2.5487623762376237</v>
      </c>
      <c r="R57" s="16">
        <f>0.5+(INDEX('Stat Boosts'!$D$2:$D$192,R$1-9)-10)*$C57</f>
        <v>2.732920792079208</v>
      </c>
    </row>
    <row r="58" spans="1:18">
      <c r="A58" s="9">
        <v>57</v>
      </c>
      <c r="B58" s="16">
        <f t="shared" si="0"/>
        <v>36.387096774193552</v>
      </c>
      <c r="C58" s="16">
        <f t="shared" si="1"/>
        <v>2.2738386308068455E-2</v>
      </c>
      <c r="E58" s="16">
        <f>0.5+(INDEX('Stat Boosts'!$D$2:$D$192,E$1-9)-10)*$C58</f>
        <v>0.5</v>
      </c>
      <c r="F58" s="16">
        <f>0.5+(INDEX('Stat Boosts'!$D$2:$D$192,F$1-9)-10)*$C58</f>
        <v>0.65916870415647921</v>
      </c>
      <c r="G58" s="16">
        <f>0.5+(INDEX('Stat Boosts'!$D$2:$D$192,G$1-9)-10)*$C58</f>
        <v>0.81833740831295843</v>
      </c>
      <c r="H58" s="16">
        <f>0.5+(INDEX('Stat Boosts'!$D$2:$D$192,H$1-9)-10)*$C58</f>
        <v>0.97750611246943753</v>
      </c>
      <c r="I58" s="16">
        <f>0.5+(INDEX('Stat Boosts'!$D$2:$D$192,I$1-9)-10)*$C58</f>
        <v>1.1139364303178483</v>
      </c>
      <c r="J58" s="16">
        <f>0.5+(INDEX('Stat Boosts'!$D$2:$D$192,J$1-9)-10)*$C58</f>
        <v>1.250366748166259</v>
      </c>
      <c r="K58" s="16">
        <f>0.5+(INDEX('Stat Boosts'!$D$2:$D$192,K$1-9)-10)*$C58</f>
        <v>1.5687041564792175</v>
      </c>
      <c r="L58" s="16">
        <f>0.5+(INDEX('Stat Boosts'!$D$2:$D$192,L$1-9)-10)*$C58</f>
        <v>1.6823960880195596</v>
      </c>
      <c r="M58" s="16">
        <f>0.5+(INDEX('Stat Boosts'!$D$2:$D$192,M$1-9)-10)*$C58</f>
        <v>1.841564792176039</v>
      </c>
      <c r="N58" s="16">
        <f>0.5+(INDEX('Stat Boosts'!$D$2:$D$192,N$1-9)-10)*$C58</f>
        <v>2.0462102689486548</v>
      </c>
      <c r="O58" s="16">
        <f>0.5+(INDEX('Stat Boosts'!$D$2:$D$192,O$1-9)-10)*$C58</f>
        <v>2.1599022004889972</v>
      </c>
      <c r="P58" s="16">
        <f>0.5+(INDEX('Stat Boosts'!$D$2:$D$192,P$1-9)-10)*$C58</f>
        <v>2.3418092909535448</v>
      </c>
      <c r="Q58" s="16">
        <f>0.5+(INDEX('Stat Boosts'!$D$2:$D$192,Q$1-9)-10)*$C58</f>
        <v>2.5237163814180925</v>
      </c>
      <c r="R58" s="16">
        <f>0.5+(INDEX('Stat Boosts'!$D$2:$D$192,R$1-9)-10)*$C58</f>
        <v>2.7056234718826402</v>
      </c>
    </row>
    <row r="59" spans="1:18">
      <c r="A59" s="9">
        <v>58</v>
      </c>
      <c r="B59" s="16">
        <f t="shared" si="0"/>
        <v>36.70967741935484</v>
      </c>
      <c r="C59" s="16">
        <f t="shared" si="1"/>
        <v>2.2463768115942029E-2</v>
      </c>
      <c r="E59" s="16">
        <f>0.5+(INDEX('Stat Boosts'!$D$2:$D$192,E$1-9)-10)*$C59</f>
        <v>0.5</v>
      </c>
      <c r="F59" s="16">
        <f>0.5+(INDEX('Stat Boosts'!$D$2:$D$192,F$1-9)-10)*$C59</f>
        <v>0.65724637681159415</v>
      </c>
      <c r="G59" s="16">
        <f>0.5+(INDEX('Stat Boosts'!$D$2:$D$192,G$1-9)-10)*$C59</f>
        <v>0.8144927536231884</v>
      </c>
      <c r="H59" s="16">
        <f>0.5+(INDEX('Stat Boosts'!$D$2:$D$192,H$1-9)-10)*$C59</f>
        <v>0.97173913043478266</v>
      </c>
      <c r="I59" s="16">
        <f>0.5+(INDEX('Stat Boosts'!$D$2:$D$192,I$1-9)-10)*$C59</f>
        <v>1.1065217391304347</v>
      </c>
      <c r="J59" s="16">
        <f>0.5+(INDEX('Stat Boosts'!$D$2:$D$192,J$1-9)-10)*$C59</f>
        <v>1.241304347826087</v>
      </c>
      <c r="K59" s="16">
        <f>0.5+(INDEX('Stat Boosts'!$D$2:$D$192,K$1-9)-10)*$C59</f>
        <v>1.5557971014492753</v>
      </c>
      <c r="L59" s="16">
        <f>0.5+(INDEX('Stat Boosts'!$D$2:$D$192,L$1-9)-10)*$C59</f>
        <v>1.6681159420289855</v>
      </c>
      <c r="M59" s="16">
        <f>0.5+(INDEX('Stat Boosts'!$D$2:$D$192,M$1-9)-10)*$C59</f>
        <v>1.8253623188405796</v>
      </c>
      <c r="N59" s="16">
        <f>0.5+(INDEX('Stat Boosts'!$D$2:$D$192,N$1-9)-10)*$C59</f>
        <v>2.0275362318840582</v>
      </c>
      <c r="O59" s="16">
        <f>0.5+(INDEX('Stat Boosts'!$D$2:$D$192,O$1-9)-10)*$C59</f>
        <v>2.1398550724637682</v>
      </c>
      <c r="P59" s="16">
        <f>0.5+(INDEX('Stat Boosts'!$D$2:$D$192,P$1-9)-10)*$C59</f>
        <v>2.3195652173913044</v>
      </c>
      <c r="Q59" s="16">
        <f>0.5+(INDEX('Stat Boosts'!$D$2:$D$192,Q$1-9)-10)*$C59</f>
        <v>2.4992753623188406</v>
      </c>
      <c r="R59" s="16">
        <f>0.5+(INDEX('Stat Boosts'!$D$2:$D$192,R$1-9)-10)*$C59</f>
        <v>2.6789855072463769</v>
      </c>
    </row>
    <row r="60" spans="1:18">
      <c r="A60" s="9">
        <v>59</v>
      </c>
      <c r="B60" s="16">
        <f t="shared" si="0"/>
        <v>37.032258064516128</v>
      </c>
      <c r="C60" s="16">
        <f t="shared" si="1"/>
        <v>2.2195704057279237E-2</v>
      </c>
      <c r="E60" s="16">
        <f>0.5+(INDEX('Stat Boosts'!$D$2:$D$192,E$1-9)-10)*$C60</f>
        <v>0.5</v>
      </c>
      <c r="F60" s="16">
        <f>0.5+(INDEX('Stat Boosts'!$D$2:$D$192,F$1-9)-10)*$C60</f>
        <v>0.65536992840095465</v>
      </c>
      <c r="G60" s="16">
        <f>0.5+(INDEX('Stat Boosts'!$D$2:$D$192,G$1-9)-10)*$C60</f>
        <v>0.8107398568019093</v>
      </c>
      <c r="H60" s="16">
        <f>0.5+(INDEX('Stat Boosts'!$D$2:$D$192,H$1-9)-10)*$C60</f>
        <v>0.96610978520286395</v>
      </c>
      <c r="I60" s="16">
        <f>0.5+(INDEX('Stat Boosts'!$D$2:$D$192,I$1-9)-10)*$C60</f>
        <v>1.0992840095465395</v>
      </c>
      <c r="J60" s="16">
        <f>0.5+(INDEX('Stat Boosts'!$D$2:$D$192,J$1-9)-10)*$C60</f>
        <v>1.2324582338902148</v>
      </c>
      <c r="K60" s="16">
        <f>0.5+(INDEX('Stat Boosts'!$D$2:$D$192,K$1-9)-10)*$C60</f>
        <v>1.5431980906921241</v>
      </c>
      <c r="L60" s="16">
        <f>0.5+(INDEX('Stat Boosts'!$D$2:$D$192,L$1-9)-10)*$C60</f>
        <v>1.6541766109785203</v>
      </c>
      <c r="M60" s="16">
        <f>0.5+(INDEX('Stat Boosts'!$D$2:$D$192,M$1-9)-10)*$C60</f>
        <v>1.809546539379475</v>
      </c>
      <c r="N60" s="16">
        <f>0.5+(INDEX('Stat Boosts'!$D$2:$D$192,N$1-9)-10)*$C60</f>
        <v>2.0093078758949883</v>
      </c>
      <c r="O60" s="16">
        <f>0.5+(INDEX('Stat Boosts'!$D$2:$D$192,O$1-9)-10)*$C60</f>
        <v>2.1202863961813843</v>
      </c>
      <c r="P60" s="16">
        <f>0.5+(INDEX('Stat Boosts'!$D$2:$D$192,P$1-9)-10)*$C60</f>
        <v>2.2978520286396185</v>
      </c>
      <c r="Q60" s="16">
        <f>0.5+(INDEX('Stat Boosts'!$D$2:$D$192,Q$1-9)-10)*$C60</f>
        <v>2.4754176610978522</v>
      </c>
      <c r="R60" s="16">
        <f>0.5+(INDEX('Stat Boosts'!$D$2:$D$192,R$1-9)-10)*$C60</f>
        <v>2.652983293556086</v>
      </c>
    </row>
    <row r="61" spans="1:18">
      <c r="A61" s="9">
        <v>60</v>
      </c>
      <c r="B61" s="16">
        <f t="shared" si="0"/>
        <v>37.354838709677423</v>
      </c>
      <c r="C61" s="16">
        <f t="shared" si="1"/>
        <v>2.1933962264150939E-2</v>
      </c>
      <c r="E61" s="16">
        <f>0.5+(INDEX('Stat Boosts'!$D$2:$D$192,E$1-9)-10)*$C61</f>
        <v>0.5</v>
      </c>
      <c r="F61" s="16">
        <f>0.5+(INDEX('Stat Boosts'!$D$2:$D$192,F$1-9)-10)*$C61</f>
        <v>0.65353773584905661</v>
      </c>
      <c r="G61" s="16">
        <f>0.5+(INDEX('Stat Boosts'!$D$2:$D$192,G$1-9)-10)*$C61</f>
        <v>0.80707547169811311</v>
      </c>
      <c r="H61" s="16">
        <f>0.5+(INDEX('Stat Boosts'!$D$2:$D$192,H$1-9)-10)*$C61</f>
        <v>0.96061320754716972</v>
      </c>
      <c r="I61" s="16">
        <f>0.5+(INDEX('Stat Boosts'!$D$2:$D$192,I$1-9)-10)*$C61</f>
        <v>1.0922169811320752</v>
      </c>
      <c r="J61" s="16">
        <f>0.5+(INDEX('Stat Boosts'!$D$2:$D$192,J$1-9)-10)*$C61</f>
        <v>1.2238207547169808</v>
      </c>
      <c r="K61" s="16">
        <f>0.5+(INDEX('Stat Boosts'!$D$2:$D$192,K$1-9)-10)*$C61</f>
        <v>1.530896226415094</v>
      </c>
      <c r="L61" s="16">
        <f>0.5+(INDEX('Stat Boosts'!$D$2:$D$192,L$1-9)-10)*$C61</f>
        <v>1.6405660377358489</v>
      </c>
      <c r="M61" s="16">
        <f>0.5+(INDEX('Stat Boosts'!$D$2:$D$192,M$1-9)-10)*$C61</f>
        <v>1.7941037735849055</v>
      </c>
      <c r="N61" s="16">
        <f>0.5+(INDEX('Stat Boosts'!$D$2:$D$192,N$1-9)-10)*$C61</f>
        <v>1.9915094339622639</v>
      </c>
      <c r="O61" s="16">
        <f>0.5+(INDEX('Stat Boosts'!$D$2:$D$192,O$1-9)-10)*$C61</f>
        <v>2.1011792452830185</v>
      </c>
      <c r="P61" s="16">
        <f>0.5+(INDEX('Stat Boosts'!$D$2:$D$192,P$1-9)-10)*$C61</f>
        <v>2.2766509433962261</v>
      </c>
      <c r="Q61" s="16">
        <f>0.5+(INDEX('Stat Boosts'!$D$2:$D$192,Q$1-9)-10)*$C61</f>
        <v>2.4521226415094333</v>
      </c>
      <c r="R61" s="16">
        <f>0.5+(INDEX('Stat Boosts'!$D$2:$D$192,R$1-9)-10)*$C61</f>
        <v>2.6275943396226409</v>
      </c>
    </row>
    <row r="62" spans="1:18">
      <c r="A62" s="9">
        <v>61</v>
      </c>
      <c r="B62" s="16">
        <f t="shared" si="0"/>
        <v>37.677419354838705</v>
      </c>
      <c r="C62" s="16">
        <f t="shared" si="1"/>
        <v>2.167832167832168E-2</v>
      </c>
      <c r="E62" s="16">
        <f>0.5+(INDEX('Stat Boosts'!$D$2:$D$192,E$1-9)-10)*$C62</f>
        <v>0.5</v>
      </c>
      <c r="F62" s="16">
        <f>0.5+(INDEX('Stat Boosts'!$D$2:$D$192,F$1-9)-10)*$C62</f>
        <v>0.65174825174825179</v>
      </c>
      <c r="G62" s="16">
        <f>0.5+(INDEX('Stat Boosts'!$D$2:$D$192,G$1-9)-10)*$C62</f>
        <v>0.80349650349650359</v>
      </c>
      <c r="H62" s="16">
        <f>0.5+(INDEX('Stat Boosts'!$D$2:$D$192,H$1-9)-10)*$C62</f>
        <v>0.95524475524475527</v>
      </c>
      <c r="I62" s="16">
        <f>0.5+(INDEX('Stat Boosts'!$D$2:$D$192,I$1-9)-10)*$C62</f>
        <v>1.0853146853146853</v>
      </c>
      <c r="J62" s="16">
        <f>0.5+(INDEX('Stat Boosts'!$D$2:$D$192,J$1-9)-10)*$C62</f>
        <v>1.2153846153846155</v>
      </c>
      <c r="K62" s="16">
        <f>0.5+(INDEX('Stat Boosts'!$D$2:$D$192,K$1-9)-10)*$C62</f>
        <v>1.5188811188811189</v>
      </c>
      <c r="L62" s="16">
        <f>0.5+(INDEX('Stat Boosts'!$D$2:$D$192,L$1-9)-10)*$C62</f>
        <v>1.6272727272727274</v>
      </c>
      <c r="M62" s="16">
        <f>0.5+(INDEX('Stat Boosts'!$D$2:$D$192,M$1-9)-10)*$C62</f>
        <v>1.7790209790209792</v>
      </c>
      <c r="N62" s="16">
        <f>0.5+(INDEX('Stat Boosts'!$D$2:$D$192,N$1-9)-10)*$C62</f>
        <v>1.9741258741258743</v>
      </c>
      <c r="O62" s="16">
        <f>0.5+(INDEX('Stat Boosts'!$D$2:$D$192,O$1-9)-10)*$C62</f>
        <v>2.0825174825174826</v>
      </c>
      <c r="P62" s="16">
        <f>0.5+(INDEX('Stat Boosts'!$D$2:$D$192,P$1-9)-10)*$C62</f>
        <v>2.255944055944056</v>
      </c>
      <c r="Q62" s="16">
        <f>0.5+(INDEX('Stat Boosts'!$D$2:$D$192,Q$1-9)-10)*$C62</f>
        <v>2.4293706293706299</v>
      </c>
      <c r="R62" s="16">
        <f>0.5+(INDEX('Stat Boosts'!$D$2:$D$192,R$1-9)-10)*$C62</f>
        <v>2.6027972027972028</v>
      </c>
    </row>
    <row r="63" spans="1:18">
      <c r="A63" s="9">
        <v>62</v>
      </c>
      <c r="B63" s="16">
        <f t="shared" si="0"/>
        <v>38</v>
      </c>
      <c r="C63" s="16">
        <f t="shared" si="1"/>
        <v>2.1428571428571429E-2</v>
      </c>
      <c r="E63" s="16">
        <f>0.5+(INDEX('Stat Boosts'!$D$2:$D$192,E$1-9)-10)*$C63</f>
        <v>0.5</v>
      </c>
      <c r="F63" s="16">
        <f>0.5+(INDEX('Stat Boosts'!$D$2:$D$192,F$1-9)-10)*$C63</f>
        <v>0.65</v>
      </c>
      <c r="G63" s="16">
        <f>0.5+(INDEX('Stat Boosts'!$D$2:$D$192,G$1-9)-10)*$C63</f>
        <v>0.8</v>
      </c>
      <c r="H63" s="16">
        <f>0.5+(INDEX('Stat Boosts'!$D$2:$D$192,H$1-9)-10)*$C63</f>
        <v>0.95</v>
      </c>
      <c r="I63" s="16">
        <f>0.5+(INDEX('Stat Boosts'!$D$2:$D$192,I$1-9)-10)*$C63</f>
        <v>1.0785714285714287</v>
      </c>
      <c r="J63" s="16">
        <f>0.5+(INDEX('Stat Boosts'!$D$2:$D$192,J$1-9)-10)*$C63</f>
        <v>1.2071428571428573</v>
      </c>
      <c r="K63" s="16">
        <f>0.5+(INDEX('Stat Boosts'!$D$2:$D$192,K$1-9)-10)*$C63</f>
        <v>1.5071428571428571</v>
      </c>
      <c r="L63" s="16">
        <f>0.5+(INDEX('Stat Boosts'!$D$2:$D$192,L$1-9)-10)*$C63</f>
        <v>1.6142857142857143</v>
      </c>
      <c r="M63" s="16">
        <f>0.5+(INDEX('Stat Boosts'!$D$2:$D$192,M$1-9)-10)*$C63</f>
        <v>1.7642857142857142</v>
      </c>
      <c r="N63" s="16">
        <f>0.5+(INDEX('Stat Boosts'!$D$2:$D$192,N$1-9)-10)*$C63</f>
        <v>1.9571428571428571</v>
      </c>
      <c r="O63" s="16">
        <f>0.5+(INDEX('Stat Boosts'!$D$2:$D$192,O$1-9)-10)*$C63</f>
        <v>2.0642857142857141</v>
      </c>
      <c r="P63" s="16">
        <f>0.5+(INDEX('Stat Boosts'!$D$2:$D$192,P$1-9)-10)*$C63</f>
        <v>2.2357142857142858</v>
      </c>
      <c r="Q63" s="16">
        <f>0.5+(INDEX('Stat Boosts'!$D$2:$D$192,Q$1-9)-10)*$C63</f>
        <v>2.4071428571428575</v>
      </c>
      <c r="R63" s="16">
        <f>0.5+(INDEX('Stat Boosts'!$D$2:$D$192,R$1-9)-10)*$C63</f>
        <v>2.5785714285714287</v>
      </c>
    </row>
    <row r="64" spans="1:18">
      <c r="A64" s="9">
        <v>63</v>
      </c>
      <c r="B64" s="16">
        <f t="shared" si="0"/>
        <v>38.322580645161288</v>
      </c>
      <c r="C64" s="16">
        <f t="shared" si="1"/>
        <v>2.1184510250569479E-2</v>
      </c>
      <c r="E64" s="16">
        <f>0.5+(INDEX('Stat Boosts'!$D$2:$D$192,E$1-9)-10)*$C64</f>
        <v>0.5</v>
      </c>
      <c r="F64" s="16">
        <f>0.5+(INDEX('Stat Boosts'!$D$2:$D$192,F$1-9)-10)*$C64</f>
        <v>0.64829157175398633</v>
      </c>
      <c r="G64" s="16">
        <f>0.5+(INDEX('Stat Boosts'!$D$2:$D$192,G$1-9)-10)*$C64</f>
        <v>0.79658314350797266</v>
      </c>
      <c r="H64" s="16">
        <f>0.5+(INDEX('Stat Boosts'!$D$2:$D$192,H$1-9)-10)*$C64</f>
        <v>0.94487471526195899</v>
      </c>
      <c r="I64" s="16">
        <f>0.5+(INDEX('Stat Boosts'!$D$2:$D$192,I$1-9)-10)*$C64</f>
        <v>1.0719817767653759</v>
      </c>
      <c r="J64" s="16">
        <f>0.5+(INDEX('Stat Boosts'!$D$2:$D$192,J$1-9)-10)*$C64</f>
        <v>1.1990888382687928</v>
      </c>
      <c r="K64" s="16">
        <f>0.5+(INDEX('Stat Boosts'!$D$2:$D$192,K$1-9)-10)*$C64</f>
        <v>1.4956719817767654</v>
      </c>
      <c r="L64" s="16">
        <f>0.5+(INDEX('Stat Boosts'!$D$2:$D$192,L$1-9)-10)*$C64</f>
        <v>1.6015945330296129</v>
      </c>
      <c r="M64" s="16">
        <f>0.5+(INDEX('Stat Boosts'!$D$2:$D$192,M$1-9)-10)*$C64</f>
        <v>1.7498861047835992</v>
      </c>
      <c r="N64" s="16">
        <f>0.5+(INDEX('Stat Boosts'!$D$2:$D$192,N$1-9)-10)*$C64</f>
        <v>1.9405466970387246</v>
      </c>
      <c r="O64" s="16">
        <f>0.5+(INDEX('Stat Boosts'!$D$2:$D$192,O$1-9)-10)*$C64</f>
        <v>2.0464692482915718</v>
      </c>
      <c r="P64" s="16">
        <f>0.5+(INDEX('Stat Boosts'!$D$2:$D$192,P$1-9)-10)*$C64</f>
        <v>2.2159453302961278</v>
      </c>
      <c r="Q64" s="16">
        <f>0.5+(INDEX('Stat Boosts'!$D$2:$D$192,Q$1-9)-10)*$C64</f>
        <v>2.3854214123006834</v>
      </c>
      <c r="R64" s="16">
        <f>0.5+(INDEX('Stat Boosts'!$D$2:$D$192,R$1-9)-10)*$C64</f>
        <v>2.5548974943052394</v>
      </c>
    </row>
    <row r="65" spans="1:18">
      <c r="A65" s="9">
        <v>64</v>
      </c>
      <c r="B65" s="16">
        <f t="shared" si="0"/>
        <v>38.645161290322577</v>
      </c>
      <c r="C65" s="16">
        <f t="shared" si="1"/>
        <v>2.0945945945945947E-2</v>
      </c>
      <c r="E65" s="16">
        <f>0.5+(INDEX('Stat Boosts'!$D$2:$D$192,E$1-9)-10)*$C65</f>
        <v>0.5</v>
      </c>
      <c r="F65" s="16">
        <f>0.5+(INDEX('Stat Boosts'!$D$2:$D$192,F$1-9)-10)*$C65</f>
        <v>0.64662162162162162</v>
      </c>
      <c r="G65" s="16">
        <f>0.5+(INDEX('Stat Boosts'!$D$2:$D$192,G$1-9)-10)*$C65</f>
        <v>0.79324324324324325</v>
      </c>
      <c r="H65" s="16">
        <f>0.5+(INDEX('Stat Boosts'!$D$2:$D$192,H$1-9)-10)*$C65</f>
        <v>0.93986486486486487</v>
      </c>
      <c r="I65" s="16">
        <f>0.5+(INDEX('Stat Boosts'!$D$2:$D$192,I$1-9)-10)*$C65</f>
        <v>1.0655405405405407</v>
      </c>
      <c r="J65" s="16">
        <f>0.5+(INDEX('Stat Boosts'!$D$2:$D$192,J$1-9)-10)*$C65</f>
        <v>1.1912162162162163</v>
      </c>
      <c r="K65" s="16">
        <f>0.5+(INDEX('Stat Boosts'!$D$2:$D$192,K$1-9)-10)*$C65</f>
        <v>1.4844594594594596</v>
      </c>
      <c r="L65" s="16">
        <f>0.5+(INDEX('Stat Boosts'!$D$2:$D$192,L$1-9)-10)*$C65</f>
        <v>1.5891891891891892</v>
      </c>
      <c r="M65" s="16">
        <f>0.5+(INDEX('Stat Boosts'!$D$2:$D$192,M$1-9)-10)*$C65</f>
        <v>1.7358108108108108</v>
      </c>
      <c r="N65" s="16">
        <f>0.5+(INDEX('Stat Boosts'!$D$2:$D$192,N$1-9)-10)*$C65</f>
        <v>1.9243243243243244</v>
      </c>
      <c r="O65" s="16">
        <f>0.5+(INDEX('Stat Boosts'!$D$2:$D$192,O$1-9)-10)*$C65</f>
        <v>2.029054054054054</v>
      </c>
      <c r="P65" s="16">
        <f>0.5+(INDEX('Stat Boosts'!$D$2:$D$192,P$1-9)-10)*$C65</f>
        <v>2.1966216216216217</v>
      </c>
      <c r="Q65" s="16">
        <f>0.5+(INDEX('Stat Boosts'!$D$2:$D$192,Q$1-9)-10)*$C65</f>
        <v>2.3641891891891893</v>
      </c>
      <c r="R65" s="16">
        <f>0.5+(INDEX('Stat Boosts'!$D$2:$D$192,R$1-9)-10)*$C65</f>
        <v>2.5317567567567569</v>
      </c>
    </row>
    <row r="66" spans="1:18">
      <c r="A66" s="9">
        <v>65</v>
      </c>
      <c r="B66" s="16">
        <f t="shared" si="0"/>
        <v>38.967741935483872</v>
      </c>
      <c r="C66" s="16">
        <f t="shared" si="1"/>
        <v>2.0712694877505565E-2</v>
      </c>
      <c r="E66" s="16">
        <f>0.5+(INDEX('Stat Boosts'!$D$2:$D$192,E$1-9)-10)*$C66</f>
        <v>0.5</v>
      </c>
      <c r="F66" s="16">
        <f>0.5+(INDEX('Stat Boosts'!$D$2:$D$192,F$1-9)-10)*$C66</f>
        <v>0.64498886414253898</v>
      </c>
      <c r="G66" s="16">
        <f>0.5+(INDEX('Stat Boosts'!$D$2:$D$192,G$1-9)-10)*$C66</f>
        <v>0.78997772828507795</v>
      </c>
      <c r="H66" s="16">
        <f>0.5+(INDEX('Stat Boosts'!$D$2:$D$192,H$1-9)-10)*$C66</f>
        <v>0.93496659242761693</v>
      </c>
      <c r="I66" s="16">
        <f>0.5+(INDEX('Stat Boosts'!$D$2:$D$192,I$1-9)-10)*$C66</f>
        <v>1.0592427616926503</v>
      </c>
      <c r="J66" s="16">
        <f>0.5+(INDEX('Stat Boosts'!$D$2:$D$192,J$1-9)-10)*$C66</f>
        <v>1.1835189309576837</v>
      </c>
      <c r="K66" s="16">
        <f>0.5+(INDEX('Stat Boosts'!$D$2:$D$192,K$1-9)-10)*$C66</f>
        <v>1.4734966592427616</v>
      </c>
      <c r="L66" s="16">
        <f>0.5+(INDEX('Stat Boosts'!$D$2:$D$192,L$1-9)-10)*$C66</f>
        <v>1.5770601336302894</v>
      </c>
      <c r="M66" s="16">
        <f>0.5+(INDEX('Stat Boosts'!$D$2:$D$192,M$1-9)-10)*$C66</f>
        <v>1.7220489977728284</v>
      </c>
      <c r="N66" s="16">
        <f>0.5+(INDEX('Stat Boosts'!$D$2:$D$192,N$1-9)-10)*$C66</f>
        <v>1.9084632516703783</v>
      </c>
      <c r="O66" s="16">
        <f>0.5+(INDEX('Stat Boosts'!$D$2:$D$192,O$1-9)-10)*$C66</f>
        <v>2.0120267260579063</v>
      </c>
      <c r="P66" s="16">
        <f>0.5+(INDEX('Stat Boosts'!$D$2:$D$192,P$1-9)-10)*$C66</f>
        <v>2.1777282850779507</v>
      </c>
      <c r="Q66" s="16">
        <f>0.5+(INDEX('Stat Boosts'!$D$2:$D$192,Q$1-9)-10)*$C66</f>
        <v>2.3434298440979955</v>
      </c>
      <c r="R66" s="16">
        <f>0.5+(INDEX('Stat Boosts'!$D$2:$D$192,R$1-9)-10)*$C66</f>
        <v>2.5091314031180398</v>
      </c>
    </row>
    <row r="67" spans="1:18">
      <c r="A67" s="9">
        <v>66</v>
      </c>
      <c r="B67" s="16">
        <f t="shared" ref="B67:B130" si="2">18+A67/3.1</f>
        <v>39.29032258064516</v>
      </c>
      <c r="C67" s="16">
        <f t="shared" ref="C67:C130" si="3">0.6/(B67-10)</f>
        <v>2.0484581497797357E-2</v>
      </c>
      <c r="E67" s="16">
        <f>0.5+(INDEX('Stat Boosts'!$D$2:$D$192,E$1-9)-10)*$C67</f>
        <v>0.5</v>
      </c>
      <c r="F67" s="16">
        <f>0.5+(INDEX('Stat Boosts'!$D$2:$D$192,F$1-9)-10)*$C67</f>
        <v>0.64339207048458147</v>
      </c>
      <c r="G67" s="16">
        <f>0.5+(INDEX('Stat Boosts'!$D$2:$D$192,G$1-9)-10)*$C67</f>
        <v>0.78678414096916294</v>
      </c>
      <c r="H67" s="16">
        <f>0.5+(INDEX('Stat Boosts'!$D$2:$D$192,H$1-9)-10)*$C67</f>
        <v>0.93017621145374452</v>
      </c>
      <c r="I67" s="16">
        <f>0.5+(INDEX('Stat Boosts'!$D$2:$D$192,I$1-9)-10)*$C67</f>
        <v>1.0530837004405287</v>
      </c>
      <c r="J67" s="16">
        <f>0.5+(INDEX('Stat Boosts'!$D$2:$D$192,J$1-9)-10)*$C67</f>
        <v>1.1759911894273127</v>
      </c>
      <c r="K67" s="16">
        <f>0.5+(INDEX('Stat Boosts'!$D$2:$D$192,K$1-9)-10)*$C67</f>
        <v>1.4627753303964757</v>
      </c>
      <c r="L67" s="16">
        <f>0.5+(INDEX('Stat Boosts'!$D$2:$D$192,L$1-9)-10)*$C67</f>
        <v>1.5651982378854625</v>
      </c>
      <c r="M67" s="16">
        <f>0.5+(INDEX('Stat Boosts'!$D$2:$D$192,M$1-9)-10)*$C67</f>
        <v>1.708590308370044</v>
      </c>
      <c r="N67" s="16">
        <f>0.5+(INDEX('Stat Boosts'!$D$2:$D$192,N$1-9)-10)*$C67</f>
        <v>1.8929515418502203</v>
      </c>
      <c r="O67" s="16">
        <f>0.5+(INDEX('Stat Boosts'!$D$2:$D$192,O$1-9)-10)*$C67</f>
        <v>1.9953744493392072</v>
      </c>
      <c r="P67" s="16">
        <f>0.5+(INDEX('Stat Boosts'!$D$2:$D$192,P$1-9)-10)*$C67</f>
        <v>2.159251101321586</v>
      </c>
      <c r="Q67" s="16">
        <f>0.5+(INDEX('Stat Boosts'!$D$2:$D$192,Q$1-9)-10)*$C67</f>
        <v>2.3231277533039645</v>
      </c>
      <c r="R67" s="16">
        <f>0.5+(INDEX('Stat Boosts'!$D$2:$D$192,R$1-9)-10)*$C67</f>
        <v>2.4870044052863438</v>
      </c>
    </row>
    <row r="68" spans="1:18">
      <c r="A68" s="9">
        <v>67</v>
      </c>
      <c r="B68" s="16">
        <f t="shared" si="2"/>
        <v>39.612903225806448</v>
      </c>
      <c r="C68" s="16">
        <f t="shared" si="3"/>
        <v>2.0261437908496733E-2</v>
      </c>
      <c r="E68" s="16">
        <f>0.5+(INDEX('Stat Boosts'!$D$2:$D$192,E$1-9)-10)*$C68</f>
        <v>0.5</v>
      </c>
      <c r="F68" s="16">
        <f>0.5+(INDEX('Stat Boosts'!$D$2:$D$192,F$1-9)-10)*$C68</f>
        <v>0.64183006535947706</v>
      </c>
      <c r="G68" s="16">
        <f>0.5+(INDEX('Stat Boosts'!$D$2:$D$192,G$1-9)-10)*$C68</f>
        <v>0.78366013071895424</v>
      </c>
      <c r="H68" s="16">
        <f>0.5+(INDEX('Stat Boosts'!$D$2:$D$192,H$1-9)-10)*$C68</f>
        <v>0.92549019607843142</v>
      </c>
      <c r="I68" s="16">
        <f>0.5+(INDEX('Stat Boosts'!$D$2:$D$192,I$1-9)-10)*$C68</f>
        <v>1.0470588235294118</v>
      </c>
      <c r="J68" s="16">
        <f>0.5+(INDEX('Stat Boosts'!$D$2:$D$192,J$1-9)-10)*$C68</f>
        <v>1.1686274509803922</v>
      </c>
      <c r="K68" s="16">
        <f>0.5+(INDEX('Stat Boosts'!$D$2:$D$192,K$1-9)-10)*$C68</f>
        <v>1.4522875816993466</v>
      </c>
      <c r="L68" s="16">
        <f>0.5+(INDEX('Stat Boosts'!$D$2:$D$192,L$1-9)-10)*$C68</f>
        <v>1.5535947712418301</v>
      </c>
      <c r="M68" s="16">
        <f>0.5+(INDEX('Stat Boosts'!$D$2:$D$192,M$1-9)-10)*$C68</f>
        <v>1.6954248366013072</v>
      </c>
      <c r="N68" s="16">
        <f>0.5+(INDEX('Stat Boosts'!$D$2:$D$192,N$1-9)-10)*$C68</f>
        <v>1.8777777777777778</v>
      </c>
      <c r="O68" s="16">
        <f>0.5+(INDEX('Stat Boosts'!$D$2:$D$192,O$1-9)-10)*$C68</f>
        <v>1.9790849673202615</v>
      </c>
      <c r="P68" s="16">
        <f>0.5+(INDEX('Stat Boosts'!$D$2:$D$192,P$1-9)-10)*$C68</f>
        <v>2.1411764705882357</v>
      </c>
      <c r="Q68" s="16">
        <f>0.5+(INDEX('Stat Boosts'!$D$2:$D$192,Q$1-9)-10)*$C68</f>
        <v>2.303267973856209</v>
      </c>
      <c r="R68" s="16">
        <f>0.5+(INDEX('Stat Boosts'!$D$2:$D$192,R$1-9)-10)*$C68</f>
        <v>2.4653594771241831</v>
      </c>
    </row>
    <row r="69" spans="1:18">
      <c r="A69" s="9">
        <v>68</v>
      </c>
      <c r="B69" s="16">
        <f t="shared" si="2"/>
        <v>39.935483870967744</v>
      </c>
      <c r="C69" s="16">
        <f t="shared" si="3"/>
        <v>2.004310344827586E-2</v>
      </c>
      <c r="E69" s="16">
        <f>0.5+(INDEX('Stat Boosts'!$D$2:$D$192,E$1-9)-10)*$C69</f>
        <v>0.5</v>
      </c>
      <c r="F69" s="16">
        <f>0.5+(INDEX('Stat Boosts'!$D$2:$D$192,F$1-9)-10)*$C69</f>
        <v>0.64030172413793096</v>
      </c>
      <c r="G69" s="16">
        <f>0.5+(INDEX('Stat Boosts'!$D$2:$D$192,G$1-9)-10)*$C69</f>
        <v>0.78060344827586203</v>
      </c>
      <c r="H69" s="16">
        <f>0.5+(INDEX('Stat Boosts'!$D$2:$D$192,H$1-9)-10)*$C69</f>
        <v>0.9209051724137931</v>
      </c>
      <c r="I69" s="16">
        <f>0.5+(INDEX('Stat Boosts'!$D$2:$D$192,I$1-9)-10)*$C69</f>
        <v>1.0411637931034483</v>
      </c>
      <c r="J69" s="16">
        <f>0.5+(INDEX('Stat Boosts'!$D$2:$D$192,J$1-9)-10)*$C69</f>
        <v>1.1614224137931033</v>
      </c>
      <c r="K69" s="16">
        <f>0.5+(INDEX('Stat Boosts'!$D$2:$D$192,K$1-9)-10)*$C69</f>
        <v>1.4420258620689654</v>
      </c>
      <c r="L69" s="16">
        <f>0.5+(INDEX('Stat Boosts'!$D$2:$D$192,L$1-9)-10)*$C69</f>
        <v>1.5422413793103447</v>
      </c>
      <c r="M69" s="16">
        <f>0.5+(INDEX('Stat Boosts'!$D$2:$D$192,M$1-9)-10)*$C69</f>
        <v>1.6825431034482758</v>
      </c>
      <c r="N69" s="16">
        <f>0.5+(INDEX('Stat Boosts'!$D$2:$D$192,N$1-9)-10)*$C69</f>
        <v>1.8629310344827585</v>
      </c>
      <c r="O69" s="16">
        <f>0.5+(INDEX('Stat Boosts'!$D$2:$D$192,O$1-9)-10)*$C69</f>
        <v>1.9631465517241378</v>
      </c>
      <c r="P69" s="16">
        <f>0.5+(INDEX('Stat Boosts'!$D$2:$D$192,P$1-9)-10)*$C69</f>
        <v>2.1234913793103445</v>
      </c>
      <c r="Q69" s="16">
        <f>0.5+(INDEX('Stat Boosts'!$D$2:$D$192,Q$1-9)-10)*$C69</f>
        <v>2.2838362068965514</v>
      </c>
      <c r="R69" s="16">
        <f>0.5+(INDEX('Stat Boosts'!$D$2:$D$192,R$1-9)-10)*$C69</f>
        <v>2.4441810344827584</v>
      </c>
    </row>
    <row r="70" spans="1:18">
      <c r="A70" s="9">
        <v>69</v>
      </c>
      <c r="B70" s="16">
        <f t="shared" si="2"/>
        <v>40.258064516129032</v>
      </c>
      <c r="C70" s="16">
        <f t="shared" si="3"/>
        <v>1.9829424307036245E-2</v>
      </c>
      <c r="E70" s="16">
        <f>0.5+(INDEX('Stat Boosts'!$D$2:$D$192,E$1-9)-10)*$C70</f>
        <v>0.5</v>
      </c>
      <c r="F70" s="16">
        <f>0.5+(INDEX('Stat Boosts'!$D$2:$D$192,F$1-9)-10)*$C70</f>
        <v>0.63880597014925367</v>
      </c>
      <c r="G70" s="16">
        <f>0.5+(INDEX('Stat Boosts'!$D$2:$D$192,G$1-9)-10)*$C70</f>
        <v>0.77761194029850744</v>
      </c>
      <c r="H70" s="16">
        <f>0.5+(INDEX('Stat Boosts'!$D$2:$D$192,H$1-9)-10)*$C70</f>
        <v>0.91641791044776122</v>
      </c>
      <c r="I70" s="16">
        <f>0.5+(INDEX('Stat Boosts'!$D$2:$D$192,I$1-9)-10)*$C70</f>
        <v>1.0353944562899786</v>
      </c>
      <c r="J70" s="16">
        <f>0.5+(INDEX('Stat Boosts'!$D$2:$D$192,J$1-9)-10)*$C70</f>
        <v>1.154371002132196</v>
      </c>
      <c r="K70" s="16">
        <f>0.5+(INDEX('Stat Boosts'!$D$2:$D$192,K$1-9)-10)*$C70</f>
        <v>1.4319829424307036</v>
      </c>
      <c r="L70" s="16">
        <f>0.5+(INDEX('Stat Boosts'!$D$2:$D$192,L$1-9)-10)*$C70</f>
        <v>1.5311300639658847</v>
      </c>
      <c r="M70" s="16">
        <f>0.5+(INDEX('Stat Boosts'!$D$2:$D$192,M$1-9)-10)*$C70</f>
        <v>1.6699360341151386</v>
      </c>
      <c r="N70" s="16">
        <f>0.5+(INDEX('Stat Boosts'!$D$2:$D$192,N$1-9)-10)*$C70</f>
        <v>1.8484008528784648</v>
      </c>
      <c r="O70" s="16">
        <f>0.5+(INDEX('Stat Boosts'!$D$2:$D$192,O$1-9)-10)*$C70</f>
        <v>1.9475479744136459</v>
      </c>
      <c r="P70" s="16">
        <f>0.5+(INDEX('Stat Boosts'!$D$2:$D$192,P$1-9)-10)*$C70</f>
        <v>2.1061833688699361</v>
      </c>
      <c r="Q70" s="16">
        <f>0.5+(INDEX('Stat Boosts'!$D$2:$D$192,Q$1-9)-10)*$C70</f>
        <v>2.2648187633262258</v>
      </c>
      <c r="R70" s="16">
        <f>0.5+(INDEX('Stat Boosts'!$D$2:$D$192,R$1-9)-10)*$C70</f>
        <v>2.4234541577825155</v>
      </c>
    </row>
    <row r="71" spans="1:18">
      <c r="A71" s="9">
        <v>70</v>
      </c>
      <c r="B71" s="16">
        <f t="shared" si="2"/>
        <v>40.58064516129032</v>
      </c>
      <c r="C71" s="16">
        <f t="shared" si="3"/>
        <v>1.9620253164556962E-2</v>
      </c>
      <c r="E71" s="16">
        <f>0.5+(INDEX('Stat Boosts'!$D$2:$D$192,E$1-9)-10)*$C71</f>
        <v>0.5</v>
      </c>
      <c r="F71" s="16">
        <f>0.5+(INDEX('Stat Boosts'!$D$2:$D$192,F$1-9)-10)*$C71</f>
        <v>0.6373417721518988</v>
      </c>
      <c r="G71" s="16">
        <f>0.5+(INDEX('Stat Boosts'!$D$2:$D$192,G$1-9)-10)*$C71</f>
        <v>0.77468354430379749</v>
      </c>
      <c r="H71" s="16">
        <f>0.5+(INDEX('Stat Boosts'!$D$2:$D$192,H$1-9)-10)*$C71</f>
        <v>0.91202531645569618</v>
      </c>
      <c r="I71" s="16">
        <f>0.5+(INDEX('Stat Boosts'!$D$2:$D$192,I$1-9)-10)*$C71</f>
        <v>1.0297468354430381</v>
      </c>
      <c r="J71" s="16">
        <f>0.5+(INDEX('Stat Boosts'!$D$2:$D$192,J$1-9)-10)*$C71</f>
        <v>1.1474683544303796</v>
      </c>
      <c r="K71" s="16">
        <f>0.5+(INDEX('Stat Boosts'!$D$2:$D$192,K$1-9)-10)*$C71</f>
        <v>1.4221518987341772</v>
      </c>
      <c r="L71" s="16">
        <f>0.5+(INDEX('Stat Boosts'!$D$2:$D$192,L$1-9)-10)*$C71</f>
        <v>1.5202531645569621</v>
      </c>
      <c r="M71" s="16">
        <f>0.5+(INDEX('Stat Boosts'!$D$2:$D$192,M$1-9)-10)*$C71</f>
        <v>1.6575949367088607</v>
      </c>
      <c r="N71" s="16">
        <f>0.5+(INDEX('Stat Boosts'!$D$2:$D$192,N$1-9)-10)*$C71</f>
        <v>1.8341772151898734</v>
      </c>
      <c r="O71" s="16">
        <f>0.5+(INDEX('Stat Boosts'!$D$2:$D$192,O$1-9)-10)*$C71</f>
        <v>1.9322784810126583</v>
      </c>
      <c r="P71" s="16">
        <f>0.5+(INDEX('Stat Boosts'!$D$2:$D$192,P$1-9)-10)*$C71</f>
        <v>2.089240506329114</v>
      </c>
      <c r="Q71" s="16">
        <f>0.5+(INDEX('Stat Boosts'!$D$2:$D$192,Q$1-9)-10)*$C71</f>
        <v>2.2462025316455696</v>
      </c>
      <c r="R71" s="16">
        <f>0.5+(INDEX('Stat Boosts'!$D$2:$D$192,R$1-9)-10)*$C71</f>
        <v>2.4031645569620252</v>
      </c>
    </row>
    <row r="72" spans="1:18">
      <c r="A72" s="9">
        <v>71</v>
      </c>
      <c r="B72" s="16">
        <f t="shared" si="2"/>
        <v>40.903225806451616</v>
      </c>
      <c r="C72" s="16">
        <f t="shared" si="3"/>
        <v>1.9415448851774528E-2</v>
      </c>
      <c r="E72" s="16">
        <f>0.5+(INDEX('Stat Boosts'!$D$2:$D$192,E$1-9)-10)*$C72</f>
        <v>0.5</v>
      </c>
      <c r="F72" s="16">
        <f>0.5+(INDEX('Stat Boosts'!$D$2:$D$192,F$1-9)-10)*$C72</f>
        <v>0.63590814196242174</v>
      </c>
      <c r="G72" s="16">
        <f>0.5+(INDEX('Stat Boosts'!$D$2:$D$192,G$1-9)-10)*$C72</f>
        <v>0.77181628392484336</v>
      </c>
      <c r="H72" s="16">
        <f>0.5+(INDEX('Stat Boosts'!$D$2:$D$192,H$1-9)-10)*$C72</f>
        <v>0.9077244258872651</v>
      </c>
      <c r="I72" s="16">
        <f>0.5+(INDEX('Stat Boosts'!$D$2:$D$192,I$1-9)-10)*$C72</f>
        <v>1.0242171189979121</v>
      </c>
      <c r="J72" s="16">
        <f>0.5+(INDEX('Stat Boosts'!$D$2:$D$192,J$1-9)-10)*$C72</f>
        <v>1.1407098121085593</v>
      </c>
      <c r="K72" s="16">
        <f>0.5+(INDEX('Stat Boosts'!$D$2:$D$192,K$1-9)-10)*$C72</f>
        <v>1.4125260960334027</v>
      </c>
      <c r="L72" s="16">
        <f>0.5+(INDEX('Stat Boosts'!$D$2:$D$192,L$1-9)-10)*$C72</f>
        <v>1.5096033402922755</v>
      </c>
      <c r="M72" s="16">
        <f>0.5+(INDEX('Stat Boosts'!$D$2:$D$192,M$1-9)-10)*$C72</f>
        <v>1.6455114822546972</v>
      </c>
      <c r="N72" s="16">
        <f>0.5+(INDEX('Stat Boosts'!$D$2:$D$192,N$1-9)-10)*$C72</f>
        <v>1.8202505219206679</v>
      </c>
      <c r="O72" s="16">
        <f>0.5+(INDEX('Stat Boosts'!$D$2:$D$192,O$1-9)-10)*$C72</f>
        <v>1.9173277661795405</v>
      </c>
      <c r="P72" s="16">
        <f>0.5+(INDEX('Stat Boosts'!$D$2:$D$192,P$1-9)-10)*$C72</f>
        <v>2.0726513569937368</v>
      </c>
      <c r="Q72" s="16">
        <f>0.5+(INDEX('Stat Boosts'!$D$2:$D$192,Q$1-9)-10)*$C72</f>
        <v>2.2279749478079331</v>
      </c>
      <c r="R72" s="16">
        <f>0.5+(INDEX('Stat Boosts'!$D$2:$D$192,R$1-9)-10)*$C72</f>
        <v>2.383298538622129</v>
      </c>
    </row>
    <row r="73" spans="1:18">
      <c r="A73" s="9">
        <v>72</v>
      </c>
      <c r="B73" s="16">
        <f t="shared" si="2"/>
        <v>41.225806451612904</v>
      </c>
      <c r="C73" s="16">
        <f t="shared" si="3"/>
        <v>1.921487603305785E-2</v>
      </c>
      <c r="E73" s="16">
        <f>0.5+(INDEX('Stat Boosts'!$D$2:$D$192,E$1-9)-10)*$C73</f>
        <v>0.5</v>
      </c>
      <c r="F73" s="16">
        <f>0.5+(INDEX('Stat Boosts'!$D$2:$D$192,F$1-9)-10)*$C73</f>
        <v>0.63450413223140489</v>
      </c>
      <c r="G73" s="16">
        <f>0.5+(INDEX('Stat Boosts'!$D$2:$D$192,G$1-9)-10)*$C73</f>
        <v>0.7690082644628099</v>
      </c>
      <c r="H73" s="16">
        <f>0.5+(INDEX('Stat Boosts'!$D$2:$D$192,H$1-9)-10)*$C73</f>
        <v>0.9035123966942149</v>
      </c>
      <c r="I73" s="16">
        <f>0.5+(INDEX('Stat Boosts'!$D$2:$D$192,I$1-9)-10)*$C73</f>
        <v>1.0188016528925621</v>
      </c>
      <c r="J73" s="16">
        <f>0.5+(INDEX('Stat Boosts'!$D$2:$D$192,J$1-9)-10)*$C73</f>
        <v>1.134090909090909</v>
      </c>
      <c r="K73" s="16">
        <f>0.5+(INDEX('Stat Boosts'!$D$2:$D$192,K$1-9)-10)*$C73</f>
        <v>1.403099173553719</v>
      </c>
      <c r="L73" s="16">
        <f>0.5+(INDEX('Stat Boosts'!$D$2:$D$192,L$1-9)-10)*$C73</f>
        <v>1.4991735537190083</v>
      </c>
      <c r="M73" s="16">
        <f>0.5+(INDEX('Stat Boosts'!$D$2:$D$192,M$1-9)-10)*$C73</f>
        <v>1.6336776859504132</v>
      </c>
      <c r="N73" s="16">
        <f>0.5+(INDEX('Stat Boosts'!$D$2:$D$192,N$1-9)-10)*$C73</f>
        <v>1.8066115702479337</v>
      </c>
      <c r="O73" s="16">
        <f>0.5+(INDEX('Stat Boosts'!$D$2:$D$192,O$1-9)-10)*$C73</f>
        <v>1.902685950413223</v>
      </c>
      <c r="P73" s="16">
        <f>0.5+(INDEX('Stat Boosts'!$D$2:$D$192,P$1-9)-10)*$C73</f>
        <v>2.0564049586776858</v>
      </c>
      <c r="Q73" s="16">
        <f>0.5+(INDEX('Stat Boosts'!$D$2:$D$192,Q$1-9)-10)*$C73</f>
        <v>2.2101239669421489</v>
      </c>
      <c r="R73" s="16">
        <f>0.5+(INDEX('Stat Boosts'!$D$2:$D$192,R$1-9)-10)*$C73</f>
        <v>2.3638429752066115</v>
      </c>
    </row>
    <row r="74" spans="1:18">
      <c r="A74" s="9">
        <v>73</v>
      </c>
      <c r="B74" s="16">
        <f t="shared" si="2"/>
        <v>41.548387096774192</v>
      </c>
      <c r="C74" s="16">
        <f t="shared" si="3"/>
        <v>1.9018404907975461E-2</v>
      </c>
      <c r="E74" s="16">
        <f>0.5+(INDEX('Stat Boosts'!$D$2:$D$192,E$1-9)-10)*$C74</f>
        <v>0.5</v>
      </c>
      <c r="F74" s="16">
        <f>0.5+(INDEX('Stat Boosts'!$D$2:$D$192,F$1-9)-10)*$C74</f>
        <v>0.63312883435582823</v>
      </c>
      <c r="G74" s="16">
        <f>0.5+(INDEX('Stat Boosts'!$D$2:$D$192,G$1-9)-10)*$C74</f>
        <v>0.76625766871165646</v>
      </c>
      <c r="H74" s="16">
        <f>0.5+(INDEX('Stat Boosts'!$D$2:$D$192,H$1-9)-10)*$C74</f>
        <v>0.89938650306748469</v>
      </c>
      <c r="I74" s="16">
        <f>0.5+(INDEX('Stat Boosts'!$D$2:$D$192,I$1-9)-10)*$C74</f>
        <v>1.0134969325153373</v>
      </c>
      <c r="J74" s="16">
        <f>0.5+(INDEX('Stat Boosts'!$D$2:$D$192,J$1-9)-10)*$C74</f>
        <v>1.1276073619631903</v>
      </c>
      <c r="K74" s="16">
        <f>0.5+(INDEX('Stat Boosts'!$D$2:$D$192,K$1-9)-10)*$C74</f>
        <v>1.3938650306748466</v>
      </c>
      <c r="L74" s="16">
        <f>0.5+(INDEX('Stat Boosts'!$D$2:$D$192,L$1-9)-10)*$C74</f>
        <v>1.488957055214724</v>
      </c>
      <c r="M74" s="16">
        <f>0.5+(INDEX('Stat Boosts'!$D$2:$D$192,M$1-9)-10)*$C74</f>
        <v>1.6220858895705521</v>
      </c>
      <c r="N74" s="16">
        <f>0.5+(INDEX('Stat Boosts'!$D$2:$D$192,N$1-9)-10)*$C74</f>
        <v>1.7932515337423314</v>
      </c>
      <c r="O74" s="16">
        <f>0.5+(INDEX('Stat Boosts'!$D$2:$D$192,O$1-9)-10)*$C74</f>
        <v>1.8883435582822088</v>
      </c>
      <c r="P74" s="16">
        <f>0.5+(INDEX('Stat Boosts'!$D$2:$D$192,P$1-9)-10)*$C74</f>
        <v>2.0404907975460125</v>
      </c>
      <c r="Q74" s="16">
        <f>0.5+(INDEX('Stat Boosts'!$D$2:$D$192,Q$1-9)-10)*$C74</f>
        <v>2.1926380368098162</v>
      </c>
      <c r="R74" s="16">
        <f>0.5+(INDEX('Stat Boosts'!$D$2:$D$192,R$1-9)-10)*$C74</f>
        <v>2.3447852760736199</v>
      </c>
    </row>
    <row r="75" spans="1:18">
      <c r="A75" s="9">
        <v>74</v>
      </c>
      <c r="B75" s="16">
        <f t="shared" si="2"/>
        <v>41.870967741935488</v>
      </c>
      <c r="C75" s="16">
        <f t="shared" si="3"/>
        <v>1.8825910931174087E-2</v>
      </c>
      <c r="E75" s="16">
        <f>0.5+(INDEX('Stat Boosts'!$D$2:$D$192,E$1-9)-10)*$C75</f>
        <v>0.5</v>
      </c>
      <c r="F75" s="16">
        <f>0.5+(INDEX('Stat Boosts'!$D$2:$D$192,F$1-9)-10)*$C75</f>
        <v>0.63178137651821864</v>
      </c>
      <c r="G75" s="16">
        <f>0.5+(INDEX('Stat Boosts'!$D$2:$D$192,G$1-9)-10)*$C75</f>
        <v>0.76356275303643728</v>
      </c>
      <c r="H75" s="16">
        <f>0.5+(INDEX('Stat Boosts'!$D$2:$D$192,H$1-9)-10)*$C75</f>
        <v>0.89534412955465581</v>
      </c>
      <c r="I75" s="16">
        <f>0.5+(INDEX('Stat Boosts'!$D$2:$D$192,I$1-9)-10)*$C75</f>
        <v>1.0082995951417004</v>
      </c>
      <c r="J75" s="16">
        <f>0.5+(INDEX('Stat Boosts'!$D$2:$D$192,J$1-9)-10)*$C75</f>
        <v>1.1212550607287448</v>
      </c>
      <c r="K75" s="16">
        <f>0.5+(INDEX('Stat Boosts'!$D$2:$D$192,K$1-9)-10)*$C75</f>
        <v>1.3848178137651821</v>
      </c>
      <c r="L75" s="16">
        <f>0.5+(INDEX('Stat Boosts'!$D$2:$D$192,L$1-9)-10)*$C75</f>
        <v>1.4789473684210526</v>
      </c>
      <c r="M75" s="16">
        <f>0.5+(INDEX('Stat Boosts'!$D$2:$D$192,M$1-9)-10)*$C75</f>
        <v>1.6107287449392711</v>
      </c>
      <c r="N75" s="16">
        <f>0.5+(INDEX('Stat Boosts'!$D$2:$D$192,N$1-9)-10)*$C75</f>
        <v>1.7801619433198379</v>
      </c>
      <c r="O75" s="16">
        <f>0.5+(INDEX('Stat Boosts'!$D$2:$D$192,O$1-9)-10)*$C75</f>
        <v>1.8742914979757084</v>
      </c>
      <c r="P75" s="16">
        <f>0.5+(INDEX('Stat Boosts'!$D$2:$D$192,P$1-9)-10)*$C75</f>
        <v>2.0248987854251013</v>
      </c>
      <c r="Q75" s="16">
        <f>0.5+(INDEX('Stat Boosts'!$D$2:$D$192,Q$1-9)-10)*$C75</f>
        <v>2.1755060728744935</v>
      </c>
      <c r="R75" s="16">
        <f>0.5+(INDEX('Stat Boosts'!$D$2:$D$192,R$1-9)-10)*$C75</f>
        <v>2.3261133603238866</v>
      </c>
    </row>
    <row r="76" spans="1:18">
      <c r="A76" s="9">
        <v>75</v>
      </c>
      <c r="B76" s="16">
        <f t="shared" si="2"/>
        <v>42.193548387096769</v>
      </c>
      <c r="C76" s="16">
        <f t="shared" si="3"/>
        <v>1.86372745490982E-2</v>
      </c>
      <c r="E76" s="16">
        <f>0.5+(INDEX('Stat Boosts'!$D$2:$D$192,E$1-9)-10)*$C76</f>
        <v>0.5</v>
      </c>
      <c r="F76" s="16">
        <f>0.5+(INDEX('Stat Boosts'!$D$2:$D$192,F$1-9)-10)*$C76</f>
        <v>0.63046092184368741</v>
      </c>
      <c r="G76" s="16">
        <f>0.5+(INDEX('Stat Boosts'!$D$2:$D$192,G$1-9)-10)*$C76</f>
        <v>0.76092184368737481</v>
      </c>
      <c r="H76" s="16">
        <f>0.5+(INDEX('Stat Boosts'!$D$2:$D$192,H$1-9)-10)*$C76</f>
        <v>0.89138276553106222</v>
      </c>
      <c r="I76" s="16">
        <f>0.5+(INDEX('Stat Boosts'!$D$2:$D$192,I$1-9)-10)*$C76</f>
        <v>1.0032064128256515</v>
      </c>
      <c r="J76" s="16">
        <f>0.5+(INDEX('Stat Boosts'!$D$2:$D$192,J$1-9)-10)*$C76</f>
        <v>1.1150300601202408</v>
      </c>
      <c r="K76" s="16">
        <f>0.5+(INDEX('Stat Boosts'!$D$2:$D$192,K$1-9)-10)*$C76</f>
        <v>1.3759519038076153</v>
      </c>
      <c r="L76" s="16">
        <f>0.5+(INDEX('Stat Boosts'!$D$2:$D$192,L$1-9)-10)*$C76</f>
        <v>1.4691382765531062</v>
      </c>
      <c r="M76" s="16">
        <f>0.5+(INDEX('Stat Boosts'!$D$2:$D$192,M$1-9)-10)*$C76</f>
        <v>1.5995991983967939</v>
      </c>
      <c r="N76" s="16">
        <f>0.5+(INDEX('Stat Boosts'!$D$2:$D$192,N$1-9)-10)*$C76</f>
        <v>1.7673346693386776</v>
      </c>
      <c r="O76" s="16">
        <f>0.5+(INDEX('Stat Boosts'!$D$2:$D$192,O$1-9)-10)*$C76</f>
        <v>1.8605210420841687</v>
      </c>
      <c r="P76" s="16">
        <f>0.5+(INDEX('Stat Boosts'!$D$2:$D$192,P$1-9)-10)*$C76</f>
        <v>2.0096192384769545</v>
      </c>
      <c r="Q76" s="16">
        <f>0.5+(INDEX('Stat Boosts'!$D$2:$D$192,Q$1-9)-10)*$C76</f>
        <v>2.1587174348697395</v>
      </c>
      <c r="R76" s="16">
        <f>0.5+(INDEX('Stat Boosts'!$D$2:$D$192,R$1-9)-10)*$C76</f>
        <v>2.3078156312625255</v>
      </c>
    </row>
    <row r="77" spans="1:18">
      <c r="A77" s="9">
        <v>76</v>
      </c>
      <c r="B77" s="16">
        <f t="shared" si="2"/>
        <v>42.516129032258064</v>
      </c>
      <c r="C77" s="16">
        <f t="shared" si="3"/>
        <v>1.8452380952380953E-2</v>
      </c>
      <c r="E77" s="16">
        <f>0.5+(INDEX('Stat Boosts'!$D$2:$D$192,E$1-9)-10)*$C77</f>
        <v>0.5</v>
      </c>
      <c r="F77" s="16">
        <f>0.5+(INDEX('Stat Boosts'!$D$2:$D$192,F$1-9)-10)*$C77</f>
        <v>0.62916666666666665</v>
      </c>
      <c r="G77" s="16">
        <f>0.5+(INDEX('Stat Boosts'!$D$2:$D$192,G$1-9)-10)*$C77</f>
        <v>0.7583333333333333</v>
      </c>
      <c r="H77" s="16">
        <f>0.5+(INDEX('Stat Boosts'!$D$2:$D$192,H$1-9)-10)*$C77</f>
        <v>0.88749999999999996</v>
      </c>
      <c r="I77" s="16">
        <f>0.5+(INDEX('Stat Boosts'!$D$2:$D$192,I$1-9)-10)*$C77</f>
        <v>0.99821428571428572</v>
      </c>
      <c r="J77" s="16">
        <f>0.5+(INDEX('Stat Boosts'!$D$2:$D$192,J$1-9)-10)*$C77</f>
        <v>1.1089285714285715</v>
      </c>
      <c r="K77" s="16">
        <f>0.5+(INDEX('Stat Boosts'!$D$2:$D$192,K$1-9)-10)*$C77</f>
        <v>1.3672619047619048</v>
      </c>
      <c r="L77" s="16">
        <f>0.5+(INDEX('Stat Boosts'!$D$2:$D$192,L$1-9)-10)*$C77</f>
        <v>1.4595238095238097</v>
      </c>
      <c r="M77" s="16">
        <f>0.5+(INDEX('Stat Boosts'!$D$2:$D$192,M$1-9)-10)*$C77</f>
        <v>1.5886904761904763</v>
      </c>
      <c r="N77" s="16">
        <f>0.5+(INDEX('Stat Boosts'!$D$2:$D$192,N$1-9)-10)*$C77</f>
        <v>1.7547619047619047</v>
      </c>
      <c r="O77" s="16">
        <f>0.5+(INDEX('Stat Boosts'!$D$2:$D$192,O$1-9)-10)*$C77</f>
        <v>1.8470238095238096</v>
      </c>
      <c r="P77" s="16">
        <f>0.5+(INDEX('Stat Boosts'!$D$2:$D$192,P$1-9)-10)*$C77</f>
        <v>1.9946428571428572</v>
      </c>
      <c r="Q77" s="16">
        <f>0.5+(INDEX('Stat Boosts'!$D$2:$D$192,Q$1-9)-10)*$C77</f>
        <v>2.1422619047619049</v>
      </c>
      <c r="R77" s="16">
        <f>0.5+(INDEX('Stat Boosts'!$D$2:$D$192,R$1-9)-10)*$C77</f>
        <v>2.2898809523809525</v>
      </c>
    </row>
    <row r="78" spans="1:18">
      <c r="A78" s="9">
        <v>77</v>
      </c>
      <c r="B78" s="16">
        <f t="shared" si="2"/>
        <v>42.838709677419359</v>
      </c>
      <c r="C78" s="16">
        <f t="shared" si="3"/>
        <v>1.8271119842829073E-2</v>
      </c>
      <c r="E78" s="16">
        <f>0.5+(INDEX('Stat Boosts'!$D$2:$D$192,E$1-9)-10)*$C78</f>
        <v>0.5</v>
      </c>
      <c r="F78" s="16">
        <f>0.5+(INDEX('Stat Boosts'!$D$2:$D$192,F$1-9)-10)*$C78</f>
        <v>0.62789783889980355</v>
      </c>
      <c r="G78" s="16">
        <f>0.5+(INDEX('Stat Boosts'!$D$2:$D$192,G$1-9)-10)*$C78</f>
        <v>0.75579567779960699</v>
      </c>
      <c r="H78" s="16">
        <f>0.5+(INDEX('Stat Boosts'!$D$2:$D$192,H$1-9)-10)*$C78</f>
        <v>0.88369351669941054</v>
      </c>
      <c r="I78" s="16">
        <f>0.5+(INDEX('Stat Boosts'!$D$2:$D$192,I$1-9)-10)*$C78</f>
        <v>0.99332023575638495</v>
      </c>
      <c r="J78" s="16">
        <f>0.5+(INDEX('Stat Boosts'!$D$2:$D$192,J$1-9)-10)*$C78</f>
        <v>1.1029469548133592</v>
      </c>
      <c r="K78" s="16">
        <f>0.5+(INDEX('Stat Boosts'!$D$2:$D$192,K$1-9)-10)*$C78</f>
        <v>1.3587426326129664</v>
      </c>
      <c r="L78" s="16">
        <f>0.5+(INDEX('Stat Boosts'!$D$2:$D$192,L$1-9)-10)*$C78</f>
        <v>1.4500982318271118</v>
      </c>
      <c r="M78" s="16">
        <f>0.5+(INDEX('Stat Boosts'!$D$2:$D$192,M$1-9)-10)*$C78</f>
        <v>1.5779960707269154</v>
      </c>
      <c r="N78" s="16">
        <f>0.5+(INDEX('Stat Boosts'!$D$2:$D$192,N$1-9)-10)*$C78</f>
        <v>1.742436149312377</v>
      </c>
      <c r="O78" s="16">
        <f>0.5+(INDEX('Stat Boosts'!$D$2:$D$192,O$1-9)-10)*$C78</f>
        <v>1.8337917485265223</v>
      </c>
      <c r="P78" s="16">
        <f>0.5+(INDEX('Stat Boosts'!$D$2:$D$192,P$1-9)-10)*$C78</f>
        <v>1.979960707269155</v>
      </c>
      <c r="Q78" s="16">
        <f>0.5+(INDEX('Stat Boosts'!$D$2:$D$192,Q$1-9)-10)*$C78</f>
        <v>2.1261296660117877</v>
      </c>
      <c r="R78" s="16">
        <f>0.5+(INDEX('Stat Boosts'!$D$2:$D$192,R$1-9)-10)*$C78</f>
        <v>2.2722986247544199</v>
      </c>
    </row>
    <row r="79" spans="1:18">
      <c r="A79" s="9">
        <v>78</v>
      </c>
      <c r="B79" s="16">
        <f t="shared" si="2"/>
        <v>43.161290322580641</v>
      </c>
      <c r="C79" s="16">
        <f t="shared" si="3"/>
        <v>1.8093385214007784E-2</v>
      </c>
      <c r="E79" s="16">
        <f>0.5+(INDEX('Stat Boosts'!$D$2:$D$192,E$1-9)-10)*$C79</f>
        <v>0.5</v>
      </c>
      <c r="F79" s="16">
        <f>0.5+(INDEX('Stat Boosts'!$D$2:$D$192,F$1-9)-10)*$C79</f>
        <v>0.62665369649805447</v>
      </c>
      <c r="G79" s="16">
        <f>0.5+(INDEX('Stat Boosts'!$D$2:$D$192,G$1-9)-10)*$C79</f>
        <v>0.75330739299610894</v>
      </c>
      <c r="H79" s="16">
        <f>0.5+(INDEX('Stat Boosts'!$D$2:$D$192,H$1-9)-10)*$C79</f>
        <v>0.87996108949416341</v>
      </c>
      <c r="I79" s="16">
        <f>0.5+(INDEX('Stat Boosts'!$D$2:$D$192,I$1-9)-10)*$C79</f>
        <v>0.98852140077821016</v>
      </c>
      <c r="J79" s="16">
        <f>0.5+(INDEX('Stat Boosts'!$D$2:$D$192,J$1-9)-10)*$C79</f>
        <v>1.0970817120622569</v>
      </c>
      <c r="K79" s="16">
        <f>0.5+(INDEX('Stat Boosts'!$D$2:$D$192,K$1-9)-10)*$C79</f>
        <v>1.3503891050583658</v>
      </c>
      <c r="L79" s="16">
        <f>0.5+(INDEX('Stat Boosts'!$D$2:$D$192,L$1-9)-10)*$C79</f>
        <v>1.4408560311284049</v>
      </c>
      <c r="M79" s="16">
        <f>0.5+(INDEX('Stat Boosts'!$D$2:$D$192,M$1-9)-10)*$C79</f>
        <v>1.5675097276264593</v>
      </c>
      <c r="N79" s="16">
        <f>0.5+(INDEX('Stat Boosts'!$D$2:$D$192,N$1-9)-10)*$C79</f>
        <v>1.7303501945525293</v>
      </c>
      <c r="O79" s="16">
        <f>0.5+(INDEX('Stat Boosts'!$D$2:$D$192,O$1-9)-10)*$C79</f>
        <v>1.8208171206225683</v>
      </c>
      <c r="P79" s="16">
        <f>0.5+(INDEX('Stat Boosts'!$D$2:$D$192,P$1-9)-10)*$C79</f>
        <v>1.9655642023346305</v>
      </c>
      <c r="Q79" s="16">
        <f>0.5+(INDEX('Stat Boosts'!$D$2:$D$192,Q$1-9)-10)*$C79</f>
        <v>2.1103112840466927</v>
      </c>
      <c r="R79" s="16">
        <f>0.5+(INDEX('Stat Boosts'!$D$2:$D$192,R$1-9)-10)*$C79</f>
        <v>2.2550583657587548</v>
      </c>
    </row>
    <row r="80" spans="1:18">
      <c r="A80" s="9">
        <v>79</v>
      </c>
      <c r="B80" s="16">
        <f t="shared" si="2"/>
        <v>43.483870967741936</v>
      </c>
      <c r="C80" s="16">
        <f t="shared" si="3"/>
        <v>1.7919075144508669E-2</v>
      </c>
      <c r="E80" s="16">
        <f>0.5+(INDEX('Stat Boosts'!$D$2:$D$192,E$1-9)-10)*$C80</f>
        <v>0.5</v>
      </c>
      <c r="F80" s="16">
        <f>0.5+(INDEX('Stat Boosts'!$D$2:$D$192,F$1-9)-10)*$C80</f>
        <v>0.62543352601156066</v>
      </c>
      <c r="G80" s="16">
        <f>0.5+(INDEX('Stat Boosts'!$D$2:$D$192,G$1-9)-10)*$C80</f>
        <v>0.75086705202312132</v>
      </c>
      <c r="H80" s="16">
        <f>0.5+(INDEX('Stat Boosts'!$D$2:$D$192,H$1-9)-10)*$C80</f>
        <v>0.87630057803468198</v>
      </c>
      <c r="I80" s="16">
        <f>0.5+(INDEX('Stat Boosts'!$D$2:$D$192,I$1-9)-10)*$C80</f>
        <v>0.983815028901734</v>
      </c>
      <c r="J80" s="16">
        <f>0.5+(INDEX('Stat Boosts'!$D$2:$D$192,J$1-9)-10)*$C80</f>
        <v>1.091329479768786</v>
      </c>
      <c r="K80" s="16">
        <f>0.5+(INDEX('Stat Boosts'!$D$2:$D$192,K$1-9)-10)*$C80</f>
        <v>1.3421965317919073</v>
      </c>
      <c r="L80" s="16">
        <f>0.5+(INDEX('Stat Boosts'!$D$2:$D$192,L$1-9)-10)*$C80</f>
        <v>1.4317919075144507</v>
      </c>
      <c r="M80" s="16">
        <f>0.5+(INDEX('Stat Boosts'!$D$2:$D$192,M$1-9)-10)*$C80</f>
        <v>1.5572254335260114</v>
      </c>
      <c r="N80" s="16">
        <f>0.5+(INDEX('Stat Boosts'!$D$2:$D$192,N$1-9)-10)*$C80</f>
        <v>1.7184971098265895</v>
      </c>
      <c r="O80" s="16">
        <f>0.5+(INDEX('Stat Boosts'!$D$2:$D$192,O$1-9)-10)*$C80</f>
        <v>1.8080924855491327</v>
      </c>
      <c r="P80" s="16">
        <f>0.5+(INDEX('Stat Boosts'!$D$2:$D$192,P$1-9)-10)*$C80</f>
        <v>1.9514450867052022</v>
      </c>
      <c r="Q80" s="16">
        <f>0.5+(INDEX('Stat Boosts'!$D$2:$D$192,Q$1-9)-10)*$C80</f>
        <v>2.0947976878612717</v>
      </c>
      <c r="R80" s="16">
        <f>0.5+(INDEX('Stat Boosts'!$D$2:$D$192,R$1-9)-10)*$C80</f>
        <v>2.2381502890173408</v>
      </c>
    </row>
    <row r="81" spans="1:18">
      <c r="A81" s="9">
        <v>80</v>
      </c>
      <c r="B81" s="16">
        <f t="shared" si="2"/>
        <v>43.806451612903224</v>
      </c>
      <c r="C81" s="16">
        <f t="shared" si="3"/>
        <v>1.7748091603053434E-2</v>
      </c>
      <c r="E81" s="16">
        <f>0.5+(INDEX('Stat Boosts'!$D$2:$D$192,E$1-9)-10)*$C81</f>
        <v>0.5</v>
      </c>
      <c r="F81" s="16">
        <f>0.5+(INDEX('Stat Boosts'!$D$2:$D$192,F$1-9)-10)*$C81</f>
        <v>0.62423664122137401</v>
      </c>
      <c r="G81" s="16">
        <f>0.5+(INDEX('Stat Boosts'!$D$2:$D$192,G$1-9)-10)*$C81</f>
        <v>0.74847328244274802</v>
      </c>
      <c r="H81" s="16">
        <f>0.5+(INDEX('Stat Boosts'!$D$2:$D$192,H$1-9)-10)*$C81</f>
        <v>0.87270992366412214</v>
      </c>
      <c r="I81" s="16">
        <f>0.5+(INDEX('Stat Boosts'!$D$2:$D$192,I$1-9)-10)*$C81</f>
        <v>0.97919847328244269</v>
      </c>
      <c r="J81" s="16">
        <f>0.5+(INDEX('Stat Boosts'!$D$2:$D$192,J$1-9)-10)*$C81</f>
        <v>1.0856870229007634</v>
      </c>
      <c r="K81" s="16">
        <f>0.5+(INDEX('Stat Boosts'!$D$2:$D$192,K$1-9)-10)*$C81</f>
        <v>1.3341603053435114</v>
      </c>
      <c r="L81" s="16">
        <f>0.5+(INDEX('Stat Boosts'!$D$2:$D$192,L$1-9)-10)*$C81</f>
        <v>1.4229007633587787</v>
      </c>
      <c r="M81" s="16">
        <f>0.5+(INDEX('Stat Boosts'!$D$2:$D$192,M$1-9)-10)*$C81</f>
        <v>1.5471374045801527</v>
      </c>
      <c r="N81" s="16">
        <f>0.5+(INDEX('Stat Boosts'!$D$2:$D$192,N$1-9)-10)*$C81</f>
        <v>1.7068702290076336</v>
      </c>
      <c r="O81" s="16">
        <f>0.5+(INDEX('Stat Boosts'!$D$2:$D$192,O$1-9)-10)*$C81</f>
        <v>1.7956106870229007</v>
      </c>
      <c r="P81" s="16">
        <f>0.5+(INDEX('Stat Boosts'!$D$2:$D$192,P$1-9)-10)*$C81</f>
        <v>1.9375954198473282</v>
      </c>
      <c r="Q81" s="16">
        <f>0.5+(INDEX('Stat Boosts'!$D$2:$D$192,Q$1-9)-10)*$C81</f>
        <v>2.0795801526717557</v>
      </c>
      <c r="R81" s="16">
        <f>0.5+(INDEX('Stat Boosts'!$D$2:$D$192,R$1-9)-10)*$C81</f>
        <v>2.2215648854961829</v>
      </c>
    </row>
    <row r="82" spans="1:18">
      <c r="A82" s="9">
        <v>81</v>
      </c>
      <c r="B82" s="16">
        <f t="shared" si="2"/>
        <v>44.129032258064512</v>
      </c>
      <c r="C82" s="16">
        <f t="shared" si="3"/>
        <v>1.7580340264650284E-2</v>
      </c>
      <c r="E82" s="16">
        <f>0.5+(INDEX('Stat Boosts'!$D$2:$D$192,E$1-9)-10)*$C82</f>
        <v>0.5</v>
      </c>
      <c r="F82" s="16">
        <f>0.5+(INDEX('Stat Boosts'!$D$2:$D$192,F$1-9)-10)*$C82</f>
        <v>0.62306238185255203</v>
      </c>
      <c r="G82" s="16">
        <f>0.5+(INDEX('Stat Boosts'!$D$2:$D$192,G$1-9)-10)*$C82</f>
        <v>0.74612476370510394</v>
      </c>
      <c r="H82" s="16">
        <f>0.5+(INDEX('Stat Boosts'!$D$2:$D$192,H$1-9)-10)*$C82</f>
        <v>0.86918714555765597</v>
      </c>
      <c r="I82" s="16">
        <f>0.5+(INDEX('Stat Boosts'!$D$2:$D$192,I$1-9)-10)*$C82</f>
        <v>0.97466918714555772</v>
      </c>
      <c r="J82" s="16">
        <f>0.5+(INDEX('Stat Boosts'!$D$2:$D$192,J$1-9)-10)*$C82</f>
        <v>1.0801512287334594</v>
      </c>
      <c r="K82" s="16">
        <f>0.5+(INDEX('Stat Boosts'!$D$2:$D$192,K$1-9)-10)*$C82</f>
        <v>1.3262759924385632</v>
      </c>
      <c r="L82" s="16">
        <f>0.5+(INDEX('Stat Boosts'!$D$2:$D$192,L$1-9)-10)*$C82</f>
        <v>1.4141776937618147</v>
      </c>
      <c r="M82" s="16">
        <f>0.5+(INDEX('Stat Boosts'!$D$2:$D$192,M$1-9)-10)*$C82</f>
        <v>1.5372400756143667</v>
      </c>
      <c r="N82" s="16">
        <f>0.5+(INDEX('Stat Boosts'!$D$2:$D$192,N$1-9)-10)*$C82</f>
        <v>1.6954631379962193</v>
      </c>
      <c r="O82" s="16">
        <f>0.5+(INDEX('Stat Boosts'!$D$2:$D$192,O$1-9)-10)*$C82</f>
        <v>1.7833648393194708</v>
      </c>
      <c r="P82" s="16">
        <f>0.5+(INDEX('Stat Boosts'!$D$2:$D$192,P$1-9)-10)*$C82</f>
        <v>1.924007561436673</v>
      </c>
      <c r="Q82" s="16">
        <f>0.5+(INDEX('Stat Boosts'!$D$2:$D$192,Q$1-9)-10)*$C82</f>
        <v>2.0646502835538754</v>
      </c>
      <c r="R82" s="16">
        <f>0.5+(INDEX('Stat Boosts'!$D$2:$D$192,R$1-9)-10)*$C82</f>
        <v>2.2052930056710776</v>
      </c>
    </row>
    <row r="83" spans="1:18">
      <c r="A83" s="9">
        <v>82</v>
      </c>
      <c r="B83" s="16">
        <f t="shared" si="2"/>
        <v>44.451612903225808</v>
      </c>
      <c r="C83" s="16">
        <f t="shared" si="3"/>
        <v>1.7415730337078651E-2</v>
      </c>
      <c r="E83" s="16">
        <f>0.5+(INDEX('Stat Boosts'!$D$2:$D$192,E$1-9)-10)*$C83</f>
        <v>0.5</v>
      </c>
      <c r="F83" s="16">
        <f>0.5+(INDEX('Stat Boosts'!$D$2:$D$192,F$1-9)-10)*$C83</f>
        <v>0.62191011235955052</v>
      </c>
      <c r="G83" s="16">
        <f>0.5+(INDEX('Stat Boosts'!$D$2:$D$192,G$1-9)-10)*$C83</f>
        <v>0.74382022471910114</v>
      </c>
      <c r="H83" s="16">
        <f>0.5+(INDEX('Stat Boosts'!$D$2:$D$192,H$1-9)-10)*$C83</f>
        <v>0.86573033707865166</v>
      </c>
      <c r="I83" s="16">
        <f>0.5+(INDEX('Stat Boosts'!$D$2:$D$192,I$1-9)-10)*$C83</f>
        <v>0.97022471910112351</v>
      </c>
      <c r="J83" s="16">
        <f>0.5+(INDEX('Stat Boosts'!$D$2:$D$192,J$1-9)-10)*$C83</f>
        <v>1.0747191011235955</v>
      </c>
      <c r="K83" s="16">
        <f>0.5+(INDEX('Stat Boosts'!$D$2:$D$192,K$1-9)-10)*$C83</f>
        <v>1.3185393258426967</v>
      </c>
      <c r="L83" s="16">
        <f>0.5+(INDEX('Stat Boosts'!$D$2:$D$192,L$1-9)-10)*$C83</f>
        <v>1.4056179775280899</v>
      </c>
      <c r="M83" s="16">
        <f>0.5+(INDEX('Stat Boosts'!$D$2:$D$192,M$1-9)-10)*$C83</f>
        <v>1.5275280898876404</v>
      </c>
      <c r="N83" s="16">
        <f>0.5+(INDEX('Stat Boosts'!$D$2:$D$192,N$1-9)-10)*$C83</f>
        <v>1.6842696629213483</v>
      </c>
      <c r="O83" s="16">
        <f>0.5+(INDEX('Stat Boosts'!$D$2:$D$192,O$1-9)-10)*$C83</f>
        <v>1.7713483146067415</v>
      </c>
      <c r="P83" s="16">
        <f>0.5+(INDEX('Stat Boosts'!$D$2:$D$192,P$1-9)-10)*$C83</f>
        <v>1.9106741573033708</v>
      </c>
      <c r="Q83" s="16">
        <f>0.5+(INDEX('Stat Boosts'!$D$2:$D$192,Q$1-9)-10)*$C83</f>
        <v>2.0499999999999998</v>
      </c>
      <c r="R83" s="16">
        <f>0.5+(INDEX('Stat Boosts'!$D$2:$D$192,R$1-9)-10)*$C83</f>
        <v>2.1893258426966291</v>
      </c>
    </row>
    <row r="84" spans="1:18">
      <c r="A84" s="9">
        <v>83</v>
      </c>
      <c r="B84" s="16">
        <f t="shared" si="2"/>
        <v>44.774193548387096</v>
      </c>
      <c r="C84" s="16">
        <f t="shared" si="3"/>
        <v>1.725417439703154E-2</v>
      </c>
      <c r="E84" s="16">
        <f>0.5+(INDEX('Stat Boosts'!$D$2:$D$192,E$1-9)-10)*$C84</f>
        <v>0.5</v>
      </c>
      <c r="F84" s="16">
        <f>0.5+(INDEX('Stat Boosts'!$D$2:$D$192,F$1-9)-10)*$C84</f>
        <v>0.62077922077922076</v>
      </c>
      <c r="G84" s="16">
        <f>0.5+(INDEX('Stat Boosts'!$D$2:$D$192,G$1-9)-10)*$C84</f>
        <v>0.74155844155844153</v>
      </c>
      <c r="H84" s="16">
        <f>0.5+(INDEX('Stat Boosts'!$D$2:$D$192,H$1-9)-10)*$C84</f>
        <v>0.8623376623376624</v>
      </c>
      <c r="I84" s="16">
        <f>0.5+(INDEX('Stat Boosts'!$D$2:$D$192,I$1-9)-10)*$C84</f>
        <v>0.96586270871985158</v>
      </c>
      <c r="J84" s="16">
        <f>0.5+(INDEX('Stat Boosts'!$D$2:$D$192,J$1-9)-10)*$C84</f>
        <v>1.0693877551020408</v>
      </c>
      <c r="K84" s="16">
        <f>0.5+(INDEX('Stat Boosts'!$D$2:$D$192,K$1-9)-10)*$C84</f>
        <v>1.3109461966604825</v>
      </c>
      <c r="L84" s="16">
        <f>0.5+(INDEX('Stat Boosts'!$D$2:$D$192,L$1-9)-10)*$C84</f>
        <v>1.3972170686456402</v>
      </c>
      <c r="M84" s="16">
        <f>0.5+(INDEX('Stat Boosts'!$D$2:$D$192,M$1-9)-10)*$C84</f>
        <v>1.5179962894248609</v>
      </c>
      <c r="N84" s="16">
        <f>0.5+(INDEX('Stat Boosts'!$D$2:$D$192,N$1-9)-10)*$C84</f>
        <v>1.6732838589981447</v>
      </c>
      <c r="O84" s="16">
        <f>0.5+(INDEX('Stat Boosts'!$D$2:$D$192,O$1-9)-10)*$C84</f>
        <v>1.7595547309833024</v>
      </c>
      <c r="P84" s="16">
        <f>0.5+(INDEX('Stat Boosts'!$D$2:$D$192,P$1-9)-10)*$C84</f>
        <v>1.8975881261595549</v>
      </c>
      <c r="Q84" s="16">
        <f>0.5+(INDEX('Stat Boosts'!$D$2:$D$192,Q$1-9)-10)*$C84</f>
        <v>2.0356215213358073</v>
      </c>
      <c r="R84" s="16">
        <f>0.5+(INDEX('Stat Boosts'!$D$2:$D$192,R$1-9)-10)*$C84</f>
        <v>2.1736549165120591</v>
      </c>
    </row>
    <row r="85" spans="1:18">
      <c r="A85" s="9">
        <v>84</v>
      </c>
      <c r="B85" s="16">
        <f t="shared" si="2"/>
        <v>45.096774193548384</v>
      </c>
      <c r="C85" s="16">
        <f t="shared" si="3"/>
        <v>1.7095588235294119E-2</v>
      </c>
      <c r="E85" s="16">
        <f>0.5+(INDEX('Stat Boosts'!$D$2:$D$192,E$1-9)-10)*$C85</f>
        <v>0.5</v>
      </c>
      <c r="F85" s="16">
        <f>0.5+(INDEX('Stat Boosts'!$D$2:$D$192,F$1-9)-10)*$C85</f>
        <v>0.61966911764705879</v>
      </c>
      <c r="G85" s="16">
        <f>0.5+(INDEX('Stat Boosts'!$D$2:$D$192,G$1-9)-10)*$C85</f>
        <v>0.73933823529411768</v>
      </c>
      <c r="H85" s="16">
        <f>0.5+(INDEX('Stat Boosts'!$D$2:$D$192,H$1-9)-10)*$C85</f>
        <v>0.85900735294117658</v>
      </c>
      <c r="I85" s="16">
        <f>0.5+(INDEX('Stat Boosts'!$D$2:$D$192,I$1-9)-10)*$C85</f>
        <v>0.96158088235294126</v>
      </c>
      <c r="J85" s="16">
        <f>0.5+(INDEX('Stat Boosts'!$D$2:$D$192,J$1-9)-10)*$C85</f>
        <v>1.0641544117647059</v>
      </c>
      <c r="K85" s="16">
        <f>0.5+(INDEX('Stat Boosts'!$D$2:$D$192,K$1-9)-10)*$C85</f>
        <v>1.3034926470588237</v>
      </c>
      <c r="L85" s="16">
        <f>0.5+(INDEX('Stat Boosts'!$D$2:$D$192,L$1-9)-10)*$C85</f>
        <v>1.3889705882352943</v>
      </c>
      <c r="M85" s="16">
        <f>0.5+(INDEX('Stat Boosts'!$D$2:$D$192,M$1-9)-10)*$C85</f>
        <v>1.5086397058823531</v>
      </c>
      <c r="N85" s="16">
        <f>0.5+(INDEX('Stat Boosts'!$D$2:$D$192,N$1-9)-10)*$C85</f>
        <v>1.6625000000000001</v>
      </c>
      <c r="O85" s="16">
        <f>0.5+(INDEX('Stat Boosts'!$D$2:$D$192,O$1-9)-10)*$C85</f>
        <v>1.7479779411764707</v>
      </c>
      <c r="P85" s="16">
        <f>0.5+(INDEX('Stat Boosts'!$D$2:$D$192,P$1-9)-10)*$C85</f>
        <v>1.8847426470588238</v>
      </c>
      <c r="Q85" s="16">
        <f>0.5+(INDEX('Stat Boosts'!$D$2:$D$192,Q$1-9)-10)*$C85</f>
        <v>2.0215073529411764</v>
      </c>
      <c r="R85" s="16">
        <f>0.5+(INDEX('Stat Boosts'!$D$2:$D$192,R$1-9)-10)*$C85</f>
        <v>2.1582720588235293</v>
      </c>
    </row>
    <row r="86" spans="1:18">
      <c r="A86" s="9">
        <v>85</v>
      </c>
      <c r="B86" s="16">
        <f t="shared" si="2"/>
        <v>45.41935483870968</v>
      </c>
      <c r="C86" s="16">
        <f t="shared" si="3"/>
        <v>1.6939890710382512E-2</v>
      </c>
      <c r="E86" s="16">
        <f>0.5+(INDEX('Stat Boosts'!$D$2:$D$192,E$1-9)-10)*$C86</f>
        <v>0.5</v>
      </c>
      <c r="F86" s="16">
        <f>0.5+(INDEX('Stat Boosts'!$D$2:$D$192,F$1-9)-10)*$C86</f>
        <v>0.61857923497267753</v>
      </c>
      <c r="G86" s="16">
        <f>0.5+(INDEX('Stat Boosts'!$D$2:$D$192,G$1-9)-10)*$C86</f>
        <v>0.73715846994535517</v>
      </c>
      <c r="H86" s="16">
        <f>0.5+(INDEX('Stat Boosts'!$D$2:$D$192,H$1-9)-10)*$C86</f>
        <v>0.8557377049180328</v>
      </c>
      <c r="I86" s="16">
        <f>0.5+(INDEX('Stat Boosts'!$D$2:$D$192,I$1-9)-10)*$C86</f>
        <v>0.95737704918032784</v>
      </c>
      <c r="J86" s="16">
        <f>0.5+(INDEX('Stat Boosts'!$D$2:$D$192,J$1-9)-10)*$C86</f>
        <v>1.0590163934426229</v>
      </c>
      <c r="K86" s="16">
        <f>0.5+(INDEX('Stat Boosts'!$D$2:$D$192,K$1-9)-10)*$C86</f>
        <v>1.2961748633879782</v>
      </c>
      <c r="L86" s="16">
        <f>0.5+(INDEX('Stat Boosts'!$D$2:$D$192,L$1-9)-10)*$C86</f>
        <v>1.3808743169398907</v>
      </c>
      <c r="M86" s="16">
        <f>0.5+(INDEX('Stat Boosts'!$D$2:$D$192,M$1-9)-10)*$C86</f>
        <v>1.4994535519125682</v>
      </c>
      <c r="N86" s="16">
        <f>0.5+(INDEX('Stat Boosts'!$D$2:$D$192,N$1-9)-10)*$C86</f>
        <v>1.6519125683060107</v>
      </c>
      <c r="O86" s="16">
        <f>0.5+(INDEX('Stat Boosts'!$D$2:$D$192,O$1-9)-10)*$C86</f>
        <v>1.7366120218579233</v>
      </c>
      <c r="P86" s="16">
        <f>0.5+(INDEX('Stat Boosts'!$D$2:$D$192,P$1-9)-10)*$C86</f>
        <v>1.8721311475409834</v>
      </c>
      <c r="Q86" s="16">
        <f>0.5+(INDEX('Stat Boosts'!$D$2:$D$192,Q$1-9)-10)*$C86</f>
        <v>2.0076502732240433</v>
      </c>
      <c r="R86" s="16">
        <f>0.5+(INDEX('Stat Boosts'!$D$2:$D$192,R$1-9)-10)*$C86</f>
        <v>2.1431693989071037</v>
      </c>
    </row>
    <row r="87" spans="1:18">
      <c r="A87" s="9">
        <v>86</v>
      </c>
      <c r="B87" s="16">
        <f t="shared" si="2"/>
        <v>45.741935483870968</v>
      </c>
      <c r="C87" s="16">
        <f t="shared" si="3"/>
        <v>1.6787003610108302E-2</v>
      </c>
      <c r="E87" s="16">
        <f>0.5+(INDEX('Stat Boosts'!$D$2:$D$192,E$1-9)-10)*$C87</f>
        <v>0.5</v>
      </c>
      <c r="F87" s="16">
        <f>0.5+(INDEX('Stat Boosts'!$D$2:$D$192,F$1-9)-10)*$C87</f>
        <v>0.61750902527075813</v>
      </c>
      <c r="G87" s="16">
        <f>0.5+(INDEX('Stat Boosts'!$D$2:$D$192,G$1-9)-10)*$C87</f>
        <v>0.73501805054151625</v>
      </c>
      <c r="H87" s="16">
        <f>0.5+(INDEX('Stat Boosts'!$D$2:$D$192,H$1-9)-10)*$C87</f>
        <v>0.85252707581227427</v>
      </c>
      <c r="I87" s="16">
        <f>0.5+(INDEX('Stat Boosts'!$D$2:$D$192,I$1-9)-10)*$C87</f>
        <v>0.95324909747292419</v>
      </c>
      <c r="J87" s="16">
        <f>0.5+(INDEX('Stat Boosts'!$D$2:$D$192,J$1-9)-10)*$C87</f>
        <v>1.0539711191335739</v>
      </c>
      <c r="K87" s="16">
        <f>0.5+(INDEX('Stat Boosts'!$D$2:$D$192,K$1-9)-10)*$C87</f>
        <v>1.2889891696750904</v>
      </c>
      <c r="L87" s="16">
        <f>0.5+(INDEX('Stat Boosts'!$D$2:$D$192,L$1-9)-10)*$C87</f>
        <v>1.3729241877256317</v>
      </c>
      <c r="M87" s="16">
        <f>0.5+(INDEX('Stat Boosts'!$D$2:$D$192,M$1-9)-10)*$C87</f>
        <v>1.4904332129963898</v>
      </c>
      <c r="N87" s="16">
        <f>0.5+(INDEX('Stat Boosts'!$D$2:$D$192,N$1-9)-10)*$C87</f>
        <v>1.6415162454873646</v>
      </c>
      <c r="O87" s="16">
        <f>0.5+(INDEX('Stat Boosts'!$D$2:$D$192,O$1-9)-10)*$C87</f>
        <v>1.725451263537906</v>
      </c>
      <c r="P87" s="16">
        <f>0.5+(INDEX('Stat Boosts'!$D$2:$D$192,P$1-9)-10)*$C87</f>
        <v>1.8597472924187726</v>
      </c>
      <c r="Q87" s="16">
        <f>0.5+(INDEX('Stat Boosts'!$D$2:$D$192,Q$1-9)-10)*$C87</f>
        <v>1.9940433212996389</v>
      </c>
      <c r="R87" s="16">
        <f>0.5+(INDEX('Stat Boosts'!$D$2:$D$192,R$1-9)-10)*$C87</f>
        <v>2.1283393501805055</v>
      </c>
    </row>
    <row r="88" spans="1:18">
      <c r="A88" s="9">
        <v>87</v>
      </c>
      <c r="B88" s="16">
        <f t="shared" si="2"/>
        <v>46.064516129032256</v>
      </c>
      <c r="C88" s="16">
        <f t="shared" si="3"/>
        <v>1.6636851520572451E-2</v>
      </c>
      <c r="E88" s="16">
        <f>0.5+(INDEX('Stat Boosts'!$D$2:$D$192,E$1-9)-10)*$C88</f>
        <v>0.5</v>
      </c>
      <c r="F88" s="16">
        <f>0.5+(INDEX('Stat Boosts'!$D$2:$D$192,F$1-9)-10)*$C88</f>
        <v>0.61645796064400715</v>
      </c>
      <c r="G88" s="16">
        <f>0.5+(INDEX('Stat Boosts'!$D$2:$D$192,G$1-9)-10)*$C88</f>
        <v>0.7329159212880143</v>
      </c>
      <c r="H88" s="16">
        <f>0.5+(INDEX('Stat Boosts'!$D$2:$D$192,H$1-9)-10)*$C88</f>
        <v>0.84937388193202146</v>
      </c>
      <c r="I88" s="16">
        <f>0.5+(INDEX('Stat Boosts'!$D$2:$D$192,I$1-9)-10)*$C88</f>
        <v>0.94919499105545624</v>
      </c>
      <c r="J88" s="16">
        <f>0.5+(INDEX('Stat Boosts'!$D$2:$D$192,J$1-9)-10)*$C88</f>
        <v>1.0490161001788909</v>
      </c>
      <c r="K88" s="16">
        <f>0.5+(INDEX('Stat Boosts'!$D$2:$D$192,K$1-9)-10)*$C88</f>
        <v>1.2819320214669052</v>
      </c>
      <c r="L88" s="16">
        <f>0.5+(INDEX('Stat Boosts'!$D$2:$D$192,L$1-9)-10)*$C88</f>
        <v>1.3651162790697673</v>
      </c>
      <c r="M88" s="16">
        <f>0.5+(INDEX('Stat Boosts'!$D$2:$D$192,M$1-9)-10)*$C88</f>
        <v>1.4815742397137746</v>
      </c>
      <c r="N88" s="16">
        <f>0.5+(INDEX('Stat Boosts'!$D$2:$D$192,N$1-9)-10)*$C88</f>
        <v>1.6313059033989266</v>
      </c>
      <c r="O88" s="16">
        <f>0.5+(INDEX('Stat Boosts'!$D$2:$D$192,O$1-9)-10)*$C88</f>
        <v>1.7144901610017889</v>
      </c>
      <c r="P88" s="16">
        <f>0.5+(INDEX('Stat Boosts'!$D$2:$D$192,P$1-9)-10)*$C88</f>
        <v>1.8475849731663685</v>
      </c>
      <c r="Q88" s="16">
        <f>0.5+(INDEX('Stat Boosts'!$D$2:$D$192,Q$1-9)-10)*$C88</f>
        <v>1.9806797853309481</v>
      </c>
      <c r="R88" s="16">
        <f>0.5+(INDEX('Stat Boosts'!$D$2:$D$192,R$1-9)-10)*$C88</f>
        <v>2.113774597495528</v>
      </c>
    </row>
    <row r="89" spans="1:18">
      <c r="A89" s="9">
        <v>88</v>
      </c>
      <c r="B89" s="16">
        <f t="shared" si="2"/>
        <v>46.387096774193552</v>
      </c>
      <c r="C89" s="16">
        <f t="shared" si="3"/>
        <v>1.6489361702127659E-2</v>
      </c>
      <c r="E89" s="16">
        <f>0.5+(INDEX('Stat Boosts'!$D$2:$D$192,E$1-9)-10)*$C89</f>
        <v>0.5</v>
      </c>
      <c r="F89" s="16">
        <f>0.5+(INDEX('Stat Boosts'!$D$2:$D$192,F$1-9)-10)*$C89</f>
        <v>0.61542553191489358</v>
      </c>
      <c r="G89" s="16">
        <f>0.5+(INDEX('Stat Boosts'!$D$2:$D$192,G$1-9)-10)*$C89</f>
        <v>0.73085106382978726</v>
      </c>
      <c r="H89" s="16">
        <f>0.5+(INDEX('Stat Boosts'!$D$2:$D$192,H$1-9)-10)*$C89</f>
        <v>0.84627659574468084</v>
      </c>
      <c r="I89" s="16">
        <f>0.5+(INDEX('Stat Boosts'!$D$2:$D$192,I$1-9)-10)*$C89</f>
        <v>0.94521276595744674</v>
      </c>
      <c r="J89" s="16">
        <f>0.5+(INDEX('Stat Boosts'!$D$2:$D$192,J$1-9)-10)*$C89</f>
        <v>1.0441489361702128</v>
      </c>
      <c r="K89" s="16">
        <f>0.5+(INDEX('Stat Boosts'!$D$2:$D$192,K$1-9)-10)*$C89</f>
        <v>1.2749999999999999</v>
      </c>
      <c r="L89" s="16">
        <f>0.5+(INDEX('Stat Boosts'!$D$2:$D$192,L$1-9)-10)*$C89</f>
        <v>1.3574468085106384</v>
      </c>
      <c r="M89" s="16">
        <f>0.5+(INDEX('Stat Boosts'!$D$2:$D$192,M$1-9)-10)*$C89</f>
        <v>1.4728723404255319</v>
      </c>
      <c r="N89" s="16">
        <f>0.5+(INDEX('Stat Boosts'!$D$2:$D$192,N$1-9)-10)*$C89</f>
        <v>1.6212765957446809</v>
      </c>
      <c r="O89" s="16">
        <f>0.5+(INDEX('Stat Boosts'!$D$2:$D$192,O$1-9)-10)*$C89</f>
        <v>1.7037234042553191</v>
      </c>
      <c r="P89" s="16">
        <f>0.5+(INDEX('Stat Boosts'!$D$2:$D$192,P$1-9)-10)*$C89</f>
        <v>1.8356382978723405</v>
      </c>
      <c r="Q89" s="16">
        <f>0.5+(INDEX('Stat Boosts'!$D$2:$D$192,Q$1-9)-10)*$C89</f>
        <v>1.9675531914893616</v>
      </c>
      <c r="R89" s="16">
        <f>0.5+(INDEX('Stat Boosts'!$D$2:$D$192,R$1-9)-10)*$C89</f>
        <v>2.0994680851063832</v>
      </c>
    </row>
    <row r="90" spans="1:18">
      <c r="A90" s="9">
        <v>89</v>
      </c>
      <c r="B90" s="16">
        <f t="shared" si="2"/>
        <v>46.709677419354833</v>
      </c>
      <c r="C90" s="16">
        <f t="shared" si="3"/>
        <v>1.6344463971880493E-2</v>
      </c>
      <c r="E90" s="16">
        <f>0.5+(INDEX('Stat Boosts'!$D$2:$D$192,E$1-9)-10)*$C90</f>
        <v>0.5</v>
      </c>
      <c r="F90" s="16">
        <f>0.5+(INDEX('Stat Boosts'!$D$2:$D$192,F$1-9)-10)*$C90</f>
        <v>0.61441124780316347</v>
      </c>
      <c r="G90" s="16">
        <f>0.5+(INDEX('Stat Boosts'!$D$2:$D$192,G$1-9)-10)*$C90</f>
        <v>0.72882249560632695</v>
      </c>
      <c r="H90" s="16">
        <f>0.5+(INDEX('Stat Boosts'!$D$2:$D$192,H$1-9)-10)*$C90</f>
        <v>0.84323374340949031</v>
      </c>
      <c r="I90" s="16">
        <f>0.5+(INDEX('Stat Boosts'!$D$2:$D$192,I$1-9)-10)*$C90</f>
        <v>0.94130052724077329</v>
      </c>
      <c r="J90" s="16">
        <f>0.5+(INDEX('Stat Boosts'!$D$2:$D$192,J$1-9)-10)*$C90</f>
        <v>1.0393673110720563</v>
      </c>
      <c r="K90" s="16">
        <f>0.5+(INDEX('Stat Boosts'!$D$2:$D$192,K$1-9)-10)*$C90</f>
        <v>1.2681898066783832</v>
      </c>
      <c r="L90" s="16">
        <f>0.5+(INDEX('Stat Boosts'!$D$2:$D$192,L$1-9)-10)*$C90</f>
        <v>1.3499121265377856</v>
      </c>
      <c r="M90" s="16">
        <f>0.5+(INDEX('Stat Boosts'!$D$2:$D$192,M$1-9)-10)*$C90</f>
        <v>1.4643233743409492</v>
      </c>
      <c r="N90" s="16">
        <f>0.5+(INDEX('Stat Boosts'!$D$2:$D$192,N$1-9)-10)*$C90</f>
        <v>1.6114235500878735</v>
      </c>
      <c r="O90" s="16">
        <f>0.5+(INDEX('Stat Boosts'!$D$2:$D$192,O$1-9)-10)*$C90</f>
        <v>1.6931458699472759</v>
      </c>
      <c r="P90" s="16">
        <f>0.5+(INDEX('Stat Boosts'!$D$2:$D$192,P$1-9)-10)*$C90</f>
        <v>1.8239015817223199</v>
      </c>
      <c r="Q90" s="16">
        <f>0.5+(INDEX('Stat Boosts'!$D$2:$D$192,Q$1-9)-10)*$C90</f>
        <v>1.9546572934973638</v>
      </c>
      <c r="R90" s="16">
        <f>0.5+(INDEX('Stat Boosts'!$D$2:$D$192,R$1-9)-10)*$C90</f>
        <v>2.0854130052724078</v>
      </c>
    </row>
    <row r="91" spans="1:18">
      <c r="A91" s="9">
        <v>90</v>
      </c>
      <c r="B91" s="16">
        <f t="shared" si="2"/>
        <v>47.032258064516128</v>
      </c>
      <c r="C91" s="16">
        <f t="shared" si="3"/>
        <v>1.6202090592334496E-2</v>
      </c>
      <c r="E91" s="16">
        <f>0.5+(INDEX('Stat Boosts'!$D$2:$D$192,E$1-9)-10)*$C91</f>
        <v>0.5</v>
      </c>
      <c r="F91" s="16">
        <f>0.5+(INDEX('Stat Boosts'!$D$2:$D$192,F$1-9)-10)*$C91</f>
        <v>0.61341463414634145</v>
      </c>
      <c r="G91" s="16">
        <f>0.5+(INDEX('Stat Boosts'!$D$2:$D$192,G$1-9)-10)*$C91</f>
        <v>0.72682926829268291</v>
      </c>
      <c r="H91" s="16">
        <f>0.5+(INDEX('Stat Boosts'!$D$2:$D$192,H$1-9)-10)*$C91</f>
        <v>0.84024390243902447</v>
      </c>
      <c r="I91" s="16">
        <f>0.5+(INDEX('Stat Boosts'!$D$2:$D$192,I$1-9)-10)*$C91</f>
        <v>0.93745644599303146</v>
      </c>
      <c r="J91" s="16">
        <f>0.5+(INDEX('Stat Boosts'!$D$2:$D$192,J$1-9)-10)*$C91</f>
        <v>1.0346689895470385</v>
      </c>
      <c r="K91" s="16">
        <f>0.5+(INDEX('Stat Boosts'!$D$2:$D$192,K$1-9)-10)*$C91</f>
        <v>1.2614982578397214</v>
      </c>
      <c r="L91" s="16">
        <f>0.5+(INDEX('Stat Boosts'!$D$2:$D$192,L$1-9)-10)*$C91</f>
        <v>1.3425087108013938</v>
      </c>
      <c r="M91" s="16">
        <f>0.5+(INDEX('Stat Boosts'!$D$2:$D$192,M$1-9)-10)*$C91</f>
        <v>1.4559233449477351</v>
      </c>
      <c r="N91" s="16">
        <f>0.5+(INDEX('Stat Boosts'!$D$2:$D$192,N$1-9)-10)*$C91</f>
        <v>1.6017421602787458</v>
      </c>
      <c r="O91" s="16">
        <f>0.5+(INDEX('Stat Boosts'!$D$2:$D$192,O$1-9)-10)*$C91</f>
        <v>1.6827526132404182</v>
      </c>
      <c r="P91" s="16">
        <f>0.5+(INDEX('Stat Boosts'!$D$2:$D$192,P$1-9)-10)*$C91</f>
        <v>1.8123693379790942</v>
      </c>
      <c r="Q91" s="16">
        <f>0.5+(INDEX('Stat Boosts'!$D$2:$D$192,Q$1-9)-10)*$C91</f>
        <v>1.9419860627177701</v>
      </c>
      <c r="R91" s="16">
        <f>0.5+(INDEX('Stat Boosts'!$D$2:$D$192,R$1-9)-10)*$C91</f>
        <v>2.0716027874564462</v>
      </c>
    </row>
    <row r="92" spans="1:18">
      <c r="A92" s="9">
        <v>91</v>
      </c>
      <c r="B92" s="16">
        <f t="shared" si="2"/>
        <v>47.354838709677423</v>
      </c>
      <c r="C92" s="16">
        <f t="shared" si="3"/>
        <v>1.6062176165803105E-2</v>
      </c>
      <c r="E92" s="16">
        <f>0.5+(INDEX('Stat Boosts'!$D$2:$D$192,E$1-9)-10)*$C92</f>
        <v>0.5</v>
      </c>
      <c r="F92" s="16">
        <f>0.5+(INDEX('Stat Boosts'!$D$2:$D$192,F$1-9)-10)*$C92</f>
        <v>0.61243523316062176</v>
      </c>
      <c r="G92" s="16">
        <f>0.5+(INDEX('Stat Boosts'!$D$2:$D$192,G$1-9)-10)*$C92</f>
        <v>0.72487046632124352</v>
      </c>
      <c r="H92" s="16">
        <f>0.5+(INDEX('Stat Boosts'!$D$2:$D$192,H$1-9)-10)*$C92</f>
        <v>0.83730569948186517</v>
      </c>
      <c r="I92" s="16">
        <f>0.5+(INDEX('Stat Boosts'!$D$2:$D$192,I$1-9)-10)*$C92</f>
        <v>0.93367875647668386</v>
      </c>
      <c r="J92" s="16">
        <f>0.5+(INDEX('Stat Boosts'!$D$2:$D$192,J$1-9)-10)*$C92</f>
        <v>1.0300518134715024</v>
      </c>
      <c r="K92" s="16">
        <f>0.5+(INDEX('Stat Boosts'!$D$2:$D$192,K$1-9)-10)*$C92</f>
        <v>1.254922279792746</v>
      </c>
      <c r="L92" s="16">
        <f>0.5+(INDEX('Stat Boosts'!$D$2:$D$192,L$1-9)-10)*$C92</f>
        <v>1.3352331606217613</v>
      </c>
      <c r="M92" s="16">
        <f>0.5+(INDEX('Stat Boosts'!$D$2:$D$192,M$1-9)-10)*$C92</f>
        <v>1.4476683937823833</v>
      </c>
      <c r="N92" s="16">
        <f>0.5+(INDEX('Stat Boosts'!$D$2:$D$192,N$1-9)-10)*$C92</f>
        <v>1.592227979274611</v>
      </c>
      <c r="O92" s="16">
        <f>0.5+(INDEX('Stat Boosts'!$D$2:$D$192,O$1-9)-10)*$C92</f>
        <v>1.6725388601036266</v>
      </c>
      <c r="P92" s="16">
        <f>0.5+(INDEX('Stat Boosts'!$D$2:$D$192,P$1-9)-10)*$C92</f>
        <v>1.8010362694300515</v>
      </c>
      <c r="Q92" s="16">
        <f>0.5+(INDEX('Stat Boosts'!$D$2:$D$192,Q$1-9)-10)*$C92</f>
        <v>1.9295336787564763</v>
      </c>
      <c r="R92" s="16">
        <f>0.5+(INDEX('Stat Boosts'!$D$2:$D$192,R$1-9)-10)*$C92</f>
        <v>2.0580310880829011</v>
      </c>
    </row>
    <row r="93" spans="1:18">
      <c r="A93" s="9">
        <v>92</v>
      </c>
      <c r="B93" s="16">
        <f t="shared" si="2"/>
        <v>47.677419354838705</v>
      </c>
      <c r="C93" s="16">
        <f t="shared" si="3"/>
        <v>1.5924657534246576E-2</v>
      </c>
      <c r="E93" s="16">
        <f>0.5+(INDEX('Stat Boosts'!$D$2:$D$192,E$1-9)-10)*$C93</f>
        <v>0.5</v>
      </c>
      <c r="F93" s="16">
        <f>0.5+(INDEX('Stat Boosts'!$D$2:$D$192,F$1-9)-10)*$C93</f>
        <v>0.61147260273972603</v>
      </c>
      <c r="G93" s="16">
        <f>0.5+(INDEX('Stat Boosts'!$D$2:$D$192,G$1-9)-10)*$C93</f>
        <v>0.72294520547945207</v>
      </c>
      <c r="H93" s="16">
        <f>0.5+(INDEX('Stat Boosts'!$D$2:$D$192,H$1-9)-10)*$C93</f>
        <v>0.8344178082191781</v>
      </c>
      <c r="I93" s="16">
        <f>0.5+(INDEX('Stat Boosts'!$D$2:$D$192,I$1-9)-10)*$C93</f>
        <v>0.92996575342465748</v>
      </c>
      <c r="J93" s="16">
        <f>0.5+(INDEX('Stat Boosts'!$D$2:$D$192,J$1-9)-10)*$C93</f>
        <v>1.025513698630137</v>
      </c>
      <c r="K93" s="16">
        <f>0.5+(INDEX('Stat Boosts'!$D$2:$D$192,K$1-9)-10)*$C93</f>
        <v>1.248458904109589</v>
      </c>
      <c r="L93" s="16">
        <f>0.5+(INDEX('Stat Boosts'!$D$2:$D$192,L$1-9)-10)*$C93</f>
        <v>1.3280821917808221</v>
      </c>
      <c r="M93" s="16">
        <f>0.5+(INDEX('Stat Boosts'!$D$2:$D$192,M$1-9)-10)*$C93</f>
        <v>1.439554794520548</v>
      </c>
      <c r="N93" s="16">
        <f>0.5+(INDEX('Stat Boosts'!$D$2:$D$192,N$1-9)-10)*$C93</f>
        <v>1.5828767123287673</v>
      </c>
      <c r="O93" s="16">
        <f>0.5+(INDEX('Stat Boosts'!$D$2:$D$192,O$1-9)-10)*$C93</f>
        <v>1.6625000000000001</v>
      </c>
      <c r="P93" s="16">
        <f>0.5+(INDEX('Stat Boosts'!$D$2:$D$192,P$1-9)-10)*$C93</f>
        <v>1.7898972602739727</v>
      </c>
      <c r="Q93" s="16">
        <f>0.5+(INDEX('Stat Boosts'!$D$2:$D$192,Q$1-9)-10)*$C93</f>
        <v>1.9172945205479452</v>
      </c>
      <c r="R93" s="16">
        <f>0.5+(INDEX('Stat Boosts'!$D$2:$D$192,R$1-9)-10)*$C93</f>
        <v>2.0446917808219176</v>
      </c>
    </row>
    <row r="94" spans="1:18">
      <c r="A94" s="9">
        <v>93</v>
      </c>
      <c r="B94" s="16">
        <f t="shared" si="2"/>
        <v>48</v>
      </c>
      <c r="C94" s="16">
        <f t="shared" si="3"/>
        <v>1.5789473684210527E-2</v>
      </c>
      <c r="E94" s="16">
        <f>0.5+(INDEX('Stat Boosts'!$D$2:$D$192,E$1-9)-10)*$C94</f>
        <v>0.5</v>
      </c>
      <c r="F94" s="16">
        <f>0.5+(INDEX('Stat Boosts'!$D$2:$D$192,F$1-9)-10)*$C94</f>
        <v>0.61052631578947369</v>
      </c>
      <c r="G94" s="16">
        <f>0.5+(INDEX('Stat Boosts'!$D$2:$D$192,G$1-9)-10)*$C94</f>
        <v>0.72105263157894739</v>
      </c>
      <c r="H94" s="16">
        <f>0.5+(INDEX('Stat Boosts'!$D$2:$D$192,H$1-9)-10)*$C94</f>
        <v>0.83157894736842108</v>
      </c>
      <c r="I94" s="16">
        <f>0.5+(INDEX('Stat Boosts'!$D$2:$D$192,I$1-9)-10)*$C94</f>
        <v>0.9263157894736842</v>
      </c>
      <c r="J94" s="16">
        <f>0.5+(INDEX('Stat Boosts'!$D$2:$D$192,J$1-9)-10)*$C94</f>
        <v>1.0210526315789474</v>
      </c>
      <c r="K94" s="16">
        <f>0.5+(INDEX('Stat Boosts'!$D$2:$D$192,K$1-9)-10)*$C94</f>
        <v>1.2421052631578946</v>
      </c>
      <c r="L94" s="16">
        <f>0.5+(INDEX('Stat Boosts'!$D$2:$D$192,L$1-9)-10)*$C94</f>
        <v>1.3210526315789473</v>
      </c>
      <c r="M94" s="16">
        <f>0.5+(INDEX('Stat Boosts'!$D$2:$D$192,M$1-9)-10)*$C94</f>
        <v>1.4315789473684211</v>
      </c>
      <c r="N94" s="16">
        <f>0.5+(INDEX('Stat Boosts'!$D$2:$D$192,N$1-9)-10)*$C94</f>
        <v>1.5736842105263158</v>
      </c>
      <c r="O94" s="16">
        <f>0.5+(INDEX('Stat Boosts'!$D$2:$D$192,O$1-9)-10)*$C94</f>
        <v>1.6526315789473685</v>
      </c>
      <c r="P94" s="16">
        <f>0.5+(INDEX('Stat Boosts'!$D$2:$D$192,P$1-9)-10)*$C94</f>
        <v>1.7789473684210526</v>
      </c>
      <c r="Q94" s="16">
        <f>0.5+(INDEX('Stat Boosts'!$D$2:$D$192,Q$1-9)-10)*$C94</f>
        <v>1.905263157894737</v>
      </c>
      <c r="R94" s="16">
        <f>0.5+(INDEX('Stat Boosts'!$D$2:$D$192,R$1-9)-10)*$C94</f>
        <v>2.0315789473684212</v>
      </c>
    </row>
    <row r="95" spans="1:18">
      <c r="A95" s="9">
        <v>94</v>
      </c>
      <c r="B95" s="16">
        <f t="shared" si="2"/>
        <v>48.322580645161288</v>
      </c>
      <c r="C95" s="16">
        <f t="shared" si="3"/>
        <v>1.5656565656565657E-2</v>
      </c>
      <c r="E95" s="16">
        <f>0.5+(INDEX('Stat Boosts'!$D$2:$D$192,E$1-9)-10)*$C95</f>
        <v>0.5</v>
      </c>
      <c r="F95" s="16">
        <f>0.5+(INDEX('Stat Boosts'!$D$2:$D$192,F$1-9)-10)*$C95</f>
        <v>0.60959595959595958</v>
      </c>
      <c r="G95" s="16">
        <f>0.5+(INDEX('Stat Boosts'!$D$2:$D$192,G$1-9)-10)*$C95</f>
        <v>0.71919191919191916</v>
      </c>
      <c r="H95" s="16">
        <f>0.5+(INDEX('Stat Boosts'!$D$2:$D$192,H$1-9)-10)*$C95</f>
        <v>0.82878787878787885</v>
      </c>
      <c r="I95" s="16">
        <f>0.5+(INDEX('Stat Boosts'!$D$2:$D$192,I$1-9)-10)*$C95</f>
        <v>0.92272727272727273</v>
      </c>
      <c r="J95" s="16">
        <f>0.5+(INDEX('Stat Boosts'!$D$2:$D$192,J$1-9)-10)*$C95</f>
        <v>1.0166666666666666</v>
      </c>
      <c r="K95" s="16">
        <f>0.5+(INDEX('Stat Boosts'!$D$2:$D$192,K$1-9)-10)*$C95</f>
        <v>1.235858585858586</v>
      </c>
      <c r="L95" s="16">
        <f>0.5+(INDEX('Stat Boosts'!$D$2:$D$192,L$1-9)-10)*$C95</f>
        <v>1.3141414141414143</v>
      </c>
      <c r="M95" s="16">
        <f>0.5+(INDEX('Stat Boosts'!$D$2:$D$192,M$1-9)-10)*$C95</f>
        <v>1.4237373737373737</v>
      </c>
      <c r="N95" s="16">
        <f>0.5+(INDEX('Stat Boosts'!$D$2:$D$192,N$1-9)-10)*$C95</f>
        <v>1.5646464646464646</v>
      </c>
      <c r="O95" s="16">
        <f>0.5+(INDEX('Stat Boosts'!$D$2:$D$192,O$1-9)-10)*$C95</f>
        <v>1.6429292929292929</v>
      </c>
      <c r="P95" s="16">
        <f>0.5+(INDEX('Stat Boosts'!$D$2:$D$192,P$1-9)-10)*$C95</f>
        <v>1.7681818181818183</v>
      </c>
      <c r="Q95" s="16">
        <f>0.5+(INDEX('Stat Boosts'!$D$2:$D$192,Q$1-9)-10)*$C95</f>
        <v>1.8934343434343435</v>
      </c>
      <c r="R95" s="16">
        <f>0.5+(INDEX('Stat Boosts'!$D$2:$D$192,R$1-9)-10)*$C95</f>
        <v>2.0186868686868689</v>
      </c>
    </row>
    <row r="96" spans="1:18">
      <c r="A96" s="9">
        <v>95</v>
      </c>
      <c r="B96" s="16">
        <f t="shared" si="2"/>
        <v>48.645161290322577</v>
      </c>
      <c r="C96" s="16">
        <f t="shared" si="3"/>
        <v>1.5525876460767947E-2</v>
      </c>
      <c r="E96" s="16">
        <f>0.5+(INDEX('Stat Boosts'!$D$2:$D$192,E$1-9)-10)*$C96</f>
        <v>0.5</v>
      </c>
      <c r="F96" s="16">
        <f>0.5+(INDEX('Stat Boosts'!$D$2:$D$192,F$1-9)-10)*$C96</f>
        <v>0.60868113522537559</v>
      </c>
      <c r="G96" s="16">
        <f>0.5+(INDEX('Stat Boosts'!$D$2:$D$192,G$1-9)-10)*$C96</f>
        <v>0.71736227045075129</v>
      </c>
      <c r="H96" s="16">
        <f>0.5+(INDEX('Stat Boosts'!$D$2:$D$192,H$1-9)-10)*$C96</f>
        <v>0.82604340567612689</v>
      </c>
      <c r="I96" s="16">
        <f>0.5+(INDEX('Stat Boosts'!$D$2:$D$192,I$1-9)-10)*$C96</f>
        <v>0.91919866444073461</v>
      </c>
      <c r="J96" s="16">
        <f>0.5+(INDEX('Stat Boosts'!$D$2:$D$192,J$1-9)-10)*$C96</f>
        <v>1.0123539232053422</v>
      </c>
      <c r="K96" s="16">
        <f>0.5+(INDEX('Stat Boosts'!$D$2:$D$192,K$1-9)-10)*$C96</f>
        <v>1.2297161936560936</v>
      </c>
      <c r="L96" s="16">
        <f>0.5+(INDEX('Stat Boosts'!$D$2:$D$192,L$1-9)-10)*$C96</f>
        <v>1.3073455759599333</v>
      </c>
      <c r="M96" s="16">
        <f>0.5+(INDEX('Stat Boosts'!$D$2:$D$192,M$1-9)-10)*$C96</f>
        <v>1.4160267111853089</v>
      </c>
      <c r="N96" s="16">
        <f>0.5+(INDEX('Stat Boosts'!$D$2:$D$192,N$1-9)-10)*$C96</f>
        <v>1.5557595993322204</v>
      </c>
      <c r="O96" s="16">
        <f>0.5+(INDEX('Stat Boosts'!$D$2:$D$192,O$1-9)-10)*$C96</f>
        <v>1.6333889816360601</v>
      </c>
      <c r="P96" s="16">
        <f>0.5+(INDEX('Stat Boosts'!$D$2:$D$192,P$1-9)-10)*$C96</f>
        <v>1.7575959933222038</v>
      </c>
      <c r="Q96" s="16">
        <f>0.5+(INDEX('Stat Boosts'!$D$2:$D$192,Q$1-9)-10)*$C96</f>
        <v>1.8818030050083474</v>
      </c>
      <c r="R96" s="16">
        <f>0.5+(INDEX('Stat Boosts'!$D$2:$D$192,R$1-9)-10)*$C96</f>
        <v>2.006010016694491</v>
      </c>
    </row>
    <row r="97" spans="1:18">
      <c r="A97" s="9">
        <v>96</v>
      </c>
      <c r="B97" s="16">
        <f t="shared" si="2"/>
        <v>48.967741935483872</v>
      </c>
      <c r="C97" s="16">
        <f t="shared" si="3"/>
        <v>1.5397350993377483E-2</v>
      </c>
      <c r="E97" s="16">
        <f>0.5+(INDEX('Stat Boosts'!$D$2:$D$192,E$1-9)-10)*$C97</f>
        <v>0.5</v>
      </c>
      <c r="F97" s="16">
        <f>0.5+(INDEX('Stat Boosts'!$D$2:$D$192,F$1-9)-10)*$C97</f>
        <v>0.60778145695364238</v>
      </c>
      <c r="G97" s="16">
        <f>0.5+(INDEX('Stat Boosts'!$D$2:$D$192,G$1-9)-10)*$C97</f>
        <v>0.71556291390728477</v>
      </c>
      <c r="H97" s="16">
        <f>0.5+(INDEX('Stat Boosts'!$D$2:$D$192,H$1-9)-10)*$C97</f>
        <v>0.82334437086092715</v>
      </c>
      <c r="I97" s="16">
        <f>0.5+(INDEX('Stat Boosts'!$D$2:$D$192,I$1-9)-10)*$C97</f>
        <v>0.91572847682119207</v>
      </c>
      <c r="J97" s="16">
        <f>0.5+(INDEX('Stat Boosts'!$D$2:$D$192,J$1-9)-10)*$C97</f>
        <v>1.008112582781457</v>
      </c>
      <c r="K97" s="16">
        <f>0.5+(INDEX('Stat Boosts'!$D$2:$D$192,K$1-9)-10)*$C97</f>
        <v>1.2236754966887418</v>
      </c>
      <c r="L97" s="16">
        <f>0.5+(INDEX('Stat Boosts'!$D$2:$D$192,L$1-9)-10)*$C97</f>
        <v>1.3006622516556292</v>
      </c>
      <c r="M97" s="16">
        <f>0.5+(INDEX('Stat Boosts'!$D$2:$D$192,M$1-9)-10)*$C97</f>
        <v>1.4084437086092714</v>
      </c>
      <c r="N97" s="16">
        <f>0.5+(INDEX('Stat Boosts'!$D$2:$D$192,N$1-9)-10)*$C97</f>
        <v>1.5470198675496689</v>
      </c>
      <c r="O97" s="16">
        <f>0.5+(INDEX('Stat Boosts'!$D$2:$D$192,O$1-9)-10)*$C97</f>
        <v>1.6240066225165564</v>
      </c>
      <c r="P97" s="16">
        <f>0.5+(INDEX('Stat Boosts'!$D$2:$D$192,P$1-9)-10)*$C97</f>
        <v>1.7471854304635761</v>
      </c>
      <c r="Q97" s="16">
        <f>0.5+(INDEX('Stat Boosts'!$D$2:$D$192,Q$1-9)-10)*$C97</f>
        <v>1.8703642384105961</v>
      </c>
      <c r="R97" s="16">
        <f>0.5+(INDEX('Stat Boosts'!$D$2:$D$192,R$1-9)-10)*$C97</f>
        <v>1.9935430463576158</v>
      </c>
    </row>
    <row r="98" spans="1:18">
      <c r="A98" s="9">
        <v>97</v>
      </c>
      <c r="B98" s="16">
        <f t="shared" si="2"/>
        <v>49.29032258064516</v>
      </c>
      <c r="C98" s="16">
        <f t="shared" si="3"/>
        <v>1.5270935960591132E-2</v>
      </c>
      <c r="E98" s="16">
        <f>0.5+(INDEX('Stat Boosts'!$D$2:$D$192,E$1-9)-10)*$C98</f>
        <v>0.5</v>
      </c>
      <c r="F98" s="16">
        <f>0.5+(INDEX('Stat Boosts'!$D$2:$D$192,F$1-9)-10)*$C98</f>
        <v>0.60689655172413792</v>
      </c>
      <c r="G98" s="16">
        <f>0.5+(INDEX('Stat Boosts'!$D$2:$D$192,G$1-9)-10)*$C98</f>
        <v>0.71379310344827585</v>
      </c>
      <c r="H98" s="16">
        <f>0.5+(INDEX('Stat Boosts'!$D$2:$D$192,H$1-9)-10)*$C98</f>
        <v>0.82068965517241377</v>
      </c>
      <c r="I98" s="16">
        <f>0.5+(INDEX('Stat Boosts'!$D$2:$D$192,I$1-9)-10)*$C98</f>
        <v>0.91231527093596054</v>
      </c>
      <c r="J98" s="16">
        <f>0.5+(INDEX('Stat Boosts'!$D$2:$D$192,J$1-9)-10)*$C98</f>
        <v>1.0039408866995072</v>
      </c>
      <c r="K98" s="16">
        <f>0.5+(INDEX('Stat Boosts'!$D$2:$D$192,K$1-9)-10)*$C98</f>
        <v>1.2177339901477833</v>
      </c>
      <c r="L98" s="16">
        <f>0.5+(INDEX('Stat Boosts'!$D$2:$D$192,L$1-9)-10)*$C98</f>
        <v>1.2940886699507388</v>
      </c>
      <c r="M98" s="16">
        <f>0.5+(INDEX('Stat Boosts'!$D$2:$D$192,M$1-9)-10)*$C98</f>
        <v>1.4009852216748768</v>
      </c>
      <c r="N98" s="16">
        <f>0.5+(INDEX('Stat Boosts'!$D$2:$D$192,N$1-9)-10)*$C98</f>
        <v>1.5384236453201969</v>
      </c>
      <c r="O98" s="16">
        <f>0.5+(INDEX('Stat Boosts'!$D$2:$D$192,O$1-9)-10)*$C98</f>
        <v>1.6147783251231527</v>
      </c>
      <c r="P98" s="16">
        <f>0.5+(INDEX('Stat Boosts'!$D$2:$D$192,P$1-9)-10)*$C98</f>
        <v>1.7369458128078816</v>
      </c>
      <c r="Q98" s="16">
        <f>0.5+(INDEX('Stat Boosts'!$D$2:$D$192,Q$1-9)-10)*$C98</f>
        <v>1.8591133004926108</v>
      </c>
      <c r="R98" s="16">
        <f>0.5+(INDEX('Stat Boosts'!$D$2:$D$192,R$1-9)-10)*$C98</f>
        <v>1.9812807881773398</v>
      </c>
    </row>
    <row r="99" spans="1:18">
      <c r="A99" s="9">
        <v>98</v>
      </c>
      <c r="B99" s="16">
        <f t="shared" si="2"/>
        <v>49.612903225806448</v>
      </c>
      <c r="C99" s="16">
        <f t="shared" si="3"/>
        <v>1.5146579804560261E-2</v>
      </c>
      <c r="E99" s="16">
        <f>0.5+(INDEX('Stat Boosts'!$D$2:$D$192,E$1-9)-10)*$C99</f>
        <v>0.5</v>
      </c>
      <c r="F99" s="16">
        <f>0.5+(INDEX('Stat Boosts'!$D$2:$D$192,F$1-9)-10)*$C99</f>
        <v>0.60602605863192183</v>
      </c>
      <c r="G99" s="16">
        <f>0.5+(INDEX('Stat Boosts'!$D$2:$D$192,G$1-9)-10)*$C99</f>
        <v>0.71205211726384365</v>
      </c>
      <c r="H99" s="16">
        <f>0.5+(INDEX('Stat Boosts'!$D$2:$D$192,H$1-9)-10)*$C99</f>
        <v>0.81807817589576548</v>
      </c>
      <c r="I99" s="16">
        <f>0.5+(INDEX('Stat Boosts'!$D$2:$D$192,I$1-9)-10)*$C99</f>
        <v>0.90895765472312706</v>
      </c>
      <c r="J99" s="16">
        <f>0.5+(INDEX('Stat Boosts'!$D$2:$D$192,J$1-9)-10)*$C99</f>
        <v>0.99983713355048853</v>
      </c>
      <c r="K99" s="16">
        <f>0.5+(INDEX('Stat Boosts'!$D$2:$D$192,K$1-9)-10)*$C99</f>
        <v>1.2118892508143322</v>
      </c>
      <c r="L99" s="16">
        <f>0.5+(INDEX('Stat Boosts'!$D$2:$D$192,L$1-9)-10)*$C99</f>
        <v>1.2876221498371336</v>
      </c>
      <c r="M99" s="16">
        <f>0.5+(INDEX('Stat Boosts'!$D$2:$D$192,M$1-9)-10)*$C99</f>
        <v>1.3936482084690553</v>
      </c>
      <c r="N99" s="16">
        <f>0.5+(INDEX('Stat Boosts'!$D$2:$D$192,N$1-9)-10)*$C99</f>
        <v>1.5299674267100978</v>
      </c>
      <c r="O99" s="16">
        <f>0.5+(INDEX('Stat Boosts'!$D$2:$D$192,O$1-9)-10)*$C99</f>
        <v>1.605700325732899</v>
      </c>
      <c r="P99" s="16">
        <f>0.5+(INDEX('Stat Boosts'!$D$2:$D$192,P$1-9)-10)*$C99</f>
        <v>1.7268729641693812</v>
      </c>
      <c r="Q99" s="16">
        <f>0.5+(INDEX('Stat Boosts'!$D$2:$D$192,Q$1-9)-10)*$C99</f>
        <v>1.8480456026058631</v>
      </c>
      <c r="R99" s="16">
        <f>0.5+(INDEX('Stat Boosts'!$D$2:$D$192,R$1-9)-10)*$C99</f>
        <v>1.9692182410423453</v>
      </c>
    </row>
    <row r="100" spans="1:18">
      <c r="A100" s="9">
        <v>99</v>
      </c>
      <c r="B100" s="16">
        <f t="shared" si="2"/>
        <v>49.935483870967744</v>
      </c>
      <c r="C100" s="16">
        <f t="shared" si="3"/>
        <v>1.5024232633279481E-2</v>
      </c>
      <c r="E100" s="16">
        <f>0.5+(INDEX('Stat Boosts'!$D$2:$D$192,E$1-9)-10)*$C100</f>
        <v>0.5</v>
      </c>
      <c r="F100" s="16">
        <f>0.5+(INDEX('Stat Boosts'!$D$2:$D$192,F$1-9)-10)*$C100</f>
        <v>0.60516962843295641</v>
      </c>
      <c r="G100" s="16">
        <f>0.5+(INDEX('Stat Boosts'!$D$2:$D$192,G$1-9)-10)*$C100</f>
        <v>0.7103392568659127</v>
      </c>
      <c r="H100" s="16">
        <f>0.5+(INDEX('Stat Boosts'!$D$2:$D$192,H$1-9)-10)*$C100</f>
        <v>0.81550888529886911</v>
      </c>
      <c r="I100" s="16">
        <f>0.5+(INDEX('Stat Boosts'!$D$2:$D$192,I$1-9)-10)*$C100</f>
        <v>0.90565428109854595</v>
      </c>
      <c r="J100" s="16">
        <f>0.5+(INDEX('Stat Boosts'!$D$2:$D$192,J$1-9)-10)*$C100</f>
        <v>0.99579967689822291</v>
      </c>
      <c r="K100" s="16">
        <f>0.5+(INDEX('Stat Boosts'!$D$2:$D$192,K$1-9)-10)*$C100</f>
        <v>1.2061389337641355</v>
      </c>
      <c r="L100" s="16">
        <f>0.5+(INDEX('Stat Boosts'!$D$2:$D$192,L$1-9)-10)*$C100</f>
        <v>1.281260096930533</v>
      </c>
      <c r="M100" s="16">
        <f>0.5+(INDEX('Stat Boosts'!$D$2:$D$192,M$1-9)-10)*$C100</f>
        <v>1.3864297253634894</v>
      </c>
      <c r="N100" s="16">
        <f>0.5+(INDEX('Stat Boosts'!$D$2:$D$192,N$1-9)-10)*$C100</f>
        <v>1.5216478190630047</v>
      </c>
      <c r="O100" s="16">
        <f>0.5+(INDEX('Stat Boosts'!$D$2:$D$192,O$1-9)-10)*$C100</f>
        <v>1.5967689822294022</v>
      </c>
      <c r="P100" s="16">
        <f>0.5+(INDEX('Stat Boosts'!$D$2:$D$192,P$1-9)-10)*$C100</f>
        <v>1.7169628432956379</v>
      </c>
      <c r="Q100" s="16">
        <f>0.5+(INDEX('Stat Boosts'!$D$2:$D$192,Q$1-9)-10)*$C100</f>
        <v>1.8371567043618737</v>
      </c>
      <c r="R100" s="16">
        <f>0.5+(INDEX('Stat Boosts'!$D$2:$D$192,R$1-9)-10)*$C100</f>
        <v>1.9573505654281096</v>
      </c>
    </row>
    <row r="101" spans="1:18">
      <c r="A101" s="9">
        <v>100</v>
      </c>
      <c r="B101" s="16">
        <f t="shared" si="2"/>
        <v>50.258064516129032</v>
      </c>
      <c r="C101" s="16">
        <f t="shared" si="3"/>
        <v>1.4903846153846153E-2</v>
      </c>
      <c r="E101" s="16">
        <f>0.5+(INDEX('Stat Boosts'!$D$2:$D$192,E$1-9)-10)*$C101</f>
        <v>0.5</v>
      </c>
      <c r="F101" s="16">
        <f>0.5+(INDEX('Stat Boosts'!$D$2:$D$192,F$1-9)-10)*$C101</f>
        <v>0.60432692307692304</v>
      </c>
      <c r="G101" s="16">
        <f>0.5+(INDEX('Stat Boosts'!$D$2:$D$192,G$1-9)-10)*$C101</f>
        <v>0.70865384615384608</v>
      </c>
      <c r="H101" s="16">
        <f>0.5+(INDEX('Stat Boosts'!$D$2:$D$192,H$1-9)-10)*$C101</f>
        <v>0.81298076923076923</v>
      </c>
      <c r="I101" s="16">
        <f>0.5+(INDEX('Stat Boosts'!$D$2:$D$192,I$1-9)-10)*$C101</f>
        <v>0.90240384615384617</v>
      </c>
      <c r="J101" s="16">
        <f>0.5+(INDEX('Stat Boosts'!$D$2:$D$192,J$1-9)-10)*$C101</f>
        <v>0.99182692307692299</v>
      </c>
      <c r="K101" s="16">
        <f>0.5+(INDEX('Stat Boosts'!$D$2:$D$192,K$1-9)-10)*$C101</f>
        <v>1.2004807692307691</v>
      </c>
      <c r="L101" s="16">
        <f>0.5+(INDEX('Stat Boosts'!$D$2:$D$192,L$1-9)-10)*$C101</f>
        <v>1.2749999999999999</v>
      </c>
      <c r="M101" s="16">
        <f>0.5+(INDEX('Stat Boosts'!$D$2:$D$192,M$1-9)-10)*$C101</f>
        <v>1.3793269230769232</v>
      </c>
      <c r="N101" s="16">
        <f>0.5+(INDEX('Stat Boosts'!$D$2:$D$192,N$1-9)-10)*$C101</f>
        <v>1.5134615384615384</v>
      </c>
      <c r="O101" s="16">
        <f>0.5+(INDEX('Stat Boosts'!$D$2:$D$192,O$1-9)-10)*$C101</f>
        <v>1.5879807692307693</v>
      </c>
      <c r="P101" s="16">
        <f>0.5+(INDEX('Stat Boosts'!$D$2:$D$192,P$1-9)-10)*$C101</f>
        <v>1.7072115384615383</v>
      </c>
      <c r="Q101" s="16">
        <f>0.5+(INDEX('Stat Boosts'!$D$2:$D$192,Q$1-9)-10)*$C101</f>
        <v>1.8264423076923075</v>
      </c>
      <c r="R101" s="16">
        <f>0.5+(INDEX('Stat Boosts'!$D$2:$D$192,R$1-9)-10)*$C101</f>
        <v>1.9456730769230768</v>
      </c>
    </row>
    <row r="102" spans="1:18">
      <c r="A102" s="9">
        <v>101</v>
      </c>
      <c r="B102" s="16">
        <f t="shared" si="2"/>
        <v>50.58064516129032</v>
      </c>
      <c r="C102" s="16">
        <f t="shared" si="3"/>
        <v>1.4785373608903021E-2</v>
      </c>
      <c r="E102" s="16">
        <f>0.5+(INDEX('Stat Boosts'!$D$2:$D$192,E$1-9)-10)*$C102</f>
        <v>0.5</v>
      </c>
      <c r="F102" s="16">
        <f>0.5+(INDEX('Stat Boosts'!$D$2:$D$192,F$1-9)-10)*$C102</f>
        <v>0.60349761526232115</v>
      </c>
      <c r="G102" s="16">
        <f>0.5+(INDEX('Stat Boosts'!$D$2:$D$192,G$1-9)-10)*$C102</f>
        <v>0.7069952305246423</v>
      </c>
      <c r="H102" s="16">
        <f>0.5+(INDEX('Stat Boosts'!$D$2:$D$192,H$1-9)-10)*$C102</f>
        <v>0.81049284578696346</v>
      </c>
      <c r="I102" s="16">
        <f>0.5+(INDEX('Stat Boosts'!$D$2:$D$192,I$1-9)-10)*$C102</f>
        <v>0.89920508744038163</v>
      </c>
      <c r="J102" s="16">
        <f>0.5+(INDEX('Stat Boosts'!$D$2:$D$192,J$1-9)-10)*$C102</f>
        <v>0.9879173290937997</v>
      </c>
      <c r="K102" s="16">
        <f>0.5+(INDEX('Stat Boosts'!$D$2:$D$192,K$1-9)-10)*$C102</f>
        <v>1.194912559618442</v>
      </c>
      <c r="L102" s="16">
        <f>0.5+(INDEX('Stat Boosts'!$D$2:$D$192,L$1-9)-10)*$C102</f>
        <v>1.2688394276629571</v>
      </c>
      <c r="M102" s="16">
        <f>0.5+(INDEX('Stat Boosts'!$D$2:$D$192,M$1-9)-10)*$C102</f>
        <v>1.3723370429252784</v>
      </c>
      <c r="N102" s="16">
        <f>0.5+(INDEX('Stat Boosts'!$D$2:$D$192,N$1-9)-10)*$C102</f>
        <v>1.5054054054054054</v>
      </c>
      <c r="O102" s="16">
        <f>0.5+(INDEX('Stat Boosts'!$D$2:$D$192,O$1-9)-10)*$C102</f>
        <v>1.5793322734499204</v>
      </c>
      <c r="P102" s="16">
        <f>0.5+(INDEX('Stat Boosts'!$D$2:$D$192,P$1-9)-10)*$C102</f>
        <v>1.6976152623211447</v>
      </c>
      <c r="Q102" s="16">
        <f>0.5+(INDEX('Stat Boosts'!$D$2:$D$192,Q$1-9)-10)*$C102</f>
        <v>1.8158982511923689</v>
      </c>
      <c r="R102" s="16">
        <f>0.5+(INDEX('Stat Boosts'!$D$2:$D$192,R$1-9)-10)*$C102</f>
        <v>1.9341812400635929</v>
      </c>
    </row>
    <row r="103" spans="1:18">
      <c r="A103" s="9">
        <v>102</v>
      </c>
      <c r="B103" s="16">
        <f t="shared" si="2"/>
        <v>50.903225806451609</v>
      </c>
      <c r="C103" s="16">
        <f t="shared" si="3"/>
        <v>1.4668769716088329E-2</v>
      </c>
      <c r="E103" s="16">
        <f>0.5+(INDEX('Stat Boosts'!$D$2:$D$192,E$1-9)-10)*$C103</f>
        <v>0.5</v>
      </c>
      <c r="F103" s="16">
        <f>0.5+(INDEX('Stat Boosts'!$D$2:$D$192,F$1-9)-10)*$C103</f>
        <v>0.60268138801261828</v>
      </c>
      <c r="G103" s="16">
        <f>0.5+(INDEX('Stat Boosts'!$D$2:$D$192,G$1-9)-10)*$C103</f>
        <v>0.70536277602523656</v>
      </c>
      <c r="H103" s="16">
        <f>0.5+(INDEX('Stat Boosts'!$D$2:$D$192,H$1-9)-10)*$C103</f>
        <v>0.80804416403785484</v>
      </c>
      <c r="I103" s="16">
        <f>0.5+(INDEX('Stat Boosts'!$D$2:$D$192,I$1-9)-10)*$C103</f>
        <v>0.8960567823343849</v>
      </c>
      <c r="J103" s="16">
        <f>0.5+(INDEX('Stat Boosts'!$D$2:$D$192,J$1-9)-10)*$C103</f>
        <v>0.98406940063091486</v>
      </c>
      <c r="K103" s="16">
        <f>0.5+(INDEX('Stat Boosts'!$D$2:$D$192,K$1-9)-10)*$C103</f>
        <v>1.1894321766561515</v>
      </c>
      <c r="L103" s="16">
        <f>0.5+(INDEX('Stat Boosts'!$D$2:$D$192,L$1-9)-10)*$C103</f>
        <v>1.2627760252365932</v>
      </c>
      <c r="M103" s="16">
        <f>0.5+(INDEX('Stat Boosts'!$D$2:$D$192,M$1-9)-10)*$C103</f>
        <v>1.3654574132492114</v>
      </c>
      <c r="N103" s="16">
        <f>0.5+(INDEX('Stat Boosts'!$D$2:$D$192,N$1-9)-10)*$C103</f>
        <v>1.4974763406940064</v>
      </c>
      <c r="O103" s="16">
        <f>0.5+(INDEX('Stat Boosts'!$D$2:$D$192,O$1-9)-10)*$C103</f>
        <v>1.570820189274448</v>
      </c>
      <c r="P103" s="16">
        <f>0.5+(INDEX('Stat Boosts'!$D$2:$D$192,P$1-9)-10)*$C103</f>
        <v>1.6881703470031546</v>
      </c>
      <c r="Q103" s="16">
        <f>0.5+(INDEX('Stat Boosts'!$D$2:$D$192,Q$1-9)-10)*$C103</f>
        <v>1.8055205047318612</v>
      </c>
      <c r="R103" s="16">
        <f>0.5+(INDEX('Stat Boosts'!$D$2:$D$192,R$1-9)-10)*$C103</f>
        <v>1.922870662460568</v>
      </c>
    </row>
    <row r="104" spans="1:18">
      <c r="A104" s="9">
        <v>103</v>
      </c>
      <c r="B104" s="16">
        <f t="shared" si="2"/>
        <v>51.225806451612904</v>
      </c>
      <c r="C104" s="16">
        <f t="shared" si="3"/>
        <v>1.4553990610328638E-2</v>
      </c>
      <c r="E104" s="16">
        <f>0.5+(INDEX('Stat Boosts'!$D$2:$D$192,E$1-9)-10)*$C104</f>
        <v>0.5</v>
      </c>
      <c r="F104" s="16">
        <f>0.5+(INDEX('Stat Boosts'!$D$2:$D$192,F$1-9)-10)*$C104</f>
        <v>0.60187793427230041</v>
      </c>
      <c r="G104" s="16">
        <f>0.5+(INDEX('Stat Boosts'!$D$2:$D$192,G$1-9)-10)*$C104</f>
        <v>0.70375586854460093</v>
      </c>
      <c r="H104" s="16">
        <f>0.5+(INDEX('Stat Boosts'!$D$2:$D$192,H$1-9)-10)*$C104</f>
        <v>0.80563380281690145</v>
      </c>
      <c r="I104" s="16">
        <f>0.5+(INDEX('Stat Boosts'!$D$2:$D$192,I$1-9)-10)*$C104</f>
        <v>0.89295774647887316</v>
      </c>
      <c r="J104" s="16">
        <f>0.5+(INDEX('Stat Boosts'!$D$2:$D$192,J$1-9)-10)*$C104</f>
        <v>0.9802816901408451</v>
      </c>
      <c r="K104" s="16">
        <f>0.5+(INDEX('Stat Boosts'!$D$2:$D$192,K$1-9)-10)*$C104</f>
        <v>1.1840375586854459</v>
      </c>
      <c r="L104" s="16">
        <f>0.5+(INDEX('Stat Boosts'!$D$2:$D$192,L$1-9)-10)*$C104</f>
        <v>1.2568075117370892</v>
      </c>
      <c r="M104" s="16">
        <f>0.5+(INDEX('Stat Boosts'!$D$2:$D$192,M$1-9)-10)*$C104</f>
        <v>1.3586854460093896</v>
      </c>
      <c r="N104" s="16">
        <f>0.5+(INDEX('Stat Boosts'!$D$2:$D$192,N$1-9)-10)*$C104</f>
        <v>1.4896713615023474</v>
      </c>
      <c r="O104" s="16">
        <f>0.5+(INDEX('Stat Boosts'!$D$2:$D$192,O$1-9)-10)*$C104</f>
        <v>1.5624413145539906</v>
      </c>
      <c r="P104" s="16">
        <f>0.5+(INDEX('Stat Boosts'!$D$2:$D$192,P$1-9)-10)*$C104</f>
        <v>1.6788732394366197</v>
      </c>
      <c r="Q104" s="16">
        <f>0.5+(INDEX('Stat Boosts'!$D$2:$D$192,Q$1-9)-10)*$C104</f>
        <v>1.7953051643192488</v>
      </c>
      <c r="R104" s="16">
        <f>0.5+(INDEX('Stat Boosts'!$D$2:$D$192,R$1-9)-10)*$C104</f>
        <v>1.9117370892018779</v>
      </c>
    </row>
    <row r="105" spans="1:18">
      <c r="A105" s="9">
        <v>104</v>
      </c>
      <c r="B105" s="16">
        <f t="shared" si="2"/>
        <v>51.548387096774192</v>
      </c>
      <c r="C105" s="16">
        <f t="shared" si="3"/>
        <v>1.4440993788819875E-2</v>
      </c>
      <c r="E105" s="16">
        <f>0.5+(INDEX('Stat Boosts'!$D$2:$D$192,E$1-9)-10)*$C105</f>
        <v>0.5</v>
      </c>
      <c r="F105" s="16">
        <f>0.5+(INDEX('Stat Boosts'!$D$2:$D$192,F$1-9)-10)*$C105</f>
        <v>0.60108695652173916</v>
      </c>
      <c r="G105" s="16">
        <f>0.5+(INDEX('Stat Boosts'!$D$2:$D$192,G$1-9)-10)*$C105</f>
        <v>0.70217391304347831</v>
      </c>
      <c r="H105" s="16">
        <f>0.5+(INDEX('Stat Boosts'!$D$2:$D$192,H$1-9)-10)*$C105</f>
        <v>0.80326086956521736</v>
      </c>
      <c r="I105" s="16">
        <f>0.5+(INDEX('Stat Boosts'!$D$2:$D$192,I$1-9)-10)*$C105</f>
        <v>0.88990683229813661</v>
      </c>
      <c r="J105" s="16">
        <f>0.5+(INDEX('Stat Boosts'!$D$2:$D$192,J$1-9)-10)*$C105</f>
        <v>0.97655279503105585</v>
      </c>
      <c r="K105" s="16">
        <f>0.5+(INDEX('Stat Boosts'!$D$2:$D$192,K$1-9)-10)*$C105</f>
        <v>1.1787267080745343</v>
      </c>
      <c r="L105" s="16">
        <f>0.5+(INDEX('Stat Boosts'!$D$2:$D$192,L$1-9)-10)*$C105</f>
        <v>1.2509316770186336</v>
      </c>
      <c r="M105" s="16">
        <f>0.5+(INDEX('Stat Boosts'!$D$2:$D$192,M$1-9)-10)*$C105</f>
        <v>1.3520186335403728</v>
      </c>
      <c r="N105" s="16">
        <f>0.5+(INDEX('Stat Boosts'!$D$2:$D$192,N$1-9)-10)*$C105</f>
        <v>1.4819875776397515</v>
      </c>
      <c r="O105" s="16">
        <f>0.5+(INDEX('Stat Boosts'!$D$2:$D$192,O$1-9)-10)*$C105</f>
        <v>1.5541925465838509</v>
      </c>
      <c r="P105" s="16">
        <f>0.5+(INDEX('Stat Boosts'!$D$2:$D$192,P$1-9)-10)*$C105</f>
        <v>1.6697204968944099</v>
      </c>
      <c r="Q105" s="16">
        <f>0.5+(INDEX('Stat Boosts'!$D$2:$D$192,Q$1-9)-10)*$C105</f>
        <v>1.7852484472049688</v>
      </c>
      <c r="R105" s="16">
        <f>0.5+(INDEX('Stat Boosts'!$D$2:$D$192,R$1-9)-10)*$C105</f>
        <v>1.9007763975155278</v>
      </c>
    </row>
    <row r="106" spans="1:18">
      <c r="A106" s="9">
        <v>105</v>
      </c>
      <c r="B106" s="16">
        <f t="shared" si="2"/>
        <v>51.87096774193548</v>
      </c>
      <c r="C106" s="16">
        <f t="shared" si="3"/>
        <v>1.4329738058551618E-2</v>
      </c>
      <c r="E106" s="16">
        <f>0.5+(INDEX('Stat Boosts'!$D$2:$D$192,E$1-9)-10)*$C106</f>
        <v>0.5</v>
      </c>
      <c r="F106" s="16">
        <f>0.5+(INDEX('Stat Boosts'!$D$2:$D$192,F$1-9)-10)*$C106</f>
        <v>0.60030816640986129</v>
      </c>
      <c r="G106" s="16">
        <f>0.5+(INDEX('Stat Boosts'!$D$2:$D$192,G$1-9)-10)*$C106</f>
        <v>0.70061633281972269</v>
      </c>
      <c r="H106" s="16">
        <f>0.5+(INDEX('Stat Boosts'!$D$2:$D$192,H$1-9)-10)*$C106</f>
        <v>0.80092449922958397</v>
      </c>
      <c r="I106" s="16">
        <f>0.5+(INDEX('Stat Boosts'!$D$2:$D$192,I$1-9)-10)*$C106</f>
        <v>0.88690292758089373</v>
      </c>
      <c r="J106" s="16">
        <f>0.5+(INDEX('Stat Boosts'!$D$2:$D$192,J$1-9)-10)*$C106</f>
        <v>0.97288135593220337</v>
      </c>
      <c r="K106" s="16">
        <f>0.5+(INDEX('Stat Boosts'!$D$2:$D$192,K$1-9)-10)*$C106</f>
        <v>1.1734976887519259</v>
      </c>
      <c r="L106" s="16">
        <f>0.5+(INDEX('Stat Boosts'!$D$2:$D$192,L$1-9)-10)*$C106</f>
        <v>1.2451463790446842</v>
      </c>
      <c r="M106" s="16">
        <f>0.5+(INDEX('Stat Boosts'!$D$2:$D$192,M$1-9)-10)*$C106</f>
        <v>1.3454545454545455</v>
      </c>
      <c r="N106" s="16">
        <f>0.5+(INDEX('Stat Boosts'!$D$2:$D$192,N$1-9)-10)*$C106</f>
        <v>1.47442218798151</v>
      </c>
      <c r="O106" s="16">
        <f>0.5+(INDEX('Stat Boosts'!$D$2:$D$192,O$1-9)-10)*$C106</f>
        <v>1.546070878274268</v>
      </c>
      <c r="P106" s="16">
        <f>0.5+(INDEX('Stat Boosts'!$D$2:$D$192,P$1-9)-10)*$C106</f>
        <v>1.6607087827426812</v>
      </c>
      <c r="Q106" s="16">
        <f>0.5+(INDEX('Stat Boosts'!$D$2:$D$192,Q$1-9)-10)*$C106</f>
        <v>1.7753466872110941</v>
      </c>
      <c r="R106" s="16">
        <f>0.5+(INDEX('Stat Boosts'!$D$2:$D$192,R$1-9)-10)*$C106</f>
        <v>1.8899845916795071</v>
      </c>
    </row>
    <row r="107" spans="1:18">
      <c r="A107" s="9">
        <v>106</v>
      </c>
      <c r="B107" s="16">
        <f t="shared" si="2"/>
        <v>52.193548387096776</v>
      </c>
      <c r="C107" s="16">
        <f t="shared" si="3"/>
        <v>1.4220183486238531E-2</v>
      </c>
      <c r="E107" s="16">
        <f>0.5+(INDEX('Stat Boosts'!$D$2:$D$192,E$1-9)-10)*$C107</f>
        <v>0.5</v>
      </c>
      <c r="F107" s="16">
        <f>0.5+(INDEX('Stat Boosts'!$D$2:$D$192,F$1-9)-10)*$C107</f>
        <v>0.59954128440366972</v>
      </c>
      <c r="G107" s="16">
        <f>0.5+(INDEX('Stat Boosts'!$D$2:$D$192,G$1-9)-10)*$C107</f>
        <v>0.69908256880733943</v>
      </c>
      <c r="H107" s="16">
        <f>0.5+(INDEX('Stat Boosts'!$D$2:$D$192,H$1-9)-10)*$C107</f>
        <v>0.79862385321100915</v>
      </c>
      <c r="I107" s="16">
        <f>0.5+(INDEX('Stat Boosts'!$D$2:$D$192,I$1-9)-10)*$C107</f>
        <v>0.88394495412844032</v>
      </c>
      <c r="J107" s="16">
        <f>0.5+(INDEX('Stat Boosts'!$D$2:$D$192,J$1-9)-10)*$C107</f>
        <v>0.9692660550458716</v>
      </c>
      <c r="K107" s="16">
        <f>0.5+(INDEX('Stat Boosts'!$D$2:$D$192,K$1-9)-10)*$C107</f>
        <v>1.1683486238532108</v>
      </c>
      <c r="L107" s="16">
        <f>0.5+(INDEX('Stat Boosts'!$D$2:$D$192,L$1-9)-10)*$C107</f>
        <v>1.2394495412844035</v>
      </c>
      <c r="M107" s="16">
        <f>0.5+(INDEX('Stat Boosts'!$D$2:$D$192,M$1-9)-10)*$C107</f>
        <v>1.3389908256880734</v>
      </c>
      <c r="N107" s="16">
        <f>0.5+(INDEX('Stat Boosts'!$D$2:$D$192,N$1-9)-10)*$C107</f>
        <v>1.4669724770642201</v>
      </c>
      <c r="O107" s="16">
        <f>0.5+(INDEX('Stat Boosts'!$D$2:$D$192,O$1-9)-10)*$C107</f>
        <v>1.5380733944954128</v>
      </c>
      <c r="P107" s="16">
        <f>0.5+(INDEX('Stat Boosts'!$D$2:$D$192,P$1-9)-10)*$C107</f>
        <v>1.651834862385321</v>
      </c>
      <c r="Q107" s="16">
        <f>0.5+(INDEX('Stat Boosts'!$D$2:$D$192,Q$1-9)-10)*$C107</f>
        <v>1.7655963302752293</v>
      </c>
      <c r="R107" s="16">
        <f>0.5+(INDEX('Stat Boosts'!$D$2:$D$192,R$1-9)-10)*$C107</f>
        <v>1.8793577981651375</v>
      </c>
    </row>
    <row r="108" spans="1:18">
      <c r="A108" s="9">
        <v>107</v>
      </c>
      <c r="B108" s="16">
        <f t="shared" si="2"/>
        <v>52.516129032258064</v>
      </c>
      <c r="C108" s="16">
        <f t="shared" si="3"/>
        <v>1.4112291350531107E-2</v>
      </c>
      <c r="E108" s="16">
        <f>0.5+(INDEX('Stat Boosts'!$D$2:$D$192,E$1-9)-10)*$C108</f>
        <v>0.5</v>
      </c>
      <c r="F108" s="16">
        <f>0.5+(INDEX('Stat Boosts'!$D$2:$D$192,F$1-9)-10)*$C108</f>
        <v>0.59878603945371778</v>
      </c>
      <c r="G108" s="16">
        <f>0.5+(INDEX('Stat Boosts'!$D$2:$D$192,G$1-9)-10)*$C108</f>
        <v>0.69757207890743556</v>
      </c>
      <c r="H108" s="16">
        <f>0.5+(INDEX('Stat Boosts'!$D$2:$D$192,H$1-9)-10)*$C108</f>
        <v>0.79635811836115322</v>
      </c>
      <c r="I108" s="16">
        <f>0.5+(INDEX('Stat Boosts'!$D$2:$D$192,I$1-9)-10)*$C108</f>
        <v>0.88103186646433995</v>
      </c>
      <c r="J108" s="16">
        <f>0.5+(INDEX('Stat Boosts'!$D$2:$D$192,J$1-9)-10)*$C108</f>
        <v>0.96570561456752646</v>
      </c>
      <c r="K108" s="16">
        <f>0.5+(INDEX('Stat Boosts'!$D$2:$D$192,K$1-9)-10)*$C108</f>
        <v>1.163277693474962</v>
      </c>
      <c r="L108" s="16">
        <f>0.5+(INDEX('Stat Boosts'!$D$2:$D$192,L$1-9)-10)*$C108</f>
        <v>1.2338391502276176</v>
      </c>
      <c r="M108" s="16">
        <f>0.5+(INDEX('Stat Boosts'!$D$2:$D$192,M$1-9)-10)*$C108</f>
        <v>1.3326251896813353</v>
      </c>
      <c r="N108" s="16">
        <f>0.5+(INDEX('Stat Boosts'!$D$2:$D$192,N$1-9)-10)*$C108</f>
        <v>1.4596358118361152</v>
      </c>
      <c r="O108" s="16">
        <f>0.5+(INDEX('Stat Boosts'!$D$2:$D$192,O$1-9)-10)*$C108</f>
        <v>1.5301972685887708</v>
      </c>
      <c r="P108" s="16">
        <f>0.5+(INDEX('Stat Boosts'!$D$2:$D$192,P$1-9)-10)*$C108</f>
        <v>1.6430955993930196</v>
      </c>
      <c r="Q108" s="16">
        <f>0.5+(INDEX('Stat Boosts'!$D$2:$D$192,Q$1-9)-10)*$C108</f>
        <v>1.7559939301972685</v>
      </c>
      <c r="R108" s="16">
        <f>0.5+(INDEX('Stat Boosts'!$D$2:$D$192,R$1-9)-10)*$C108</f>
        <v>1.8688922610015173</v>
      </c>
    </row>
    <row r="109" spans="1:18">
      <c r="A109" s="9">
        <v>108</v>
      </c>
      <c r="B109" s="16">
        <f t="shared" si="2"/>
        <v>52.838709677419352</v>
      </c>
      <c r="C109" s="16">
        <f t="shared" si="3"/>
        <v>1.4006024096385543E-2</v>
      </c>
      <c r="E109" s="16">
        <f>0.5+(INDEX('Stat Boosts'!$D$2:$D$192,E$1-9)-10)*$C109</f>
        <v>0.5</v>
      </c>
      <c r="F109" s="16">
        <f>0.5+(INDEX('Stat Boosts'!$D$2:$D$192,F$1-9)-10)*$C109</f>
        <v>0.59804216867469884</v>
      </c>
      <c r="G109" s="16">
        <f>0.5+(INDEX('Stat Boosts'!$D$2:$D$192,G$1-9)-10)*$C109</f>
        <v>0.69608433734939756</v>
      </c>
      <c r="H109" s="16">
        <f>0.5+(INDEX('Stat Boosts'!$D$2:$D$192,H$1-9)-10)*$C109</f>
        <v>0.7941265060240964</v>
      </c>
      <c r="I109" s="16">
        <f>0.5+(INDEX('Stat Boosts'!$D$2:$D$192,I$1-9)-10)*$C109</f>
        <v>0.87816265060240961</v>
      </c>
      <c r="J109" s="16">
        <f>0.5+(INDEX('Stat Boosts'!$D$2:$D$192,J$1-9)-10)*$C109</f>
        <v>0.96219879518072293</v>
      </c>
      <c r="K109" s="16">
        <f>0.5+(INDEX('Stat Boosts'!$D$2:$D$192,K$1-9)-10)*$C109</f>
        <v>1.1582831325301206</v>
      </c>
      <c r="L109" s="16">
        <f>0.5+(INDEX('Stat Boosts'!$D$2:$D$192,L$1-9)-10)*$C109</f>
        <v>1.2283132530120482</v>
      </c>
      <c r="M109" s="16">
        <f>0.5+(INDEX('Stat Boosts'!$D$2:$D$192,M$1-9)-10)*$C109</f>
        <v>1.326355421686747</v>
      </c>
      <c r="N109" s="16">
        <f>0.5+(INDEX('Stat Boosts'!$D$2:$D$192,N$1-9)-10)*$C109</f>
        <v>1.4524096385542169</v>
      </c>
      <c r="O109" s="16">
        <f>0.5+(INDEX('Stat Boosts'!$D$2:$D$192,O$1-9)-10)*$C109</f>
        <v>1.5224397590361447</v>
      </c>
      <c r="P109" s="16">
        <f>0.5+(INDEX('Stat Boosts'!$D$2:$D$192,P$1-9)-10)*$C109</f>
        <v>1.6344879518072288</v>
      </c>
      <c r="Q109" s="16">
        <f>0.5+(INDEX('Stat Boosts'!$D$2:$D$192,Q$1-9)-10)*$C109</f>
        <v>1.7465361445783132</v>
      </c>
      <c r="R109" s="16">
        <f>0.5+(INDEX('Stat Boosts'!$D$2:$D$192,R$1-9)-10)*$C109</f>
        <v>1.8585843373493975</v>
      </c>
    </row>
    <row r="110" spans="1:18">
      <c r="A110" s="9">
        <v>109</v>
      </c>
      <c r="B110" s="16">
        <f t="shared" si="2"/>
        <v>53.161290322580648</v>
      </c>
      <c r="C110" s="16">
        <f t="shared" si="3"/>
        <v>1.390134529147982E-2</v>
      </c>
      <c r="E110" s="16">
        <f>0.5+(INDEX('Stat Boosts'!$D$2:$D$192,E$1-9)-10)*$C110</f>
        <v>0.5</v>
      </c>
      <c r="F110" s="16">
        <f>0.5+(INDEX('Stat Boosts'!$D$2:$D$192,F$1-9)-10)*$C110</f>
        <v>0.59730941704035878</v>
      </c>
      <c r="G110" s="16">
        <f>0.5+(INDEX('Stat Boosts'!$D$2:$D$192,G$1-9)-10)*$C110</f>
        <v>0.69461883408071745</v>
      </c>
      <c r="H110" s="16">
        <f>0.5+(INDEX('Stat Boosts'!$D$2:$D$192,H$1-9)-10)*$C110</f>
        <v>0.79192825112107623</v>
      </c>
      <c r="I110" s="16">
        <f>0.5+(INDEX('Stat Boosts'!$D$2:$D$192,I$1-9)-10)*$C110</f>
        <v>0.87533632286995511</v>
      </c>
      <c r="J110" s="16">
        <f>0.5+(INDEX('Stat Boosts'!$D$2:$D$192,J$1-9)-10)*$C110</f>
        <v>0.95874439461883409</v>
      </c>
      <c r="K110" s="16">
        <f>0.5+(INDEX('Stat Boosts'!$D$2:$D$192,K$1-9)-10)*$C110</f>
        <v>1.1533632286995514</v>
      </c>
      <c r="L110" s="16">
        <f>0.5+(INDEX('Stat Boosts'!$D$2:$D$192,L$1-9)-10)*$C110</f>
        <v>1.2228699551569506</v>
      </c>
      <c r="M110" s="16">
        <f>0.5+(INDEX('Stat Boosts'!$D$2:$D$192,M$1-9)-10)*$C110</f>
        <v>1.3201793721973094</v>
      </c>
      <c r="N110" s="16">
        <f>0.5+(INDEX('Stat Boosts'!$D$2:$D$192,N$1-9)-10)*$C110</f>
        <v>1.4452914798206278</v>
      </c>
      <c r="O110" s="16">
        <f>0.5+(INDEX('Stat Boosts'!$D$2:$D$192,O$1-9)-10)*$C110</f>
        <v>1.514798206278027</v>
      </c>
      <c r="P110" s="16">
        <f>0.5+(INDEX('Stat Boosts'!$D$2:$D$192,P$1-9)-10)*$C110</f>
        <v>1.6260089686098653</v>
      </c>
      <c r="Q110" s="16">
        <f>0.5+(INDEX('Stat Boosts'!$D$2:$D$192,Q$1-9)-10)*$C110</f>
        <v>1.7372197309417039</v>
      </c>
      <c r="R110" s="16">
        <f>0.5+(INDEX('Stat Boosts'!$D$2:$D$192,R$1-9)-10)*$C110</f>
        <v>1.8484304932735425</v>
      </c>
    </row>
    <row r="111" spans="1:18">
      <c r="A111" s="9">
        <v>110</v>
      </c>
      <c r="B111" s="16">
        <f t="shared" si="2"/>
        <v>53.483870967741936</v>
      </c>
      <c r="C111" s="16">
        <f t="shared" si="3"/>
        <v>1.3798219584569732E-2</v>
      </c>
      <c r="E111" s="16">
        <f>0.5+(INDEX('Stat Boosts'!$D$2:$D$192,E$1-9)-10)*$C111</f>
        <v>0.5</v>
      </c>
      <c r="F111" s="16">
        <f>0.5+(INDEX('Stat Boosts'!$D$2:$D$192,F$1-9)-10)*$C111</f>
        <v>0.59658753709198808</v>
      </c>
      <c r="G111" s="16">
        <f>0.5+(INDEX('Stat Boosts'!$D$2:$D$192,G$1-9)-10)*$C111</f>
        <v>0.69317507418397628</v>
      </c>
      <c r="H111" s="16">
        <f>0.5+(INDEX('Stat Boosts'!$D$2:$D$192,H$1-9)-10)*$C111</f>
        <v>0.78976261127596437</v>
      </c>
      <c r="I111" s="16">
        <f>0.5+(INDEX('Stat Boosts'!$D$2:$D$192,I$1-9)-10)*$C111</f>
        <v>0.87255192878338272</v>
      </c>
      <c r="J111" s="16">
        <f>0.5+(INDEX('Stat Boosts'!$D$2:$D$192,J$1-9)-10)*$C111</f>
        <v>0.95534124629080108</v>
      </c>
      <c r="K111" s="16">
        <f>0.5+(INDEX('Stat Boosts'!$D$2:$D$192,K$1-9)-10)*$C111</f>
        <v>1.1485163204747773</v>
      </c>
      <c r="L111" s="16">
        <f>0.5+(INDEX('Stat Boosts'!$D$2:$D$192,L$1-9)-10)*$C111</f>
        <v>1.217507418397626</v>
      </c>
      <c r="M111" s="16">
        <f>0.5+(INDEX('Stat Boosts'!$D$2:$D$192,M$1-9)-10)*$C111</f>
        <v>1.3140949554896142</v>
      </c>
      <c r="N111" s="16">
        <f>0.5+(INDEX('Stat Boosts'!$D$2:$D$192,N$1-9)-10)*$C111</f>
        <v>1.4382789317507418</v>
      </c>
      <c r="O111" s="16">
        <f>0.5+(INDEX('Stat Boosts'!$D$2:$D$192,O$1-9)-10)*$C111</f>
        <v>1.5072700296735904</v>
      </c>
      <c r="P111" s="16">
        <f>0.5+(INDEX('Stat Boosts'!$D$2:$D$192,P$1-9)-10)*$C111</f>
        <v>1.6176557863501482</v>
      </c>
      <c r="Q111" s="16">
        <f>0.5+(INDEX('Stat Boosts'!$D$2:$D$192,Q$1-9)-10)*$C111</f>
        <v>1.7280415430267062</v>
      </c>
      <c r="R111" s="16">
        <f>0.5+(INDEX('Stat Boosts'!$D$2:$D$192,R$1-9)-10)*$C111</f>
        <v>1.838427299703264</v>
      </c>
    </row>
    <row r="112" spans="1:18">
      <c r="A112" s="9">
        <v>111</v>
      </c>
      <c r="B112" s="16">
        <f t="shared" si="2"/>
        <v>53.806451612903224</v>
      </c>
      <c r="C112" s="16">
        <f t="shared" si="3"/>
        <v>1.3696612665684831E-2</v>
      </c>
      <c r="E112" s="16">
        <f>0.5+(INDEX('Stat Boosts'!$D$2:$D$192,E$1-9)-10)*$C112</f>
        <v>0.5</v>
      </c>
      <c r="F112" s="16">
        <f>0.5+(INDEX('Stat Boosts'!$D$2:$D$192,F$1-9)-10)*$C112</f>
        <v>0.59587628865979381</v>
      </c>
      <c r="G112" s="16">
        <f>0.5+(INDEX('Stat Boosts'!$D$2:$D$192,G$1-9)-10)*$C112</f>
        <v>0.69175257731958761</v>
      </c>
      <c r="H112" s="16">
        <f>0.5+(INDEX('Stat Boosts'!$D$2:$D$192,H$1-9)-10)*$C112</f>
        <v>0.78762886597938142</v>
      </c>
      <c r="I112" s="16">
        <f>0.5+(INDEX('Stat Boosts'!$D$2:$D$192,I$1-9)-10)*$C112</f>
        <v>0.86980854197349045</v>
      </c>
      <c r="J112" s="16">
        <f>0.5+(INDEX('Stat Boosts'!$D$2:$D$192,J$1-9)-10)*$C112</f>
        <v>0.95198821796759936</v>
      </c>
      <c r="K112" s="16">
        <f>0.5+(INDEX('Stat Boosts'!$D$2:$D$192,K$1-9)-10)*$C112</f>
        <v>1.143740795287187</v>
      </c>
      <c r="L112" s="16">
        <f>0.5+(INDEX('Stat Boosts'!$D$2:$D$192,L$1-9)-10)*$C112</f>
        <v>1.2122238586156113</v>
      </c>
      <c r="M112" s="16">
        <f>0.5+(INDEX('Stat Boosts'!$D$2:$D$192,M$1-9)-10)*$C112</f>
        <v>1.308100147275405</v>
      </c>
      <c r="N112" s="16">
        <f>0.5+(INDEX('Stat Boosts'!$D$2:$D$192,N$1-9)-10)*$C112</f>
        <v>1.4313696612665685</v>
      </c>
      <c r="O112" s="16">
        <f>0.5+(INDEX('Stat Boosts'!$D$2:$D$192,O$1-9)-10)*$C112</f>
        <v>1.4998527245949926</v>
      </c>
      <c r="P112" s="16">
        <f>0.5+(INDEX('Stat Boosts'!$D$2:$D$192,P$1-9)-10)*$C112</f>
        <v>1.6094256259204713</v>
      </c>
      <c r="Q112" s="16">
        <f>0.5+(INDEX('Stat Boosts'!$D$2:$D$192,Q$1-9)-10)*$C112</f>
        <v>1.7189985272459498</v>
      </c>
      <c r="R112" s="16">
        <f>0.5+(INDEX('Stat Boosts'!$D$2:$D$192,R$1-9)-10)*$C112</f>
        <v>1.8285714285714285</v>
      </c>
    </row>
    <row r="113" spans="1:18">
      <c r="A113" s="9">
        <v>112</v>
      </c>
      <c r="B113" s="16">
        <f t="shared" si="2"/>
        <v>54.129032258064512</v>
      </c>
      <c r="C113" s="16">
        <f t="shared" si="3"/>
        <v>1.3596491228070176E-2</v>
      </c>
      <c r="E113" s="16">
        <f>0.5+(INDEX('Stat Boosts'!$D$2:$D$192,E$1-9)-10)*$C113</f>
        <v>0.5</v>
      </c>
      <c r="F113" s="16">
        <f>0.5+(INDEX('Stat Boosts'!$D$2:$D$192,F$1-9)-10)*$C113</f>
        <v>0.59517543859649125</v>
      </c>
      <c r="G113" s="16">
        <f>0.5+(INDEX('Stat Boosts'!$D$2:$D$192,G$1-9)-10)*$C113</f>
        <v>0.69035087719298249</v>
      </c>
      <c r="H113" s="16">
        <f>0.5+(INDEX('Stat Boosts'!$D$2:$D$192,H$1-9)-10)*$C113</f>
        <v>0.78552631578947363</v>
      </c>
      <c r="I113" s="16">
        <f>0.5+(INDEX('Stat Boosts'!$D$2:$D$192,I$1-9)-10)*$C113</f>
        <v>0.86710526315789482</v>
      </c>
      <c r="J113" s="16">
        <f>0.5+(INDEX('Stat Boosts'!$D$2:$D$192,J$1-9)-10)*$C113</f>
        <v>0.9486842105263158</v>
      </c>
      <c r="K113" s="16">
        <f>0.5+(INDEX('Stat Boosts'!$D$2:$D$192,K$1-9)-10)*$C113</f>
        <v>1.1390350877192983</v>
      </c>
      <c r="L113" s="16">
        <f>0.5+(INDEX('Stat Boosts'!$D$2:$D$192,L$1-9)-10)*$C113</f>
        <v>1.2070175438596491</v>
      </c>
      <c r="M113" s="16">
        <f>0.5+(INDEX('Stat Boosts'!$D$2:$D$192,M$1-9)-10)*$C113</f>
        <v>1.3021929824561402</v>
      </c>
      <c r="N113" s="16">
        <f>0.5+(INDEX('Stat Boosts'!$D$2:$D$192,N$1-9)-10)*$C113</f>
        <v>1.4245614035087719</v>
      </c>
      <c r="O113" s="16">
        <f>0.5+(INDEX('Stat Boosts'!$D$2:$D$192,O$1-9)-10)*$C113</f>
        <v>1.492543859649123</v>
      </c>
      <c r="P113" s="16">
        <f>0.5+(INDEX('Stat Boosts'!$D$2:$D$192,P$1-9)-10)*$C113</f>
        <v>1.6013157894736842</v>
      </c>
      <c r="Q113" s="16">
        <f>0.5+(INDEX('Stat Boosts'!$D$2:$D$192,Q$1-9)-10)*$C113</f>
        <v>1.7100877192982458</v>
      </c>
      <c r="R113" s="16">
        <f>0.5+(INDEX('Stat Boosts'!$D$2:$D$192,R$1-9)-10)*$C113</f>
        <v>1.8188596491228071</v>
      </c>
    </row>
    <row r="114" spans="1:18">
      <c r="A114" s="9">
        <v>113</v>
      </c>
      <c r="B114" s="16">
        <f t="shared" si="2"/>
        <v>54.451612903225808</v>
      </c>
      <c r="C114" s="16">
        <f t="shared" si="3"/>
        <v>1.3497822931785195E-2</v>
      </c>
      <c r="E114" s="16">
        <f>0.5+(INDEX('Stat Boosts'!$D$2:$D$192,E$1-9)-10)*$C114</f>
        <v>0.5</v>
      </c>
      <c r="F114" s="16">
        <f>0.5+(INDEX('Stat Boosts'!$D$2:$D$192,F$1-9)-10)*$C114</f>
        <v>0.59448476052249632</v>
      </c>
      <c r="G114" s="16">
        <f>0.5+(INDEX('Stat Boosts'!$D$2:$D$192,G$1-9)-10)*$C114</f>
        <v>0.68896952104499276</v>
      </c>
      <c r="H114" s="16">
        <f>0.5+(INDEX('Stat Boosts'!$D$2:$D$192,H$1-9)-10)*$C114</f>
        <v>0.78345428156748909</v>
      </c>
      <c r="I114" s="16">
        <f>0.5+(INDEX('Stat Boosts'!$D$2:$D$192,I$1-9)-10)*$C114</f>
        <v>0.86444121915820027</v>
      </c>
      <c r="J114" s="16">
        <f>0.5+(INDEX('Stat Boosts'!$D$2:$D$192,J$1-9)-10)*$C114</f>
        <v>0.94542815674891145</v>
      </c>
      <c r="K114" s="16">
        <f>0.5+(INDEX('Stat Boosts'!$D$2:$D$192,K$1-9)-10)*$C114</f>
        <v>1.1343976777939042</v>
      </c>
      <c r="L114" s="16">
        <f>0.5+(INDEX('Stat Boosts'!$D$2:$D$192,L$1-9)-10)*$C114</f>
        <v>1.20188679245283</v>
      </c>
      <c r="M114" s="16">
        <f>0.5+(INDEX('Stat Boosts'!$D$2:$D$192,M$1-9)-10)*$C114</f>
        <v>1.2963715529753266</v>
      </c>
      <c r="N114" s="16">
        <f>0.5+(INDEX('Stat Boosts'!$D$2:$D$192,N$1-9)-10)*$C114</f>
        <v>1.4178519593613932</v>
      </c>
      <c r="O114" s="16">
        <f>0.5+(INDEX('Stat Boosts'!$D$2:$D$192,O$1-9)-10)*$C114</f>
        <v>1.4853410740203192</v>
      </c>
      <c r="P114" s="16">
        <f>0.5+(INDEX('Stat Boosts'!$D$2:$D$192,P$1-9)-10)*$C114</f>
        <v>1.5933236574746008</v>
      </c>
      <c r="Q114" s="16">
        <f>0.5+(INDEX('Stat Boosts'!$D$2:$D$192,Q$1-9)-10)*$C114</f>
        <v>1.7013062409288824</v>
      </c>
      <c r="R114" s="16">
        <f>0.5+(INDEX('Stat Boosts'!$D$2:$D$192,R$1-9)-10)*$C114</f>
        <v>1.809288824383164</v>
      </c>
    </row>
    <row r="115" spans="1:18">
      <c r="A115" s="9">
        <v>114</v>
      </c>
      <c r="B115" s="16">
        <f t="shared" si="2"/>
        <v>54.774193548387096</v>
      </c>
      <c r="C115" s="16">
        <f t="shared" si="3"/>
        <v>1.340057636887608E-2</v>
      </c>
      <c r="E115" s="16">
        <f>0.5+(INDEX('Stat Boosts'!$D$2:$D$192,E$1-9)-10)*$C115</f>
        <v>0.5</v>
      </c>
      <c r="F115" s="16">
        <f>0.5+(INDEX('Stat Boosts'!$D$2:$D$192,F$1-9)-10)*$C115</f>
        <v>0.5938040345821326</v>
      </c>
      <c r="G115" s="16">
        <f>0.5+(INDEX('Stat Boosts'!$D$2:$D$192,G$1-9)-10)*$C115</f>
        <v>0.68760806916426509</v>
      </c>
      <c r="H115" s="16">
        <f>0.5+(INDEX('Stat Boosts'!$D$2:$D$192,H$1-9)-10)*$C115</f>
        <v>0.78141210374639769</v>
      </c>
      <c r="I115" s="16">
        <f>0.5+(INDEX('Stat Boosts'!$D$2:$D$192,I$1-9)-10)*$C115</f>
        <v>0.86181556195965414</v>
      </c>
      <c r="J115" s="16">
        <f>0.5+(INDEX('Stat Boosts'!$D$2:$D$192,J$1-9)-10)*$C115</f>
        <v>0.94221902017291059</v>
      </c>
      <c r="K115" s="16">
        <f>0.5+(INDEX('Stat Boosts'!$D$2:$D$192,K$1-9)-10)*$C115</f>
        <v>1.1298270893371758</v>
      </c>
      <c r="L115" s="16">
        <f>0.5+(INDEX('Stat Boosts'!$D$2:$D$192,L$1-9)-10)*$C115</f>
        <v>1.1968299711815562</v>
      </c>
      <c r="M115" s="16">
        <f>0.5+(INDEX('Stat Boosts'!$D$2:$D$192,M$1-9)-10)*$C115</f>
        <v>1.2906340057636887</v>
      </c>
      <c r="N115" s="16">
        <f>0.5+(INDEX('Stat Boosts'!$D$2:$D$192,N$1-9)-10)*$C115</f>
        <v>1.4112391930835735</v>
      </c>
      <c r="O115" s="16">
        <f>0.5+(INDEX('Stat Boosts'!$D$2:$D$192,O$1-9)-10)*$C115</f>
        <v>1.4782420749279539</v>
      </c>
      <c r="P115" s="16">
        <f>0.5+(INDEX('Stat Boosts'!$D$2:$D$192,P$1-9)-10)*$C115</f>
        <v>1.5854466858789624</v>
      </c>
      <c r="Q115" s="16">
        <f>0.5+(INDEX('Stat Boosts'!$D$2:$D$192,Q$1-9)-10)*$C115</f>
        <v>1.6926512968299712</v>
      </c>
      <c r="R115" s="16">
        <f>0.5+(INDEX('Stat Boosts'!$D$2:$D$192,R$1-9)-10)*$C115</f>
        <v>1.7998559077809797</v>
      </c>
    </row>
    <row r="116" spans="1:18">
      <c r="A116" s="9">
        <v>115</v>
      </c>
      <c r="B116" s="16">
        <f t="shared" si="2"/>
        <v>55.096774193548384</v>
      </c>
      <c r="C116" s="16">
        <f t="shared" si="3"/>
        <v>1.3304721030042918E-2</v>
      </c>
      <c r="E116" s="16">
        <f>0.5+(INDEX('Stat Boosts'!$D$2:$D$192,E$1-9)-10)*$C116</f>
        <v>0.5</v>
      </c>
      <c r="F116" s="16">
        <f>0.5+(INDEX('Stat Boosts'!$D$2:$D$192,F$1-9)-10)*$C116</f>
        <v>0.59313304721030047</v>
      </c>
      <c r="G116" s="16">
        <f>0.5+(INDEX('Stat Boosts'!$D$2:$D$192,G$1-9)-10)*$C116</f>
        <v>0.68626609442060083</v>
      </c>
      <c r="H116" s="16">
        <f>0.5+(INDEX('Stat Boosts'!$D$2:$D$192,H$1-9)-10)*$C116</f>
        <v>0.77939914163090129</v>
      </c>
      <c r="I116" s="16">
        <f>0.5+(INDEX('Stat Boosts'!$D$2:$D$192,I$1-9)-10)*$C116</f>
        <v>0.85922746781115877</v>
      </c>
      <c r="J116" s="16">
        <f>0.5+(INDEX('Stat Boosts'!$D$2:$D$192,J$1-9)-10)*$C116</f>
        <v>0.93905579399141637</v>
      </c>
      <c r="K116" s="16">
        <f>0.5+(INDEX('Stat Boosts'!$D$2:$D$192,K$1-9)-10)*$C116</f>
        <v>1.1253218884120173</v>
      </c>
      <c r="L116" s="16">
        <f>0.5+(INDEX('Stat Boosts'!$D$2:$D$192,L$1-9)-10)*$C116</f>
        <v>1.1918454935622318</v>
      </c>
      <c r="M116" s="16">
        <f>0.5+(INDEX('Stat Boosts'!$D$2:$D$192,M$1-9)-10)*$C116</f>
        <v>1.2849785407725323</v>
      </c>
      <c r="N116" s="16">
        <f>0.5+(INDEX('Stat Boosts'!$D$2:$D$192,N$1-9)-10)*$C116</f>
        <v>1.4047210300429185</v>
      </c>
      <c r="O116" s="16">
        <f>0.5+(INDEX('Stat Boosts'!$D$2:$D$192,O$1-9)-10)*$C116</f>
        <v>1.471244635193133</v>
      </c>
      <c r="P116" s="16">
        <f>0.5+(INDEX('Stat Boosts'!$D$2:$D$192,P$1-9)-10)*$C116</f>
        <v>1.5776824034334764</v>
      </c>
      <c r="Q116" s="16">
        <f>0.5+(INDEX('Stat Boosts'!$D$2:$D$192,Q$1-9)-10)*$C116</f>
        <v>1.6841201716738197</v>
      </c>
      <c r="R116" s="16">
        <f>0.5+(INDEX('Stat Boosts'!$D$2:$D$192,R$1-9)-10)*$C116</f>
        <v>1.7905579399141631</v>
      </c>
    </row>
    <row r="117" spans="1:18">
      <c r="A117" s="9">
        <v>116</v>
      </c>
      <c r="B117" s="16">
        <f t="shared" si="2"/>
        <v>55.41935483870968</v>
      </c>
      <c r="C117" s="16">
        <f t="shared" si="3"/>
        <v>1.3210227272727271E-2</v>
      </c>
      <c r="E117" s="16">
        <f>0.5+(INDEX('Stat Boosts'!$D$2:$D$192,E$1-9)-10)*$C117</f>
        <v>0.5</v>
      </c>
      <c r="F117" s="16">
        <f>0.5+(INDEX('Stat Boosts'!$D$2:$D$192,F$1-9)-10)*$C117</f>
        <v>0.59247159090909085</v>
      </c>
      <c r="G117" s="16">
        <f>0.5+(INDEX('Stat Boosts'!$D$2:$D$192,G$1-9)-10)*$C117</f>
        <v>0.68494318181818181</v>
      </c>
      <c r="H117" s="16">
        <f>0.5+(INDEX('Stat Boosts'!$D$2:$D$192,H$1-9)-10)*$C117</f>
        <v>0.77741477272727266</v>
      </c>
      <c r="I117" s="16">
        <f>0.5+(INDEX('Stat Boosts'!$D$2:$D$192,I$1-9)-10)*$C117</f>
        <v>0.85667613636363638</v>
      </c>
      <c r="J117" s="16">
        <f>0.5+(INDEX('Stat Boosts'!$D$2:$D$192,J$1-9)-10)*$C117</f>
        <v>0.93593749999999987</v>
      </c>
      <c r="K117" s="16">
        <f>0.5+(INDEX('Stat Boosts'!$D$2:$D$192,K$1-9)-10)*$C117</f>
        <v>1.1208806818181818</v>
      </c>
      <c r="L117" s="16">
        <f>0.5+(INDEX('Stat Boosts'!$D$2:$D$192,L$1-9)-10)*$C117</f>
        <v>1.1869318181818183</v>
      </c>
      <c r="M117" s="16">
        <f>0.5+(INDEX('Stat Boosts'!$D$2:$D$192,M$1-9)-10)*$C117</f>
        <v>1.279403409090909</v>
      </c>
      <c r="N117" s="16">
        <f>0.5+(INDEX('Stat Boosts'!$D$2:$D$192,N$1-9)-10)*$C117</f>
        <v>1.3982954545454545</v>
      </c>
      <c r="O117" s="16">
        <f>0.5+(INDEX('Stat Boosts'!$D$2:$D$192,O$1-9)-10)*$C117</f>
        <v>1.4643465909090909</v>
      </c>
      <c r="P117" s="16">
        <f>0.5+(INDEX('Stat Boosts'!$D$2:$D$192,P$1-9)-10)*$C117</f>
        <v>1.5700284090909089</v>
      </c>
      <c r="Q117" s="16">
        <f>0.5+(INDEX('Stat Boosts'!$D$2:$D$192,Q$1-9)-10)*$C117</f>
        <v>1.6757102272727271</v>
      </c>
      <c r="R117" s="16">
        <f>0.5+(INDEX('Stat Boosts'!$D$2:$D$192,R$1-9)-10)*$C117</f>
        <v>1.7813920454545453</v>
      </c>
    </row>
    <row r="118" spans="1:18">
      <c r="A118" s="9">
        <v>117</v>
      </c>
      <c r="B118" s="16">
        <f t="shared" si="2"/>
        <v>55.741935483870968</v>
      </c>
      <c r="C118" s="16">
        <f t="shared" si="3"/>
        <v>1.311706629055007E-2</v>
      </c>
      <c r="E118" s="16">
        <f>0.5+(INDEX('Stat Boosts'!$D$2:$D$192,E$1-9)-10)*$C118</f>
        <v>0.5</v>
      </c>
      <c r="F118" s="16">
        <f>0.5+(INDEX('Stat Boosts'!$D$2:$D$192,F$1-9)-10)*$C118</f>
        <v>0.59181946403385055</v>
      </c>
      <c r="G118" s="16">
        <f>0.5+(INDEX('Stat Boosts'!$D$2:$D$192,G$1-9)-10)*$C118</f>
        <v>0.68363892806770099</v>
      </c>
      <c r="H118" s="16">
        <f>0.5+(INDEX('Stat Boosts'!$D$2:$D$192,H$1-9)-10)*$C118</f>
        <v>0.77545839210155143</v>
      </c>
      <c r="I118" s="16">
        <f>0.5+(INDEX('Stat Boosts'!$D$2:$D$192,I$1-9)-10)*$C118</f>
        <v>0.85416078984485189</v>
      </c>
      <c r="J118" s="16">
        <f>0.5+(INDEX('Stat Boosts'!$D$2:$D$192,J$1-9)-10)*$C118</f>
        <v>0.93286318758815234</v>
      </c>
      <c r="K118" s="16">
        <f>0.5+(INDEX('Stat Boosts'!$D$2:$D$192,K$1-9)-10)*$C118</f>
        <v>1.1165021156558534</v>
      </c>
      <c r="L118" s="16">
        <f>0.5+(INDEX('Stat Boosts'!$D$2:$D$192,L$1-9)-10)*$C118</f>
        <v>1.1820874471086036</v>
      </c>
      <c r="M118" s="16">
        <f>0.5+(INDEX('Stat Boosts'!$D$2:$D$192,M$1-9)-10)*$C118</f>
        <v>1.2739069111424541</v>
      </c>
      <c r="N118" s="16">
        <f>0.5+(INDEX('Stat Boosts'!$D$2:$D$192,N$1-9)-10)*$C118</f>
        <v>1.3919605077574047</v>
      </c>
      <c r="O118" s="16">
        <f>0.5+(INDEX('Stat Boosts'!$D$2:$D$192,O$1-9)-10)*$C118</f>
        <v>1.4575458392101552</v>
      </c>
      <c r="P118" s="16">
        <f>0.5+(INDEX('Stat Boosts'!$D$2:$D$192,P$1-9)-10)*$C118</f>
        <v>1.5624823695345558</v>
      </c>
      <c r="Q118" s="16">
        <f>0.5+(INDEX('Stat Boosts'!$D$2:$D$192,Q$1-9)-10)*$C118</f>
        <v>1.6674188998589563</v>
      </c>
      <c r="R118" s="16">
        <f>0.5+(INDEX('Stat Boosts'!$D$2:$D$192,R$1-9)-10)*$C118</f>
        <v>1.7723554301833568</v>
      </c>
    </row>
    <row r="119" spans="1:18">
      <c r="A119" s="9">
        <v>118</v>
      </c>
      <c r="B119" s="16">
        <f t="shared" si="2"/>
        <v>56.064516129032256</v>
      </c>
      <c r="C119" s="16">
        <f t="shared" si="3"/>
        <v>1.3025210084033614E-2</v>
      </c>
      <c r="E119" s="16">
        <f>0.5+(INDEX('Stat Boosts'!$D$2:$D$192,E$1-9)-10)*$C119</f>
        <v>0.5</v>
      </c>
      <c r="F119" s="16">
        <f>0.5+(INDEX('Stat Boosts'!$D$2:$D$192,F$1-9)-10)*$C119</f>
        <v>0.5911764705882353</v>
      </c>
      <c r="G119" s="16">
        <f>0.5+(INDEX('Stat Boosts'!$D$2:$D$192,G$1-9)-10)*$C119</f>
        <v>0.68235294117647061</v>
      </c>
      <c r="H119" s="16">
        <f>0.5+(INDEX('Stat Boosts'!$D$2:$D$192,H$1-9)-10)*$C119</f>
        <v>0.77352941176470591</v>
      </c>
      <c r="I119" s="16">
        <f>0.5+(INDEX('Stat Boosts'!$D$2:$D$192,I$1-9)-10)*$C119</f>
        <v>0.85168067226890765</v>
      </c>
      <c r="J119" s="16">
        <f>0.5+(INDEX('Stat Boosts'!$D$2:$D$192,J$1-9)-10)*$C119</f>
        <v>0.92983193277310927</v>
      </c>
      <c r="K119" s="16">
        <f>0.5+(INDEX('Stat Boosts'!$D$2:$D$192,K$1-9)-10)*$C119</f>
        <v>1.1121848739495799</v>
      </c>
      <c r="L119" s="16">
        <f>0.5+(INDEX('Stat Boosts'!$D$2:$D$192,L$1-9)-10)*$C119</f>
        <v>1.1773109243697479</v>
      </c>
      <c r="M119" s="16">
        <f>0.5+(INDEX('Stat Boosts'!$D$2:$D$192,M$1-9)-10)*$C119</f>
        <v>1.2684873949579831</v>
      </c>
      <c r="N119" s="16">
        <f>0.5+(INDEX('Stat Boosts'!$D$2:$D$192,N$1-9)-10)*$C119</f>
        <v>1.3857142857142857</v>
      </c>
      <c r="O119" s="16">
        <f>0.5+(INDEX('Stat Boosts'!$D$2:$D$192,O$1-9)-10)*$C119</f>
        <v>1.450840336134454</v>
      </c>
      <c r="P119" s="16">
        <f>0.5+(INDEX('Stat Boosts'!$D$2:$D$192,P$1-9)-10)*$C119</f>
        <v>1.5550420168067227</v>
      </c>
      <c r="Q119" s="16">
        <f>0.5+(INDEX('Stat Boosts'!$D$2:$D$192,Q$1-9)-10)*$C119</f>
        <v>1.6592436974789917</v>
      </c>
      <c r="R119" s="16">
        <f>0.5+(INDEX('Stat Boosts'!$D$2:$D$192,R$1-9)-10)*$C119</f>
        <v>1.7634453781512605</v>
      </c>
    </row>
    <row r="120" spans="1:18">
      <c r="A120" s="9">
        <v>119</v>
      </c>
      <c r="B120" s="16">
        <f t="shared" si="2"/>
        <v>56.387096774193544</v>
      </c>
      <c r="C120" s="16">
        <f t="shared" si="3"/>
        <v>1.2934631432545203E-2</v>
      </c>
      <c r="E120" s="16">
        <f>0.5+(INDEX('Stat Boosts'!$D$2:$D$192,E$1-9)-10)*$C120</f>
        <v>0.5</v>
      </c>
      <c r="F120" s="16">
        <f>0.5+(INDEX('Stat Boosts'!$D$2:$D$192,F$1-9)-10)*$C120</f>
        <v>0.59054242002781643</v>
      </c>
      <c r="G120" s="16">
        <f>0.5+(INDEX('Stat Boosts'!$D$2:$D$192,G$1-9)-10)*$C120</f>
        <v>0.68108484005563286</v>
      </c>
      <c r="H120" s="16">
        <f>0.5+(INDEX('Stat Boosts'!$D$2:$D$192,H$1-9)-10)*$C120</f>
        <v>0.77162726008344928</v>
      </c>
      <c r="I120" s="16">
        <f>0.5+(INDEX('Stat Boosts'!$D$2:$D$192,I$1-9)-10)*$C120</f>
        <v>0.84923504867872046</v>
      </c>
      <c r="J120" s="16">
        <f>0.5+(INDEX('Stat Boosts'!$D$2:$D$192,J$1-9)-10)*$C120</f>
        <v>0.92684283727399164</v>
      </c>
      <c r="K120" s="16">
        <f>0.5+(INDEX('Stat Boosts'!$D$2:$D$192,K$1-9)-10)*$C120</f>
        <v>1.1079276773296245</v>
      </c>
      <c r="L120" s="16">
        <f>0.5+(INDEX('Stat Boosts'!$D$2:$D$192,L$1-9)-10)*$C120</f>
        <v>1.1726008344923504</v>
      </c>
      <c r="M120" s="16">
        <f>0.5+(INDEX('Stat Boosts'!$D$2:$D$192,M$1-9)-10)*$C120</f>
        <v>1.2631432545201671</v>
      </c>
      <c r="N120" s="16">
        <f>0.5+(INDEX('Stat Boosts'!$D$2:$D$192,N$1-9)-10)*$C120</f>
        <v>1.3795549374130738</v>
      </c>
      <c r="O120" s="16">
        <f>0.5+(INDEX('Stat Boosts'!$D$2:$D$192,O$1-9)-10)*$C120</f>
        <v>1.4442280945757999</v>
      </c>
      <c r="P120" s="16">
        <f>0.5+(INDEX('Stat Boosts'!$D$2:$D$192,P$1-9)-10)*$C120</f>
        <v>1.5477051460361615</v>
      </c>
      <c r="Q120" s="16">
        <f>0.5+(INDEX('Stat Boosts'!$D$2:$D$192,Q$1-9)-10)*$C120</f>
        <v>1.6511821974965231</v>
      </c>
      <c r="R120" s="16">
        <f>0.5+(INDEX('Stat Boosts'!$D$2:$D$192,R$1-9)-10)*$C120</f>
        <v>1.7546592489568846</v>
      </c>
    </row>
    <row r="121" spans="1:18">
      <c r="A121" s="9">
        <v>120</v>
      </c>
      <c r="B121" s="16">
        <f t="shared" si="2"/>
        <v>56.70967741935484</v>
      </c>
      <c r="C121" s="16">
        <f t="shared" si="3"/>
        <v>1.2845303867403315E-2</v>
      </c>
      <c r="E121" s="16">
        <f>0.5+(INDEX('Stat Boosts'!$D$2:$D$192,E$1-9)-10)*$C121</f>
        <v>0.5</v>
      </c>
      <c r="F121" s="16">
        <f>0.5+(INDEX('Stat Boosts'!$D$2:$D$192,F$1-9)-10)*$C121</f>
        <v>0.5899171270718232</v>
      </c>
      <c r="G121" s="16">
        <f>0.5+(INDEX('Stat Boosts'!$D$2:$D$192,G$1-9)-10)*$C121</f>
        <v>0.6798342541436464</v>
      </c>
      <c r="H121" s="16">
        <f>0.5+(INDEX('Stat Boosts'!$D$2:$D$192,H$1-9)-10)*$C121</f>
        <v>0.7697513812154696</v>
      </c>
      <c r="I121" s="16">
        <f>0.5+(INDEX('Stat Boosts'!$D$2:$D$192,I$1-9)-10)*$C121</f>
        <v>0.84682320441988956</v>
      </c>
      <c r="J121" s="16">
        <f>0.5+(INDEX('Stat Boosts'!$D$2:$D$192,J$1-9)-10)*$C121</f>
        <v>0.92389502762430942</v>
      </c>
      <c r="K121" s="16">
        <f>0.5+(INDEX('Stat Boosts'!$D$2:$D$192,K$1-9)-10)*$C121</f>
        <v>1.1037292817679558</v>
      </c>
      <c r="L121" s="16">
        <f>0.5+(INDEX('Stat Boosts'!$D$2:$D$192,L$1-9)-10)*$C121</f>
        <v>1.1679558011049722</v>
      </c>
      <c r="M121" s="16">
        <f>0.5+(INDEX('Stat Boosts'!$D$2:$D$192,M$1-9)-10)*$C121</f>
        <v>1.2578729281767955</v>
      </c>
      <c r="N121" s="16">
        <f>0.5+(INDEX('Stat Boosts'!$D$2:$D$192,N$1-9)-10)*$C121</f>
        <v>1.3734806629834253</v>
      </c>
      <c r="O121" s="16">
        <f>0.5+(INDEX('Stat Boosts'!$D$2:$D$192,O$1-9)-10)*$C121</f>
        <v>1.4377071823204419</v>
      </c>
      <c r="P121" s="16">
        <f>0.5+(INDEX('Stat Boosts'!$D$2:$D$192,P$1-9)-10)*$C121</f>
        <v>1.5404696132596685</v>
      </c>
      <c r="Q121" s="16">
        <f>0.5+(INDEX('Stat Boosts'!$D$2:$D$192,Q$1-9)-10)*$C121</f>
        <v>1.643232044198895</v>
      </c>
      <c r="R121" s="16">
        <f>0.5+(INDEX('Stat Boosts'!$D$2:$D$192,R$1-9)-10)*$C121</f>
        <v>1.7459944751381216</v>
      </c>
    </row>
    <row r="122" spans="1:18">
      <c r="A122" s="9">
        <v>121</v>
      </c>
      <c r="B122" s="16">
        <f t="shared" si="2"/>
        <v>57.032258064516128</v>
      </c>
      <c r="C122" s="16">
        <f t="shared" si="3"/>
        <v>1.2757201646090535E-2</v>
      </c>
      <c r="E122" s="16">
        <f>0.5+(INDEX('Stat Boosts'!$D$2:$D$192,E$1-9)-10)*$C122</f>
        <v>0.5</v>
      </c>
      <c r="F122" s="16">
        <f>0.5+(INDEX('Stat Boosts'!$D$2:$D$192,F$1-9)-10)*$C122</f>
        <v>0.58930041152263368</v>
      </c>
      <c r="G122" s="16">
        <f>0.5+(INDEX('Stat Boosts'!$D$2:$D$192,G$1-9)-10)*$C122</f>
        <v>0.67860082304526748</v>
      </c>
      <c r="H122" s="16">
        <f>0.5+(INDEX('Stat Boosts'!$D$2:$D$192,H$1-9)-10)*$C122</f>
        <v>0.76790123456790127</v>
      </c>
      <c r="I122" s="16">
        <f>0.5+(INDEX('Stat Boosts'!$D$2:$D$192,I$1-9)-10)*$C122</f>
        <v>0.84444444444444444</v>
      </c>
      <c r="J122" s="16">
        <f>0.5+(INDEX('Stat Boosts'!$D$2:$D$192,J$1-9)-10)*$C122</f>
        <v>0.92098765432098761</v>
      </c>
      <c r="K122" s="16">
        <f>0.5+(INDEX('Stat Boosts'!$D$2:$D$192,K$1-9)-10)*$C122</f>
        <v>1.0995884773662552</v>
      </c>
      <c r="L122" s="16">
        <f>0.5+(INDEX('Stat Boosts'!$D$2:$D$192,L$1-9)-10)*$C122</f>
        <v>1.1633744855967079</v>
      </c>
      <c r="M122" s="16">
        <f>0.5+(INDEX('Stat Boosts'!$D$2:$D$192,M$1-9)-10)*$C122</f>
        <v>1.2526748971193415</v>
      </c>
      <c r="N122" s="16">
        <f>0.5+(INDEX('Stat Boosts'!$D$2:$D$192,N$1-9)-10)*$C122</f>
        <v>1.3674897119341565</v>
      </c>
      <c r="O122" s="16">
        <f>0.5+(INDEX('Stat Boosts'!$D$2:$D$192,O$1-9)-10)*$C122</f>
        <v>1.4312757201646091</v>
      </c>
      <c r="P122" s="16">
        <f>0.5+(INDEX('Stat Boosts'!$D$2:$D$192,P$1-9)-10)*$C122</f>
        <v>1.5333333333333332</v>
      </c>
      <c r="Q122" s="16">
        <f>0.5+(INDEX('Stat Boosts'!$D$2:$D$192,Q$1-9)-10)*$C122</f>
        <v>1.6353909465020575</v>
      </c>
      <c r="R122" s="16">
        <f>0.5+(INDEX('Stat Boosts'!$D$2:$D$192,R$1-9)-10)*$C122</f>
        <v>1.7374485596707818</v>
      </c>
    </row>
    <row r="123" spans="1:18">
      <c r="A123" s="9">
        <v>122</v>
      </c>
      <c r="B123" s="16">
        <f t="shared" si="2"/>
        <v>57.354838709677416</v>
      </c>
      <c r="C123" s="16">
        <f t="shared" si="3"/>
        <v>1.2670299727520436E-2</v>
      </c>
      <c r="E123" s="16">
        <f>0.5+(INDEX('Stat Boosts'!$D$2:$D$192,E$1-9)-10)*$C123</f>
        <v>0.5</v>
      </c>
      <c r="F123" s="16">
        <f>0.5+(INDEX('Stat Boosts'!$D$2:$D$192,F$1-9)-10)*$C123</f>
        <v>0.58869209809264311</v>
      </c>
      <c r="G123" s="16">
        <f>0.5+(INDEX('Stat Boosts'!$D$2:$D$192,G$1-9)-10)*$C123</f>
        <v>0.67738419618528611</v>
      </c>
      <c r="H123" s="16">
        <f>0.5+(INDEX('Stat Boosts'!$D$2:$D$192,H$1-9)-10)*$C123</f>
        <v>0.76607629427792912</v>
      </c>
      <c r="I123" s="16">
        <f>0.5+(INDEX('Stat Boosts'!$D$2:$D$192,I$1-9)-10)*$C123</f>
        <v>0.84209809264305169</v>
      </c>
      <c r="J123" s="16">
        <f>0.5+(INDEX('Stat Boosts'!$D$2:$D$192,J$1-9)-10)*$C123</f>
        <v>0.91811989100817437</v>
      </c>
      <c r="K123" s="16">
        <f>0.5+(INDEX('Stat Boosts'!$D$2:$D$192,K$1-9)-10)*$C123</f>
        <v>1.0955040871934605</v>
      </c>
      <c r="L123" s="16">
        <f>0.5+(INDEX('Stat Boosts'!$D$2:$D$192,L$1-9)-10)*$C123</f>
        <v>1.1588555858310627</v>
      </c>
      <c r="M123" s="16">
        <f>0.5+(INDEX('Stat Boosts'!$D$2:$D$192,M$1-9)-10)*$C123</f>
        <v>1.2475476839237056</v>
      </c>
      <c r="N123" s="16">
        <f>0.5+(INDEX('Stat Boosts'!$D$2:$D$192,N$1-9)-10)*$C123</f>
        <v>1.3615803814713896</v>
      </c>
      <c r="O123" s="16">
        <f>0.5+(INDEX('Stat Boosts'!$D$2:$D$192,O$1-9)-10)*$C123</f>
        <v>1.4249318801089919</v>
      </c>
      <c r="P123" s="16">
        <f>0.5+(INDEX('Stat Boosts'!$D$2:$D$192,P$1-9)-10)*$C123</f>
        <v>1.5262942779291553</v>
      </c>
      <c r="Q123" s="16">
        <f>0.5+(INDEX('Stat Boosts'!$D$2:$D$192,Q$1-9)-10)*$C123</f>
        <v>1.6276566757493187</v>
      </c>
      <c r="R123" s="16">
        <f>0.5+(INDEX('Stat Boosts'!$D$2:$D$192,R$1-9)-10)*$C123</f>
        <v>1.7290190735694824</v>
      </c>
    </row>
    <row r="124" spans="1:18">
      <c r="A124" s="9">
        <v>123</v>
      </c>
      <c r="B124" s="16">
        <f t="shared" si="2"/>
        <v>57.677419354838712</v>
      </c>
      <c r="C124" s="16">
        <f t="shared" si="3"/>
        <v>1.2584573748308524E-2</v>
      </c>
      <c r="E124" s="16">
        <f>0.5+(INDEX('Stat Boosts'!$D$2:$D$192,E$1-9)-10)*$C124</f>
        <v>0.5</v>
      </c>
      <c r="F124" s="16">
        <f>0.5+(INDEX('Stat Boosts'!$D$2:$D$192,F$1-9)-10)*$C124</f>
        <v>0.58809201623815965</v>
      </c>
      <c r="G124" s="16">
        <f>0.5+(INDEX('Stat Boosts'!$D$2:$D$192,G$1-9)-10)*$C124</f>
        <v>0.67618403247631931</v>
      </c>
      <c r="H124" s="16">
        <f>0.5+(INDEX('Stat Boosts'!$D$2:$D$192,H$1-9)-10)*$C124</f>
        <v>0.76427604871447907</v>
      </c>
      <c r="I124" s="16">
        <f>0.5+(INDEX('Stat Boosts'!$D$2:$D$192,I$1-9)-10)*$C124</f>
        <v>0.83978349120433016</v>
      </c>
      <c r="J124" s="16">
        <f>0.5+(INDEX('Stat Boosts'!$D$2:$D$192,J$1-9)-10)*$C124</f>
        <v>0.91529093369418124</v>
      </c>
      <c r="K124" s="16">
        <f>0.5+(INDEX('Stat Boosts'!$D$2:$D$192,K$1-9)-10)*$C124</f>
        <v>1.0914749661705008</v>
      </c>
      <c r="L124" s="16">
        <f>0.5+(INDEX('Stat Boosts'!$D$2:$D$192,L$1-9)-10)*$C124</f>
        <v>1.1543978349120434</v>
      </c>
      <c r="M124" s="16">
        <f>0.5+(INDEX('Stat Boosts'!$D$2:$D$192,M$1-9)-10)*$C124</f>
        <v>1.2424898511502029</v>
      </c>
      <c r="N124" s="16">
        <f>0.5+(INDEX('Stat Boosts'!$D$2:$D$192,N$1-9)-10)*$C124</f>
        <v>1.3557510148849796</v>
      </c>
      <c r="O124" s="16">
        <f>0.5+(INDEX('Stat Boosts'!$D$2:$D$192,O$1-9)-10)*$C124</f>
        <v>1.4186738836265222</v>
      </c>
      <c r="P124" s="16">
        <f>0.5+(INDEX('Stat Boosts'!$D$2:$D$192,P$1-9)-10)*$C124</f>
        <v>1.5193504736129906</v>
      </c>
      <c r="Q124" s="16">
        <f>0.5+(INDEX('Stat Boosts'!$D$2:$D$192,Q$1-9)-10)*$C124</f>
        <v>1.6200270635994587</v>
      </c>
      <c r="R124" s="16">
        <f>0.5+(INDEX('Stat Boosts'!$D$2:$D$192,R$1-9)-10)*$C124</f>
        <v>1.7207036535859268</v>
      </c>
    </row>
    <row r="125" spans="1:18">
      <c r="A125" s="9">
        <v>124</v>
      </c>
      <c r="B125" s="16">
        <f t="shared" si="2"/>
        <v>58</v>
      </c>
      <c r="C125" s="16">
        <f t="shared" si="3"/>
        <v>1.2499999999999999E-2</v>
      </c>
      <c r="E125" s="16">
        <f>0.5+(INDEX('Stat Boosts'!$D$2:$D$192,E$1-9)-10)*$C125</f>
        <v>0.5</v>
      </c>
      <c r="F125" s="16">
        <f>0.5+(INDEX('Stat Boosts'!$D$2:$D$192,F$1-9)-10)*$C125</f>
        <v>0.58750000000000002</v>
      </c>
      <c r="G125" s="16">
        <f>0.5+(INDEX('Stat Boosts'!$D$2:$D$192,G$1-9)-10)*$C125</f>
        <v>0.67500000000000004</v>
      </c>
      <c r="H125" s="16">
        <f>0.5+(INDEX('Stat Boosts'!$D$2:$D$192,H$1-9)-10)*$C125</f>
        <v>0.76249999999999996</v>
      </c>
      <c r="I125" s="16">
        <f>0.5+(INDEX('Stat Boosts'!$D$2:$D$192,I$1-9)-10)*$C125</f>
        <v>0.83749999999999991</v>
      </c>
      <c r="J125" s="16">
        <f>0.5+(INDEX('Stat Boosts'!$D$2:$D$192,J$1-9)-10)*$C125</f>
        <v>0.91249999999999998</v>
      </c>
      <c r="K125" s="16">
        <f>0.5+(INDEX('Stat Boosts'!$D$2:$D$192,K$1-9)-10)*$C125</f>
        <v>1.0874999999999999</v>
      </c>
      <c r="L125" s="16">
        <f>0.5+(INDEX('Stat Boosts'!$D$2:$D$192,L$1-9)-10)*$C125</f>
        <v>1.1499999999999999</v>
      </c>
      <c r="M125" s="16">
        <f>0.5+(INDEX('Stat Boosts'!$D$2:$D$192,M$1-9)-10)*$C125</f>
        <v>1.2374999999999998</v>
      </c>
      <c r="N125" s="16">
        <f>0.5+(INDEX('Stat Boosts'!$D$2:$D$192,N$1-9)-10)*$C125</f>
        <v>1.35</v>
      </c>
      <c r="O125" s="16">
        <f>0.5+(INDEX('Stat Boosts'!$D$2:$D$192,O$1-9)-10)*$C125</f>
        <v>1.4125000000000001</v>
      </c>
      <c r="P125" s="16">
        <f>0.5+(INDEX('Stat Boosts'!$D$2:$D$192,P$1-9)-10)*$C125</f>
        <v>1.5125</v>
      </c>
      <c r="Q125" s="16">
        <f>0.5+(INDEX('Stat Boosts'!$D$2:$D$192,Q$1-9)-10)*$C125</f>
        <v>1.6124999999999998</v>
      </c>
      <c r="R125" s="16">
        <f>0.5+(INDEX('Stat Boosts'!$D$2:$D$192,R$1-9)-10)*$C125</f>
        <v>1.7124999999999999</v>
      </c>
    </row>
    <row r="126" spans="1:18">
      <c r="A126" s="9">
        <v>125</v>
      </c>
      <c r="B126" s="16">
        <f t="shared" si="2"/>
        <v>58.322580645161288</v>
      </c>
      <c r="C126" s="16">
        <f t="shared" si="3"/>
        <v>1.2416555407209613E-2</v>
      </c>
      <c r="E126" s="16">
        <f>0.5+(INDEX('Stat Boosts'!$D$2:$D$192,E$1-9)-10)*$C126</f>
        <v>0.5</v>
      </c>
      <c r="F126" s="16">
        <f>0.5+(INDEX('Stat Boosts'!$D$2:$D$192,F$1-9)-10)*$C126</f>
        <v>0.58691588785046733</v>
      </c>
      <c r="G126" s="16">
        <f>0.5+(INDEX('Stat Boosts'!$D$2:$D$192,G$1-9)-10)*$C126</f>
        <v>0.67383177570093455</v>
      </c>
      <c r="H126" s="16">
        <f>0.5+(INDEX('Stat Boosts'!$D$2:$D$192,H$1-9)-10)*$C126</f>
        <v>0.76074766355140189</v>
      </c>
      <c r="I126" s="16">
        <f>0.5+(INDEX('Stat Boosts'!$D$2:$D$192,I$1-9)-10)*$C126</f>
        <v>0.83524699599465957</v>
      </c>
      <c r="J126" s="16">
        <f>0.5+(INDEX('Stat Boosts'!$D$2:$D$192,J$1-9)-10)*$C126</f>
        <v>0.90974632843791725</v>
      </c>
      <c r="K126" s="16">
        <f>0.5+(INDEX('Stat Boosts'!$D$2:$D$192,K$1-9)-10)*$C126</f>
        <v>1.0835781041388519</v>
      </c>
      <c r="L126" s="16">
        <f>0.5+(INDEX('Stat Boosts'!$D$2:$D$192,L$1-9)-10)*$C126</f>
        <v>1.1456608811748998</v>
      </c>
      <c r="M126" s="16">
        <f>0.5+(INDEX('Stat Boosts'!$D$2:$D$192,M$1-9)-10)*$C126</f>
        <v>1.2325767690253673</v>
      </c>
      <c r="N126" s="16">
        <f>0.5+(INDEX('Stat Boosts'!$D$2:$D$192,N$1-9)-10)*$C126</f>
        <v>1.3443257676902536</v>
      </c>
      <c r="O126" s="16">
        <f>0.5+(INDEX('Stat Boosts'!$D$2:$D$192,O$1-9)-10)*$C126</f>
        <v>1.4064085447263017</v>
      </c>
      <c r="P126" s="16">
        <f>0.5+(INDEX('Stat Boosts'!$D$2:$D$192,P$1-9)-10)*$C126</f>
        <v>1.5057409879839787</v>
      </c>
      <c r="Q126" s="16">
        <f>0.5+(INDEX('Stat Boosts'!$D$2:$D$192,Q$1-9)-10)*$C126</f>
        <v>1.6050734312416555</v>
      </c>
      <c r="R126" s="16">
        <f>0.5+(INDEX('Stat Boosts'!$D$2:$D$192,R$1-9)-10)*$C126</f>
        <v>1.7044058744993325</v>
      </c>
    </row>
    <row r="127" spans="1:18">
      <c r="A127" s="9">
        <v>126</v>
      </c>
      <c r="B127" s="16">
        <f t="shared" si="2"/>
        <v>58.645161290322577</v>
      </c>
      <c r="C127" s="16">
        <f t="shared" si="3"/>
        <v>1.2334217506631301E-2</v>
      </c>
      <c r="E127" s="16">
        <f>0.5+(INDEX('Stat Boosts'!$D$2:$D$192,E$1-9)-10)*$C127</f>
        <v>0.5</v>
      </c>
      <c r="F127" s="16">
        <f>0.5+(INDEX('Stat Boosts'!$D$2:$D$192,F$1-9)-10)*$C127</f>
        <v>0.58633952254641908</v>
      </c>
      <c r="G127" s="16">
        <f>0.5+(INDEX('Stat Boosts'!$D$2:$D$192,G$1-9)-10)*$C127</f>
        <v>0.67267904509283816</v>
      </c>
      <c r="H127" s="16">
        <f>0.5+(INDEX('Stat Boosts'!$D$2:$D$192,H$1-9)-10)*$C127</f>
        <v>0.75901856763925735</v>
      </c>
      <c r="I127" s="16">
        <f>0.5+(INDEX('Stat Boosts'!$D$2:$D$192,I$1-9)-10)*$C127</f>
        <v>0.8330238726790451</v>
      </c>
      <c r="J127" s="16">
        <f>0.5+(INDEX('Stat Boosts'!$D$2:$D$192,J$1-9)-10)*$C127</f>
        <v>0.90702917771883296</v>
      </c>
      <c r="K127" s="16">
        <f>0.5+(INDEX('Stat Boosts'!$D$2:$D$192,K$1-9)-10)*$C127</f>
        <v>1.079708222811671</v>
      </c>
      <c r="L127" s="16">
        <f>0.5+(INDEX('Stat Boosts'!$D$2:$D$192,L$1-9)-10)*$C127</f>
        <v>1.1413793103448278</v>
      </c>
      <c r="M127" s="16">
        <f>0.5+(INDEX('Stat Boosts'!$D$2:$D$192,M$1-9)-10)*$C127</f>
        <v>1.2277188328912467</v>
      </c>
      <c r="N127" s="16">
        <f>0.5+(INDEX('Stat Boosts'!$D$2:$D$192,N$1-9)-10)*$C127</f>
        <v>1.3387267904509286</v>
      </c>
      <c r="O127" s="16">
        <f>0.5+(INDEX('Stat Boosts'!$D$2:$D$192,O$1-9)-10)*$C127</f>
        <v>1.4003978779840849</v>
      </c>
      <c r="P127" s="16">
        <f>0.5+(INDEX('Stat Boosts'!$D$2:$D$192,P$1-9)-10)*$C127</f>
        <v>1.4990716180371355</v>
      </c>
      <c r="Q127" s="16">
        <f>0.5+(INDEX('Stat Boosts'!$D$2:$D$192,Q$1-9)-10)*$C127</f>
        <v>1.5977453580901857</v>
      </c>
      <c r="R127" s="16">
        <f>0.5+(INDEX('Stat Boosts'!$D$2:$D$192,R$1-9)-10)*$C127</f>
        <v>1.6964190981432361</v>
      </c>
    </row>
    <row r="128" spans="1:18">
      <c r="A128" s="9">
        <v>127</v>
      </c>
      <c r="B128" s="16">
        <f t="shared" si="2"/>
        <v>58.967741935483872</v>
      </c>
      <c r="C128" s="16">
        <f t="shared" si="3"/>
        <v>1.2252964426877469E-2</v>
      </c>
      <c r="E128" s="16">
        <f>0.5+(INDEX('Stat Boosts'!$D$2:$D$192,E$1-9)-10)*$C128</f>
        <v>0.5</v>
      </c>
      <c r="F128" s="16">
        <f>0.5+(INDEX('Stat Boosts'!$D$2:$D$192,F$1-9)-10)*$C128</f>
        <v>0.58577075098814224</v>
      </c>
      <c r="G128" s="16">
        <f>0.5+(INDEX('Stat Boosts'!$D$2:$D$192,G$1-9)-10)*$C128</f>
        <v>0.67154150197628459</v>
      </c>
      <c r="H128" s="16">
        <f>0.5+(INDEX('Stat Boosts'!$D$2:$D$192,H$1-9)-10)*$C128</f>
        <v>0.75731225296442684</v>
      </c>
      <c r="I128" s="16">
        <f>0.5+(INDEX('Stat Boosts'!$D$2:$D$192,I$1-9)-10)*$C128</f>
        <v>0.83083003952569168</v>
      </c>
      <c r="J128" s="16">
        <f>0.5+(INDEX('Stat Boosts'!$D$2:$D$192,J$1-9)-10)*$C128</f>
        <v>0.90434782608695641</v>
      </c>
      <c r="K128" s="16">
        <f>0.5+(INDEX('Stat Boosts'!$D$2:$D$192,K$1-9)-10)*$C128</f>
        <v>1.0758893280632411</v>
      </c>
      <c r="L128" s="16">
        <f>0.5+(INDEX('Stat Boosts'!$D$2:$D$192,L$1-9)-10)*$C128</f>
        <v>1.1371541501976283</v>
      </c>
      <c r="M128" s="16">
        <f>0.5+(INDEX('Stat Boosts'!$D$2:$D$192,M$1-9)-10)*$C128</f>
        <v>1.2229249011857708</v>
      </c>
      <c r="N128" s="16">
        <f>0.5+(INDEX('Stat Boosts'!$D$2:$D$192,N$1-9)-10)*$C128</f>
        <v>1.3332015810276678</v>
      </c>
      <c r="O128" s="16">
        <f>0.5+(INDEX('Stat Boosts'!$D$2:$D$192,O$1-9)-10)*$C128</f>
        <v>1.3944664031620553</v>
      </c>
      <c r="P128" s="16">
        <f>0.5+(INDEX('Stat Boosts'!$D$2:$D$192,P$1-9)-10)*$C128</f>
        <v>1.4924901185770749</v>
      </c>
      <c r="Q128" s="16">
        <f>0.5+(INDEX('Stat Boosts'!$D$2:$D$192,Q$1-9)-10)*$C128</f>
        <v>1.5905138339920948</v>
      </c>
      <c r="R128" s="16">
        <f>0.5+(INDEX('Stat Boosts'!$D$2:$D$192,R$1-9)-10)*$C128</f>
        <v>1.6885375494071144</v>
      </c>
    </row>
    <row r="129" spans="1:18">
      <c r="A129" s="9">
        <v>128</v>
      </c>
      <c r="B129" s="16">
        <f t="shared" si="2"/>
        <v>59.29032258064516</v>
      </c>
      <c r="C129" s="16">
        <f t="shared" si="3"/>
        <v>1.2172774869109948E-2</v>
      </c>
      <c r="E129" s="16">
        <f>0.5+(INDEX('Stat Boosts'!$D$2:$D$192,E$1-9)-10)*$C129</f>
        <v>0.5</v>
      </c>
      <c r="F129" s="16">
        <f>0.5+(INDEX('Stat Boosts'!$D$2:$D$192,F$1-9)-10)*$C129</f>
        <v>0.58520942408376964</v>
      </c>
      <c r="G129" s="16">
        <f>0.5+(INDEX('Stat Boosts'!$D$2:$D$192,G$1-9)-10)*$C129</f>
        <v>0.67041884816753927</v>
      </c>
      <c r="H129" s="16">
        <f>0.5+(INDEX('Stat Boosts'!$D$2:$D$192,H$1-9)-10)*$C129</f>
        <v>0.75562827225130891</v>
      </c>
      <c r="I129" s="16">
        <f>0.5+(INDEX('Stat Boosts'!$D$2:$D$192,I$1-9)-10)*$C129</f>
        <v>0.8286649214659686</v>
      </c>
      <c r="J129" s="16">
        <f>0.5+(INDEX('Stat Boosts'!$D$2:$D$192,J$1-9)-10)*$C129</f>
        <v>0.90170157068062828</v>
      </c>
      <c r="K129" s="16">
        <f>0.5+(INDEX('Stat Boosts'!$D$2:$D$192,K$1-9)-10)*$C129</f>
        <v>1.0721204188481677</v>
      </c>
      <c r="L129" s="16">
        <f>0.5+(INDEX('Stat Boosts'!$D$2:$D$192,L$1-9)-10)*$C129</f>
        <v>1.1329842931937173</v>
      </c>
      <c r="M129" s="16">
        <f>0.5+(INDEX('Stat Boosts'!$D$2:$D$192,M$1-9)-10)*$C129</f>
        <v>1.218193717277487</v>
      </c>
      <c r="N129" s="16">
        <f>0.5+(INDEX('Stat Boosts'!$D$2:$D$192,N$1-9)-10)*$C129</f>
        <v>1.3277486910994765</v>
      </c>
      <c r="O129" s="16">
        <f>0.5+(INDEX('Stat Boosts'!$D$2:$D$192,O$1-9)-10)*$C129</f>
        <v>1.3886125654450261</v>
      </c>
      <c r="P129" s="16">
        <f>0.5+(INDEX('Stat Boosts'!$D$2:$D$192,P$1-9)-10)*$C129</f>
        <v>1.4859947643979057</v>
      </c>
      <c r="Q129" s="16">
        <f>0.5+(INDEX('Stat Boosts'!$D$2:$D$192,Q$1-9)-10)*$C129</f>
        <v>1.5833769633507853</v>
      </c>
      <c r="R129" s="16">
        <f>0.5+(INDEX('Stat Boosts'!$D$2:$D$192,R$1-9)-10)*$C129</f>
        <v>1.6807591623036648</v>
      </c>
    </row>
    <row r="130" spans="1:18">
      <c r="A130" s="9">
        <v>129</v>
      </c>
      <c r="B130" s="16">
        <f t="shared" si="2"/>
        <v>59.612903225806448</v>
      </c>
      <c r="C130" s="16">
        <f t="shared" si="3"/>
        <v>1.2093628088426529E-2</v>
      </c>
      <c r="E130" s="16">
        <f>0.5+(INDEX('Stat Boosts'!$D$2:$D$192,E$1-9)-10)*$C130</f>
        <v>0.5</v>
      </c>
      <c r="F130" s="16">
        <f>0.5+(INDEX('Stat Boosts'!$D$2:$D$192,F$1-9)-10)*$C130</f>
        <v>0.58465539661898569</v>
      </c>
      <c r="G130" s="16">
        <f>0.5+(INDEX('Stat Boosts'!$D$2:$D$192,G$1-9)-10)*$C130</f>
        <v>0.66931079323797138</v>
      </c>
      <c r="H130" s="16">
        <f>0.5+(INDEX('Stat Boosts'!$D$2:$D$192,H$1-9)-10)*$C130</f>
        <v>0.75396618985695718</v>
      </c>
      <c r="I130" s="16">
        <f>0.5+(INDEX('Stat Boosts'!$D$2:$D$192,I$1-9)-10)*$C130</f>
        <v>0.82652795838751625</v>
      </c>
      <c r="J130" s="16">
        <f>0.5+(INDEX('Stat Boosts'!$D$2:$D$192,J$1-9)-10)*$C130</f>
        <v>0.89908972691807543</v>
      </c>
      <c r="K130" s="16">
        <f>0.5+(INDEX('Stat Boosts'!$D$2:$D$192,K$1-9)-10)*$C130</f>
        <v>1.0684005201560467</v>
      </c>
      <c r="L130" s="16">
        <f>0.5+(INDEX('Stat Boosts'!$D$2:$D$192,L$1-9)-10)*$C130</f>
        <v>1.1288686605981795</v>
      </c>
      <c r="M130" s="16">
        <f>0.5+(INDEX('Stat Boosts'!$D$2:$D$192,M$1-9)-10)*$C130</f>
        <v>1.2135240572171653</v>
      </c>
      <c r="N130" s="16">
        <f>0.5+(INDEX('Stat Boosts'!$D$2:$D$192,N$1-9)-10)*$C130</f>
        <v>1.3223667100130041</v>
      </c>
      <c r="O130" s="16">
        <f>0.5+(INDEX('Stat Boosts'!$D$2:$D$192,O$1-9)-10)*$C130</f>
        <v>1.3828348504551364</v>
      </c>
      <c r="P130" s="16">
        <f>0.5+(INDEX('Stat Boosts'!$D$2:$D$192,P$1-9)-10)*$C130</f>
        <v>1.479583875162549</v>
      </c>
      <c r="Q130" s="16">
        <f>0.5+(INDEX('Stat Boosts'!$D$2:$D$192,Q$1-9)-10)*$C130</f>
        <v>1.5763328998699611</v>
      </c>
      <c r="R130" s="16">
        <f>0.5+(INDEX('Stat Boosts'!$D$2:$D$192,R$1-9)-10)*$C130</f>
        <v>1.6730819245773734</v>
      </c>
    </row>
    <row r="131" spans="1:18">
      <c r="A131" s="9">
        <v>130</v>
      </c>
      <c r="B131" s="16">
        <f t="shared" ref="B131:B151" si="4">18+A131/3.1</f>
        <v>59.935483870967744</v>
      </c>
      <c r="C131" s="16">
        <f t="shared" ref="C131:C151" si="5">0.6/(B131-10)</f>
        <v>1.2015503875968992E-2</v>
      </c>
      <c r="E131" s="16">
        <f>0.5+(INDEX('Stat Boosts'!$D$2:$D$192,E$1-9)-10)*$C131</f>
        <v>0.5</v>
      </c>
      <c r="F131" s="16">
        <f>0.5+(INDEX('Stat Boosts'!$D$2:$D$192,F$1-9)-10)*$C131</f>
        <v>0.58410852713178296</v>
      </c>
      <c r="G131" s="16">
        <f>0.5+(INDEX('Stat Boosts'!$D$2:$D$192,G$1-9)-10)*$C131</f>
        <v>0.66821705426356592</v>
      </c>
      <c r="H131" s="16">
        <f>0.5+(INDEX('Stat Boosts'!$D$2:$D$192,H$1-9)-10)*$C131</f>
        <v>0.75232558139534889</v>
      </c>
      <c r="I131" s="16">
        <f>0.5+(INDEX('Stat Boosts'!$D$2:$D$192,I$1-9)-10)*$C131</f>
        <v>0.82441860465116279</v>
      </c>
      <c r="J131" s="16">
        <f>0.5+(INDEX('Stat Boosts'!$D$2:$D$192,J$1-9)-10)*$C131</f>
        <v>0.89651162790697669</v>
      </c>
      <c r="K131" s="16">
        <f>0.5+(INDEX('Stat Boosts'!$D$2:$D$192,K$1-9)-10)*$C131</f>
        <v>1.0647286821705426</v>
      </c>
      <c r="L131" s="16">
        <f>0.5+(INDEX('Stat Boosts'!$D$2:$D$192,L$1-9)-10)*$C131</f>
        <v>1.1248062015503875</v>
      </c>
      <c r="M131" s="16">
        <f>0.5+(INDEX('Stat Boosts'!$D$2:$D$192,M$1-9)-10)*$C131</f>
        <v>1.2089147286821706</v>
      </c>
      <c r="N131" s="16">
        <f>0.5+(INDEX('Stat Boosts'!$D$2:$D$192,N$1-9)-10)*$C131</f>
        <v>1.3170542635658915</v>
      </c>
      <c r="O131" s="16">
        <f>0.5+(INDEX('Stat Boosts'!$D$2:$D$192,O$1-9)-10)*$C131</f>
        <v>1.3771317829457366</v>
      </c>
      <c r="P131" s="16">
        <f>0.5+(INDEX('Stat Boosts'!$D$2:$D$192,P$1-9)-10)*$C131</f>
        <v>1.4732558139534884</v>
      </c>
      <c r="Q131" s="16">
        <f>0.5+(INDEX('Stat Boosts'!$D$2:$D$192,Q$1-9)-10)*$C131</f>
        <v>1.5693798449612404</v>
      </c>
      <c r="R131" s="16">
        <f>0.5+(INDEX('Stat Boosts'!$D$2:$D$192,R$1-9)-10)*$C131</f>
        <v>1.6655038759689922</v>
      </c>
    </row>
    <row r="132" spans="1:18">
      <c r="A132" s="9">
        <v>131</v>
      </c>
      <c r="B132" s="16">
        <f t="shared" si="4"/>
        <v>60.258064516129032</v>
      </c>
      <c r="C132" s="16">
        <f t="shared" si="5"/>
        <v>1.1938382541720154E-2</v>
      </c>
      <c r="E132" s="16">
        <f>0.5+(INDEX('Stat Boosts'!$D$2:$D$192,E$1-9)-10)*$C132</f>
        <v>0.5</v>
      </c>
      <c r="F132" s="16">
        <f>0.5+(INDEX('Stat Boosts'!$D$2:$D$192,F$1-9)-10)*$C132</f>
        <v>0.58356867779204102</v>
      </c>
      <c r="G132" s="16">
        <f>0.5+(INDEX('Stat Boosts'!$D$2:$D$192,G$1-9)-10)*$C132</f>
        <v>0.66713735558408216</v>
      </c>
      <c r="H132" s="16">
        <f>0.5+(INDEX('Stat Boosts'!$D$2:$D$192,H$1-9)-10)*$C132</f>
        <v>0.75070603337612329</v>
      </c>
      <c r="I132" s="16">
        <f>0.5+(INDEX('Stat Boosts'!$D$2:$D$192,I$1-9)-10)*$C132</f>
        <v>0.82233632862644424</v>
      </c>
      <c r="J132" s="16">
        <f>0.5+(INDEX('Stat Boosts'!$D$2:$D$192,J$1-9)-10)*$C132</f>
        <v>0.89396662387676507</v>
      </c>
      <c r="K132" s="16">
        <f>0.5+(INDEX('Stat Boosts'!$D$2:$D$192,K$1-9)-10)*$C132</f>
        <v>1.0611039794608472</v>
      </c>
      <c r="L132" s="16">
        <f>0.5+(INDEX('Stat Boosts'!$D$2:$D$192,L$1-9)-10)*$C132</f>
        <v>1.1207958921694479</v>
      </c>
      <c r="M132" s="16">
        <f>0.5+(INDEX('Stat Boosts'!$D$2:$D$192,M$1-9)-10)*$C132</f>
        <v>1.2043645699614891</v>
      </c>
      <c r="N132" s="16">
        <f>0.5+(INDEX('Stat Boosts'!$D$2:$D$192,N$1-9)-10)*$C132</f>
        <v>1.3118100128369705</v>
      </c>
      <c r="O132" s="16">
        <f>0.5+(INDEX('Stat Boosts'!$D$2:$D$192,O$1-9)-10)*$C132</f>
        <v>1.3715019255455712</v>
      </c>
      <c r="P132" s="16">
        <f>0.5+(INDEX('Stat Boosts'!$D$2:$D$192,P$1-9)-10)*$C132</f>
        <v>1.4670089858793325</v>
      </c>
      <c r="Q132" s="16">
        <f>0.5+(INDEX('Stat Boosts'!$D$2:$D$192,Q$1-9)-10)*$C132</f>
        <v>1.5625160462130938</v>
      </c>
      <c r="R132" s="16">
        <f>0.5+(INDEX('Stat Boosts'!$D$2:$D$192,R$1-9)-10)*$C132</f>
        <v>1.6580231065468549</v>
      </c>
    </row>
    <row r="133" spans="1:18">
      <c r="A133" s="9">
        <v>132</v>
      </c>
      <c r="B133" s="16">
        <f t="shared" si="4"/>
        <v>60.58064516129032</v>
      </c>
      <c r="C133" s="16">
        <f t="shared" si="5"/>
        <v>1.1862244897959184E-2</v>
      </c>
      <c r="E133" s="16">
        <f>0.5+(INDEX('Stat Boosts'!$D$2:$D$192,E$1-9)-10)*$C133</f>
        <v>0.5</v>
      </c>
      <c r="F133" s="16">
        <f>0.5+(INDEX('Stat Boosts'!$D$2:$D$192,F$1-9)-10)*$C133</f>
        <v>0.58303571428571432</v>
      </c>
      <c r="G133" s="16">
        <f>0.5+(INDEX('Stat Boosts'!$D$2:$D$192,G$1-9)-10)*$C133</f>
        <v>0.66607142857142854</v>
      </c>
      <c r="H133" s="16">
        <f>0.5+(INDEX('Stat Boosts'!$D$2:$D$192,H$1-9)-10)*$C133</f>
        <v>0.74910714285714286</v>
      </c>
      <c r="I133" s="16">
        <f>0.5+(INDEX('Stat Boosts'!$D$2:$D$192,I$1-9)-10)*$C133</f>
        <v>0.82028061224489801</v>
      </c>
      <c r="J133" s="16">
        <f>0.5+(INDEX('Stat Boosts'!$D$2:$D$192,J$1-9)-10)*$C133</f>
        <v>0.89145408163265305</v>
      </c>
      <c r="K133" s="16">
        <f>0.5+(INDEX('Stat Boosts'!$D$2:$D$192,K$1-9)-10)*$C133</f>
        <v>1.0575255102040817</v>
      </c>
      <c r="L133" s="16">
        <f>0.5+(INDEX('Stat Boosts'!$D$2:$D$192,L$1-9)-10)*$C133</f>
        <v>1.1168367346938775</v>
      </c>
      <c r="M133" s="16">
        <f>0.5+(INDEX('Stat Boosts'!$D$2:$D$192,M$1-9)-10)*$C133</f>
        <v>1.1998724489795918</v>
      </c>
      <c r="N133" s="16">
        <f>0.5+(INDEX('Stat Boosts'!$D$2:$D$192,N$1-9)-10)*$C133</f>
        <v>1.3066326530612244</v>
      </c>
      <c r="O133" s="16">
        <f>0.5+(INDEX('Stat Boosts'!$D$2:$D$192,O$1-9)-10)*$C133</f>
        <v>1.3659438775510204</v>
      </c>
      <c r="P133" s="16">
        <f>0.5+(INDEX('Stat Boosts'!$D$2:$D$192,P$1-9)-10)*$C133</f>
        <v>1.4608418367346938</v>
      </c>
      <c r="Q133" s="16">
        <f>0.5+(INDEX('Stat Boosts'!$D$2:$D$192,Q$1-9)-10)*$C133</f>
        <v>1.5557397959183674</v>
      </c>
      <c r="R133" s="16">
        <f>0.5+(INDEX('Stat Boosts'!$D$2:$D$192,R$1-9)-10)*$C133</f>
        <v>1.6506377551020408</v>
      </c>
    </row>
    <row r="134" spans="1:18">
      <c r="A134" s="9">
        <v>133</v>
      </c>
      <c r="B134" s="16">
        <f t="shared" si="4"/>
        <v>60.903225806451609</v>
      </c>
      <c r="C134" s="16">
        <f t="shared" si="5"/>
        <v>1.1787072243346007E-2</v>
      </c>
      <c r="E134" s="16">
        <f>0.5+(INDEX('Stat Boosts'!$D$2:$D$192,E$1-9)-10)*$C134</f>
        <v>0.5</v>
      </c>
      <c r="F134" s="16">
        <f>0.5+(INDEX('Stat Boosts'!$D$2:$D$192,F$1-9)-10)*$C134</f>
        <v>0.58250950570342208</v>
      </c>
      <c r="G134" s="16">
        <f>0.5+(INDEX('Stat Boosts'!$D$2:$D$192,G$1-9)-10)*$C134</f>
        <v>0.66501901140684416</v>
      </c>
      <c r="H134" s="16">
        <f>0.5+(INDEX('Stat Boosts'!$D$2:$D$192,H$1-9)-10)*$C134</f>
        <v>0.74752851711026613</v>
      </c>
      <c r="I134" s="16">
        <f>0.5+(INDEX('Stat Boosts'!$D$2:$D$192,I$1-9)-10)*$C134</f>
        <v>0.81825095057034214</v>
      </c>
      <c r="J134" s="16">
        <f>0.5+(INDEX('Stat Boosts'!$D$2:$D$192,J$1-9)-10)*$C134</f>
        <v>0.88897338403041826</v>
      </c>
      <c r="K134" s="16">
        <f>0.5+(INDEX('Stat Boosts'!$D$2:$D$192,K$1-9)-10)*$C134</f>
        <v>1.0539923954372623</v>
      </c>
      <c r="L134" s="16">
        <f>0.5+(INDEX('Stat Boosts'!$D$2:$D$192,L$1-9)-10)*$C134</f>
        <v>1.1129277566539924</v>
      </c>
      <c r="M134" s="16">
        <f>0.5+(INDEX('Stat Boosts'!$D$2:$D$192,M$1-9)-10)*$C134</f>
        <v>1.1954372623574145</v>
      </c>
      <c r="N134" s="16">
        <f>0.5+(INDEX('Stat Boosts'!$D$2:$D$192,N$1-9)-10)*$C134</f>
        <v>1.3015209125475287</v>
      </c>
      <c r="O134" s="16">
        <f>0.5+(INDEX('Stat Boosts'!$D$2:$D$192,O$1-9)-10)*$C134</f>
        <v>1.3604562737642585</v>
      </c>
      <c r="P134" s="16">
        <f>0.5+(INDEX('Stat Boosts'!$D$2:$D$192,P$1-9)-10)*$C134</f>
        <v>1.4547528517110266</v>
      </c>
      <c r="Q134" s="16">
        <f>0.5+(INDEX('Stat Boosts'!$D$2:$D$192,Q$1-9)-10)*$C134</f>
        <v>1.5490494296577946</v>
      </c>
      <c r="R134" s="16">
        <f>0.5+(INDEX('Stat Boosts'!$D$2:$D$192,R$1-9)-10)*$C134</f>
        <v>1.6433460076045627</v>
      </c>
    </row>
    <row r="135" spans="1:18">
      <c r="A135" s="9">
        <v>134</v>
      </c>
      <c r="B135" s="16">
        <f t="shared" si="4"/>
        <v>61.225806451612904</v>
      </c>
      <c r="C135" s="16">
        <f t="shared" si="5"/>
        <v>1.1712846347607051E-2</v>
      </c>
      <c r="E135" s="16">
        <f>0.5+(INDEX('Stat Boosts'!$D$2:$D$192,E$1-9)-10)*$C135</f>
        <v>0.5</v>
      </c>
      <c r="F135" s="16">
        <f>0.5+(INDEX('Stat Boosts'!$D$2:$D$192,F$1-9)-10)*$C135</f>
        <v>0.58198992443324937</v>
      </c>
      <c r="G135" s="16">
        <f>0.5+(INDEX('Stat Boosts'!$D$2:$D$192,G$1-9)-10)*$C135</f>
        <v>0.66397984886649875</v>
      </c>
      <c r="H135" s="16">
        <f>0.5+(INDEX('Stat Boosts'!$D$2:$D$192,H$1-9)-10)*$C135</f>
        <v>0.74596977329974812</v>
      </c>
      <c r="I135" s="16">
        <f>0.5+(INDEX('Stat Boosts'!$D$2:$D$192,I$1-9)-10)*$C135</f>
        <v>0.81624685138539044</v>
      </c>
      <c r="J135" s="16">
        <f>0.5+(INDEX('Stat Boosts'!$D$2:$D$192,J$1-9)-10)*$C135</f>
        <v>0.88652392947103276</v>
      </c>
      <c r="K135" s="16">
        <f>0.5+(INDEX('Stat Boosts'!$D$2:$D$192,K$1-9)-10)*$C135</f>
        <v>1.0505037783375313</v>
      </c>
      <c r="L135" s="16">
        <f>0.5+(INDEX('Stat Boosts'!$D$2:$D$192,L$1-9)-10)*$C135</f>
        <v>1.1090680100755668</v>
      </c>
      <c r="M135" s="16">
        <f>0.5+(INDEX('Stat Boosts'!$D$2:$D$192,M$1-9)-10)*$C135</f>
        <v>1.1910579345088159</v>
      </c>
      <c r="N135" s="16">
        <f>0.5+(INDEX('Stat Boosts'!$D$2:$D$192,N$1-9)-10)*$C135</f>
        <v>1.2964735516372796</v>
      </c>
      <c r="O135" s="16">
        <f>0.5+(INDEX('Stat Boosts'!$D$2:$D$192,O$1-9)-10)*$C135</f>
        <v>1.3550377833753147</v>
      </c>
      <c r="P135" s="16">
        <f>0.5+(INDEX('Stat Boosts'!$D$2:$D$192,P$1-9)-10)*$C135</f>
        <v>1.4487405541561711</v>
      </c>
      <c r="Q135" s="16">
        <f>0.5+(INDEX('Stat Boosts'!$D$2:$D$192,Q$1-9)-10)*$C135</f>
        <v>1.5424433249370275</v>
      </c>
      <c r="R135" s="16">
        <f>0.5+(INDEX('Stat Boosts'!$D$2:$D$192,R$1-9)-10)*$C135</f>
        <v>1.6361460957178839</v>
      </c>
    </row>
    <row r="136" spans="1:18">
      <c r="A136" s="9">
        <v>135</v>
      </c>
      <c r="B136" s="16">
        <f t="shared" si="4"/>
        <v>61.548387096774192</v>
      </c>
      <c r="C136" s="16">
        <f t="shared" si="5"/>
        <v>1.1639549436795994E-2</v>
      </c>
      <c r="E136" s="16">
        <f>0.5+(INDEX('Stat Boosts'!$D$2:$D$192,E$1-9)-10)*$C136</f>
        <v>0.5</v>
      </c>
      <c r="F136" s="16">
        <f>0.5+(INDEX('Stat Boosts'!$D$2:$D$192,F$1-9)-10)*$C136</f>
        <v>0.58147684605757199</v>
      </c>
      <c r="G136" s="16">
        <f>0.5+(INDEX('Stat Boosts'!$D$2:$D$192,G$1-9)-10)*$C136</f>
        <v>0.66295369211514399</v>
      </c>
      <c r="H136" s="16">
        <f>0.5+(INDEX('Stat Boosts'!$D$2:$D$192,H$1-9)-10)*$C136</f>
        <v>0.74443053817271587</v>
      </c>
      <c r="I136" s="16">
        <f>0.5+(INDEX('Stat Boosts'!$D$2:$D$192,I$1-9)-10)*$C136</f>
        <v>0.81426783479349185</v>
      </c>
      <c r="J136" s="16">
        <f>0.5+(INDEX('Stat Boosts'!$D$2:$D$192,J$1-9)-10)*$C136</f>
        <v>0.88410513141426783</v>
      </c>
      <c r="K136" s="16">
        <f>0.5+(INDEX('Stat Boosts'!$D$2:$D$192,K$1-9)-10)*$C136</f>
        <v>1.0470588235294116</v>
      </c>
      <c r="L136" s="16">
        <f>0.5+(INDEX('Stat Boosts'!$D$2:$D$192,L$1-9)-10)*$C136</f>
        <v>1.1052565707133917</v>
      </c>
      <c r="M136" s="16">
        <f>0.5+(INDEX('Stat Boosts'!$D$2:$D$192,M$1-9)-10)*$C136</f>
        <v>1.1867334167709638</v>
      </c>
      <c r="N136" s="16">
        <f>0.5+(INDEX('Stat Boosts'!$D$2:$D$192,N$1-9)-10)*$C136</f>
        <v>1.2914893617021277</v>
      </c>
      <c r="O136" s="16">
        <f>0.5+(INDEX('Stat Boosts'!$D$2:$D$192,O$1-9)-10)*$C136</f>
        <v>1.3496871088861075</v>
      </c>
      <c r="P136" s="16">
        <f>0.5+(INDEX('Stat Boosts'!$D$2:$D$192,P$1-9)-10)*$C136</f>
        <v>1.4428035043804757</v>
      </c>
      <c r="Q136" s="16">
        <f>0.5+(INDEX('Stat Boosts'!$D$2:$D$192,Q$1-9)-10)*$C136</f>
        <v>1.5359198998748436</v>
      </c>
      <c r="R136" s="16">
        <f>0.5+(INDEX('Stat Boosts'!$D$2:$D$192,R$1-9)-10)*$C136</f>
        <v>1.6290362953692115</v>
      </c>
    </row>
    <row r="137" spans="1:18">
      <c r="A137" s="9">
        <v>136</v>
      </c>
      <c r="B137" s="16">
        <f t="shared" si="4"/>
        <v>61.87096774193548</v>
      </c>
      <c r="C137" s="16">
        <f t="shared" si="5"/>
        <v>1.1567164179104477E-2</v>
      </c>
      <c r="E137" s="16">
        <f>0.5+(INDEX('Stat Boosts'!$D$2:$D$192,E$1-9)-10)*$C137</f>
        <v>0.5</v>
      </c>
      <c r="F137" s="16">
        <f>0.5+(INDEX('Stat Boosts'!$D$2:$D$192,F$1-9)-10)*$C137</f>
        <v>0.58097014925373136</v>
      </c>
      <c r="G137" s="16">
        <f>0.5+(INDEX('Stat Boosts'!$D$2:$D$192,G$1-9)-10)*$C137</f>
        <v>0.66194029850746272</v>
      </c>
      <c r="H137" s="16">
        <f>0.5+(INDEX('Stat Boosts'!$D$2:$D$192,H$1-9)-10)*$C137</f>
        <v>0.74291044776119408</v>
      </c>
      <c r="I137" s="16">
        <f>0.5+(INDEX('Stat Boosts'!$D$2:$D$192,I$1-9)-10)*$C137</f>
        <v>0.81231343283582091</v>
      </c>
      <c r="J137" s="16">
        <f>0.5+(INDEX('Stat Boosts'!$D$2:$D$192,J$1-9)-10)*$C137</f>
        <v>0.88171641791044775</v>
      </c>
      <c r="K137" s="16">
        <f>0.5+(INDEX('Stat Boosts'!$D$2:$D$192,K$1-9)-10)*$C137</f>
        <v>1.0436567164179105</v>
      </c>
      <c r="L137" s="16">
        <f>0.5+(INDEX('Stat Boosts'!$D$2:$D$192,L$1-9)-10)*$C137</f>
        <v>1.1014925373134328</v>
      </c>
      <c r="M137" s="16">
        <f>0.5+(INDEX('Stat Boosts'!$D$2:$D$192,M$1-9)-10)*$C137</f>
        <v>1.1824626865671641</v>
      </c>
      <c r="N137" s="16">
        <f>0.5+(INDEX('Stat Boosts'!$D$2:$D$192,N$1-9)-10)*$C137</f>
        <v>1.2865671641791043</v>
      </c>
      <c r="O137" s="16">
        <f>0.5+(INDEX('Stat Boosts'!$D$2:$D$192,O$1-9)-10)*$C137</f>
        <v>1.3444029850746269</v>
      </c>
      <c r="P137" s="16">
        <f>0.5+(INDEX('Stat Boosts'!$D$2:$D$192,P$1-9)-10)*$C137</f>
        <v>1.4369402985074626</v>
      </c>
      <c r="Q137" s="16">
        <f>0.5+(INDEX('Stat Boosts'!$D$2:$D$192,Q$1-9)-10)*$C137</f>
        <v>1.5294776119402984</v>
      </c>
      <c r="R137" s="16">
        <f>0.5+(INDEX('Stat Boosts'!$D$2:$D$192,R$1-9)-10)*$C137</f>
        <v>1.6220149253731344</v>
      </c>
    </row>
    <row r="138" spans="1:18">
      <c r="A138" s="9">
        <v>137</v>
      </c>
      <c r="B138" s="16">
        <f t="shared" si="4"/>
        <v>62.193548387096776</v>
      </c>
      <c r="C138" s="16">
        <f t="shared" si="5"/>
        <v>1.1495673671199011E-2</v>
      </c>
      <c r="E138" s="16">
        <f>0.5+(INDEX('Stat Boosts'!$D$2:$D$192,E$1-9)-10)*$C138</f>
        <v>0.5</v>
      </c>
      <c r="F138" s="16">
        <f>0.5+(INDEX('Stat Boosts'!$D$2:$D$192,F$1-9)-10)*$C138</f>
        <v>0.58046971569839312</v>
      </c>
      <c r="G138" s="16">
        <f>0.5+(INDEX('Stat Boosts'!$D$2:$D$192,G$1-9)-10)*$C138</f>
        <v>0.66093943139678613</v>
      </c>
      <c r="H138" s="16">
        <f>0.5+(INDEX('Stat Boosts'!$D$2:$D$192,H$1-9)-10)*$C138</f>
        <v>0.74140914709517924</v>
      </c>
      <c r="I138" s="16">
        <f>0.5+(INDEX('Stat Boosts'!$D$2:$D$192,I$1-9)-10)*$C138</f>
        <v>0.81038318912237328</v>
      </c>
      <c r="J138" s="16">
        <f>0.5+(INDEX('Stat Boosts'!$D$2:$D$192,J$1-9)-10)*$C138</f>
        <v>0.87935723114956743</v>
      </c>
      <c r="K138" s="16">
        <f>0.5+(INDEX('Stat Boosts'!$D$2:$D$192,K$1-9)-10)*$C138</f>
        <v>1.0402966625463534</v>
      </c>
      <c r="L138" s="16">
        <f>0.5+(INDEX('Stat Boosts'!$D$2:$D$192,L$1-9)-10)*$C138</f>
        <v>1.0977750309023486</v>
      </c>
      <c r="M138" s="16">
        <f>0.5+(INDEX('Stat Boosts'!$D$2:$D$192,M$1-9)-10)*$C138</f>
        <v>1.1782447466007415</v>
      </c>
      <c r="N138" s="16">
        <f>0.5+(INDEX('Stat Boosts'!$D$2:$D$192,N$1-9)-10)*$C138</f>
        <v>1.2817058096415328</v>
      </c>
      <c r="O138" s="16">
        <f>0.5+(INDEX('Stat Boosts'!$D$2:$D$192,O$1-9)-10)*$C138</f>
        <v>1.3391841779975278</v>
      </c>
      <c r="P138" s="16">
        <f>0.5+(INDEX('Stat Boosts'!$D$2:$D$192,P$1-9)-10)*$C138</f>
        <v>1.43114956736712</v>
      </c>
      <c r="Q138" s="16">
        <f>0.5+(INDEX('Stat Boosts'!$D$2:$D$192,Q$1-9)-10)*$C138</f>
        <v>1.5231149567367119</v>
      </c>
      <c r="R138" s="16">
        <f>0.5+(INDEX('Stat Boosts'!$D$2:$D$192,R$1-9)-10)*$C138</f>
        <v>1.6150803461063041</v>
      </c>
    </row>
    <row r="139" spans="1:18">
      <c r="A139" s="9">
        <v>138</v>
      </c>
      <c r="B139" s="16">
        <f t="shared" si="4"/>
        <v>62.516129032258064</v>
      </c>
      <c r="C139" s="16">
        <f t="shared" si="5"/>
        <v>1.1425061425061426E-2</v>
      </c>
      <c r="E139" s="16">
        <f>0.5+(INDEX('Stat Boosts'!$D$2:$D$192,E$1-9)-10)*$C139</f>
        <v>0.5</v>
      </c>
      <c r="F139" s="16">
        <f>0.5+(INDEX('Stat Boosts'!$D$2:$D$192,F$1-9)-10)*$C139</f>
        <v>0.57997542997542995</v>
      </c>
      <c r="G139" s="16">
        <f>0.5+(INDEX('Stat Boosts'!$D$2:$D$192,G$1-9)-10)*$C139</f>
        <v>0.65995085995085989</v>
      </c>
      <c r="H139" s="16">
        <f>0.5+(INDEX('Stat Boosts'!$D$2:$D$192,H$1-9)-10)*$C139</f>
        <v>0.73992628992628995</v>
      </c>
      <c r="I139" s="16">
        <f>0.5+(INDEX('Stat Boosts'!$D$2:$D$192,I$1-9)-10)*$C139</f>
        <v>0.80847665847665851</v>
      </c>
      <c r="J139" s="16">
        <f>0.5+(INDEX('Stat Boosts'!$D$2:$D$192,J$1-9)-10)*$C139</f>
        <v>0.87702702702702706</v>
      </c>
      <c r="K139" s="16">
        <f>0.5+(INDEX('Stat Boosts'!$D$2:$D$192,K$1-9)-10)*$C139</f>
        <v>1.036977886977887</v>
      </c>
      <c r="L139" s="16">
        <f>0.5+(INDEX('Stat Boosts'!$D$2:$D$192,L$1-9)-10)*$C139</f>
        <v>1.094103194103194</v>
      </c>
      <c r="M139" s="16">
        <f>0.5+(INDEX('Stat Boosts'!$D$2:$D$192,M$1-9)-10)*$C139</f>
        <v>1.1740786240786241</v>
      </c>
      <c r="N139" s="16">
        <f>0.5+(INDEX('Stat Boosts'!$D$2:$D$192,N$1-9)-10)*$C139</f>
        <v>1.2769041769041769</v>
      </c>
      <c r="O139" s="16">
        <f>0.5+(INDEX('Stat Boosts'!$D$2:$D$192,O$1-9)-10)*$C139</f>
        <v>1.3340294840294842</v>
      </c>
      <c r="P139" s="16">
        <f>0.5+(INDEX('Stat Boosts'!$D$2:$D$192,P$1-9)-10)*$C139</f>
        <v>1.4254299754299755</v>
      </c>
      <c r="Q139" s="16">
        <f>0.5+(INDEX('Stat Boosts'!$D$2:$D$192,Q$1-9)-10)*$C139</f>
        <v>1.5168304668304669</v>
      </c>
      <c r="R139" s="16">
        <f>0.5+(INDEX('Stat Boosts'!$D$2:$D$192,R$1-9)-10)*$C139</f>
        <v>1.6082309582309582</v>
      </c>
    </row>
    <row r="140" spans="1:18">
      <c r="A140" s="9">
        <v>139</v>
      </c>
      <c r="B140" s="16">
        <f t="shared" si="4"/>
        <v>62.838709677419352</v>
      </c>
      <c r="C140" s="16">
        <f t="shared" si="5"/>
        <v>1.1355311355311355E-2</v>
      </c>
      <c r="E140" s="16">
        <f>0.5+(INDEX('Stat Boosts'!$D$2:$D$192,E$1-9)-10)*$C140</f>
        <v>0.5</v>
      </c>
      <c r="F140" s="16">
        <f>0.5+(INDEX('Stat Boosts'!$D$2:$D$192,F$1-9)-10)*$C140</f>
        <v>0.57948717948717943</v>
      </c>
      <c r="G140" s="16">
        <f>0.5+(INDEX('Stat Boosts'!$D$2:$D$192,G$1-9)-10)*$C140</f>
        <v>0.65897435897435896</v>
      </c>
      <c r="H140" s="16">
        <f>0.5+(INDEX('Stat Boosts'!$D$2:$D$192,H$1-9)-10)*$C140</f>
        <v>0.7384615384615385</v>
      </c>
      <c r="I140" s="16">
        <f>0.5+(INDEX('Stat Boosts'!$D$2:$D$192,I$1-9)-10)*$C140</f>
        <v>0.80659340659340661</v>
      </c>
      <c r="J140" s="16">
        <f>0.5+(INDEX('Stat Boosts'!$D$2:$D$192,J$1-9)-10)*$C140</f>
        <v>0.87472527472527473</v>
      </c>
      <c r="K140" s="16">
        <f>0.5+(INDEX('Stat Boosts'!$D$2:$D$192,K$1-9)-10)*$C140</f>
        <v>1.0336996336996336</v>
      </c>
      <c r="L140" s="16">
        <f>0.5+(INDEX('Stat Boosts'!$D$2:$D$192,L$1-9)-10)*$C140</f>
        <v>1.0904761904761906</v>
      </c>
      <c r="M140" s="16">
        <f>0.5+(INDEX('Stat Boosts'!$D$2:$D$192,M$1-9)-10)*$C140</f>
        <v>1.1699633699633698</v>
      </c>
      <c r="N140" s="16">
        <f>0.5+(INDEX('Stat Boosts'!$D$2:$D$192,N$1-9)-10)*$C140</f>
        <v>1.2721611721611721</v>
      </c>
      <c r="O140" s="16">
        <f>0.5+(INDEX('Stat Boosts'!$D$2:$D$192,O$1-9)-10)*$C140</f>
        <v>1.3289377289377289</v>
      </c>
      <c r="P140" s="16">
        <f>0.5+(INDEX('Stat Boosts'!$D$2:$D$192,P$1-9)-10)*$C140</f>
        <v>1.4197802197802196</v>
      </c>
      <c r="Q140" s="16">
        <f>0.5+(INDEX('Stat Boosts'!$D$2:$D$192,Q$1-9)-10)*$C140</f>
        <v>1.5106227106227106</v>
      </c>
      <c r="R140" s="16">
        <f>0.5+(INDEX('Stat Boosts'!$D$2:$D$192,R$1-9)-10)*$C140</f>
        <v>1.6014652014652013</v>
      </c>
    </row>
    <row r="141" spans="1:18">
      <c r="A141" s="9">
        <v>140</v>
      </c>
      <c r="B141" s="16">
        <f t="shared" si="4"/>
        <v>63.161290322580641</v>
      </c>
      <c r="C141" s="16">
        <f t="shared" si="5"/>
        <v>1.1286407766990292E-2</v>
      </c>
      <c r="E141" s="16">
        <f>0.5+(INDEX('Stat Boosts'!$D$2:$D$192,E$1-9)-10)*$C141</f>
        <v>0.5</v>
      </c>
      <c r="F141" s="16">
        <f>0.5+(INDEX('Stat Boosts'!$D$2:$D$192,F$1-9)-10)*$C141</f>
        <v>0.57900485436893201</v>
      </c>
      <c r="G141" s="16">
        <f>0.5+(INDEX('Stat Boosts'!$D$2:$D$192,G$1-9)-10)*$C141</f>
        <v>0.65800970873786413</v>
      </c>
      <c r="H141" s="16">
        <f>0.5+(INDEX('Stat Boosts'!$D$2:$D$192,H$1-9)-10)*$C141</f>
        <v>0.73701456310679614</v>
      </c>
      <c r="I141" s="16">
        <f>0.5+(INDEX('Stat Boosts'!$D$2:$D$192,I$1-9)-10)*$C141</f>
        <v>0.80473300970873796</v>
      </c>
      <c r="J141" s="16">
        <f>0.5+(INDEX('Stat Boosts'!$D$2:$D$192,J$1-9)-10)*$C141</f>
        <v>0.87245145631067966</v>
      </c>
      <c r="K141" s="16">
        <f>0.5+(INDEX('Stat Boosts'!$D$2:$D$192,K$1-9)-10)*$C141</f>
        <v>1.0304611650485438</v>
      </c>
      <c r="L141" s="16">
        <f>0.5+(INDEX('Stat Boosts'!$D$2:$D$192,L$1-9)-10)*$C141</f>
        <v>1.0868932038834953</v>
      </c>
      <c r="M141" s="16">
        <f>0.5+(INDEX('Stat Boosts'!$D$2:$D$192,M$1-9)-10)*$C141</f>
        <v>1.1658980582524272</v>
      </c>
      <c r="N141" s="16">
        <f>0.5+(INDEX('Stat Boosts'!$D$2:$D$192,N$1-9)-10)*$C141</f>
        <v>1.2674757281553399</v>
      </c>
      <c r="O141" s="16">
        <f>0.5+(INDEX('Stat Boosts'!$D$2:$D$192,O$1-9)-10)*$C141</f>
        <v>1.3239077669902914</v>
      </c>
      <c r="P141" s="16">
        <f>0.5+(INDEX('Stat Boosts'!$D$2:$D$192,P$1-9)-10)*$C141</f>
        <v>1.4141990291262136</v>
      </c>
      <c r="Q141" s="16">
        <f>0.5+(INDEX('Stat Boosts'!$D$2:$D$192,Q$1-9)-10)*$C141</f>
        <v>1.5044902912621361</v>
      </c>
      <c r="R141" s="16">
        <f>0.5+(INDEX('Stat Boosts'!$D$2:$D$192,R$1-9)-10)*$C141</f>
        <v>1.5947815533980583</v>
      </c>
    </row>
    <row r="142" spans="1:18">
      <c r="A142" s="9">
        <v>141</v>
      </c>
      <c r="B142" s="16">
        <f t="shared" si="4"/>
        <v>63.483870967741936</v>
      </c>
      <c r="C142" s="16">
        <f t="shared" si="5"/>
        <v>1.1218335343787696E-2</v>
      </c>
      <c r="E142" s="16">
        <f>0.5+(INDEX('Stat Boosts'!$D$2:$D$192,E$1-9)-10)*$C142</f>
        <v>0.5</v>
      </c>
      <c r="F142" s="16">
        <f>0.5+(INDEX('Stat Boosts'!$D$2:$D$192,F$1-9)-10)*$C142</f>
        <v>0.57852834740651393</v>
      </c>
      <c r="G142" s="16">
        <f>0.5+(INDEX('Stat Boosts'!$D$2:$D$192,G$1-9)-10)*$C142</f>
        <v>0.65705669481302775</v>
      </c>
      <c r="H142" s="16">
        <f>0.5+(INDEX('Stat Boosts'!$D$2:$D$192,H$1-9)-10)*$C142</f>
        <v>0.73558504221954157</v>
      </c>
      <c r="I142" s="16">
        <f>0.5+(INDEX('Stat Boosts'!$D$2:$D$192,I$1-9)-10)*$C142</f>
        <v>0.80289505428226771</v>
      </c>
      <c r="J142" s="16">
        <f>0.5+(INDEX('Stat Boosts'!$D$2:$D$192,J$1-9)-10)*$C142</f>
        <v>0.87020506634499395</v>
      </c>
      <c r="K142" s="16">
        <f>0.5+(INDEX('Stat Boosts'!$D$2:$D$192,K$1-9)-10)*$C142</f>
        <v>1.0272617611580217</v>
      </c>
      <c r="L142" s="16">
        <f>0.5+(INDEX('Stat Boosts'!$D$2:$D$192,L$1-9)-10)*$C142</f>
        <v>1.0833534378769603</v>
      </c>
      <c r="M142" s="16">
        <f>0.5+(INDEX('Stat Boosts'!$D$2:$D$192,M$1-9)-10)*$C142</f>
        <v>1.161881785283474</v>
      </c>
      <c r="N142" s="16">
        <f>0.5+(INDEX('Stat Boosts'!$D$2:$D$192,N$1-9)-10)*$C142</f>
        <v>1.2628468033775633</v>
      </c>
      <c r="O142" s="16">
        <f>0.5+(INDEX('Stat Boosts'!$D$2:$D$192,O$1-9)-10)*$C142</f>
        <v>1.3189384800965018</v>
      </c>
      <c r="P142" s="16">
        <f>0.5+(INDEX('Stat Boosts'!$D$2:$D$192,P$1-9)-10)*$C142</f>
        <v>1.4086851628468033</v>
      </c>
      <c r="Q142" s="16">
        <f>0.5+(INDEX('Stat Boosts'!$D$2:$D$192,Q$1-9)-10)*$C142</f>
        <v>1.4984318455971049</v>
      </c>
      <c r="R142" s="16">
        <f>0.5+(INDEX('Stat Boosts'!$D$2:$D$192,R$1-9)-10)*$C142</f>
        <v>1.5881785283474066</v>
      </c>
    </row>
    <row r="143" spans="1:18">
      <c r="A143" s="9">
        <v>142</v>
      </c>
      <c r="B143" s="16">
        <f t="shared" si="4"/>
        <v>63.806451612903224</v>
      </c>
      <c r="C143" s="16">
        <f t="shared" si="5"/>
        <v>1.1151079136690648E-2</v>
      </c>
      <c r="E143" s="16">
        <f>0.5+(INDEX('Stat Boosts'!$D$2:$D$192,E$1-9)-10)*$C143</f>
        <v>0.5</v>
      </c>
      <c r="F143" s="16">
        <f>0.5+(INDEX('Stat Boosts'!$D$2:$D$192,F$1-9)-10)*$C143</f>
        <v>0.57805755395683456</v>
      </c>
      <c r="G143" s="16">
        <f>0.5+(INDEX('Stat Boosts'!$D$2:$D$192,G$1-9)-10)*$C143</f>
        <v>0.65611510791366912</v>
      </c>
      <c r="H143" s="16">
        <f>0.5+(INDEX('Stat Boosts'!$D$2:$D$192,H$1-9)-10)*$C143</f>
        <v>0.73417266187050356</v>
      </c>
      <c r="I143" s="16">
        <f>0.5+(INDEX('Stat Boosts'!$D$2:$D$192,I$1-9)-10)*$C143</f>
        <v>0.80107913669064756</v>
      </c>
      <c r="J143" s="16">
        <f>0.5+(INDEX('Stat Boosts'!$D$2:$D$192,J$1-9)-10)*$C143</f>
        <v>0.86798561151079134</v>
      </c>
      <c r="K143" s="16">
        <f>0.5+(INDEX('Stat Boosts'!$D$2:$D$192,K$1-9)-10)*$C143</f>
        <v>1.0241007194244605</v>
      </c>
      <c r="L143" s="16">
        <f>0.5+(INDEX('Stat Boosts'!$D$2:$D$192,L$1-9)-10)*$C143</f>
        <v>1.0798561151079138</v>
      </c>
      <c r="M143" s="16">
        <f>0.5+(INDEX('Stat Boosts'!$D$2:$D$192,M$1-9)-10)*$C143</f>
        <v>1.1579136690647482</v>
      </c>
      <c r="N143" s="16">
        <f>0.5+(INDEX('Stat Boosts'!$D$2:$D$192,N$1-9)-10)*$C143</f>
        <v>1.258273381294964</v>
      </c>
      <c r="O143" s="16">
        <f>0.5+(INDEX('Stat Boosts'!$D$2:$D$192,O$1-9)-10)*$C143</f>
        <v>1.3140287769784171</v>
      </c>
      <c r="P143" s="16">
        <f>0.5+(INDEX('Stat Boosts'!$D$2:$D$192,P$1-9)-10)*$C143</f>
        <v>1.4032374100719425</v>
      </c>
      <c r="Q143" s="16">
        <f>0.5+(INDEX('Stat Boosts'!$D$2:$D$192,Q$1-9)-10)*$C143</f>
        <v>1.4924460431654678</v>
      </c>
      <c r="R143" s="16">
        <f>0.5+(INDEX('Stat Boosts'!$D$2:$D$192,R$1-9)-10)*$C143</f>
        <v>1.5816546762589929</v>
      </c>
    </row>
    <row r="144" spans="1:18">
      <c r="A144" s="9">
        <v>143</v>
      </c>
      <c r="B144" s="16">
        <f t="shared" si="4"/>
        <v>64.129032258064512</v>
      </c>
      <c r="C144" s="16">
        <f t="shared" si="5"/>
        <v>1.1084624553039333E-2</v>
      </c>
      <c r="E144" s="16">
        <f>0.5+(INDEX('Stat Boosts'!$D$2:$D$192,E$1-9)-10)*$C144</f>
        <v>0.5</v>
      </c>
      <c r="F144" s="16">
        <f>0.5+(INDEX('Stat Boosts'!$D$2:$D$192,F$1-9)-10)*$C144</f>
        <v>0.57759237187127532</v>
      </c>
      <c r="G144" s="16">
        <f>0.5+(INDEX('Stat Boosts'!$D$2:$D$192,G$1-9)-10)*$C144</f>
        <v>0.65518474374255065</v>
      </c>
      <c r="H144" s="16">
        <f>0.5+(INDEX('Stat Boosts'!$D$2:$D$192,H$1-9)-10)*$C144</f>
        <v>0.73277711561382597</v>
      </c>
      <c r="I144" s="16">
        <f>0.5+(INDEX('Stat Boosts'!$D$2:$D$192,I$1-9)-10)*$C144</f>
        <v>0.79928486293206191</v>
      </c>
      <c r="J144" s="16">
        <f>0.5+(INDEX('Stat Boosts'!$D$2:$D$192,J$1-9)-10)*$C144</f>
        <v>0.86579261025029797</v>
      </c>
      <c r="K144" s="16">
        <f>0.5+(INDEX('Stat Boosts'!$D$2:$D$192,K$1-9)-10)*$C144</f>
        <v>1.0209773539928486</v>
      </c>
      <c r="L144" s="16">
        <f>0.5+(INDEX('Stat Boosts'!$D$2:$D$192,L$1-9)-10)*$C144</f>
        <v>1.0764004767580453</v>
      </c>
      <c r="M144" s="16">
        <f>0.5+(INDEX('Stat Boosts'!$D$2:$D$192,M$1-9)-10)*$C144</f>
        <v>1.1539928486293207</v>
      </c>
      <c r="N144" s="16">
        <f>0.5+(INDEX('Stat Boosts'!$D$2:$D$192,N$1-9)-10)*$C144</f>
        <v>1.2537544696066747</v>
      </c>
      <c r="O144" s="16">
        <f>0.5+(INDEX('Stat Boosts'!$D$2:$D$192,O$1-9)-10)*$C144</f>
        <v>1.3091775923718711</v>
      </c>
      <c r="P144" s="16">
        <f>0.5+(INDEX('Stat Boosts'!$D$2:$D$192,P$1-9)-10)*$C144</f>
        <v>1.397854588796186</v>
      </c>
      <c r="Q144" s="16">
        <f>0.5+(INDEX('Stat Boosts'!$D$2:$D$192,Q$1-9)-10)*$C144</f>
        <v>1.4865315852205006</v>
      </c>
      <c r="R144" s="16">
        <f>0.5+(INDEX('Stat Boosts'!$D$2:$D$192,R$1-9)-10)*$C144</f>
        <v>1.5752085816448154</v>
      </c>
    </row>
    <row r="145" spans="1:18">
      <c r="A145" s="9">
        <v>144</v>
      </c>
      <c r="B145" s="16">
        <f t="shared" si="4"/>
        <v>64.451612903225808</v>
      </c>
      <c r="C145" s="16">
        <f t="shared" si="5"/>
        <v>1.1018957345971563E-2</v>
      </c>
      <c r="E145" s="16">
        <f>0.5+(INDEX('Stat Boosts'!$D$2:$D$192,E$1-9)-10)*$C145</f>
        <v>0.5</v>
      </c>
      <c r="F145" s="16">
        <f>0.5+(INDEX('Stat Boosts'!$D$2:$D$192,F$1-9)-10)*$C145</f>
        <v>0.57713270142180095</v>
      </c>
      <c r="G145" s="16">
        <f>0.5+(INDEX('Stat Boosts'!$D$2:$D$192,G$1-9)-10)*$C145</f>
        <v>0.65426540284360191</v>
      </c>
      <c r="H145" s="16">
        <f>0.5+(INDEX('Stat Boosts'!$D$2:$D$192,H$1-9)-10)*$C145</f>
        <v>0.73139810426540286</v>
      </c>
      <c r="I145" s="16">
        <f>0.5+(INDEX('Stat Boosts'!$D$2:$D$192,I$1-9)-10)*$C145</f>
        <v>0.79751184834123223</v>
      </c>
      <c r="J145" s="16">
        <f>0.5+(INDEX('Stat Boosts'!$D$2:$D$192,J$1-9)-10)*$C145</f>
        <v>0.8636255924170616</v>
      </c>
      <c r="K145" s="16">
        <f>0.5+(INDEX('Stat Boosts'!$D$2:$D$192,K$1-9)-10)*$C145</f>
        <v>1.0178909952606636</v>
      </c>
      <c r="L145" s="16">
        <f>0.5+(INDEX('Stat Boosts'!$D$2:$D$192,L$1-9)-10)*$C145</f>
        <v>1.0729857819905213</v>
      </c>
      <c r="M145" s="16">
        <f>0.5+(INDEX('Stat Boosts'!$D$2:$D$192,M$1-9)-10)*$C145</f>
        <v>1.1501184834123221</v>
      </c>
      <c r="N145" s="16">
        <f>0.5+(INDEX('Stat Boosts'!$D$2:$D$192,N$1-9)-10)*$C145</f>
        <v>1.2492890995260661</v>
      </c>
      <c r="O145" s="16">
        <f>0.5+(INDEX('Stat Boosts'!$D$2:$D$192,O$1-9)-10)*$C145</f>
        <v>1.3043838862559243</v>
      </c>
      <c r="P145" s="16">
        <f>0.5+(INDEX('Stat Boosts'!$D$2:$D$192,P$1-9)-10)*$C145</f>
        <v>1.3925355450236965</v>
      </c>
      <c r="Q145" s="16">
        <f>0.5+(INDEX('Stat Boosts'!$D$2:$D$192,Q$1-9)-10)*$C145</f>
        <v>1.4806872037914691</v>
      </c>
      <c r="R145" s="16">
        <f>0.5+(INDEX('Stat Boosts'!$D$2:$D$192,R$1-9)-10)*$C145</f>
        <v>1.5688388625592415</v>
      </c>
    </row>
    <row r="146" spans="1:18">
      <c r="A146" s="9">
        <v>145</v>
      </c>
      <c r="B146" s="16">
        <f t="shared" si="4"/>
        <v>64.774193548387103</v>
      </c>
      <c r="C146" s="16">
        <f t="shared" si="5"/>
        <v>1.0954063604240281E-2</v>
      </c>
      <c r="E146" s="16">
        <f>0.5+(INDEX('Stat Boosts'!$D$2:$D$192,E$1-9)-10)*$C146</f>
        <v>0.5</v>
      </c>
      <c r="F146" s="16">
        <f>0.5+(INDEX('Stat Boosts'!$D$2:$D$192,F$1-9)-10)*$C146</f>
        <v>0.57667844522968192</v>
      </c>
      <c r="G146" s="16">
        <f>0.5+(INDEX('Stat Boosts'!$D$2:$D$192,G$1-9)-10)*$C146</f>
        <v>0.65335689045936396</v>
      </c>
      <c r="H146" s="16">
        <f>0.5+(INDEX('Stat Boosts'!$D$2:$D$192,H$1-9)-10)*$C146</f>
        <v>0.73003533568904588</v>
      </c>
      <c r="I146" s="16">
        <f>0.5+(INDEX('Stat Boosts'!$D$2:$D$192,I$1-9)-10)*$C146</f>
        <v>0.79575971731448758</v>
      </c>
      <c r="J146" s="16">
        <f>0.5+(INDEX('Stat Boosts'!$D$2:$D$192,J$1-9)-10)*$C146</f>
        <v>0.86148409893992928</v>
      </c>
      <c r="K146" s="16">
        <f>0.5+(INDEX('Stat Boosts'!$D$2:$D$192,K$1-9)-10)*$C146</f>
        <v>1.0148409893992931</v>
      </c>
      <c r="L146" s="16">
        <f>0.5+(INDEX('Stat Boosts'!$D$2:$D$192,L$1-9)-10)*$C146</f>
        <v>1.0696113074204945</v>
      </c>
      <c r="M146" s="16">
        <f>0.5+(INDEX('Stat Boosts'!$D$2:$D$192,M$1-9)-10)*$C146</f>
        <v>1.1462897526501767</v>
      </c>
      <c r="N146" s="16">
        <f>0.5+(INDEX('Stat Boosts'!$D$2:$D$192,N$1-9)-10)*$C146</f>
        <v>1.244876325088339</v>
      </c>
      <c r="O146" s="16">
        <f>0.5+(INDEX('Stat Boosts'!$D$2:$D$192,O$1-9)-10)*$C146</f>
        <v>1.2996466431095404</v>
      </c>
      <c r="P146" s="16">
        <f>0.5+(INDEX('Stat Boosts'!$D$2:$D$192,P$1-9)-10)*$C146</f>
        <v>1.3872791519434626</v>
      </c>
      <c r="Q146" s="16">
        <f>0.5+(INDEX('Stat Boosts'!$D$2:$D$192,Q$1-9)-10)*$C146</f>
        <v>1.4749116607773849</v>
      </c>
      <c r="R146" s="16">
        <f>0.5+(INDEX('Stat Boosts'!$D$2:$D$192,R$1-9)-10)*$C146</f>
        <v>1.5625441696113072</v>
      </c>
    </row>
    <row r="147" spans="1:18">
      <c r="A147" s="9">
        <v>146</v>
      </c>
      <c r="B147" s="16">
        <f t="shared" si="4"/>
        <v>65.096774193548384</v>
      </c>
      <c r="C147" s="16">
        <f t="shared" si="5"/>
        <v>1.0889929742388759E-2</v>
      </c>
      <c r="E147" s="16">
        <f>0.5+(INDEX('Stat Boosts'!$D$2:$D$192,E$1-9)-10)*$C147</f>
        <v>0.5</v>
      </c>
      <c r="F147" s="16">
        <f>0.5+(INDEX('Stat Boosts'!$D$2:$D$192,F$1-9)-10)*$C147</f>
        <v>0.57622950819672136</v>
      </c>
      <c r="G147" s="16">
        <f>0.5+(INDEX('Stat Boosts'!$D$2:$D$192,G$1-9)-10)*$C147</f>
        <v>0.65245901639344261</v>
      </c>
      <c r="H147" s="16">
        <f>0.5+(INDEX('Stat Boosts'!$D$2:$D$192,H$1-9)-10)*$C147</f>
        <v>0.72868852459016398</v>
      </c>
      <c r="I147" s="16">
        <f>0.5+(INDEX('Stat Boosts'!$D$2:$D$192,I$1-9)-10)*$C147</f>
        <v>0.79402810304449645</v>
      </c>
      <c r="J147" s="16">
        <f>0.5+(INDEX('Stat Boosts'!$D$2:$D$192,J$1-9)-10)*$C147</f>
        <v>0.85936768149882914</v>
      </c>
      <c r="K147" s="16">
        <f>0.5+(INDEX('Stat Boosts'!$D$2:$D$192,K$1-9)-10)*$C147</f>
        <v>1.0118266978922716</v>
      </c>
      <c r="L147" s="16">
        <f>0.5+(INDEX('Stat Boosts'!$D$2:$D$192,L$1-9)-10)*$C147</f>
        <v>1.0662763466042153</v>
      </c>
      <c r="M147" s="16">
        <f>0.5+(INDEX('Stat Boosts'!$D$2:$D$192,M$1-9)-10)*$C147</f>
        <v>1.1425058548009368</v>
      </c>
      <c r="N147" s="16">
        <f>0.5+(INDEX('Stat Boosts'!$D$2:$D$192,N$1-9)-10)*$C147</f>
        <v>1.2405152224824356</v>
      </c>
      <c r="O147" s="16">
        <f>0.5+(INDEX('Stat Boosts'!$D$2:$D$192,O$1-9)-10)*$C147</f>
        <v>1.2949648711943795</v>
      </c>
      <c r="P147" s="16">
        <f>0.5+(INDEX('Stat Boosts'!$D$2:$D$192,P$1-9)-10)*$C147</f>
        <v>1.3820843091334896</v>
      </c>
      <c r="Q147" s="16">
        <f>0.5+(INDEX('Stat Boosts'!$D$2:$D$192,Q$1-9)-10)*$C147</f>
        <v>1.4692037470725996</v>
      </c>
      <c r="R147" s="16">
        <f>0.5+(INDEX('Stat Boosts'!$D$2:$D$192,R$1-9)-10)*$C147</f>
        <v>1.5563231850117096</v>
      </c>
    </row>
    <row r="148" spans="1:18">
      <c r="A148" s="9">
        <v>147</v>
      </c>
      <c r="B148" s="16">
        <f t="shared" si="4"/>
        <v>65.419354838709666</v>
      </c>
      <c r="C148" s="16">
        <f t="shared" si="5"/>
        <v>1.0826542491268919E-2</v>
      </c>
      <c r="E148" s="16">
        <f>0.5+(INDEX('Stat Boosts'!$D$2:$D$192,E$1-9)-10)*$C148</f>
        <v>0.5</v>
      </c>
      <c r="F148" s="16">
        <f>0.5+(INDEX('Stat Boosts'!$D$2:$D$192,F$1-9)-10)*$C148</f>
        <v>0.57578579743888247</v>
      </c>
      <c r="G148" s="16">
        <f>0.5+(INDEX('Stat Boosts'!$D$2:$D$192,G$1-9)-10)*$C148</f>
        <v>0.65157159487776484</v>
      </c>
      <c r="H148" s="16">
        <f>0.5+(INDEX('Stat Boosts'!$D$2:$D$192,H$1-9)-10)*$C148</f>
        <v>0.72735739231664731</v>
      </c>
      <c r="I148" s="16">
        <f>0.5+(INDEX('Stat Boosts'!$D$2:$D$192,I$1-9)-10)*$C148</f>
        <v>0.79231664726426088</v>
      </c>
      <c r="J148" s="16">
        <f>0.5+(INDEX('Stat Boosts'!$D$2:$D$192,J$1-9)-10)*$C148</f>
        <v>0.85727590221187433</v>
      </c>
      <c r="K148" s="16">
        <f>0.5+(INDEX('Stat Boosts'!$D$2:$D$192,K$1-9)-10)*$C148</f>
        <v>1.0088474970896391</v>
      </c>
      <c r="L148" s="16">
        <f>0.5+(INDEX('Stat Boosts'!$D$2:$D$192,L$1-9)-10)*$C148</f>
        <v>1.0629802095459837</v>
      </c>
      <c r="M148" s="16">
        <f>0.5+(INDEX('Stat Boosts'!$D$2:$D$192,M$1-9)-10)*$C148</f>
        <v>1.1387660069848664</v>
      </c>
      <c r="N148" s="16">
        <f>0.5+(INDEX('Stat Boosts'!$D$2:$D$192,N$1-9)-10)*$C148</f>
        <v>1.2362048894062865</v>
      </c>
      <c r="O148" s="16">
        <f>0.5+(INDEX('Stat Boosts'!$D$2:$D$192,O$1-9)-10)*$C148</f>
        <v>1.2903376018626311</v>
      </c>
      <c r="P148" s="16">
        <f>0.5+(INDEX('Stat Boosts'!$D$2:$D$192,P$1-9)-10)*$C148</f>
        <v>1.3769499417927826</v>
      </c>
      <c r="Q148" s="16">
        <f>0.5+(INDEX('Stat Boosts'!$D$2:$D$192,Q$1-9)-10)*$C148</f>
        <v>1.4635622817229339</v>
      </c>
      <c r="R148" s="16">
        <f>0.5+(INDEX('Stat Boosts'!$D$2:$D$192,R$1-9)-10)*$C148</f>
        <v>1.5501746216530852</v>
      </c>
    </row>
    <row r="149" spans="1:18">
      <c r="A149" s="9">
        <v>148</v>
      </c>
      <c r="B149" s="16">
        <f t="shared" si="4"/>
        <v>65.741935483870975</v>
      </c>
      <c r="C149" s="16">
        <f t="shared" si="5"/>
        <v>1.0763888888888887E-2</v>
      </c>
      <c r="E149" s="16">
        <f>0.5+(INDEX('Stat Boosts'!$D$2:$D$192,E$1-9)-10)*$C149</f>
        <v>0.5</v>
      </c>
      <c r="F149" s="16">
        <f>0.5+(INDEX('Stat Boosts'!$D$2:$D$192,F$1-9)-10)*$C149</f>
        <v>0.57534722222222223</v>
      </c>
      <c r="G149" s="16">
        <f>0.5+(INDEX('Stat Boosts'!$D$2:$D$192,G$1-9)-10)*$C149</f>
        <v>0.65069444444444446</v>
      </c>
      <c r="H149" s="16">
        <f>0.5+(INDEX('Stat Boosts'!$D$2:$D$192,H$1-9)-10)*$C149</f>
        <v>0.7260416666666667</v>
      </c>
      <c r="I149" s="16">
        <f>0.5+(INDEX('Stat Boosts'!$D$2:$D$192,I$1-9)-10)*$C149</f>
        <v>0.79062499999999991</v>
      </c>
      <c r="J149" s="16">
        <f>0.5+(INDEX('Stat Boosts'!$D$2:$D$192,J$1-9)-10)*$C149</f>
        <v>0.85520833333333335</v>
      </c>
      <c r="K149" s="16">
        <f>0.5+(INDEX('Stat Boosts'!$D$2:$D$192,K$1-9)-10)*$C149</f>
        <v>1.0059027777777776</v>
      </c>
      <c r="L149" s="16">
        <f>0.5+(INDEX('Stat Boosts'!$D$2:$D$192,L$1-9)-10)*$C149</f>
        <v>1.0597222222222222</v>
      </c>
      <c r="M149" s="16">
        <f>0.5+(INDEX('Stat Boosts'!$D$2:$D$192,M$1-9)-10)*$C149</f>
        <v>1.1350694444444445</v>
      </c>
      <c r="N149" s="16">
        <f>0.5+(INDEX('Stat Boosts'!$D$2:$D$192,N$1-9)-10)*$C149</f>
        <v>1.2319444444444443</v>
      </c>
      <c r="O149" s="16">
        <f>0.5+(INDEX('Stat Boosts'!$D$2:$D$192,O$1-9)-10)*$C149</f>
        <v>1.2857638888888887</v>
      </c>
      <c r="P149" s="16">
        <f>0.5+(INDEX('Stat Boosts'!$D$2:$D$192,P$1-9)-10)*$C149</f>
        <v>1.3718749999999997</v>
      </c>
      <c r="Q149" s="16">
        <f>0.5+(INDEX('Stat Boosts'!$D$2:$D$192,Q$1-9)-10)*$C149</f>
        <v>1.457986111111111</v>
      </c>
      <c r="R149" s="16">
        <f>0.5+(INDEX('Stat Boosts'!$D$2:$D$192,R$1-9)-10)*$C149</f>
        <v>1.544097222222222</v>
      </c>
    </row>
    <row r="150" spans="1:18">
      <c r="A150" s="9">
        <v>149</v>
      </c>
      <c r="B150" s="16">
        <f t="shared" si="4"/>
        <v>66.064516129032256</v>
      </c>
      <c r="C150" s="16">
        <f t="shared" si="5"/>
        <v>1.0701956271576525E-2</v>
      </c>
      <c r="E150" s="16">
        <f>0.5+(INDEX('Stat Boosts'!$D$2:$D$192,E$1-9)-10)*$C150</f>
        <v>0.5</v>
      </c>
      <c r="F150" s="16">
        <f>0.5+(INDEX('Stat Boosts'!$D$2:$D$192,F$1-9)-10)*$C150</f>
        <v>0.57491369390103564</v>
      </c>
      <c r="G150" s="16">
        <f>0.5+(INDEX('Stat Boosts'!$D$2:$D$192,G$1-9)-10)*$C150</f>
        <v>0.64982738780207139</v>
      </c>
      <c r="H150" s="16">
        <f>0.5+(INDEX('Stat Boosts'!$D$2:$D$192,H$1-9)-10)*$C150</f>
        <v>0.72474108170310703</v>
      </c>
      <c r="I150" s="16">
        <f>0.5+(INDEX('Stat Boosts'!$D$2:$D$192,I$1-9)-10)*$C150</f>
        <v>0.78895281933256611</v>
      </c>
      <c r="J150" s="16">
        <f>0.5+(INDEX('Stat Boosts'!$D$2:$D$192,J$1-9)-10)*$C150</f>
        <v>0.85316455696202542</v>
      </c>
      <c r="K150" s="16">
        <f>0.5+(INDEX('Stat Boosts'!$D$2:$D$192,K$1-9)-10)*$C150</f>
        <v>1.0029919447640967</v>
      </c>
      <c r="L150" s="16">
        <f>0.5+(INDEX('Stat Boosts'!$D$2:$D$192,L$1-9)-10)*$C150</f>
        <v>1.0565017261219793</v>
      </c>
      <c r="M150" s="16">
        <f>0.5+(INDEX('Stat Boosts'!$D$2:$D$192,M$1-9)-10)*$C150</f>
        <v>1.1314154200230151</v>
      </c>
      <c r="N150" s="16">
        <f>0.5+(INDEX('Stat Boosts'!$D$2:$D$192,N$1-9)-10)*$C150</f>
        <v>1.2277330264672037</v>
      </c>
      <c r="O150" s="16">
        <f>0.5+(INDEX('Stat Boosts'!$D$2:$D$192,O$1-9)-10)*$C150</f>
        <v>1.2812428078250864</v>
      </c>
      <c r="P150" s="16">
        <f>0.5+(INDEX('Stat Boosts'!$D$2:$D$192,P$1-9)-10)*$C150</f>
        <v>1.3668584579976986</v>
      </c>
      <c r="Q150" s="16">
        <f>0.5+(INDEX('Stat Boosts'!$D$2:$D$192,Q$1-9)-10)*$C150</f>
        <v>1.4524741081703108</v>
      </c>
      <c r="R150" s="16">
        <f>0.5+(INDEX('Stat Boosts'!$D$2:$D$192,R$1-9)-10)*$C150</f>
        <v>1.5380897583429229</v>
      </c>
    </row>
    <row r="151" spans="1:18">
      <c r="A151" s="9">
        <v>150</v>
      </c>
      <c r="B151" s="16">
        <f t="shared" si="4"/>
        <v>66.387096774193537</v>
      </c>
      <c r="C151" s="16">
        <f t="shared" si="5"/>
        <v>1.0640732265446226E-2</v>
      </c>
      <c r="E151" s="16">
        <f>0.5+(INDEX('Stat Boosts'!$D$2:$D$192,E$1-9)-10)*$C151</f>
        <v>0.5</v>
      </c>
      <c r="F151" s="16">
        <f>0.5+(INDEX('Stat Boosts'!$D$2:$D$192,F$1-9)-10)*$C151</f>
        <v>0.57448512585812361</v>
      </c>
      <c r="G151" s="16">
        <f>0.5+(INDEX('Stat Boosts'!$D$2:$D$192,G$1-9)-10)*$C151</f>
        <v>0.64897025171624723</v>
      </c>
      <c r="H151" s="16">
        <f>0.5+(INDEX('Stat Boosts'!$D$2:$D$192,H$1-9)-10)*$C151</f>
        <v>0.72345537757437073</v>
      </c>
      <c r="I151" s="16">
        <f>0.5+(INDEX('Stat Boosts'!$D$2:$D$192,I$1-9)-10)*$C151</f>
        <v>0.78729977116704808</v>
      </c>
      <c r="J151" s="16">
        <f>0.5+(INDEX('Stat Boosts'!$D$2:$D$192,J$1-9)-10)*$C151</f>
        <v>0.85114416475972543</v>
      </c>
      <c r="K151" s="16">
        <f>0.5+(INDEX('Stat Boosts'!$D$2:$D$192,K$1-9)-10)*$C151</f>
        <v>1.0001144164759728</v>
      </c>
      <c r="L151" s="16">
        <f>0.5+(INDEX('Stat Boosts'!$D$2:$D$192,L$1-9)-10)*$C151</f>
        <v>1.0533180778032039</v>
      </c>
      <c r="M151" s="16">
        <f>0.5+(INDEX('Stat Boosts'!$D$2:$D$192,M$1-9)-10)*$C151</f>
        <v>1.1278032036613275</v>
      </c>
      <c r="N151" s="16">
        <f>0.5+(INDEX('Stat Boosts'!$D$2:$D$192,N$1-9)-10)*$C151</f>
        <v>1.2235697940503434</v>
      </c>
      <c r="O151" s="16">
        <f>0.5+(INDEX('Stat Boosts'!$D$2:$D$192,O$1-9)-10)*$C151</f>
        <v>1.2767734553775745</v>
      </c>
      <c r="P151" s="16">
        <f>0.5+(INDEX('Stat Boosts'!$D$2:$D$192,P$1-9)-10)*$C151</f>
        <v>1.3618993135011443</v>
      </c>
      <c r="Q151" s="16">
        <f>0.5+(INDEX('Stat Boosts'!$D$2:$D$192,Q$1-9)-10)*$C151</f>
        <v>1.447025171624714</v>
      </c>
      <c r="R151" s="16">
        <f>0.5+(INDEX('Stat Boosts'!$D$2:$D$192,R$1-9)-10)*$C151</f>
        <v>1.5321510297482839</v>
      </c>
    </row>
  </sheetData>
  <conditionalFormatting sqref="E1:R1048576">
    <cfRule type="expression" dxfId="1" priority="1">
      <formula>INDEX($A$1:$A$150,ROW())+22&lt;INDEX($A$1:$R$1,1,COLUMN())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13"/>
  <dimension ref="A1:U151"/>
  <sheetViews>
    <sheetView topLeftCell="A7" workbookViewId="0">
      <selection activeCell="G120" sqref="G120"/>
    </sheetView>
  </sheetViews>
  <sheetFormatPr defaultRowHeight="15"/>
  <cols>
    <col min="1" max="1" width="11.85546875" style="9" bestFit="1" customWidth="1"/>
    <col min="2" max="2" width="11.85546875" style="16" customWidth="1"/>
    <col min="3" max="3" width="16.7109375" style="43" bestFit="1" customWidth="1"/>
    <col min="4" max="4" width="13.5703125" style="43" customWidth="1"/>
    <col min="5" max="5" width="22.5703125" style="16" bestFit="1" customWidth="1"/>
    <col min="6" max="6" width="14.7109375" style="16" bestFit="1" customWidth="1"/>
    <col min="7" max="7" width="11.5703125" style="16" bestFit="1" customWidth="1"/>
    <col min="8" max="21" width="9.140625" style="16"/>
  </cols>
  <sheetData>
    <row r="1" spans="1:21">
      <c r="A1" s="31" t="s">
        <v>367</v>
      </c>
      <c r="B1" s="33" t="s">
        <v>369</v>
      </c>
      <c r="C1" s="42" t="s">
        <v>371</v>
      </c>
      <c r="D1" s="42" t="s">
        <v>370</v>
      </c>
      <c r="E1" s="31" t="s">
        <v>368</v>
      </c>
      <c r="F1" s="31"/>
      <c r="G1" s="55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</row>
    <row r="2" spans="1:21">
      <c r="A2" s="9">
        <v>10</v>
      </c>
      <c r="B2" s="16">
        <v>0.01</v>
      </c>
      <c r="C2" s="43">
        <f>IF(B2&lt;&gt;B1,IF(ROW()=ROW($D$2),10,A1),C1)</f>
        <v>10</v>
      </c>
      <c r="D2" s="43">
        <f>IF(B2&lt;&gt;B1,IF(ROW()=ROW($D$2),3.5,E1),D1)</f>
        <v>3.5</v>
      </c>
      <c r="E2" s="16">
        <f>(INDEX('Stat Boosts'!$D$2:$D$192,$A2-9)-INDEX('Stat Boosts'!$D$2:$D$192,C2-9))*B2+D2</f>
        <v>3.5</v>
      </c>
    </row>
    <row r="3" spans="1:21">
      <c r="A3" s="9">
        <v>11</v>
      </c>
      <c r="B3" s="16">
        <v>0.01</v>
      </c>
      <c r="C3" s="43">
        <f t="shared" ref="C3:C28" si="0">IF(B3&lt;&gt;B2,IF(ROW()=ROW($D$2),10,A2),C2)</f>
        <v>10</v>
      </c>
      <c r="D3" s="43">
        <f t="shared" ref="D3:D66" si="1">IF(B3&lt;&gt;B2,IF(ROW()=ROW($D$2),3,E2),D2)</f>
        <v>3.5</v>
      </c>
      <c r="E3" s="16">
        <f>(INDEX('Stat Boosts'!$D$2:$D$192,$A3-9)-INDEX('Stat Boosts'!$D$2:$D$192,C3-9))*B3+D3</f>
        <v>3.51</v>
      </c>
    </row>
    <row r="4" spans="1:21">
      <c r="A4" s="9">
        <v>12</v>
      </c>
      <c r="B4" s="16">
        <v>0.01</v>
      </c>
      <c r="C4" s="43">
        <f t="shared" si="0"/>
        <v>10</v>
      </c>
      <c r="D4" s="43">
        <f t="shared" si="1"/>
        <v>3.5</v>
      </c>
      <c r="E4" s="16">
        <f>(INDEX('Stat Boosts'!$D$2:$D$192,$A4-9)-INDEX('Stat Boosts'!$D$2:$D$192,C4-9))*B4+D4</f>
        <v>3.52</v>
      </c>
    </row>
    <row r="5" spans="1:21">
      <c r="A5" s="9">
        <v>13</v>
      </c>
      <c r="B5" s="16">
        <v>0.01</v>
      </c>
      <c r="C5" s="43">
        <f t="shared" si="0"/>
        <v>10</v>
      </c>
      <c r="D5" s="43">
        <f t="shared" si="1"/>
        <v>3.5</v>
      </c>
      <c r="E5" s="16">
        <f>(INDEX('Stat Boosts'!$D$2:$D$192,$A5-9)-INDEX('Stat Boosts'!$D$2:$D$192,C5-9))*B5+D5</f>
        <v>3.54</v>
      </c>
    </row>
    <row r="6" spans="1:21">
      <c r="A6" s="9">
        <v>14</v>
      </c>
      <c r="B6" s="16">
        <v>0.01</v>
      </c>
      <c r="C6" s="43">
        <f t="shared" si="0"/>
        <v>10</v>
      </c>
      <c r="D6" s="43">
        <f t="shared" si="1"/>
        <v>3.5</v>
      </c>
      <c r="E6" s="16">
        <f>(INDEX('Stat Boosts'!$D$2:$D$192,$A6-9)-INDEX('Stat Boosts'!$D$2:$D$192,C6-9))*B6+D6</f>
        <v>3.55</v>
      </c>
    </row>
    <row r="7" spans="1:21">
      <c r="A7" s="9">
        <v>15</v>
      </c>
      <c r="B7" s="16">
        <v>0.01</v>
      </c>
      <c r="C7" s="43">
        <f t="shared" si="0"/>
        <v>10</v>
      </c>
      <c r="D7" s="43">
        <f t="shared" si="1"/>
        <v>3.5</v>
      </c>
      <c r="E7" s="16">
        <f>(INDEX('Stat Boosts'!$D$2:$D$192,$A7-9)-INDEX('Stat Boosts'!$D$2:$D$192,C7-9))*B7+D7</f>
        <v>3.57</v>
      </c>
    </row>
    <row r="8" spans="1:21">
      <c r="A8" s="9">
        <v>16</v>
      </c>
      <c r="B8" s="16">
        <v>0.01</v>
      </c>
      <c r="C8" s="43">
        <f t="shared" si="0"/>
        <v>10</v>
      </c>
      <c r="D8" s="43">
        <f t="shared" si="1"/>
        <v>3.5</v>
      </c>
      <c r="E8" s="16">
        <f>(INDEX('Stat Boosts'!$D$2:$D$192,$A8-9)-INDEX('Stat Boosts'!$D$2:$D$192,C8-9))*B8+D8</f>
        <v>3.58</v>
      </c>
    </row>
    <row r="9" spans="1:21">
      <c r="A9" s="9">
        <v>17</v>
      </c>
      <c r="B9" s="16">
        <v>0.01</v>
      </c>
      <c r="C9" s="43">
        <f t="shared" si="0"/>
        <v>10</v>
      </c>
      <c r="D9" s="43">
        <f t="shared" si="1"/>
        <v>3.5</v>
      </c>
      <c r="E9" s="16">
        <f>(INDEX('Stat Boosts'!$D$2:$D$192,$A9-9)-INDEX('Stat Boosts'!$D$2:$D$192,C9-9))*B9+D9</f>
        <v>3.6</v>
      </c>
    </row>
    <row r="10" spans="1:21">
      <c r="A10" s="9">
        <v>18</v>
      </c>
      <c r="B10" s="16">
        <v>0.01</v>
      </c>
      <c r="C10" s="43">
        <f t="shared" si="0"/>
        <v>10</v>
      </c>
      <c r="D10" s="43">
        <f t="shared" si="1"/>
        <v>3.5</v>
      </c>
      <c r="E10" s="16">
        <f>(INDEX('Stat Boosts'!$D$2:$D$192,$A10-9)-INDEX('Stat Boosts'!$D$2:$D$192,C10-9))*B10+D10</f>
        <v>3.61</v>
      </c>
    </row>
    <row r="11" spans="1:21">
      <c r="A11" s="9">
        <v>19</v>
      </c>
      <c r="B11" s="16">
        <v>0.01</v>
      </c>
      <c r="C11" s="43">
        <f t="shared" si="0"/>
        <v>10</v>
      </c>
      <c r="D11" s="43">
        <f t="shared" si="1"/>
        <v>3.5</v>
      </c>
      <c r="E11" s="16">
        <f>(INDEX('Stat Boosts'!$D$2:$D$192,$A11-9)-INDEX('Stat Boosts'!$D$2:$D$192,C11-9))*B11+D11</f>
        <v>3.63</v>
      </c>
    </row>
    <row r="12" spans="1:21">
      <c r="A12" s="9">
        <v>20</v>
      </c>
      <c r="B12" s="16">
        <v>0.01</v>
      </c>
      <c r="C12" s="43">
        <f t="shared" si="0"/>
        <v>10</v>
      </c>
      <c r="D12" s="43">
        <f t="shared" si="1"/>
        <v>3.5</v>
      </c>
      <c r="E12" s="16">
        <f>(INDEX('Stat Boosts'!$D$2:$D$192,$A12-9)-INDEX('Stat Boosts'!$D$2:$D$192,C12-9))*B12+D12</f>
        <v>3.64</v>
      </c>
    </row>
    <row r="13" spans="1:21">
      <c r="A13" s="9">
        <v>21</v>
      </c>
      <c r="B13" s="16">
        <v>0.01</v>
      </c>
      <c r="C13" s="43">
        <f t="shared" si="0"/>
        <v>10</v>
      </c>
      <c r="D13" s="43">
        <f t="shared" si="1"/>
        <v>3.5</v>
      </c>
      <c r="E13" s="16">
        <f>(INDEX('Stat Boosts'!$D$2:$D$192,$A13-9)-INDEX('Stat Boosts'!$D$2:$D$192,C13-9))*B13+D13</f>
        <v>3.66</v>
      </c>
    </row>
    <row r="14" spans="1:21">
      <c r="A14" s="9">
        <v>22</v>
      </c>
      <c r="B14" s="16">
        <v>0.01</v>
      </c>
      <c r="C14" s="43">
        <f t="shared" si="0"/>
        <v>10</v>
      </c>
      <c r="D14" s="43">
        <f t="shared" si="1"/>
        <v>3.5</v>
      </c>
      <c r="E14" s="16">
        <f>(INDEX('Stat Boosts'!$D$2:$D$192,$A14-9)-INDEX('Stat Boosts'!$D$2:$D$192,C14-9))*B14+D14</f>
        <v>3.67</v>
      </c>
    </row>
    <row r="15" spans="1:21">
      <c r="A15" s="9">
        <v>23</v>
      </c>
      <c r="B15" s="16">
        <v>0.01</v>
      </c>
      <c r="C15" s="43">
        <f t="shared" si="0"/>
        <v>10</v>
      </c>
      <c r="D15" s="43">
        <f t="shared" si="1"/>
        <v>3.5</v>
      </c>
      <c r="E15" s="16">
        <f>(INDEX('Stat Boosts'!$D$2:$D$192,$A15-9)-INDEX('Stat Boosts'!$D$2:$D$192,C15-9))*B15+D15</f>
        <v>3.68</v>
      </c>
    </row>
    <row r="16" spans="1:21">
      <c r="A16" s="9">
        <v>24</v>
      </c>
      <c r="B16" s="16">
        <v>0.01</v>
      </c>
      <c r="C16" s="43">
        <f t="shared" si="0"/>
        <v>10</v>
      </c>
      <c r="D16" s="43">
        <f t="shared" si="1"/>
        <v>3.5</v>
      </c>
      <c r="E16" s="16">
        <f>(INDEX('Stat Boosts'!$D$2:$D$192,$A16-9)-INDEX('Stat Boosts'!$D$2:$D$192,C16-9))*B16+D16</f>
        <v>3.69</v>
      </c>
    </row>
    <row r="17" spans="1:5">
      <c r="A17" s="9">
        <v>25</v>
      </c>
      <c r="B17" s="16">
        <v>0.04</v>
      </c>
      <c r="C17" s="43">
        <f t="shared" si="0"/>
        <v>24</v>
      </c>
      <c r="D17" s="43">
        <f t="shared" si="1"/>
        <v>3.69</v>
      </c>
      <c r="E17" s="16">
        <f>(INDEX('Stat Boosts'!$D$2:$D$192,$A17-9)-INDEX('Stat Boosts'!$D$2:$D$192,C17-9))*B17+D17</f>
        <v>3.77</v>
      </c>
    </row>
    <row r="18" spans="1:5">
      <c r="A18" s="9">
        <v>26</v>
      </c>
      <c r="B18" s="16">
        <v>0.04</v>
      </c>
      <c r="C18" s="43">
        <f t="shared" si="0"/>
        <v>24</v>
      </c>
      <c r="D18" s="43">
        <f t="shared" si="1"/>
        <v>3.69</v>
      </c>
      <c r="E18" s="16">
        <f>(INDEX('Stat Boosts'!$D$2:$D$192,$A18-9)-INDEX('Stat Boosts'!$D$2:$D$192,C18-9))*B18+D18</f>
        <v>3.81</v>
      </c>
    </row>
    <row r="19" spans="1:5">
      <c r="A19" s="9">
        <v>27</v>
      </c>
      <c r="B19" s="16">
        <v>0.04</v>
      </c>
      <c r="C19" s="43">
        <f t="shared" si="0"/>
        <v>24</v>
      </c>
      <c r="D19" s="43">
        <f t="shared" si="1"/>
        <v>3.69</v>
      </c>
      <c r="E19" s="16">
        <f>(INDEX('Stat Boosts'!$D$2:$D$192,$A19-9)-INDEX('Stat Boosts'!$D$2:$D$192,C19-9))*B19+D19</f>
        <v>3.85</v>
      </c>
    </row>
    <row r="20" spans="1:5">
      <c r="A20" s="9">
        <v>28</v>
      </c>
      <c r="B20" s="16">
        <v>0.04</v>
      </c>
      <c r="C20" s="43">
        <f t="shared" si="0"/>
        <v>24</v>
      </c>
      <c r="D20" s="43">
        <f t="shared" si="1"/>
        <v>3.69</v>
      </c>
      <c r="E20" s="16">
        <f>(INDEX('Stat Boosts'!$D$2:$D$192,$A20-9)-INDEX('Stat Boosts'!$D$2:$D$192,C20-9))*B20+D20</f>
        <v>3.89</v>
      </c>
    </row>
    <row r="21" spans="1:5">
      <c r="A21" s="9">
        <v>29</v>
      </c>
      <c r="B21" s="16">
        <v>0.04</v>
      </c>
      <c r="C21" s="43">
        <f t="shared" si="0"/>
        <v>24</v>
      </c>
      <c r="D21" s="43">
        <f t="shared" si="1"/>
        <v>3.69</v>
      </c>
      <c r="E21" s="16">
        <f>(INDEX('Stat Boosts'!$D$2:$D$192,$A21-9)-INDEX('Stat Boosts'!$D$2:$D$192,C21-9))*B21+D21</f>
        <v>3.9699999999999998</v>
      </c>
    </row>
    <row r="22" spans="1:5">
      <c r="A22" s="9">
        <v>30</v>
      </c>
      <c r="B22" s="16">
        <v>0.04</v>
      </c>
      <c r="C22" s="43">
        <f t="shared" si="0"/>
        <v>24</v>
      </c>
      <c r="D22" s="43">
        <f t="shared" si="1"/>
        <v>3.69</v>
      </c>
      <c r="E22" s="16">
        <f>(INDEX('Stat Boosts'!$D$2:$D$192,$A22-9)-INDEX('Stat Boosts'!$D$2:$D$192,C22-9))*B22+D22</f>
        <v>4.01</v>
      </c>
    </row>
    <row r="23" spans="1:5">
      <c r="A23" s="9">
        <v>31</v>
      </c>
      <c r="B23" s="16">
        <v>0.04</v>
      </c>
      <c r="C23" s="43">
        <f t="shared" si="0"/>
        <v>24</v>
      </c>
      <c r="D23" s="43">
        <f t="shared" si="1"/>
        <v>3.69</v>
      </c>
      <c r="E23" s="16">
        <f>(INDEX('Stat Boosts'!$D$2:$D$192,$A23-9)-INDEX('Stat Boosts'!$D$2:$D$192,C23-9))*B23+D23</f>
        <v>4.05</v>
      </c>
    </row>
    <row r="24" spans="1:5">
      <c r="A24" s="9">
        <v>32</v>
      </c>
      <c r="B24" s="16">
        <v>0.04</v>
      </c>
      <c r="C24" s="43">
        <f t="shared" si="0"/>
        <v>24</v>
      </c>
      <c r="D24" s="43">
        <f t="shared" si="1"/>
        <v>3.69</v>
      </c>
      <c r="E24" s="16">
        <f>(INDEX('Stat Boosts'!$D$2:$D$192,$A24-9)-INDEX('Stat Boosts'!$D$2:$D$192,C24-9))*B24+D24</f>
        <v>4.09</v>
      </c>
    </row>
    <row r="25" spans="1:5">
      <c r="A25" s="9">
        <v>33</v>
      </c>
      <c r="B25" s="16">
        <v>0.04</v>
      </c>
      <c r="C25" s="43">
        <f t="shared" si="0"/>
        <v>24</v>
      </c>
      <c r="D25" s="43">
        <f t="shared" si="1"/>
        <v>3.69</v>
      </c>
      <c r="E25" s="16">
        <f>(INDEX('Stat Boosts'!$D$2:$D$192,$A25-9)-INDEX('Stat Boosts'!$D$2:$D$192,C25-9))*B25+D25</f>
        <v>4.13</v>
      </c>
    </row>
    <row r="26" spans="1:5">
      <c r="A26" s="9">
        <v>34</v>
      </c>
      <c r="B26" s="16">
        <v>0.04</v>
      </c>
      <c r="C26" s="43">
        <f t="shared" si="0"/>
        <v>24</v>
      </c>
      <c r="D26" s="43">
        <f t="shared" si="1"/>
        <v>3.69</v>
      </c>
      <c r="E26" s="16">
        <f>(INDEX('Stat Boosts'!$D$2:$D$192,$A26-9)-INDEX('Stat Boosts'!$D$2:$D$192,C26-9))*B26+D26</f>
        <v>4.21</v>
      </c>
    </row>
    <row r="27" spans="1:5">
      <c r="A27" s="9">
        <v>35</v>
      </c>
      <c r="B27" s="16">
        <v>0.05</v>
      </c>
      <c r="C27" s="43">
        <f t="shared" si="0"/>
        <v>34</v>
      </c>
      <c r="D27" s="43">
        <f t="shared" si="1"/>
        <v>4.21</v>
      </c>
      <c r="E27" s="16">
        <f>(INDEX('Stat Boosts'!$D$2:$D$192,$A27-9)-INDEX('Stat Boosts'!$D$2:$D$192,C27-9))*B27+D27</f>
        <v>4.26</v>
      </c>
    </row>
    <row r="28" spans="1:5">
      <c r="A28" s="9">
        <v>36</v>
      </c>
      <c r="B28" s="16">
        <v>0.05</v>
      </c>
      <c r="C28" s="43">
        <f t="shared" si="0"/>
        <v>34</v>
      </c>
      <c r="D28" s="43">
        <f t="shared" si="1"/>
        <v>4.21</v>
      </c>
      <c r="E28" s="16">
        <f>(INDEX('Stat Boosts'!$D$2:$D$192,$A28-9)-INDEX('Stat Boosts'!$D$2:$D$192,C28-9))*B28+D28</f>
        <v>4.3099999999999996</v>
      </c>
    </row>
    <row r="29" spans="1:5">
      <c r="A29" s="9">
        <v>37</v>
      </c>
      <c r="B29" s="16">
        <v>0.05</v>
      </c>
      <c r="C29" s="43">
        <f t="shared" ref="C29:C31" si="2">IF(B29&lt;&gt;B28,IF(ROW()=ROW($D$2),10,A28),C28)</f>
        <v>34</v>
      </c>
      <c r="D29" s="43">
        <f t="shared" si="1"/>
        <v>4.21</v>
      </c>
      <c r="E29" s="16">
        <f>(INDEX('Stat Boosts'!$D$2:$D$192,$A29-9)-INDEX('Stat Boosts'!$D$2:$D$192,C29-9))*B29+D29</f>
        <v>4.3600000000000003</v>
      </c>
    </row>
    <row r="30" spans="1:5">
      <c r="A30" s="9">
        <v>38</v>
      </c>
      <c r="B30" s="16">
        <v>0.05</v>
      </c>
      <c r="C30" s="43">
        <f t="shared" si="2"/>
        <v>34</v>
      </c>
      <c r="D30" s="43">
        <f t="shared" si="1"/>
        <v>4.21</v>
      </c>
      <c r="E30" s="16">
        <f>(INDEX('Stat Boosts'!$D$2:$D$192,$A30-9)-INDEX('Stat Boosts'!$D$2:$D$192,C30-9))*B30+D30</f>
        <v>4.41</v>
      </c>
    </row>
    <row r="31" spans="1:5">
      <c r="A31" s="9">
        <v>39</v>
      </c>
      <c r="B31" s="16">
        <v>0.05</v>
      </c>
      <c r="C31" s="43">
        <f t="shared" si="2"/>
        <v>34</v>
      </c>
      <c r="D31" s="43">
        <f t="shared" si="1"/>
        <v>4.21</v>
      </c>
      <c r="E31" s="16">
        <f>(INDEX('Stat Boosts'!$D$2:$D$192,$A31-9)-INDEX('Stat Boosts'!$D$2:$D$192,C31-9))*B31+D31</f>
        <v>4.5599999999999996</v>
      </c>
    </row>
    <row r="32" spans="1:5">
      <c r="A32" s="9">
        <v>40</v>
      </c>
      <c r="B32" s="16">
        <v>0.04</v>
      </c>
      <c r="C32" s="43">
        <f t="shared" ref="C32:C95" si="3">IF(B32&lt;&gt;B31,IF(ROW()=ROW($D$2),10,A31),C31)</f>
        <v>39</v>
      </c>
      <c r="D32" s="43">
        <f t="shared" si="1"/>
        <v>4.5599999999999996</v>
      </c>
      <c r="E32" s="16">
        <f>(INDEX('Stat Boosts'!$D$2:$D$192,$A32-9)-INDEX('Stat Boosts'!$D$2:$D$192,C32-9))*B32+D32</f>
        <v>4.5999999999999996</v>
      </c>
    </row>
    <row r="33" spans="1:5">
      <c r="A33" s="9">
        <v>41</v>
      </c>
      <c r="B33" s="16">
        <v>0.04</v>
      </c>
      <c r="C33" s="43">
        <f t="shared" si="3"/>
        <v>39</v>
      </c>
      <c r="D33" s="43">
        <f t="shared" si="1"/>
        <v>4.5599999999999996</v>
      </c>
      <c r="E33" s="16">
        <f>(INDEX('Stat Boosts'!$D$2:$D$192,$A33-9)-INDEX('Stat Boosts'!$D$2:$D$192,C33-9))*B33+D33</f>
        <v>4.6399999999999997</v>
      </c>
    </row>
    <row r="34" spans="1:5">
      <c r="A34" s="9">
        <v>42</v>
      </c>
      <c r="B34" s="16">
        <v>0.04</v>
      </c>
      <c r="C34" s="43">
        <f t="shared" si="3"/>
        <v>39</v>
      </c>
      <c r="D34" s="43">
        <f t="shared" si="1"/>
        <v>4.5599999999999996</v>
      </c>
      <c r="E34" s="16">
        <f>(INDEX('Stat Boosts'!$D$2:$D$192,$A34-9)-INDEX('Stat Boosts'!$D$2:$D$192,C34-9))*B34+D34</f>
        <v>4.68</v>
      </c>
    </row>
    <row r="35" spans="1:5">
      <c r="A35" s="9">
        <v>43</v>
      </c>
      <c r="B35" s="16">
        <v>0.04</v>
      </c>
      <c r="C35" s="43">
        <f t="shared" si="3"/>
        <v>39</v>
      </c>
      <c r="D35" s="43">
        <f t="shared" si="1"/>
        <v>4.5599999999999996</v>
      </c>
      <c r="E35" s="16">
        <f>(INDEX('Stat Boosts'!$D$2:$D$192,$A35-9)-INDEX('Stat Boosts'!$D$2:$D$192,C35-9))*B35+D35</f>
        <v>4.72</v>
      </c>
    </row>
    <row r="36" spans="1:5">
      <c r="A36" s="9">
        <v>44</v>
      </c>
      <c r="B36" s="16">
        <v>0.04</v>
      </c>
      <c r="C36" s="43">
        <f t="shared" si="3"/>
        <v>39</v>
      </c>
      <c r="D36" s="43">
        <f t="shared" si="1"/>
        <v>4.5599999999999996</v>
      </c>
      <c r="E36" s="16">
        <f>(INDEX('Stat Boosts'!$D$2:$D$192,$A36-9)-INDEX('Stat Boosts'!$D$2:$D$192,C36-9))*B36+D36</f>
        <v>4.76</v>
      </c>
    </row>
    <row r="37" spans="1:5">
      <c r="A37" s="9">
        <v>45</v>
      </c>
      <c r="B37" s="16">
        <v>0.04</v>
      </c>
      <c r="C37" s="43">
        <f t="shared" si="3"/>
        <v>39</v>
      </c>
      <c r="D37" s="43">
        <f t="shared" si="1"/>
        <v>4.5599999999999996</v>
      </c>
      <c r="E37" s="16">
        <f>(INDEX('Stat Boosts'!$D$2:$D$192,$A37-9)-INDEX('Stat Boosts'!$D$2:$D$192,C37-9))*B37+D37</f>
        <v>4.88</v>
      </c>
    </row>
    <row r="38" spans="1:5">
      <c r="A38" s="9">
        <v>46</v>
      </c>
      <c r="B38" s="16">
        <v>0.04</v>
      </c>
      <c r="C38" s="43">
        <f t="shared" si="3"/>
        <v>39</v>
      </c>
      <c r="D38" s="43">
        <f t="shared" si="1"/>
        <v>4.5599999999999996</v>
      </c>
      <c r="E38" s="16">
        <f>(INDEX('Stat Boosts'!$D$2:$D$192,$A38-9)-INDEX('Stat Boosts'!$D$2:$D$192,C38-9))*B38+D38</f>
        <v>4.92</v>
      </c>
    </row>
    <row r="39" spans="1:5">
      <c r="A39" s="9">
        <v>47</v>
      </c>
      <c r="B39" s="16">
        <v>0.04</v>
      </c>
      <c r="C39" s="43">
        <f t="shared" si="3"/>
        <v>39</v>
      </c>
      <c r="D39" s="43">
        <f t="shared" si="1"/>
        <v>4.5599999999999996</v>
      </c>
      <c r="E39" s="16">
        <f>(INDEX('Stat Boosts'!$D$2:$D$192,$A39-9)-INDEX('Stat Boosts'!$D$2:$D$192,C39-9))*B39+D39</f>
        <v>4.96</v>
      </c>
    </row>
    <row r="40" spans="1:5">
      <c r="A40" s="9">
        <v>48</v>
      </c>
      <c r="B40" s="16">
        <v>0.04</v>
      </c>
      <c r="C40" s="43">
        <f t="shared" si="3"/>
        <v>39</v>
      </c>
      <c r="D40" s="43">
        <f t="shared" si="1"/>
        <v>4.5599999999999996</v>
      </c>
      <c r="E40" s="16">
        <f>(INDEX('Stat Boosts'!$D$2:$D$192,$A40-9)-INDEX('Stat Boosts'!$D$2:$D$192,C40-9))*B40+D40</f>
        <v>5</v>
      </c>
    </row>
    <row r="41" spans="1:5">
      <c r="A41" s="9">
        <v>49</v>
      </c>
      <c r="B41" s="16">
        <v>0.04</v>
      </c>
      <c r="C41" s="43">
        <f t="shared" si="3"/>
        <v>39</v>
      </c>
      <c r="D41" s="43">
        <f t="shared" si="1"/>
        <v>4.5599999999999996</v>
      </c>
      <c r="E41" s="16">
        <f>(INDEX('Stat Boosts'!$D$2:$D$192,$A41-9)-INDEX('Stat Boosts'!$D$2:$D$192,C41-9))*B41+D41</f>
        <v>5.0399999999999991</v>
      </c>
    </row>
    <row r="42" spans="1:5">
      <c r="A42" s="9">
        <v>50</v>
      </c>
      <c r="B42" s="16">
        <v>0.04</v>
      </c>
      <c r="C42" s="43">
        <f t="shared" si="3"/>
        <v>39</v>
      </c>
      <c r="D42" s="43">
        <f t="shared" si="1"/>
        <v>4.5599999999999996</v>
      </c>
      <c r="E42" s="16">
        <f>(INDEX('Stat Boosts'!$D$2:$D$192,$A42-9)-INDEX('Stat Boosts'!$D$2:$D$192,C42-9))*B42+D42</f>
        <v>5.08</v>
      </c>
    </row>
    <row r="43" spans="1:5">
      <c r="A43" s="9">
        <v>51</v>
      </c>
      <c r="B43" s="16">
        <v>0.04</v>
      </c>
      <c r="C43" s="43">
        <f t="shared" si="3"/>
        <v>39</v>
      </c>
      <c r="D43" s="43">
        <f t="shared" si="1"/>
        <v>4.5599999999999996</v>
      </c>
      <c r="E43" s="16">
        <f>(INDEX('Stat Boosts'!$D$2:$D$192,$A43-9)-INDEX('Stat Boosts'!$D$2:$D$192,C43-9))*B43+D43</f>
        <v>5.1999999999999993</v>
      </c>
    </row>
    <row r="44" spans="1:5">
      <c r="A44" s="9">
        <v>52</v>
      </c>
      <c r="B44" s="16">
        <v>0.04</v>
      </c>
      <c r="C44" s="43">
        <f t="shared" si="3"/>
        <v>39</v>
      </c>
      <c r="D44" s="43">
        <f t="shared" si="1"/>
        <v>4.5599999999999996</v>
      </c>
      <c r="E44" s="16">
        <f>(INDEX('Stat Boosts'!$D$2:$D$192,$A44-9)-INDEX('Stat Boosts'!$D$2:$D$192,C44-9))*B44+D44</f>
        <v>5.2399999999999993</v>
      </c>
    </row>
    <row r="45" spans="1:5">
      <c r="A45" s="9">
        <v>53</v>
      </c>
      <c r="B45" s="16">
        <v>0.04</v>
      </c>
      <c r="C45" s="43">
        <f t="shared" si="3"/>
        <v>39</v>
      </c>
      <c r="D45" s="43">
        <f t="shared" si="1"/>
        <v>4.5599999999999996</v>
      </c>
      <c r="E45" s="16">
        <f>(INDEX('Stat Boosts'!$D$2:$D$192,$A45-9)-INDEX('Stat Boosts'!$D$2:$D$192,C45-9))*B45+D45</f>
        <v>5.2799999999999994</v>
      </c>
    </row>
    <row r="46" spans="1:5">
      <c r="A46" s="9">
        <v>54</v>
      </c>
      <c r="B46" s="16">
        <v>0.04</v>
      </c>
      <c r="C46" s="43">
        <f t="shared" si="3"/>
        <v>39</v>
      </c>
      <c r="D46" s="43">
        <f t="shared" si="1"/>
        <v>4.5599999999999996</v>
      </c>
      <c r="E46" s="16">
        <f>(INDEX('Stat Boosts'!$D$2:$D$192,$A46-9)-INDEX('Stat Boosts'!$D$2:$D$192,C46-9))*B46+D46</f>
        <v>5.3199999999999994</v>
      </c>
    </row>
    <row r="47" spans="1:5">
      <c r="A47" s="9">
        <v>55</v>
      </c>
      <c r="B47" s="16">
        <v>0.04</v>
      </c>
      <c r="C47" s="43">
        <f t="shared" si="3"/>
        <v>39</v>
      </c>
      <c r="D47" s="43">
        <f t="shared" si="1"/>
        <v>4.5599999999999996</v>
      </c>
      <c r="E47" s="16">
        <f>(INDEX('Stat Boosts'!$D$2:$D$192,$A47-9)-INDEX('Stat Boosts'!$D$2:$D$192,C47-9))*B47+D47</f>
        <v>5.3599999999999994</v>
      </c>
    </row>
    <row r="48" spans="1:5">
      <c r="A48" s="9">
        <v>56</v>
      </c>
      <c r="B48" s="16">
        <v>0.04</v>
      </c>
      <c r="C48" s="43">
        <f t="shared" si="3"/>
        <v>39</v>
      </c>
      <c r="D48" s="43">
        <f t="shared" si="1"/>
        <v>4.5599999999999996</v>
      </c>
      <c r="E48" s="16">
        <f>(INDEX('Stat Boosts'!$D$2:$D$192,$A48-9)-INDEX('Stat Boosts'!$D$2:$D$192,C48-9))*B48+D48</f>
        <v>5.3999999999999995</v>
      </c>
    </row>
    <row r="49" spans="1:5">
      <c r="A49" s="9">
        <v>57</v>
      </c>
      <c r="B49" s="16">
        <v>0.04</v>
      </c>
      <c r="C49" s="43">
        <f t="shared" si="3"/>
        <v>39</v>
      </c>
      <c r="D49" s="43">
        <f t="shared" si="1"/>
        <v>4.5599999999999996</v>
      </c>
      <c r="E49" s="16">
        <f>(INDEX('Stat Boosts'!$D$2:$D$192,$A49-9)-INDEX('Stat Boosts'!$D$2:$D$192,C49-9))*B49+D49</f>
        <v>5.52</v>
      </c>
    </row>
    <row r="50" spans="1:5">
      <c r="A50" s="9">
        <v>58</v>
      </c>
      <c r="B50" s="16">
        <v>0.04</v>
      </c>
      <c r="C50" s="43">
        <f t="shared" si="3"/>
        <v>39</v>
      </c>
      <c r="D50" s="43">
        <f t="shared" si="1"/>
        <v>4.5599999999999996</v>
      </c>
      <c r="E50" s="16">
        <f>(INDEX('Stat Boosts'!$D$2:$D$192,$A50-9)-INDEX('Stat Boosts'!$D$2:$D$192,C50-9))*B50+D50</f>
        <v>5.56</v>
      </c>
    </row>
    <row r="51" spans="1:5">
      <c r="A51" s="9">
        <v>59</v>
      </c>
      <c r="B51" s="16">
        <v>0.04</v>
      </c>
      <c r="C51" s="43">
        <f t="shared" si="3"/>
        <v>39</v>
      </c>
      <c r="D51" s="43">
        <f t="shared" si="1"/>
        <v>4.5599999999999996</v>
      </c>
      <c r="E51" s="16">
        <f>(INDEX('Stat Boosts'!$D$2:$D$192,$A51-9)-INDEX('Stat Boosts'!$D$2:$D$192,C51-9))*B51+D51</f>
        <v>5.6</v>
      </c>
    </row>
    <row r="52" spans="1:5">
      <c r="A52" s="9">
        <v>60</v>
      </c>
      <c r="B52" s="16">
        <v>0.04</v>
      </c>
      <c r="C52" s="43">
        <f t="shared" si="3"/>
        <v>39</v>
      </c>
      <c r="D52" s="43">
        <f t="shared" si="1"/>
        <v>4.5599999999999996</v>
      </c>
      <c r="E52" s="16">
        <f>(INDEX('Stat Boosts'!$D$2:$D$192,$A52-9)-INDEX('Stat Boosts'!$D$2:$D$192,C52-9))*B52+D52</f>
        <v>5.72</v>
      </c>
    </row>
    <row r="53" spans="1:5">
      <c r="A53" s="9">
        <v>61</v>
      </c>
      <c r="B53" s="16">
        <v>2.5000000000000001E-2</v>
      </c>
      <c r="C53" s="43">
        <f t="shared" si="3"/>
        <v>60</v>
      </c>
      <c r="D53" s="43">
        <f t="shared" si="1"/>
        <v>5.72</v>
      </c>
      <c r="E53" s="16">
        <f>(INDEX('Stat Boosts'!$D$2:$D$192,$A53-9)-INDEX('Stat Boosts'!$D$2:$D$192,C53-9))*B53+D53</f>
        <v>5.7450000000000001</v>
      </c>
    </row>
    <row r="54" spans="1:5">
      <c r="A54" s="9">
        <v>62</v>
      </c>
      <c r="B54" s="16">
        <v>2.5000000000000001E-2</v>
      </c>
      <c r="C54" s="43">
        <f t="shared" si="3"/>
        <v>60</v>
      </c>
      <c r="D54" s="43">
        <f t="shared" si="1"/>
        <v>5.72</v>
      </c>
      <c r="E54" s="16">
        <f>(INDEX('Stat Boosts'!$D$2:$D$192,$A54-9)-INDEX('Stat Boosts'!$D$2:$D$192,C54-9))*B54+D54</f>
        <v>5.77</v>
      </c>
    </row>
    <row r="55" spans="1:5">
      <c r="A55" s="9">
        <v>63</v>
      </c>
      <c r="B55" s="16">
        <v>2.5000000000000001E-2</v>
      </c>
      <c r="C55" s="43">
        <f t="shared" si="3"/>
        <v>60</v>
      </c>
      <c r="D55" s="43">
        <f t="shared" si="1"/>
        <v>5.72</v>
      </c>
      <c r="E55" s="16">
        <f>(INDEX('Stat Boosts'!$D$2:$D$192,$A55-9)-INDEX('Stat Boosts'!$D$2:$D$192,C55-9))*B55+D55</f>
        <v>5.7949999999999999</v>
      </c>
    </row>
    <row r="56" spans="1:5">
      <c r="A56" s="9">
        <v>64</v>
      </c>
      <c r="B56" s="16">
        <v>2.5000000000000001E-2</v>
      </c>
      <c r="C56" s="43">
        <f t="shared" si="3"/>
        <v>60</v>
      </c>
      <c r="D56" s="43">
        <f t="shared" si="1"/>
        <v>5.72</v>
      </c>
      <c r="E56" s="16">
        <f>(INDEX('Stat Boosts'!$D$2:$D$192,$A56-9)-INDEX('Stat Boosts'!$D$2:$D$192,C56-9))*B56+D56</f>
        <v>5.8199999999999994</v>
      </c>
    </row>
    <row r="57" spans="1:5">
      <c r="A57" s="9">
        <v>65</v>
      </c>
      <c r="B57" s="16">
        <v>2.5000000000000001E-2</v>
      </c>
      <c r="C57" s="43">
        <f t="shared" si="3"/>
        <v>60</v>
      </c>
      <c r="D57" s="43">
        <f t="shared" si="1"/>
        <v>5.72</v>
      </c>
      <c r="E57" s="16">
        <f>(INDEX('Stat Boosts'!$D$2:$D$192,$A57-9)-INDEX('Stat Boosts'!$D$2:$D$192,C57-9))*B57+D57</f>
        <v>5.8449999999999998</v>
      </c>
    </row>
    <row r="58" spans="1:5">
      <c r="A58" s="9">
        <v>66</v>
      </c>
      <c r="B58" s="16">
        <v>2.5000000000000001E-2</v>
      </c>
      <c r="C58" s="43">
        <f t="shared" si="3"/>
        <v>60</v>
      </c>
      <c r="D58" s="43">
        <f t="shared" si="1"/>
        <v>5.72</v>
      </c>
      <c r="E58" s="16">
        <f>(INDEX('Stat Boosts'!$D$2:$D$192,$A58-9)-INDEX('Stat Boosts'!$D$2:$D$192,C58-9))*B58+D58</f>
        <v>5.9449999999999994</v>
      </c>
    </row>
    <row r="59" spans="1:5">
      <c r="A59" s="9">
        <v>67</v>
      </c>
      <c r="B59" s="16">
        <v>2.5000000000000001E-2</v>
      </c>
      <c r="C59" s="43">
        <f t="shared" si="3"/>
        <v>60</v>
      </c>
      <c r="D59" s="43">
        <f t="shared" si="1"/>
        <v>5.72</v>
      </c>
      <c r="E59" s="16">
        <f>(INDEX('Stat Boosts'!$D$2:$D$192,$A59-9)-INDEX('Stat Boosts'!$D$2:$D$192,C59-9))*B59+D59</f>
        <v>5.97</v>
      </c>
    </row>
    <row r="60" spans="1:5">
      <c r="A60" s="9">
        <v>68</v>
      </c>
      <c r="B60" s="16">
        <v>2.5000000000000001E-2</v>
      </c>
      <c r="C60" s="43">
        <f t="shared" si="3"/>
        <v>60</v>
      </c>
      <c r="D60" s="43">
        <f t="shared" si="1"/>
        <v>5.72</v>
      </c>
      <c r="E60" s="16">
        <f>(INDEX('Stat Boosts'!$D$2:$D$192,$A60-9)-INDEX('Stat Boosts'!$D$2:$D$192,C60-9))*B60+D60</f>
        <v>5.9950000000000001</v>
      </c>
    </row>
    <row r="61" spans="1:5">
      <c r="A61" s="9">
        <v>69</v>
      </c>
      <c r="B61" s="16">
        <v>2.5000000000000001E-2</v>
      </c>
      <c r="C61" s="43">
        <f t="shared" si="3"/>
        <v>60</v>
      </c>
      <c r="D61" s="43">
        <f t="shared" si="1"/>
        <v>5.72</v>
      </c>
      <c r="E61" s="16">
        <f>(INDEX('Stat Boosts'!$D$2:$D$192,$A61-9)-INDEX('Stat Boosts'!$D$2:$D$192,C61-9))*B61+D61</f>
        <v>6.02</v>
      </c>
    </row>
    <row r="62" spans="1:5">
      <c r="A62" s="9">
        <v>70</v>
      </c>
      <c r="B62" s="16">
        <v>2.5000000000000001E-2</v>
      </c>
      <c r="C62" s="43">
        <f t="shared" si="3"/>
        <v>60</v>
      </c>
      <c r="D62" s="43">
        <f t="shared" si="1"/>
        <v>5.72</v>
      </c>
      <c r="E62" s="16">
        <f>(INDEX('Stat Boosts'!$D$2:$D$192,$A62-9)-INDEX('Stat Boosts'!$D$2:$D$192,C62-9))*B62+D62</f>
        <v>6.0449999999999999</v>
      </c>
    </row>
    <row r="63" spans="1:5">
      <c r="A63" s="9">
        <v>71</v>
      </c>
      <c r="B63" s="16">
        <v>2.5000000000000001E-2</v>
      </c>
      <c r="C63" s="43">
        <f t="shared" si="3"/>
        <v>60</v>
      </c>
      <c r="D63" s="43">
        <f t="shared" si="1"/>
        <v>5.72</v>
      </c>
      <c r="E63" s="16">
        <f>(INDEX('Stat Boosts'!$D$2:$D$192,$A63-9)-INDEX('Stat Boosts'!$D$2:$D$192,C63-9))*B63+D63</f>
        <v>6.0699999999999994</v>
      </c>
    </row>
    <row r="64" spans="1:5">
      <c r="A64" s="9">
        <v>72</v>
      </c>
      <c r="B64" s="16">
        <v>2.5000000000000001E-2</v>
      </c>
      <c r="C64" s="43">
        <f t="shared" si="3"/>
        <v>60</v>
      </c>
      <c r="D64" s="43">
        <f t="shared" si="1"/>
        <v>5.72</v>
      </c>
      <c r="E64" s="16">
        <f>(INDEX('Stat Boosts'!$D$2:$D$192,$A64-9)-INDEX('Stat Boosts'!$D$2:$D$192,C64-9))*B64+D64</f>
        <v>6.17</v>
      </c>
    </row>
    <row r="65" spans="1:5">
      <c r="A65" s="9">
        <v>73</v>
      </c>
      <c r="B65" s="16">
        <v>2.5000000000000001E-2</v>
      </c>
      <c r="C65" s="43">
        <f t="shared" si="3"/>
        <v>60</v>
      </c>
      <c r="D65" s="43">
        <f t="shared" si="1"/>
        <v>5.72</v>
      </c>
      <c r="E65" s="16">
        <f>(INDEX('Stat Boosts'!$D$2:$D$192,$A65-9)-INDEX('Stat Boosts'!$D$2:$D$192,C65-9))*B65+D65</f>
        <v>6.1949999999999994</v>
      </c>
    </row>
    <row r="66" spans="1:5">
      <c r="A66" s="9">
        <v>74</v>
      </c>
      <c r="B66" s="16">
        <v>2.5000000000000001E-2</v>
      </c>
      <c r="C66" s="43">
        <f t="shared" si="3"/>
        <v>60</v>
      </c>
      <c r="D66" s="43">
        <f t="shared" si="1"/>
        <v>5.72</v>
      </c>
      <c r="E66" s="16">
        <f>(INDEX('Stat Boosts'!$D$2:$D$192,$A66-9)-INDEX('Stat Boosts'!$D$2:$D$192,C66-9))*B66+D66</f>
        <v>6.22</v>
      </c>
    </row>
    <row r="67" spans="1:5">
      <c r="A67" s="9">
        <v>75</v>
      </c>
      <c r="B67" s="16">
        <v>2.5000000000000001E-2</v>
      </c>
      <c r="C67" s="43">
        <f t="shared" si="3"/>
        <v>60</v>
      </c>
      <c r="D67" s="43">
        <f t="shared" ref="D67:D130" si="4">IF(B67&lt;&gt;B66,IF(ROW()=ROW($D$2),3,E66),D66)</f>
        <v>5.72</v>
      </c>
      <c r="E67" s="16">
        <f>(INDEX('Stat Boosts'!$D$2:$D$192,$A67-9)-INDEX('Stat Boosts'!$D$2:$D$192,C67-9))*B67+D67</f>
        <v>6.2450000000000001</v>
      </c>
    </row>
    <row r="68" spans="1:5">
      <c r="A68" s="9">
        <v>76</v>
      </c>
      <c r="B68" s="16">
        <v>2.5000000000000001E-2</v>
      </c>
      <c r="C68" s="43">
        <f t="shared" si="3"/>
        <v>60</v>
      </c>
      <c r="D68" s="43">
        <f t="shared" si="4"/>
        <v>5.72</v>
      </c>
      <c r="E68" s="16">
        <f>(INDEX('Stat Boosts'!$D$2:$D$192,$A68-9)-INDEX('Stat Boosts'!$D$2:$D$192,C68-9))*B68+D68</f>
        <v>6.27</v>
      </c>
    </row>
    <row r="69" spans="1:5">
      <c r="A69" s="9">
        <v>77</v>
      </c>
      <c r="B69" s="16">
        <v>2.5000000000000001E-2</v>
      </c>
      <c r="C69" s="43">
        <f t="shared" si="3"/>
        <v>60</v>
      </c>
      <c r="D69" s="43">
        <f t="shared" si="4"/>
        <v>5.72</v>
      </c>
      <c r="E69" s="16">
        <f>(INDEX('Stat Boosts'!$D$2:$D$192,$A69-9)-INDEX('Stat Boosts'!$D$2:$D$192,C69-9))*B69+D69</f>
        <v>6.2949999999999999</v>
      </c>
    </row>
    <row r="70" spans="1:5">
      <c r="A70" s="9">
        <v>78</v>
      </c>
      <c r="B70" s="16">
        <v>2.5000000000000001E-2</v>
      </c>
      <c r="C70" s="43">
        <f t="shared" si="3"/>
        <v>60</v>
      </c>
      <c r="D70" s="43">
        <f t="shared" si="4"/>
        <v>5.72</v>
      </c>
      <c r="E70" s="16">
        <f>(INDEX('Stat Boosts'!$D$2:$D$192,$A70-9)-INDEX('Stat Boosts'!$D$2:$D$192,C70-9))*B70+D70</f>
        <v>6.3949999999999996</v>
      </c>
    </row>
    <row r="71" spans="1:5">
      <c r="A71" s="9">
        <v>79</v>
      </c>
      <c r="B71" s="16">
        <v>2.5000000000000001E-2</v>
      </c>
      <c r="C71" s="43">
        <f t="shared" si="3"/>
        <v>60</v>
      </c>
      <c r="D71" s="43">
        <f t="shared" si="4"/>
        <v>5.72</v>
      </c>
      <c r="E71" s="16">
        <f>(INDEX('Stat Boosts'!$D$2:$D$192,$A71-9)-INDEX('Stat Boosts'!$D$2:$D$192,C71-9))*B71+D71</f>
        <v>6.42</v>
      </c>
    </row>
    <row r="72" spans="1:5">
      <c r="A72" s="9">
        <v>80</v>
      </c>
      <c r="B72" s="16">
        <v>0.01</v>
      </c>
      <c r="C72" s="43">
        <f t="shared" si="3"/>
        <v>79</v>
      </c>
      <c r="D72" s="43">
        <f t="shared" si="4"/>
        <v>6.42</v>
      </c>
      <c r="E72" s="16">
        <f>(INDEX('Stat Boosts'!$D$2:$D$192,$A72-9)-INDEX('Stat Boosts'!$D$2:$D$192,C72-9))*B72+D72</f>
        <v>6.43</v>
      </c>
    </row>
    <row r="73" spans="1:5">
      <c r="A73" s="9">
        <v>81</v>
      </c>
      <c r="B73" s="16">
        <v>0.01</v>
      </c>
      <c r="C73" s="43">
        <f t="shared" si="3"/>
        <v>79</v>
      </c>
      <c r="D73" s="43">
        <f t="shared" si="4"/>
        <v>6.42</v>
      </c>
      <c r="E73" s="16">
        <f>(INDEX('Stat Boosts'!$D$2:$D$192,$A73-9)-INDEX('Stat Boosts'!$D$2:$D$192,C73-9))*B73+D73</f>
        <v>6.4399999999999995</v>
      </c>
    </row>
    <row r="74" spans="1:5">
      <c r="A74" s="9">
        <v>82</v>
      </c>
      <c r="B74" s="16">
        <v>0.01</v>
      </c>
      <c r="C74" s="43">
        <f t="shared" si="3"/>
        <v>79</v>
      </c>
      <c r="D74" s="43">
        <f t="shared" si="4"/>
        <v>6.42</v>
      </c>
      <c r="E74" s="16">
        <f>(INDEX('Stat Boosts'!$D$2:$D$192,$A74-9)-INDEX('Stat Boosts'!$D$2:$D$192,C74-9))*B74+D74</f>
        <v>6.45</v>
      </c>
    </row>
    <row r="75" spans="1:5">
      <c r="A75" s="9">
        <v>83</v>
      </c>
      <c r="B75" s="16">
        <v>0.01</v>
      </c>
      <c r="C75" s="43">
        <f t="shared" si="3"/>
        <v>79</v>
      </c>
      <c r="D75" s="43">
        <f t="shared" si="4"/>
        <v>6.42</v>
      </c>
      <c r="E75" s="16">
        <f>(INDEX('Stat Boosts'!$D$2:$D$192,$A75-9)-INDEX('Stat Boosts'!$D$2:$D$192,C75-9))*B75+D75</f>
        <v>6.46</v>
      </c>
    </row>
    <row r="76" spans="1:5">
      <c r="A76" s="9">
        <v>84</v>
      </c>
      <c r="B76" s="16">
        <v>0.01</v>
      </c>
      <c r="C76" s="43">
        <f t="shared" si="3"/>
        <v>79</v>
      </c>
      <c r="D76" s="43">
        <f t="shared" si="4"/>
        <v>6.42</v>
      </c>
      <c r="E76" s="16">
        <f>(INDEX('Stat Boosts'!$D$2:$D$192,$A76-9)-INDEX('Stat Boosts'!$D$2:$D$192,C76-9))*B76+D76</f>
        <v>6.51</v>
      </c>
    </row>
    <row r="77" spans="1:5">
      <c r="A77" s="9">
        <v>85</v>
      </c>
      <c r="B77" s="16">
        <v>0.01</v>
      </c>
      <c r="C77" s="43">
        <f t="shared" si="3"/>
        <v>79</v>
      </c>
      <c r="D77" s="43">
        <f t="shared" si="4"/>
        <v>6.42</v>
      </c>
      <c r="E77" s="16">
        <f>(INDEX('Stat Boosts'!$D$2:$D$192,$A77-9)-INDEX('Stat Boosts'!$D$2:$D$192,C77-9))*B77+D77</f>
        <v>6.52</v>
      </c>
    </row>
    <row r="78" spans="1:5">
      <c r="A78" s="9">
        <v>86</v>
      </c>
      <c r="B78" s="16">
        <v>0.01</v>
      </c>
      <c r="C78" s="43">
        <f t="shared" si="3"/>
        <v>79</v>
      </c>
      <c r="D78" s="43">
        <f t="shared" si="4"/>
        <v>6.42</v>
      </c>
      <c r="E78" s="16">
        <f>(INDEX('Stat Boosts'!$D$2:$D$192,$A78-9)-INDEX('Stat Boosts'!$D$2:$D$192,C78-9))*B78+D78</f>
        <v>6.53</v>
      </c>
    </row>
    <row r="79" spans="1:5">
      <c r="A79" s="9">
        <v>87</v>
      </c>
      <c r="B79" s="16">
        <v>0.01</v>
      </c>
      <c r="C79" s="43">
        <f t="shared" si="3"/>
        <v>79</v>
      </c>
      <c r="D79" s="43">
        <f t="shared" si="4"/>
        <v>6.42</v>
      </c>
      <c r="E79" s="16">
        <f>(INDEX('Stat Boosts'!$D$2:$D$192,$A79-9)-INDEX('Stat Boosts'!$D$2:$D$192,C79-9))*B79+D79</f>
        <v>6.54</v>
      </c>
    </row>
    <row r="80" spans="1:5">
      <c r="A80" s="9">
        <v>88</v>
      </c>
      <c r="B80" s="16">
        <v>0.01</v>
      </c>
      <c r="C80" s="43">
        <f t="shared" si="3"/>
        <v>79</v>
      </c>
      <c r="D80" s="43">
        <f t="shared" si="4"/>
        <v>6.42</v>
      </c>
      <c r="E80" s="16">
        <f>(INDEX('Stat Boosts'!$D$2:$D$192,$A80-9)-INDEX('Stat Boosts'!$D$2:$D$192,C80-9))*B80+D80</f>
        <v>6.55</v>
      </c>
    </row>
    <row r="81" spans="1:5">
      <c r="A81" s="9">
        <v>89</v>
      </c>
      <c r="B81" s="16">
        <v>0.01</v>
      </c>
      <c r="C81" s="43">
        <f t="shared" si="3"/>
        <v>79</v>
      </c>
      <c r="D81" s="43">
        <f t="shared" si="4"/>
        <v>6.42</v>
      </c>
      <c r="E81" s="16">
        <f>(INDEX('Stat Boosts'!$D$2:$D$192,$A81-9)-INDEX('Stat Boosts'!$D$2:$D$192,C81-9))*B81+D81</f>
        <v>6.56</v>
      </c>
    </row>
    <row r="82" spans="1:5">
      <c r="A82" s="9">
        <v>90</v>
      </c>
      <c r="B82" s="16">
        <v>0.01</v>
      </c>
      <c r="C82" s="43">
        <f t="shared" si="3"/>
        <v>79</v>
      </c>
      <c r="D82" s="43">
        <f t="shared" si="4"/>
        <v>6.42</v>
      </c>
      <c r="E82" s="16">
        <f>(INDEX('Stat Boosts'!$D$2:$D$192,$A82-9)-INDEX('Stat Boosts'!$D$2:$D$192,C82-9))*B82+D82</f>
        <v>6.61</v>
      </c>
    </row>
    <row r="83" spans="1:5">
      <c r="A83" s="9">
        <v>91</v>
      </c>
      <c r="B83" s="16">
        <v>0.01</v>
      </c>
      <c r="C83" s="43">
        <f t="shared" si="3"/>
        <v>79</v>
      </c>
      <c r="D83" s="43">
        <f t="shared" si="4"/>
        <v>6.42</v>
      </c>
      <c r="E83" s="16">
        <f>(INDEX('Stat Boosts'!$D$2:$D$192,$A83-9)-INDEX('Stat Boosts'!$D$2:$D$192,C83-9))*B83+D83</f>
        <v>6.62</v>
      </c>
    </row>
    <row r="84" spans="1:5">
      <c r="A84" s="9">
        <v>92</v>
      </c>
      <c r="B84" s="16">
        <v>0.01</v>
      </c>
      <c r="C84" s="43">
        <f t="shared" si="3"/>
        <v>79</v>
      </c>
      <c r="D84" s="43">
        <f t="shared" si="4"/>
        <v>6.42</v>
      </c>
      <c r="E84" s="16">
        <f>(INDEX('Stat Boosts'!$D$2:$D$192,$A84-9)-INDEX('Stat Boosts'!$D$2:$D$192,C84-9))*B84+D84</f>
        <v>6.63</v>
      </c>
    </row>
    <row r="85" spans="1:5">
      <c r="A85" s="9">
        <v>93</v>
      </c>
      <c r="B85" s="16">
        <v>0.01</v>
      </c>
      <c r="C85" s="43">
        <f t="shared" si="3"/>
        <v>79</v>
      </c>
      <c r="D85" s="43">
        <f t="shared" si="4"/>
        <v>6.42</v>
      </c>
      <c r="E85" s="16">
        <f>(INDEX('Stat Boosts'!$D$2:$D$192,$A85-9)-INDEX('Stat Boosts'!$D$2:$D$192,C85-9))*B85+D85</f>
        <v>6.64</v>
      </c>
    </row>
    <row r="86" spans="1:5">
      <c r="A86" s="9">
        <v>94</v>
      </c>
      <c r="B86" s="16">
        <v>0.01</v>
      </c>
      <c r="C86" s="43">
        <f t="shared" si="3"/>
        <v>79</v>
      </c>
      <c r="D86" s="43">
        <f t="shared" si="4"/>
        <v>6.42</v>
      </c>
      <c r="E86" s="16">
        <f>(INDEX('Stat Boosts'!$D$2:$D$192,$A86-9)-INDEX('Stat Boosts'!$D$2:$D$192,C86-9))*B86+D86</f>
        <v>6.65</v>
      </c>
    </row>
    <row r="87" spans="1:5">
      <c r="A87" s="9">
        <v>95</v>
      </c>
      <c r="B87" s="16">
        <v>0.01</v>
      </c>
      <c r="C87" s="43">
        <f t="shared" si="3"/>
        <v>79</v>
      </c>
      <c r="D87" s="43">
        <f t="shared" si="4"/>
        <v>6.42</v>
      </c>
      <c r="E87" s="16">
        <f>(INDEX('Stat Boosts'!$D$2:$D$192,$A87-9)-INDEX('Stat Boosts'!$D$2:$D$192,C87-9))*B87+D87</f>
        <v>6.66</v>
      </c>
    </row>
    <row r="88" spans="1:5">
      <c r="A88" s="9">
        <v>96</v>
      </c>
      <c r="B88" s="16">
        <v>0.01</v>
      </c>
      <c r="C88" s="43">
        <f t="shared" si="3"/>
        <v>79</v>
      </c>
      <c r="D88" s="43">
        <f t="shared" si="4"/>
        <v>6.42</v>
      </c>
      <c r="E88" s="16">
        <f>(INDEX('Stat Boosts'!$D$2:$D$192,$A88-9)-INDEX('Stat Boosts'!$D$2:$D$192,C88-9))*B88+D88</f>
        <v>6.72</v>
      </c>
    </row>
    <row r="89" spans="1:5">
      <c r="A89" s="9">
        <v>97</v>
      </c>
      <c r="B89" s="16">
        <v>0.01</v>
      </c>
      <c r="C89" s="43">
        <f t="shared" si="3"/>
        <v>79</v>
      </c>
      <c r="D89" s="43">
        <f t="shared" si="4"/>
        <v>6.42</v>
      </c>
      <c r="E89" s="16">
        <f>(INDEX('Stat Boosts'!$D$2:$D$192,$A89-9)-INDEX('Stat Boosts'!$D$2:$D$192,C89-9))*B89+D89</f>
        <v>6.7299999999999995</v>
      </c>
    </row>
    <row r="90" spans="1:5">
      <c r="A90" s="9">
        <v>98</v>
      </c>
      <c r="B90" s="16">
        <v>0.01</v>
      </c>
      <c r="C90" s="43">
        <f t="shared" si="3"/>
        <v>79</v>
      </c>
      <c r="D90" s="43">
        <f t="shared" si="4"/>
        <v>6.42</v>
      </c>
      <c r="E90" s="16">
        <f>(INDEX('Stat Boosts'!$D$2:$D$192,$A90-9)-INDEX('Stat Boosts'!$D$2:$D$192,C90-9))*B90+D90</f>
        <v>6.74</v>
      </c>
    </row>
    <row r="91" spans="1:5">
      <c r="A91" s="9">
        <v>99</v>
      </c>
      <c r="B91" s="16">
        <v>0.01</v>
      </c>
      <c r="C91" s="43">
        <f t="shared" si="3"/>
        <v>79</v>
      </c>
      <c r="D91" s="43">
        <f t="shared" si="4"/>
        <v>6.42</v>
      </c>
      <c r="E91" s="16">
        <f>(INDEX('Stat Boosts'!$D$2:$D$192,$A91-9)-INDEX('Stat Boosts'!$D$2:$D$192,C91-9))*B91+D91</f>
        <v>6.75</v>
      </c>
    </row>
    <row r="92" spans="1:5">
      <c r="A92" s="9">
        <v>100</v>
      </c>
      <c r="B92" s="16">
        <v>0.01</v>
      </c>
      <c r="C92" s="43">
        <f t="shared" si="3"/>
        <v>79</v>
      </c>
      <c r="D92" s="43">
        <f t="shared" si="4"/>
        <v>6.42</v>
      </c>
      <c r="E92" s="16">
        <f>(INDEX('Stat Boosts'!$D$2:$D$192,$A92-9)-INDEX('Stat Boosts'!$D$2:$D$192,C92-9))*B92+D92</f>
        <v>6.76</v>
      </c>
    </row>
    <row r="93" spans="1:5">
      <c r="A93" s="9">
        <v>101</v>
      </c>
      <c r="B93" s="16">
        <v>0.01</v>
      </c>
      <c r="C93" s="43">
        <f t="shared" si="3"/>
        <v>79</v>
      </c>
      <c r="D93" s="43">
        <f t="shared" si="4"/>
        <v>6.42</v>
      </c>
      <c r="E93" s="16">
        <f>(INDEX('Stat Boosts'!$D$2:$D$192,$A93-9)-INDEX('Stat Boosts'!$D$2:$D$192,C93-9))*B93+D93</f>
        <v>6.77</v>
      </c>
    </row>
    <row r="94" spans="1:5">
      <c r="A94" s="9">
        <v>102</v>
      </c>
      <c r="B94" s="16">
        <v>0.01</v>
      </c>
      <c r="C94" s="43">
        <f t="shared" si="3"/>
        <v>79</v>
      </c>
      <c r="D94" s="43">
        <f t="shared" si="4"/>
        <v>6.42</v>
      </c>
      <c r="E94" s="16">
        <f>(INDEX('Stat Boosts'!$D$2:$D$192,$A94-9)-INDEX('Stat Boosts'!$D$2:$D$192,C94-9))*B94+D94</f>
        <v>6.78</v>
      </c>
    </row>
    <row r="95" spans="1:5">
      <c r="A95" s="9">
        <v>103</v>
      </c>
      <c r="B95" s="16">
        <v>0.01</v>
      </c>
      <c r="C95" s="43">
        <f t="shared" si="3"/>
        <v>79</v>
      </c>
      <c r="D95" s="43">
        <f t="shared" si="4"/>
        <v>6.42</v>
      </c>
      <c r="E95" s="16">
        <f>(INDEX('Stat Boosts'!$D$2:$D$192,$A95-9)-INDEX('Stat Boosts'!$D$2:$D$192,C95-9))*B95+D95</f>
        <v>6.79</v>
      </c>
    </row>
    <row r="96" spans="1:5">
      <c r="A96" s="9">
        <v>104</v>
      </c>
      <c r="B96" s="16">
        <v>0.01</v>
      </c>
      <c r="C96" s="43">
        <f t="shared" ref="C96:C151" si="5">IF(B96&lt;&gt;B95,IF(ROW()=ROW($D$2),10,A95),C95)</f>
        <v>79</v>
      </c>
      <c r="D96" s="43">
        <f t="shared" si="4"/>
        <v>6.42</v>
      </c>
      <c r="E96" s="16">
        <f>(INDEX('Stat Boosts'!$D$2:$D$192,$A96-9)-INDEX('Stat Boosts'!$D$2:$D$192,C96-9))*B96+D96</f>
        <v>6.8</v>
      </c>
    </row>
    <row r="97" spans="1:5">
      <c r="A97" s="9">
        <v>105</v>
      </c>
      <c r="B97" s="16">
        <v>0.01</v>
      </c>
      <c r="C97" s="43">
        <f t="shared" si="5"/>
        <v>79</v>
      </c>
      <c r="D97" s="43">
        <f t="shared" si="4"/>
        <v>6.42</v>
      </c>
      <c r="E97" s="16">
        <f>(INDEX('Stat Boosts'!$D$2:$D$192,$A97-9)-INDEX('Stat Boosts'!$D$2:$D$192,C97-9))*B97+D97</f>
        <v>6.81</v>
      </c>
    </row>
    <row r="98" spans="1:5">
      <c r="A98" s="9">
        <v>106</v>
      </c>
      <c r="B98" s="16">
        <v>0.01</v>
      </c>
      <c r="C98" s="43">
        <f t="shared" si="5"/>
        <v>79</v>
      </c>
      <c r="D98" s="43">
        <f t="shared" si="4"/>
        <v>6.42</v>
      </c>
      <c r="E98" s="16">
        <f>(INDEX('Stat Boosts'!$D$2:$D$192,$A98-9)-INDEX('Stat Boosts'!$D$2:$D$192,C98-9))*B98+D98</f>
        <v>6.82</v>
      </c>
    </row>
    <row r="99" spans="1:5">
      <c r="A99" s="9">
        <v>107</v>
      </c>
      <c r="B99" s="16">
        <v>0.01</v>
      </c>
      <c r="C99" s="43">
        <f t="shared" si="5"/>
        <v>79</v>
      </c>
      <c r="D99" s="43">
        <f t="shared" si="4"/>
        <v>6.42</v>
      </c>
      <c r="E99" s="16">
        <f>(INDEX('Stat Boosts'!$D$2:$D$192,$A99-9)-INDEX('Stat Boosts'!$D$2:$D$192,C99-9))*B99+D99</f>
        <v>6.83</v>
      </c>
    </row>
    <row r="100" spans="1:5">
      <c r="A100" s="9">
        <v>108</v>
      </c>
      <c r="B100" s="16">
        <v>0.01</v>
      </c>
      <c r="C100" s="43">
        <f t="shared" si="5"/>
        <v>79</v>
      </c>
      <c r="D100" s="43">
        <f t="shared" si="4"/>
        <v>6.42</v>
      </c>
      <c r="E100" s="16">
        <f>(INDEX('Stat Boosts'!$D$2:$D$192,$A100-9)-INDEX('Stat Boosts'!$D$2:$D$192,C100-9))*B100+D100</f>
        <v>6.84</v>
      </c>
    </row>
    <row r="101" spans="1:5">
      <c r="A101" s="9">
        <v>109</v>
      </c>
      <c r="B101" s="16">
        <v>0.01</v>
      </c>
      <c r="C101" s="43">
        <f t="shared" si="5"/>
        <v>79</v>
      </c>
      <c r="D101" s="43">
        <f t="shared" si="4"/>
        <v>6.42</v>
      </c>
      <c r="E101" s="16">
        <f>(INDEX('Stat Boosts'!$D$2:$D$192,$A101-9)-INDEX('Stat Boosts'!$D$2:$D$192,C101-9))*B101+D101</f>
        <v>6.85</v>
      </c>
    </row>
    <row r="102" spans="1:5">
      <c r="A102" s="9">
        <v>110</v>
      </c>
      <c r="B102" s="16">
        <v>0.01</v>
      </c>
      <c r="C102" s="43">
        <f t="shared" si="5"/>
        <v>79</v>
      </c>
      <c r="D102" s="43">
        <f t="shared" si="4"/>
        <v>6.42</v>
      </c>
      <c r="E102" s="16">
        <f>(INDEX('Stat Boosts'!$D$2:$D$192,$A102-9)-INDEX('Stat Boosts'!$D$2:$D$192,C102-9))*B102+D102</f>
        <v>6.86</v>
      </c>
    </row>
    <row r="103" spans="1:5">
      <c r="A103" s="9">
        <v>111</v>
      </c>
      <c r="B103" s="16">
        <v>0.01</v>
      </c>
      <c r="C103" s="43">
        <f t="shared" si="5"/>
        <v>79</v>
      </c>
      <c r="D103" s="43">
        <f t="shared" si="4"/>
        <v>6.42</v>
      </c>
      <c r="E103" s="16">
        <f>(INDEX('Stat Boosts'!$D$2:$D$192,$A103-9)-INDEX('Stat Boosts'!$D$2:$D$192,C103-9))*B103+D103</f>
        <v>6.87</v>
      </c>
    </row>
    <row r="104" spans="1:5">
      <c r="A104" s="9">
        <v>112</v>
      </c>
      <c r="B104" s="16">
        <v>0.01</v>
      </c>
      <c r="C104" s="43">
        <f t="shared" si="5"/>
        <v>79</v>
      </c>
      <c r="D104" s="43">
        <f t="shared" si="4"/>
        <v>6.42</v>
      </c>
      <c r="E104" s="16">
        <f>(INDEX('Stat Boosts'!$D$2:$D$192,$A104-9)-INDEX('Stat Boosts'!$D$2:$D$192,C104-9))*B104+D104</f>
        <v>6.88</v>
      </c>
    </row>
    <row r="105" spans="1:5">
      <c r="A105" s="9">
        <v>113</v>
      </c>
      <c r="B105" s="16">
        <v>0.01</v>
      </c>
      <c r="C105" s="43">
        <f t="shared" si="5"/>
        <v>79</v>
      </c>
      <c r="D105" s="43">
        <f t="shared" si="4"/>
        <v>6.42</v>
      </c>
      <c r="E105" s="16">
        <f>(INDEX('Stat Boosts'!$D$2:$D$192,$A105-9)-INDEX('Stat Boosts'!$D$2:$D$192,C105-9))*B105+D105</f>
        <v>6.89</v>
      </c>
    </row>
    <row r="106" spans="1:5">
      <c r="A106" s="9">
        <v>114</v>
      </c>
      <c r="B106" s="16">
        <v>0.01</v>
      </c>
      <c r="C106" s="43">
        <f t="shared" si="5"/>
        <v>79</v>
      </c>
      <c r="D106" s="43">
        <f t="shared" si="4"/>
        <v>6.42</v>
      </c>
      <c r="E106" s="16">
        <f>(INDEX('Stat Boosts'!$D$2:$D$192,$A106-9)-INDEX('Stat Boosts'!$D$2:$D$192,C106-9))*B106+D106</f>
        <v>6.9</v>
      </c>
    </row>
    <row r="107" spans="1:5">
      <c r="A107" s="9">
        <v>115</v>
      </c>
      <c r="B107" s="16">
        <v>0.01</v>
      </c>
      <c r="C107" s="43">
        <f t="shared" si="5"/>
        <v>79</v>
      </c>
      <c r="D107" s="43">
        <f t="shared" si="4"/>
        <v>6.42</v>
      </c>
      <c r="E107" s="16">
        <f>(INDEX('Stat Boosts'!$D$2:$D$192,$A107-9)-INDEX('Stat Boosts'!$D$2:$D$192,C107-9))*B107+D107</f>
        <v>6.91</v>
      </c>
    </row>
    <row r="108" spans="1:5">
      <c r="A108" s="9">
        <v>116</v>
      </c>
      <c r="B108" s="16">
        <v>0.01</v>
      </c>
      <c r="C108" s="43">
        <f t="shared" si="5"/>
        <v>79</v>
      </c>
      <c r="D108" s="43">
        <f t="shared" si="4"/>
        <v>6.42</v>
      </c>
      <c r="E108" s="16">
        <f>(INDEX('Stat Boosts'!$D$2:$D$192,$A108-9)-INDEX('Stat Boosts'!$D$2:$D$192,C108-9))*B108+D108</f>
        <v>6.92</v>
      </c>
    </row>
    <row r="109" spans="1:5">
      <c r="A109" s="9">
        <v>117</v>
      </c>
      <c r="B109" s="16">
        <v>0.01</v>
      </c>
      <c r="C109" s="43">
        <f t="shared" si="5"/>
        <v>79</v>
      </c>
      <c r="D109" s="43">
        <f t="shared" si="4"/>
        <v>6.42</v>
      </c>
      <c r="E109" s="16">
        <f>(INDEX('Stat Boosts'!$D$2:$D$192,$A109-9)-INDEX('Stat Boosts'!$D$2:$D$192,C109-9))*B109+D109</f>
        <v>6.93</v>
      </c>
    </row>
    <row r="110" spans="1:5">
      <c r="A110" s="9">
        <v>118</v>
      </c>
      <c r="B110" s="16">
        <v>0.01</v>
      </c>
      <c r="C110" s="43">
        <f t="shared" si="5"/>
        <v>79</v>
      </c>
      <c r="D110" s="43">
        <f t="shared" si="4"/>
        <v>6.42</v>
      </c>
      <c r="E110" s="16">
        <f>(INDEX('Stat Boosts'!$D$2:$D$192,$A110-9)-INDEX('Stat Boosts'!$D$2:$D$192,C110-9))*B110+D110</f>
        <v>6.9399999999999995</v>
      </c>
    </row>
    <row r="111" spans="1:5">
      <c r="A111" s="9">
        <v>119</v>
      </c>
      <c r="B111" s="16">
        <v>0.01</v>
      </c>
      <c r="C111" s="43">
        <f t="shared" si="5"/>
        <v>79</v>
      </c>
      <c r="D111" s="43">
        <f t="shared" si="4"/>
        <v>6.42</v>
      </c>
      <c r="E111" s="16">
        <f>(INDEX('Stat Boosts'!$D$2:$D$192,$A111-9)-INDEX('Stat Boosts'!$D$2:$D$192,C111-9))*B111+D111</f>
        <v>6.95</v>
      </c>
    </row>
    <row r="112" spans="1:5">
      <c r="A112" s="9">
        <v>120</v>
      </c>
      <c r="B112" s="16">
        <v>0.01</v>
      </c>
      <c r="C112" s="43">
        <f t="shared" si="5"/>
        <v>79</v>
      </c>
      <c r="D112" s="43">
        <f t="shared" si="4"/>
        <v>6.42</v>
      </c>
      <c r="E112" s="16">
        <f>(INDEX('Stat Boosts'!$D$2:$D$192,$A112-9)-INDEX('Stat Boosts'!$D$2:$D$192,C112-9))*B112+D112</f>
        <v>6.96</v>
      </c>
    </row>
    <row r="113" spans="1:5">
      <c r="A113" s="9">
        <v>121</v>
      </c>
      <c r="B113" s="16">
        <v>0.01</v>
      </c>
      <c r="C113" s="43">
        <f t="shared" si="5"/>
        <v>79</v>
      </c>
      <c r="D113" s="43">
        <f t="shared" si="4"/>
        <v>6.42</v>
      </c>
      <c r="E113" s="16">
        <f>(INDEX('Stat Boosts'!$D$2:$D$192,$A113-9)-INDEX('Stat Boosts'!$D$2:$D$192,C113-9))*B113+D113</f>
        <v>6.97</v>
      </c>
    </row>
    <row r="114" spans="1:5">
      <c r="A114" s="9">
        <v>122</v>
      </c>
      <c r="B114" s="16">
        <v>0.01</v>
      </c>
      <c r="C114" s="43">
        <f t="shared" si="5"/>
        <v>79</v>
      </c>
      <c r="D114" s="43">
        <f t="shared" si="4"/>
        <v>6.42</v>
      </c>
      <c r="E114" s="16">
        <f>(INDEX('Stat Boosts'!$D$2:$D$192,$A114-9)-INDEX('Stat Boosts'!$D$2:$D$192,C114-9))*B114+D114</f>
        <v>6.98</v>
      </c>
    </row>
    <row r="115" spans="1:5">
      <c r="A115" s="9">
        <v>123</v>
      </c>
      <c r="B115" s="16">
        <v>0.01</v>
      </c>
      <c r="C115" s="43">
        <f t="shared" si="5"/>
        <v>79</v>
      </c>
      <c r="D115" s="43">
        <f t="shared" si="4"/>
        <v>6.42</v>
      </c>
      <c r="E115" s="16">
        <f>(INDEX('Stat Boosts'!$D$2:$D$192,$A115-9)-INDEX('Stat Boosts'!$D$2:$D$192,C115-9))*B115+D115</f>
        <v>6.99</v>
      </c>
    </row>
    <row r="116" spans="1:5">
      <c r="A116" s="9">
        <v>124</v>
      </c>
      <c r="B116" s="16">
        <v>0.01</v>
      </c>
      <c r="C116" s="43">
        <f t="shared" si="5"/>
        <v>79</v>
      </c>
      <c r="D116" s="43">
        <f t="shared" si="4"/>
        <v>6.42</v>
      </c>
      <c r="E116" s="16">
        <f>(INDEX('Stat Boosts'!$D$2:$D$192,$A116-9)-INDEX('Stat Boosts'!$D$2:$D$192,C116-9))*B116+D116</f>
        <v>7</v>
      </c>
    </row>
    <row r="117" spans="1:5">
      <c r="A117" s="9">
        <v>125</v>
      </c>
      <c r="B117" s="16">
        <v>0.01</v>
      </c>
      <c r="C117" s="43">
        <f t="shared" si="5"/>
        <v>79</v>
      </c>
      <c r="D117" s="43">
        <f t="shared" si="4"/>
        <v>6.42</v>
      </c>
      <c r="E117" s="16">
        <f>(INDEX('Stat Boosts'!$D$2:$D$192,$A117-9)-INDEX('Stat Boosts'!$D$2:$D$192,C117-9))*B117+D117</f>
        <v>7.01</v>
      </c>
    </row>
    <row r="118" spans="1:5">
      <c r="A118" s="9">
        <v>126</v>
      </c>
      <c r="B118" s="16">
        <v>0.01</v>
      </c>
      <c r="C118" s="43">
        <f t="shared" si="5"/>
        <v>79</v>
      </c>
      <c r="D118" s="43">
        <f t="shared" si="4"/>
        <v>6.42</v>
      </c>
      <c r="E118" s="16">
        <f>(INDEX('Stat Boosts'!$D$2:$D$192,$A118-9)-INDEX('Stat Boosts'!$D$2:$D$192,C118-9))*B118+D118</f>
        <v>7.02</v>
      </c>
    </row>
    <row r="119" spans="1:5">
      <c r="A119" s="9">
        <v>127</v>
      </c>
      <c r="B119" s="16">
        <v>0.01</v>
      </c>
      <c r="C119" s="43">
        <f t="shared" si="5"/>
        <v>79</v>
      </c>
      <c r="D119" s="43">
        <f t="shared" si="4"/>
        <v>6.42</v>
      </c>
      <c r="E119" s="16">
        <f>(INDEX('Stat Boosts'!$D$2:$D$192,$A119-9)-INDEX('Stat Boosts'!$D$2:$D$192,C119-9))*B119+D119</f>
        <v>7.03</v>
      </c>
    </row>
    <row r="120" spans="1:5">
      <c r="A120" s="9">
        <v>128</v>
      </c>
      <c r="B120" s="16">
        <v>0.01</v>
      </c>
      <c r="C120" s="43">
        <f t="shared" si="5"/>
        <v>79</v>
      </c>
      <c r="D120" s="43">
        <f t="shared" si="4"/>
        <v>6.42</v>
      </c>
      <c r="E120" s="16">
        <f>(INDEX('Stat Boosts'!$D$2:$D$192,$A120-9)-INDEX('Stat Boosts'!$D$2:$D$192,C120-9))*B120+D120</f>
        <v>7.04</v>
      </c>
    </row>
    <row r="121" spans="1:5">
      <c r="A121" s="9">
        <v>129</v>
      </c>
      <c r="B121" s="16">
        <v>0.01</v>
      </c>
      <c r="C121" s="43">
        <f t="shared" si="5"/>
        <v>79</v>
      </c>
      <c r="D121" s="43">
        <f t="shared" si="4"/>
        <v>6.42</v>
      </c>
      <c r="E121" s="16">
        <f>(INDEX('Stat Boosts'!$D$2:$D$192,$A121-9)-INDEX('Stat Boosts'!$D$2:$D$192,C121-9))*B121+D121</f>
        <v>7.05</v>
      </c>
    </row>
    <row r="122" spans="1:5">
      <c r="A122" s="9">
        <v>130</v>
      </c>
      <c r="B122" s="16">
        <v>0.01</v>
      </c>
      <c r="C122" s="43">
        <f t="shared" si="5"/>
        <v>79</v>
      </c>
      <c r="D122" s="43">
        <f t="shared" si="4"/>
        <v>6.42</v>
      </c>
      <c r="E122" s="16">
        <f>(INDEX('Stat Boosts'!$D$2:$D$192,$A122-9)-INDEX('Stat Boosts'!$D$2:$D$192,C122-9))*B122+D122</f>
        <v>7.06</v>
      </c>
    </row>
    <row r="123" spans="1:5">
      <c r="A123" s="9">
        <v>131</v>
      </c>
      <c r="B123" s="16">
        <v>0.01</v>
      </c>
      <c r="C123" s="43">
        <f t="shared" si="5"/>
        <v>79</v>
      </c>
      <c r="D123" s="43">
        <f t="shared" si="4"/>
        <v>6.42</v>
      </c>
      <c r="E123" s="16">
        <f>(INDEX('Stat Boosts'!$D$2:$D$192,$A123-9)-INDEX('Stat Boosts'!$D$2:$D$192,C123-9))*B123+D123</f>
        <v>7.07</v>
      </c>
    </row>
    <row r="124" spans="1:5">
      <c r="A124" s="9">
        <v>132</v>
      </c>
      <c r="B124" s="16">
        <v>0.01</v>
      </c>
      <c r="C124" s="43">
        <f t="shared" si="5"/>
        <v>79</v>
      </c>
      <c r="D124" s="43">
        <f t="shared" si="4"/>
        <v>6.42</v>
      </c>
      <c r="E124" s="16">
        <f>(INDEX('Stat Boosts'!$D$2:$D$192,$A124-9)-INDEX('Stat Boosts'!$D$2:$D$192,C124-9))*B124+D124</f>
        <v>7.08</v>
      </c>
    </row>
    <row r="125" spans="1:5">
      <c r="A125" s="9">
        <v>133</v>
      </c>
      <c r="B125" s="16">
        <v>0.01</v>
      </c>
      <c r="C125" s="43">
        <f t="shared" si="5"/>
        <v>79</v>
      </c>
      <c r="D125" s="43">
        <f t="shared" si="4"/>
        <v>6.42</v>
      </c>
      <c r="E125" s="16">
        <f>(INDEX('Stat Boosts'!$D$2:$D$192,$A125-9)-INDEX('Stat Boosts'!$D$2:$D$192,C125-9))*B125+D125</f>
        <v>7.09</v>
      </c>
    </row>
    <row r="126" spans="1:5">
      <c r="A126" s="9">
        <v>134</v>
      </c>
      <c r="B126" s="16">
        <v>0.01</v>
      </c>
      <c r="C126" s="43">
        <f t="shared" si="5"/>
        <v>79</v>
      </c>
      <c r="D126" s="43">
        <f t="shared" si="4"/>
        <v>6.42</v>
      </c>
      <c r="E126" s="16">
        <f>(INDEX('Stat Boosts'!$D$2:$D$192,$A126-9)-INDEX('Stat Boosts'!$D$2:$D$192,C126-9))*B126+D126</f>
        <v>7.1</v>
      </c>
    </row>
    <row r="127" spans="1:5">
      <c r="A127" s="9">
        <v>135</v>
      </c>
      <c r="B127" s="16">
        <v>0.01</v>
      </c>
      <c r="C127" s="43">
        <f t="shared" si="5"/>
        <v>79</v>
      </c>
      <c r="D127" s="43">
        <f t="shared" si="4"/>
        <v>6.42</v>
      </c>
      <c r="E127" s="16">
        <f>(INDEX('Stat Boosts'!$D$2:$D$192,$A127-9)-INDEX('Stat Boosts'!$D$2:$D$192,C127-9))*B127+D127</f>
        <v>7.11</v>
      </c>
    </row>
    <row r="128" spans="1:5">
      <c r="A128" s="9">
        <v>136</v>
      </c>
      <c r="B128" s="16">
        <v>0.01</v>
      </c>
      <c r="C128" s="43">
        <f t="shared" si="5"/>
        <v>79</v>
      </c>
      <c r="D128" s="43">
        <f t="shared" si="4"/>
        <v>6.42</v>
      </c>
      <c r="E128" s="16">
        <f>(INDEX('Stat Boosts'!$D$2:$D$192,$A128-9)-INDEX('Stat Boosts'!$D$2:$D$192,C128-9))*B128+D128</f>
        <v>7.12</v>
      </c>
    </row>
    <row r="129" spans="1:5">
      <c r="A129" s="9">
        <v>137</v>
      </c>
      <c r="B129" s="16">
        <v>0.01</v>
      </c>
      <c r="C129" s="43">
        <f t="shared" si="5"/>
        <v>79</v>
      </c>
      <c r="D129" s="43">
        <f t="shared" si="4"/>
        <v>6.42</v>
      </c>
      <c r="E129" s="16">
        <f>(INDEX('Stat Boosts'!$D$2:$D$192,$A129-9)-INDEX('Stat Boosts'!$D$2:$D$192,C129-9))*B129+D129</f>
        <v>7.13</v>
      </c>
    </row>
    <row r="130" spans="1:5">
      <c r="A130" s="9">
        <v>138</v>
      </c>
      <c r="B130" s="16">
        <v>0.01</v>
      </c>
      <c r="C130" s="43">
        <f t="shared" si="5"/>
        <v>79</v>
      </c>
      <c r="D130" s="43">
        <f t="shared" si="4"/>
        <v>6.42</v>
      </c>
      <c r="E130" s="16">
        <f>(INDEX('Stat Boosts'!$D$2:$D$192,$A130-9)-INDEX('Stat Boosts'!$D$2:$D$192,C130-9))*B130+D130</f>
        <v>7.14</v>
      </c>
    </row>
    <row r="131" spans="1:5">
      <c r="A131" s="9">
        <v>139</v>
      </c>
      <c r="B131" s="16">
        <v>0.01</v>
      </c>
      <c r="C131" s="43">
        <f t="shared" si="5"/>
        <v>79</v>
      </c>
      <c r="D131" s="43">
        <f t="shared" ref="D131:D151" si="6">IF(B131&lt;&gt;B130,IF(ROW()=ROW($D$2),3,E130),D130)</f>
        <v>6.42</v>
      </c>
      <c r="E131" s="16">
        <f>(INDEX('Stat Boosts'!$D$2:$D$192,$A131-9)-INDEX('Stat Boosts'!$D$2:$D$192,C131-9))*B131+D131</f>
        <v>7.15</v>
      </c>
    </row>
    <row r="132" spans="1:5">
      <c r="A132" s="9">
        <v>140</v>
      </c>
      <c r="B132" s="16">
        <v>0.01</v>
      </c>
      <c r="C132" s="43">
        <f t="shared" si="5"/>
        <v>79</v>
      </c>
      <c r="D132" s="43">
        <f t="shared" si="6"/>
        <v>6.42</v>
      </c>
      <c r="E132" s="16">
        <f>(INDEX('Stat Boosts'!$D$2:$D$192,$A132-9)-INDEX('Stat Boosts'!$D$2:$D$192,C132-9))*B132+D132</f>
        <v>7.16</v>
      </c>
    </row>
    <row r="133" spans="1:5">
      <c r="A133" s="9">
        <v>141</v>
      </c>
      <c r="B133" s="16">
        <v>0.01</v>
      </c>
      <c r="C133" s="43">
        <f t="shared" si="5"/>
        <v>79</v>
      </c>
      <c r="D133" s="43">
        <f t="shared" si="6"/>
        <v>6.42</v>
      </c>
      <c r="E133" s="16">
        <f>(INDEX('Stat Boosts'!$D$2:$D$192,$A133-9)-INDEX('Stat Boosts'!$D$2:$D$192,C133-9))*B133+D133</f>
        <v>7.17</v>
      </c>
    </row>
    <row r="134" spans="1:5">
      <c r="A134" s="9">
        <v>142</v>
      </c>
      <c r="B134" s="16">
        <v>0.01</v>
      </c>
      <c r="C134" s="43">
        <f t="shared" si="5"/>
        <v>79</v>
      </c>
      <c r="D134" s="43">
        <f t="shared" si="6"/>
        <v>6.42</v>
      </c>
      <c r="E134" s="16">
        <f>(INDEX('Stat Boosts'!$D$2:$D$192,$A134-9)-INDEX('Stat Boosts'!$D$2:$D$192,C134-9))*B134+D134</f>
        <v>7.18</v>
      </c>
    </row>
    <row r="135" spans="1:5">
      <c r="A135" s="9">
        <v>143</v>
      </c>
      <c r="B135" s="16">
        <v>0.01</v>
      </c>
      <c r="C135" s="43">
        <f t="shared" si="5"/>
        <v>79</v>
      </c>
      <c r="D135" s="43">
        <f t="shared" si="6"/>
        <v>6.42</v>
      </c>
      <c r="E135" s="16">
        <f>(INDEX('Stat Boosts'!$D$2:$D$192,$A135-9)-INDEX('Stat Boosts'!$D$2:$D$192,C135-9))*B135+D135</f>
        <v>7.1899999999999995</v>
      </c>
    </row>
    <row r="136" spans="1:5">
      <c r="A136" s="9">
        <v>144</v>
      </c>
      <c r="B136" s="16">
        <v>0.01</v>
      </c>
      <c r="C136" s="43">
        <f t="shared" si="5"/>
        <v>79</v>
      </c>
      <c r="D136" s="43">
        <f t="shared" si="6"/>
        <v>6.42</v>
      </c>
      <c r="E136" s="16">
        <f>(INDEX('Stat Boosts'!$D$2:$D$192,$A136-9)-INDEX('Stat Boosts'!$D$2:$D$192,C136-9))*B136+D136</f>
        <v>7.2</v>
      </c>
    </row>
    <row r="137" spans="1:5">
      <c r="A137" s="9">
        <v>145</v>
      </c>
      <c r="B137" s="16">
        <v>0.01</v>
      </c>
      <c r="C137" s="43">
        <f t="shared" si="5"/>
        <v>79</v>
      </c>
      <c r="D137" s="43">
        <f t="shared" si="6"/>
        <v>6.42</v>
      </c>
      <c r="E137" s="16">
        <f>(INDEX('Stat Boosts'!$D$2:$D$192,$A137-9)-INDEX('Stat Boosts'!$D$2:$D$192,C137-9))*B137+D137</f>
        <v>7.21</v>
      </c>
    </row>
    <row r="138" spans="1:5">
      <c r="A138" s="9">
        <v>146</v>
      </c>
      <c r="B138" s="16">
        <v>0.01</v>
      </c>
      <c r="C138" s="43">
        <f t="shared" si="5"/>
        <v>79</v>
      </c>
      <c r="D138" s="43">
        <f t="shared" si="6"/>
        <v>6.42</v>
      </c>
      <c r="E138" s="16">
        <f>(INDEX('Stat Boosts'!$D$2:$D$192,$A138-9)-INDEX('Stat Boosts'!$D$2:$D$192,C138-9))*B138+D138</f>
        <v>7.22</v>
      </c>
    </row>
    <row r="139" spans="1:5">
      <c r="A139" s="9">
        <v>147</v>
      </c>
      <c r="B139" s="16">
        <v>0.01</v>
      </c>
      <c r="C139" s="43">
        <f t="shared" si="5"/>
        <v>79</v>
      </c>
      <c r="D139" s="43">
        <f t="shared" si="6"/>
        <v>6.42</v>
      </c>
      <c r="E139" s="16">
        <f>(INDEX('Stat Boosts'!$D$2:$D$192,$A139-9)-INDEX('Stat Boosts'!$D$2:$D$192,C139-9))*B139+D139</f>
        <v>7.23</v>
      </c>
    </row>
    <row r="140" spans="1:5">
      <c r="A140" s="9">
        <v>148</v>
      </c>
      <c r="B140" s="16">
        <v>0.01</v>
      </c>
      <c r="C140" s="43">
        <f t="shared" si="5"/>
        <v>79</v>
      </c>
      <c r="D140" s="43">
        <f t="shared" si="6"/>
        <v>6.42</v>
      </c>
      <c r="E140" s="16">
        <f>(INDEX('Stat Boosts'!$D$2:$D$192,$A140-9)-INDEX('Stat Boosts'!$D$2:$D$192,C140-9))*B140+D140</f>
        <v>7.24</v>
      </c>
    </row>
    <row r="141" spans="1:5">
      <c r="A141" s="9">
        <v>149</v>
      </c>
      <c r="B141" s="16">
        <v>0.01</v>
      </c>
      <c r="C141" s="43">
        <f t="shared" si="5"/>
        <v>79</v>
      </c>
      <c r="D141" s="43">
        <f t="shared" si="6"/>
        <v>6.42</v>
      </c>
      <c r="E141" s="16">
        <f>(INDEX('Stat Boosts'!$D$2:$D$192,$A141-9)-INDEX('Stat Boosts'!$D$2:$D$192,C141-9))*B141+D141</f>
        <v>7.25</v>
      </c>
    </row>
    <row r="142" spans="1:5">
      <c r="A142" s="9">
        <v>150</v>
      </c>
      <c r="B142" s="16">
        <v>0.01</v>
      </c>
      <c r="C142" s="43">
        <f t="shared" si="5"/>
        <v>79</v>
      </c>
      <c r="D142" s="43">
        <f t="shared" si="6"/>
        <v>6.42</v>
      </c>
      <c r="E142" s="16">
        <f>(INDEX('Stat Boosts'!$D$2:$D$192,$A142-9)-INDEX('Stat Boosts'!$D$2:$D$192,C142-9))*B142+D142</f>
        <v>7.26</v>
      </c>
    </row>
    <row r="143" spans="1:5">
      <c r="A143" s="9">
        <v>151</v>
      </c>
      <c r="B143" s="16">
        <v>0.01</v>
      </c>
      <c r="C143" s="43">
        <f t="shared" si="5"/>
        <v>79</v>
      </c>
      <c r="D143" s="43">
        <f t="shared" si="6"/>
        <v>6.42</v>
      </c>
      <c r="E143" s="16">
        <f>(INDEX('Stat Boosts'!$D$2:$D$192,$A143-9)-INDEX('Stat Boosts'!$D$2:$D$192,C143-9))*B143+D143</f>
        <v>7.27</v>
      </c>
    </row>
    <row r="144" spans="1:5">
      <c r="A144" s="9">
        <v>152</v>
      </c>
      <c r="B144" s="16">
        <v>0.01</v>
      </c>
      <c r="C144" s="43">
        <f t="shared" si="5"/>
        <v>79</v>
      </c>
      <c r="D144" s="43">
        <f t="shared" si="6"/>
        <v>6.42</v>
      </c>
      <c r="E144" s="16">
        <f>(INDEX('Stat Boosts'!$D$2:$D$192,$A144-9)-INDEX('Stat Boosts'!$D$2:$D$192,C144-9))*B144+D144</f>
        <v>7.28</v>
      </c>
    </row>
    <row r="145" spans="1:5">
      <c r="A145" s="9">
        <v>153</v>
      </c>
      <c r="B145" s="16">
        <v>0.01</v>
      </c>
      <c r="C145" s="43">
        <f t="shared" si="5"/>
        <v>79</v>
      </c>
      <c r="D145" s="43">
        <f t="shared" si="6"/>
        <v>6.42</v>
      </c>
      <c r="E145" s="16">
        <f>(INDEX('Stat Boosts'!$D$2:$D$192,$A145-9)-INDEX('Stat Boosts'!$D$2:$D$192,C145-9))*B145+D145</f>
        <v>7.29</v>
      </c>
    </row>
    <row r="146" spans="1:5">
      <c r="A146" s="9">
        <v>154</v>
      </c>
      <c r="B146" s="16">
        <v>0.01</v>
      </c>
      <c r="C146" s="43">
        <f t="shared" si="5"/>
        <v>79</v>
      </c>
      <c r="D146" s="43">
        <f t="shared" si="6"/>
        <v>6.42</v>
      </c>
      <c r="E146" s="16">
        <f>(INDEX('Stat Boosts'!$D$2:$D$192,$A146-9)-INDEX('Stat Boosts'!$D$2:$D$192,C146-9))*B146+D146</f>
        <v>7.3</v>
      </c>
    </row>
    <row r="147" spans="1:5">
      <c r="A147" s="9">
        <v>155</v>
      </c>
      <c r="B147" s="16">
        <v>0.01</v>
      </c>
      <c r="C147" s="43">
        <f t="shared" si="5"/>
        <v>79</v>
      </c>
      <c r="D147" s="43">
        <f t="shared" si="6"/>
        <v>6.42</v>
      </c>
      <c r="E147" s="16">
        <f>(INDEX('Stat Boosts'!$D$2:$D$192,$A147-9)-INDEX('Stat Boosts'!$D$2:$D$192,C147-9))*B147+D147</f>
        <v>7.31</v>
      </c>
    </row>
    <row r="148" spans="1:5">
      <c r="A148" s="9">
        <v>156</v>
      </c>
      <c r="B148" s="16">
        <v>0.01</v>
      </c>
      <c r="C148" s="43">
        <f t="shared" si="5"/>
        <v>79</v>
      </c>
      <c r="D148" s="43">
        <f t="shared" si="6"/>
        <v>6.42</v>
      </c>
      <c r="E148" s="16">
        <f>(INDEX('Stat Boosts'!$D$2:$D$192,$A148-9)-INDEX('Stat Boosts'!$D$2:$D$192,C148-9))*B148+D148</f>
        <v>7.32</v>
      </c>
    </row>
    <row r="149" spans="1:5">
      <c r="A149" s="9">
        <v>157</v>
      </c>
      <c r="B149" s="16">
        <v>0.01</v>
      </c>
      <c r="C149" s="43">
        <f t="shared" si="5"/>
        <v>79</v>
      </c>
      <c r="D149" s="43">
        <f t="shared" si="6"/>
        <v>6.42</v>
      </c>
      <c r="E149" s="16">
        <f>(INDEX('Stat Boosts'!$D$2:$D$192,$A149-9)-INDEX('Stat Boosts'!$D$2:$D$192,C149-9))*B149+D149</f>
        <v>7.33</v>
      </c>
    </row>
    <row r="150" spans="1:5">
      <c r="A150" s="9">
        <v>158</v>
      </c>
      <c r="B150" s="16">
        <v>0.01</v>
      </c>
      <c r="C150" s="43">
        <f t="shared" si="5"/>
        <v>79</v>
      </c>
      <c r="D150" s="43">
        <f t="shared" si="6"/>
        <v>6.42</v>
      </c>
      <c r="E150" s="16">
        <f>(INDEX('Stat Boosts'!$D$2:$D$192,$A150-9)-INDEX('Stat Boosts'!$D$2:$D$192,C150-9))*B150+D150</f>
        <v>7.34</v>
      </c>
    </row>
    <row r="151" spans="1:5">
      <c r="A151" s="9">
        <v>159</v>
      </c>
      <c r="B151" s="16">
        <v>0.01</v>
      </c>
      <c r="C151" s="43">
        <f t="shared" si="5"/>
        <v>79</v>
      </c>
      <c r="D151" s="43">
        <f t="shared" si="6"/>
        <v>6.42</v>
      </c>
      <c r="E151" s="16">
        <f>(INDEX('Stat Boosts'!$D$2:$D$192,$A151-9)-INDEX('Stat Boosts'!$D$2:$D$192,C151-9))*B151+D151</f>
        <v>7.35</v>
      </c>
    </row>
  </sheetData>
  <conditionalFormatting sqref="H1:U1048576">
    <cfRule type="expression" dxfId="0" priority="1">
      <formula>INDEX($A$1:$A$150,ROW())+22&lt;INDEX($A$1:$U$1,1,COLUMN())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14"/>
  <dimension ref="A1:I8"/>
  <sheetViews>
    <sheetView workbookViewId="0">
      <selection activeCell="B8" sqref="B8"/>
    </sheetView>
  </sheetViews>
  <sheetFormatPr defaultRowHeight="15"/>
  <cols>
    <col min="1" max="1" width="24.28515625" customWidth="1"/>
    <col min="2" max="2" width="21.85546875" customWidth="1"/>
    <col min="3" max="3" width="13.85546875" customWidth="1"/>
    <col min="4" max="4" width="16.42578125" style="61" customWidth="1"/>
    <col min="5" max="5" width="13.28515625" customWidth="1"/>
    <col min="6" max="6" width="16.85546875" style="61" customWidth="1"/>
    <col min="7" max="7" width="20.85546875" customWidth="1"/>
    <col min="8" max="8" width="19.85546875" customWidth="1"/>
    <col min="9" max="9" width="14.85546875" customWidth="1"/>
  </cols>
  <sheetData>
    <row r="1" spans="1:9" s="1" customFormat="1">
      <c r="A1" s="1" t="s">
        <v>69</v>
      </c>
      <c r="B1" s="1" t="s">
        <v>375</v>
      </c>
      <c r="C1" s="1" t="s">
        <v>193</v>
      </c>
      <c r="D1" s="60" t="s">
        <v>372</v>
      </c>
      <c r="E1" s="1" t="s">
        <v>368</v>
      </c>
      <c r="F1" s="60" t="s">
        <v>185</v>
      </c>
      <c r="G1" s="1" t="s">
        <v>373</v>
      </c>
      <c r="H1" s="1" t="s">
        <v>379</v>
      </c>
      <c r="I1" s="1" t="s">
        <v>71</v>
      </c>
    </row>
    <row r="2" spans="1:9">
      <c r="A2" t="s">
        <v>376</v>
      </c>
      <c r="B2" t="s">
        <v>374</v>
      </c>
      <c r="C2" t="s">
        <v>380</v>
      </c>
      <c r="E2">
        <v>2</v>
      </c>
      <c r="G2">
        <v>1800</v>
      </c>
    </row>
    <row r="3" spans="1:9">
      <c r="A3" t="s">
        <v>377</v>
      </c>
      <c r="B3" t="s">
        <v>374</v>
      </c>
      <c r="C3" t="s">
        <v>380</v>
      </c>
      <c r="D3" s="61">
        <v>0.1</v>
      </c>
      <c r="E3">
        <v>2.25</v>
      </c>
      <c r="G3">
        <v>1600</v>
      </c>
    </row>
    <row r="4" spans="1:9">
      <c r="A4" t="s">
        <v>378</v>
      </c>
      <c r="B4" t="s">
        <v>374</v>
      </c>
      <c r="C4" t="s">
        <v>380</v>
      </c>
      <c r="D4" s="61">
        <v>0.2</v>
      </c>
      <c r="E4">
        <v>2.25</v>
      </c>
      <c r="G4">
        <v>1400</v>
      </c>
    </row>
    <row r="5" spans="1:9">
      <c r="A5" t="s">
        <v>382</v>
      </c>
      <c r="B5" t="s">
        <v>381</v>
      </c>
      <c r="C5" t="s">
        <v>380</v>
      </c>
      <c r="E5">
        <v>3</v>
      </c>
      <c r="F5" s="61">
        <v>0.2</v>
      </c>
      <c r="G5">
        <v>1000</v>
      </c>
      <c r="H5" s="28">
        <v>0.1</v>
      </c>
    </row>
    <row r="8" spans="1:9">
      <c r="E8" s="5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22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28" baseType="lpstr">
      <vt:lpstr>Parameters</vt:lpstr>
      <vt:lpstr>Avatars</vt:lpstr>
      <vt:lpstr>Ranges</vt:lpstr>
      <vt:lpstr>Experience</vt:lpstr>
      <vt:lpstr>Damage</vt:lpstr>
      <vt:lpstr>Armor</vt:lpstr>
      <vt:lpstr>Regeneration</vt:lpstr>
      <vt:lpstr>Spell Names</vt:lpstr>
      <vt:lpstr>Spells</vt:lpstr>
      <vt:lpstr>Class Spells Viewer</vt:lpstr>
      <vt:lpstr>PVP Damage Adjustment</vt:lpstr>
      <vt:lpstr>Items</vt:lpstr>
      <vt:lpstr>(enumerations)</vt:lpstr>
      <vt:lpstr>Stat Boosts</vt:lpstr>
      <vt:lpstr>(references)</vt:lpstr>
      <vt:lpstr>Melee Delay Multipliers</vt:lpstr>
      <vt:lpstr>Magic Delay Multipliers</vt:lpstr>
      <vt:lpstr>Melee Damage Multipliers</vt:lpstr>
      <vt:lpstr>Magic Damage Multipliers</vt:lpstr>
      <vt:lpstr>Magic Duration Multipliers</vt:lpstr>
      <vt:lpstr>Movement Speed</vt:lpstr>
      <vt:lpstr>Monsters</vt:lpstr>
      <vt:lpstr>Chart3</vt:lpstr>
      <vt:lpstr>Chart4</vt:lpstr>
      <vt:lpstr>ItemEquipmentType</vt:lpstr>
      <vt:lpstr>ItemIntendedUse</vt:lpstr>
      <vt:lpstr>WeaponSize</vt:lpstr>
      <vt:lpstr>WeaponSpeed</vt:lpstr>
    </vt:vector>
  </TitlesOfParts>
  <Company>Home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Karl Gluck</dc:creator>
  <cp:lastModifiedBy>Karl</cp:lastModifiedBy>
  <dcterms:created xsi:type="dcterms:W3CDTF">2009-08-25T19:14:37Z</dcterms:created>
  <dcterms:modified xsi:type="dcterms:W3CDTF">2010-01-26T17:31:33Z</dcterms:modified>
</cp:coreProperties>
</file>